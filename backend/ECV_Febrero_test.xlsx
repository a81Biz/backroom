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bem\Downloads\"/>
    </mc:Choice>
  </mc:AlternateContent>
  <xr:revisionPtr revIDLastSave="0" documentId="8_{44356080-01A8-497C-B145-D1A9EB9DCAB6}" xr6:coauthVersionLast="47" xr6:coauthVersionMax="47" xr10:uidLastSave="{00000000-0000-0000-0000-000000000000}"/>
  <bookViews>
    <workbookView xWindow="-120" yWindow="-120" windowWidth="29040" windowHeight="15720" xr2:uid="{6A863B85-03D7-412C-B53D-C70EA0361108}"/>
  </bookViews>
  <sheets>
    <sheet name="PEDIDO" sheetId="1" r:id="rId1"/>
  </sheets>
  <definedNames>
    <definedName name="_xlnm._FilterDatabase" localSheetId="0" hidden="1">PEDIDO!$A$9:$AA$3620</definedName>
    <definedName name="_xlnm.Print_Area" localSheetId="0">PEDIDO!$C$2:$Y$3620</definedName>
    <definedName name="_xlnm.Print_Titles" localSheetId="0">PEDIDO!$7:$9</definedName>
  </definedNames>
  <calcPr calcId="191029"/>
</workbook>
</file>

<file path=xl/calcChain.xml><?xml version="1.0" encoding="utf-8"?>
<calcChain xmlns="http://schemas.openxmlformats.org/spreadsheetml/2006/main">
  <c r="S5" i="1" l="1"/>
  <c r="L11" i="1" l="1"/>
  <c r="M11" i="1" s="1"/>
  <c r="T11" i="1"/>
  <c r="U11" i="1" s="1"/>
  <c r="L12" i="1"/>
  <c r="M12" i="1" s="1"/>
  <c r="T12" i="1"/>
  <c r="U12" i="1" s="1"/>
  <c r="V12" i="1" s="1"/>
  <c r="L13" i="1"/>
  <c r="M13" i="1" s="1"/>
  <c r="O13" i="1" s="1"/>
  <c r="T13" i="1"/>
  <c r="U13" i="1" s="1"/>
  <c r="V13" i="1" s="1"/>
  <c r="L14" i="1"/>
  <c r="M14" i="1" s="1"/>
  <c r="T14" i="1"/>
  <c r="U14" i="1" s="1"/>
  <c r="L2967" i="1"/>
  <c r="M2967" i="1" s="1"/>
  <c r="T2967" i="1"/>
  <c r="U2967" i="1" s="1"/>
  <c r="T3620" i="1"/>
  <c r="L3620" i="1"/>
  <c r="M3620" i="1" s="1"/>
  <c r="T3619" i="1"/>
  <c r="L3619" i="1"/>
  <c r="M3619" i="1" s="1"/>
  <c r="O3619" i="1" s="1"/>
  <c r="T3618" i="1"/>
  <c r="U3618" i="1" s="1"/>
  <c r="V3618" i="1" s="1"/>
  <c r="L3618" i="1"/>
  <c r="M3618" i="1" s="1"/>
  <c r="O3618" i="1" s="1"/>
  <c r="T3617" i="1"/>
  <c r="L3617" i="1"/>
  <c r="M3617" i="1" s="1"/>
  <c r="T3616" i="1"/>
  <c r="L3616" i="1"/>
  <c r="M3616" i="1" s="1"/>
  <c r="T3615" i="1"/>
  <c r="L3615" i="1"/>
  <c r="M3615" i="1" s="1"/>
  <c r="O3615" i="1" s="1"/>
  <c r="T3614" i="1"/>
  <c r="U3614" i="1" s="1"/>
  <c r="V3614" i="1" s="1"/>
  <c r="W3614" i="1" s="1"/>
  <c r="L3614" i="1"/>
  <c r="M3614" i="1" s="1"/>
  <c r="O3614" i="1" s="1"/>
  <c r="T3613" i="1"/>
  <c r="L3613" i="1"/>
  <c r="M3613" i="1" s="1"/>
  <c r="T3612" i="1"/>
  <c r="L3612" i="1"/>
  <c r="M3612" i="1" s="1"/>
  <c r="T3611" i="1"/>
  <c r="U3611" i="1" s="1"/>
  <c r="L3611" i="1"/>
  <c r="M3611" i="1" s="1"/>
  <c r="O3611" i="1" s="1"/>
  <c r="T3610" i="1"/>
  <c r="U3610" i="1" s="1"/>
  <c r="V3610" i="1" s="1"/>
  <c r="W3610" i="1" s="1"/>
  <c r="L3610" i="1"/>
  <c r="M3610" i="1" s="1"/>
  <c r="O3610" i="1" s="1"/>
  <c r="T3609" i="1"/>
  <c r="L3609" i="1"/>
  <c r="M3609" i="1" s="1"/>
  <c r="T3608" i="1"/>
  <c r="U3608" i="1" s="1"/>
  <c r="L3608" i="1"/>
  <c r="M3608" i="1" s="1"/>
  <c r="T3607" i="1"/>
  <c r="L3607" i="1"/>
  <c r="M3607" i="1" s="1"/>
  <c r="O3607" i="1" s="1"/>
  <c r="T3606" i="1"/>
  <c r="U3606" i="1" s="1"/>
  <c r="V3606" i="1" s="1"/>
  <c r="L3606" i="1"/>
  <c r="M3606" i="1" s="1"/>
  <c r="O3606" i="1" s="1"/>
  <c r="T3605" i="1"/>
  <c r="L3605" i="1"/>
  <c r="M3605" i="1" s="1"/>
  <c r="T3604" i="1"/>
  <c r="L3604" i="1"/>
  <c r="M3604" i="1" s="1"/>
  <c r="T3603" i="1"/>
  <c r="L3603" i="1"/>
  <c r="M3603" i="1" s="1"/>
  <c r="O3603" i="1" s="1"/>
  <c r="T3602" i="1"/>
  <c r="U3602" i="1" s="1"/>
  <c r="V3602" i="1" s="1"/>
  <c r="L3602" i="1"/>
  <c r="M3602" i="1" s="1"/>
  <c r="O3602" i="1" s="1"/>
  <c r="T3601" i="1"/>
  <c r="L3601" i="1"/>
  <c r="M3601" i="1" s="1"/>
  <c r="T3600" i="1"/>
  <c r="L3600" i="1"/>
  <c r="M3600" i="1" s="1"/>
  <c r="T3599" i="1"/>
  <c r="L3599" i="1"/>
  <c r="M3599" i="1" s="1"/>
  <c r="O3599" i="1" s="1"/>
  <c r="T3598" i="1"/>
  <c r="U3598" i="1" s="1"/>
  <c r="V3598" i="1" s="1"/>
  <c r="W3598" i="1" s="1"/>
  <c r="L3598" i="1"/>
  <c r="M3598" i="1" s="1"/>
  <c r="O3598" i="1" s="1"/>
  <c r="T3597" i="1"/>
  <c r="L3597" i="1"/>
  <c r="M3597" i="1" s="1"/>
  <c r="T3596" i="1"/>
  <c r="L3596" i="1"/>
  <c r="M3596" i="1" s="1"/>
  <c r="T3595" i="1"/>
  <c r="U3595" i="1" s="1"/>
  <c r="L3595" i="1"/>
  <c r="M3595" i="1" s="1"/>
  <c r="O3595" i="1" s="1"/>
  <c r="T3594" i="1"/>
  <c r="U3594" i="1" s="1"/>
  <c r="V3594" i="1" s="1"/>
  <c r="W3594" i="1" s="1"/>
  <c r="L3594" i="1"/>
  <c r="M3594" i="1" s="1"/>
  <c r="O3594" i="1" s="1"/>
  <c r="T3593" i="1"/>
  <c r="L3593" i="1"/>
  <c r="M3593" i="1" s="1"/>
  <c r="T3592" i="1"/>
  <c r="U3592" i="1" s="1"/>
  <c r="L3592" i="1"/>
  <c r="M3592" i="1" s="1"/>
  <c r="T3591" i="1"/>
  <c r="L3591" i="1"/>
  <c r="M3591" i="1" s="1"/>
  <c r="O3591" i="1" s="1"/>
  <c r="T3590" i="1"/>
  <c r="U3590" i="1" s="1"/>
  <c r="V3590" i="1" s="1"/>
  <c r="L3590" i="1"/>
  <c r="M3590" i="1" s="1"/>
  <c r="O3590" i="1" s="1"/>
  <c r="T3589" i="1"/>
  <c r="L3589" i="1"/>
  <c r="M3589" i="1" s="1"/>
  <c r="T3588" i="1"/>
  <c r="U3588" i="1" s="1"/>
  <c r="L3588" i="1"/>
  <c r="M3588" i="1" s="1"/>
  <c r="T3587" i="1"/>
  <c r="U3587" i="1" s="1"/>
  <c r="L3587" i="1"/>
  <c r="M3587" i="1" s="1"/>
  <c r="O3587" i="1" s="1"/>
  <c r="T3586" i="1"/>
  <c r="U3586" i="1" s="1"/>
  <c r="V3586" i="1" s="1"/>
  <c r="L3586" i="1"/>
  <c r="M3586" i="1" s="1"/>
  <c r="O3586" i="1" s="1"/>
  <c r="T3585" i="1"/>
  <c r="L3585" i="1"/>
  <c r="M3585" i="1" s="1"/>
  <c r="T3584" i="1"/>
  <c r="L3584" i="1"/>
  <c r="M3584" i="1" s="1"/>
  <c r="T3583" i="1"/>
  <c r="L3583" i="1"/>
  <c r="M3583" i="1" s="1"/>
  <c r="O3583" i="1" s="1"/>
  <c r="T3582" i="1"/>
  <c r="U3582" i="1" s="1"/>
  <c r="V3582" i="1" s="1"/>
  <c r="W3582" i="1" s="1"/>
  <c r="L3582" i="1"/>
  <c r="M3582" i="1" s="1"/>
  <c r="O3582" i="1" s="1"/>
  <c r="T3581" i="1"/>
  <c r="L3581" i="1"/>
  <c r="M3581" i="1" s="1"/>
  <c r="T3580" i="1"/>
  <c r="L3580" i="1"/>
  <c r="M3580" i="1" s="1"/>
  <c r="T3579" i="1"/>
  <c r="U3579" i="1" s="1"/>
  <c r="L3579" i="1"/>
  <c r="M3579" i="1" s="1"/>
  <c r="O3579" i="1" s="1"/>
  <c r="T3578" i="1"/>
  <c r="U3578" i="1" s="1"/>
  <c r="V3578" i="1" s="1"/>
  <c r="W3578" i="1" s="1"/>
  <c r="L3578" i="1"/>
  <c r="M3578" i="1" s="1"/>
  <c r="O3578" i="1" s="1"/>
  <c r="T3577" i="1"/>
  <c r="L3577" i="1"/>
  <c r="M3577" i="1" s="1"/>
  <c r="T3576" i="1"/>
  <c r="L3576" i="1"/>
  <c r="M3576" i="1" s="1"/>
  <c r="T3575" i="1"/>
  <c r="U3575" i="1" s="1"/>
  <c r="V3575" i="1" s="1"/>
  <c r="L3575" i="1"/>
  <c r="M3575" i="1" s="1"/>
  <c r="T3574" i="1"/>
  <c r="U3574" i="1" s="1"/>
  <c r="V3574" i="1" s="1"/>
  <c r="L3574" i="1"/>
  <c r="M3574" i="1" s="1"/>
  <c r="T3573" i="1"/>
  <c r="L3573" i="1"/>
  <c r="M3573" i="1" s="1"/>
  <c r="O3573" i="1" s="1"/>
  <c r="T3572" i="1"/>
  <c r="U3572" i="1" s="1"/>
  <c r="L3572" i="1"/>
  <c r="M3572" i="1" s="1"/>
  <c r="T3571" i="1"/>
  <c r="U3571" i="1" s="1"/>
  <c r="L3571" i="1"/>
  <c r="M3571" i="1" s="1"/>
  <c r="T3570" i="1"/>
  <c r="U3570" i="1" s="1"/>
  <c r="L3570" i="1"/>
  <c r="M3570" i="1" s="1"/>
  <c r="T3569" i="1"/>
  <c r="U3569" i="1" s="1"/>
  <c r="V3569" i="1" s="1"/>
  <c r="W3569" i="1" s="1"/>
  <c r="L3569" i="1"/>
  <c r="M3569" i="1" s="1"/>
  <c r="T3568" i="1"/>
  <c r="L3568" i="1"/>
  <c r="M3568" i="1" s="1"/>
  <c r="T3567" i="1"/>
  <c r="U3567" i="1" s="1"/>
  <c r="L3567" i="1"/>
  <c r="M3567" i="1" s="1"/>
  <c r="T3566" i="1"/>
  <c r="L3566" i="1"/>
  <c r="M3566" i="1" s="1"/>
  <c r="O3566" i="1" s="1"/>
  <c r="T3565" i="1"/>
  <c r="L3565" i="1"/>
  <c r="M3565" i="1" s="1"/>
  <c r="T3564" i="1"/>
  <c r="L3564" i="1"/>
  <c r="M3564" i="1" s="1"/>
  <c r="T3563" i="1"/>
  <c r="U3563" i="1" s="1"/>
  <c r="L3563" i="1"/>
  <c r="M3563" i="1" s="1"/>
  <c r="T3562" i="1"/>
  <c r="U3562" i="1" s="1"/>
  <c r="L3562" i="1"/>
  <c r="M3562" i="1" s="1"/>
  <c r="O3562" i="1" s="1"/>
  <c r="T3561" i="1"/>
  <c r="L3561" i="1"/>
  <c r="M3561" i="1" s="1"/>
  <c r="T3560" i="1"/>
  <c r="L3560" i="1"/>
  <c r="M3560" i="1" s="1"/>
  <c r="T3559" i="1"/>
  <c r="L3559" i="1"/>
  <c r="M3559" i="1" s="1"/>
  <c r="T3558" i="1"/>
  <c r="U3558" i="1" s="1"/>
  <c r="L3558" i="1"/>
  <c r="M3558" i="1" s="1"/>
  <c r="O3558" i="1" s="1"/>
  <c r="T3557" i="1"/>
  <c r="L3557" i="1"/>
  <c r="M3557" i="1" s="1"/>
  <c r="T3556" i="1"/>
  <c r="L3556" i="1"/>
  <c r="M3556" i="1" s="1"/>
  <c r="T3555" i="1"/>
  <c r="U3555" i="1" s="1"/>
  <c r="L3555" i="1"/>
  <c r="M3555" i="1" s="1"/>
  <c r="T3554" i="1"/>
  <c r="U3554" i="1" s="1"/>
  <c r="L3554" i="1"/>
  <c r="M3554" i="1" s="1"/>
  <c r="T3553" i="1"/>
  <c r="L3553" i="1"/>
  <c r="M3553" i="1" s="1"/>
  <c r="T3552" i="1"/>
  <c r="L3552" i="1"/>
  <c r="M3552" i="1" s="1"/>
  <c r="T3551" i="1"/>
  <c r="U3551" i="1" s="1"/>
  <c r="L3551" i="1"/>
  <c r="M3551" i="1" s="1"/>
  <c r="T3550" i="1"/>
  <c r="L3550" i="1"/>
  <c r="M3550" i="1" s="1"/>
  <c r="O3550" i="1" s="1"/>
  <c r="T3549" i="1"/>
  <c r="L3549" i="1"/>
  <c r="M3549" i="1" s="1"/>
  <c r="T3548" i="1"/>
  <c r="L3548" i="1"/>
  <c r="M3548" i="1" s="1"/>
  <c r="T3547" i="1"/>
  <c r="U3547" i="1" s="1"/>
  <c r="L3547" i="1"/>
  <c r="M3547" i="1" s="1"/>
  <c r="T3546" i="1"/>
  <c r="U3546" i="1" s="1"/>
  <c r="L3546" i="1"/>
  <c r="M3546" i="1" s="1"/>
  <c r="O3546" i="1" s="1"/>
  <c r="T3545" i="1"/>
  <c r="L3545" i="1"/>
  <c r="M3545" i="1" s="1"/>
  <c r="T3544" i="1"/>
  <c r="L3544" i="1"/>
  <c r="M3544" i="1" s="1"/>
  <c r="T3543" i="1"/>
  <c r="L3543" i="1"/>
  <c r="M3543" i="1" s="1"/>
  <c r="T3542" i="1"/>
  <c r="U3542" i="1" s="1"/>
  <c r="L3542" i="1"/>
  <c r="M3542" i="1" s="1"/>
  <c r="O3542" i="1" s="1"/>
  <c r="T3541" i="1"/>
  <c r="U3541" i="1" s="1"/>
  <c r="L3541" i="1"/>
  <c r="M3541" i="1" s="1"/>
  <c r="T3540" i="1"/>
  <c r="L3540" i="1"/>
  <c r="M3540" i="1" s="1"/>
  <c r="T3539" i="1"/>
  <c r="U3539" i="1" s="1"/>
  <c r="L3539" i="1"/>
  <c r="M3539" i="1" s="1"/>
  <c r="T3538" i="1"/>
  <c r="U3538" i="1" s="1"/>
  <c r="L3538" i="1"/>
  <c r="M3538" i="1" s="1"/>
  <c r="T3537" i="1"/>
  <c r="L3537" i="1"/>
  <c r="M3537" i="1" s="1"/>
  <c r="T3536" i="1"/>
  <c r="L3536" i="1"/>
  <c r="M3536" i="1" s="1"/>
  <c r="T3535" i="1"/>
  <c r="U3535" i="1" s="1"/>
  <c r="L3535" i="1"/>
  <c r="M3535" i="1" s="1"/>
  <c r="T3534" i="1"/>
  <c r="U3534" i="1" s="1"/>
  <c r="L3534" i="1"/>
  <c r="M3534" i="1" s="1"/>
  <c r="T3533" i="1"/>
  <c r="L3533" i="1"/>
  <c r="M3533" i="1" s="1"/>
  <c r="T3532" i="1"/>
  <c r="L3532" i="1"/>
  <c r="M3532" i="1" s="1"/>
  <c r="O3532" i="1" s="1"/>
  <c r="T3531" i="1"/>
  <c r="U3531" i="1" s="1"/>
  <c r="L3531" i="1"/>
  <c r="M3531" i="1" s="1"/>
  <c r="T3530" i="1"/>
  <c r="L3530" i="1"/>
  <c r="M3530" i="1" s="1"/>
  <c r="T3529" i="1"/>
  <c r="L3529" i="1"/>
  <c r="M3529" i="1" s="1"/>
  <c r="O3529" i="1" s="1"/>
  <c r="T3528" i="1"/>
  <c r="L3528" i="1"/>
  <c r="M3528" i="1" s="1"/>
  <c r="O3528" i="1" s="1"/>
  <c r="T3527" i="1"/>
  <c r="U3527" i="1" s="1"/>
  <c r="L3527" i="1"/>
  <c r="M3527" i="1" s="1"/>
  <c r="T3526" i="1"/>
  <c r="U3526" i="1" s="1"/>
  <c r="V3526" i="1" s="1"/>
  <c r="L3526" i="1"/>
  <c r="M3526" i="1" s="1"/>
  <c r="T3525" i="1"/>
  <c r="U3525" i="1" s="1"/>
  <c r="L3525" i="1"/>
  <c r="M3525" i="1" s="1"/>
  <c r="T3524" i="1"/>
  <c r="L3524" i="1"/>
  <c r="M3524" i="1" s="1"/>
  <c r="O3524" i="1" s="1"/>
  <c r="T3523" i="1"/>
  <c r="U3523" i="1" s="1"/>
  <c r="L3523" i="1"/>
  <c r="M3523" i="1" s="1"/>
  <c r="T3522" i="1"/>
  <c r="U3522" i="1" s="1"/>
  <c r="L3522" i="1"/>
  <c r="M3522" i="1" s="1"/>
  <c r="T3521" i="1"/>
  <c r="L3521" i="1"/>
  <c r="M3521" i="1" s="1"/>
  <c r="T3520" i="1"/>
  <c r="L3520" i="1"/>
  <c r="M3520" i="1" s="1"/>
  <c r="O3520" i="1" s="1"/>
  <c r="P3520" i="1" s="1"/>
  <c r="T3519" i="1"/>
  <c r="U3519" i="1" s="1"/>
  <c r="L3519" i="1"/>
  <c r="M3519" i="1" s="1"/>
  <c r="O3519" i="1" s="1"/>
  <c r="T3518" i="1"/>
  <c r="U3518" i="1" s="1"/>
  <c r="V3518" i="1" s="1"/>
  <c r="L3518" i="1"/>
  <c r="M3518" i="1" s="1"/>
  <c r="T3517" i="1"/>
  <c r="U3517" i="1" s="1"/>
  <c r="V3517" i="1" s="1"/>
  <c r="L3517" i="1"/>
  <c r="M3517" i="1" s="1"/>
  <c r="T3516" i="1"/>
  <c r="L3516" i="1"/>
  <c r="M3516" i="1" s="1"/>
  <c r="T3515" i="1"/>
  <c r="L3515" i="1"/>
  <c r="M3515" i="1" s="1"/>
  <c r="O3515" i="1" s="1"/>
  <c r="T3514" i="1"/>
  <c r="U3514" i="1" s="1"/>
  <c r="V3514" i="1" s="1"/>
  <c r="L3514" i="1"/>
  <c r="M3514" i="1" s="1"/>
  <c r="T3513" i="1"/>
  <c r="U3513" i="1" s="1"/>
  <c r="V3513" i="1" s="1"/>
  <c r="L3513" i="1"/>
  <c r="M3513" i="1" s="1"/>
  <c r="O3513" i="1" s="1"/>
  <c r="T3512" i="1"/>
  <c r="U3512" i="1" s="1"/>
  <c r="V3512" i="1" s="1"/>
  <c r="L3512" i="1"/>
  <c r="M3512" i="1" s="1"/>
  <c r="O3512" i="1" s="1"/>
  <c r="P3512" i="1" s="1"/>
  <c r="T3511" i="1"/>
  <c r="L3511" i="1"/>
  <c r="M3511" i="1" s="1"/>
  <c r="T3510" i="1"/>
  <c r="U3510" i="1" s="1"/>
  <c r="L3510" i="1"/>
  <c r="M3510" i="1" s="1"/>
  <c r="T3509" i="1"/>
  <c r="U3509" i="1" s="1"/>
  <c r="L3509" i="1"/>
  <c r="M3509" i="1" s="1"/>
  <c r="T3508" i="1"/>
  <c r="U3508" i="1" s="1"/>
  <c r="V3508" i="1" s="1"/>
  <c r="W3508" i="1" s="1"/>
  <c r="L3508" i="1"/>
  <c r="M3508" i="1" s="1"/>
  <c r="O3508" i="1" s="1"/>
  <c r="P3508" i="1" s="1"/>
  <c r="T3507" i="1"/>
  <c r="L3507" i="1"/>
  <c r="M3507" i="1" s="1"/>
  <c r="T3506" i="1"/>
  <c r="U3506" i="1" s="1"/>
  <c r="L3506" i="1"/>
  <c r="M3506" i="1" s="1"/>
  <c r="T3505" i="1"/>
  <c r="L3505" i="1"/>
  <c r="M3505" i="1" s="1"/>
  <c r="T3504" i="1"/>
  <c r="U3504" i="1" s="1"/>
  <c r="V3504" i="1" s="1"/>
  <c r="W3504" i="1" s="1"/>
  <c r="L3504" i="1"/>
  <c r="M3504" i="1" s="1"/>
  <c r="T3503" i="1"/>
  <c r="L3503" i="1"/>
  <c r="M3503" i="1" s="1"/>
  <c r="T3502" i="1"/>
  <c r="L3502" i="1"/>
  <c r="M3502" i="1" s="1"/>
  <c r="T3501" i="1"/>
  <c r="U3501" i="1" s="1"/>
  <c r="V3501" i="1" s="1"/>
  <c r="L3501" i="1"/>
  <c r="M3501" i="1" s="1"/>
  <c r="O3501" i="1" s="1"/>
  <c r="T3500" i="1"/>
  <c r="U3500" i="1" s="1"/>
  <c r="V3500" i="1" s="1"/>
  <c r="L3500" i="1"/>
  <c r="M3500" i="1" s="1"/>
  <c r="T3499" i="1"/>
  <c r="L3499" i="1"/>
  <c r="M3499" i="1" s="1"/>
  <c r="T3498" i="1"/>
  <c r="U3498" i="1" s="1"/>
  <c r="L3498" i="1"/>
  <c r="M3498" i="1" s="1"/>
  <c r="T3497" i="1"/>
  <c r="U3497" i="1" s="1"/>
  <c r="V3497" i="1" s="1"/>
  <c r="L3497" i="1"/>
  <c r="M3497" i="1" s="1"/>
  <c r="O3497" i="1" s="1"/>
  <c r="T3496" i="1"/>
  <c r="U3496" i="1" s="1"/>
  <c r="V3496" i="1" s="1"/>
  <c r="L3496" i="1"/>
  <c r="M3496" i="1" s="1"/>
  <c r="O3496" i="1" s="1"/>
  <c r="P3496" i="1" s="1"/>
  <c r="T3495" i="1"/>
  <c r="L3495" i="1"/>
  <c r="M3495" i="1" s="1"/>
  <c r="T3494" i="1"/>
  <c r="U3494" i="1" s="1"/>
  <c r="L3494" i="1"/>
  <c r="M3494" i="1" s="1"/>
  <c r="T3493" i="1"/>
  <c r="L3493" i="1"/>
  <c r="M3493" i="1" s="1"/>
  <c r="T3492" i="1"/>
  <c r="U3492" i="1" s="1"/>
  <c r="V3492" i="1" s="1"/>
  <c r="W3492" i="1" s="1"/>
  <c r="L3492" i="1"/>
  <c r="M3492" i="1" s="1"/>
  <c r="O3492" i="1" s="1"/>
  <c r="P3492" i="1" s="1"/>
  <c r="T3491" i="1"/>
  <c r="L3491" i="1"/>
  <c r="M3491" i="1" s="1"/>
  <c r="T3490" i="1"/>
  <c r="U3490" i="1" s="1"/>
  <c r="L3490" i="1"/>
  <c r="M3490" i="1" s="1"/>
  <c r="T3489" i="1"/>
  <c r="L3489" i="1"/>
  <c r="M3489" i="1" s="1"/>
  <c r="T3488" i="1"/>
  <c r="U3488" i="1" s="1"/>
  <c r="V3488" i="1" s="1"/>
  <c r="W3488" i="1" s="1"/>
  <c r="L3488" i="1"/>
  <c r="M3488" i="1" s="1"/>
  <c r="T3487" i="1"/>
  <c r="U3487" i="1" s="1"/>
  <c r="L3487" i="1"/>
  <c r="M3487" i="1" s="1"/>
  <c r="T3486" i="1"/>
  <c r="U3486" i="1" s="1"/>
  <c r="L3486" i="1"/>
  <c r="M3486" i="1" s="1"/>
  <c r="T3485" i="1"/>
  <c r="L3485" i="1"/>
  <c r="M3485" i="1" s="1"/>
  <c r="O3485" i="1" s="1"/>
  <c r="T3484" i="1"/>
  <c r="U3484" i="1" s="1"/>
  <c r="V3484" i="1" s="1"/>
  <c r="L3484" i="1"/>
  <c r="M3484" i="1" s="1"/>
  <c r="O3484" i="1" s="1"/>
  <c r="T3483" i="1"/>
  <c r="U3483" i="1" s="1"/>
  <c r="L3483" i="1"/>
  <c r="M3483" i="1" s="1"/>
  <c r="T3482" i="1"/>
  <c r="U3482" i="1" s="1"/>
  <c r="L3482" i="1"/>
  <c r="M3482" i="1" s="1"/>
  <c r="T3481" i="1"/>
  <c r="L3481" i="1"/>
  <c r="M3481" i="1" s="1"/>
  <c r="T3480" i="1"/>
  <c r="U3480" i="1" s="1"/>
  <c r="V3480" i="1" s="1"/>
  <c r="L3480" i="1"/>
  <c r="M3480" i="1" s="1"/>
  <c r="O3480" i="1" s="1"/>
  <c r="P3480" i="1" s="1"/>
  <c r="T3479" i="1"/>
  <c r="L3479" i="1"/>
  <c r="M3479" i="1" s="1"/>
  <c r="O3479" i="1" s="1"/>
  <c r="P3479" i="1" s="1"/>
  <c r="T3478" i="1"/>
  <c r="L3478" i="1"/>
  <c r="M3478" i="1" s="1"/>
  <c r="T3477" i="1"/>
  <c r="U3477" i="1" s="1"/>
  <c r="L3477" i="1"/>
  <c r="M3477" i="1" s="1"/>
  <c r="T3476" i="1"/>
  <c r="U3476" i="1" s="1"/>
  <c r="V3476" i="1" s="1"/>
  <c r="L3476" i="1"/>
  <c r="M3476" i="1" s="1"/>
  <c r="T3475" i="1"/>
  <c r="L3475" i="1"/>
  <c r="M3475" i="1" s="1"/>
  <c r="T3474" i="1"/>
  <c r="L3474" i="1"/>
  <c r="M3474" i="1" s="1"/>
  <c r="T3473" i="1"/>
  <c r="U3473" i="1" s="1"/>
  <c r="V3473" i="1" s="1"/>
  <c r="L3473" i="1"/>
  <c r="M3473" i="1" s="1"/>
  <c r="O3473" i="1" s="1"/>
  <c r="T3472" i="1"/>
  <c r="L3472" i="1"/>
  <c r="M3472" i="1" s="1"/>
  <c r="O3472" i="1" s="1"/>
  <c r="T3471" i="1"/>
  <c r="L3471" i="1"/>
  <c r="M3471" i="1" s="1"/>
  <c r="O3471" i="1" s="1"/>
  <c r="T3470" i="1"/>
  <c r="U3470" i="1" s="1"/>
  <c r="L3470" i="1"/>
  <c r="M3470" i="1" s="1"/>
  <c r="T3469" i="1"/>
  <c r="L3469" i="1"/>
  <c r="M3469" i="1" s="1"/>
  <c r="T3468" i="1"/>
  <c r="L3468" i="1"/>
  <c r="M3468" i="1" s="1"/>
  <c r="T3467" i="1"/>
  <c r="U3467" i="1" s="1"/>
  <c r="L3467" i="1"/>
  <c r="M3467" i="1" s="1"/>
  <c r="T3466" i="1"/>
  <c r="U3466" i="1" s="1"/>
  <c r="L3466" i="1"/>
  <c r="M3466" i="1" s="1"/>
  <c r="T3465" i="1"/>
  <c r="U3465" i="1" s="1"/>
  <c r="L3465" i="1"/>
  <c r="M3465" i="1" s="1"/>
  <c r="T3464" i="1"/>
  <c r="U3464" i="1" s="1"/>
  <c r="V3464" i="1" s="1"/>
  <c r="L3464" i="1"/>
  <c r="M3464" i="1" s="1"/>
  <c r="O3464" i="1" s="1"/>
  <c r="P3464" i="1" s="1"/>
  <c r="T3463" i="1"/>
  <c r="L3463" i="1"/>
  <c r="M3463" i="1" s="1"/>
  <c r="O3463" i="1" s="1"/>
  <c r="P3463" i="1" s="1"/>
  <c r="T3462" i="1"/>
  <c r="L3462" i="1"/>
  <c r="M3462" i="1" s="1"/>
  <c r="T3461" i="1"/>
  <c r="L3461" i="1"/>
  <c r="M3461" i="1" s="1"/>
  <c r="T3460" i="1"/>
  <c r="U3460" i="1" s="1"/>
  <c r="V3460" i="1" s="1"/>
  <c r="L3460" i="1"/>
  <c r="M3460" i="1" s="1"/>
  <c r="T3459" i="1"/>
  <c r="L3459" i="1"/>
  <c r="M3459" i="1" s="1"/>
  <c r="T3458" i="1"/>
  <c r="L3458" i="1"/>
  <c r="M3458" i="1" s="1"/>
  <c r="T3457" i="1"/>
  <c r="U3457" i="1" s="1"/>
  <c r="V3457" i="1" s="1"/>
  <c r="W3457" i="1" s="1"/>
  <c r="L3457" i="1"/>
  <c r="M3457" i="1" s="1"/>
  <c r="O3457" i="1" s="1"/>
  <c r="T3456" i="1"/>
  <c r="U3456" i="1" s="1"/>
  <c r="L3456" i="1"/>
  <c r="M3456" i="1" s="1"/>
  <c r="O3456" i="1" s="1"/>
  <c r="T3455" i="1"/>
  <c r="U3455" i="1" s="1"/>
  <c r="L3455" i="1"/>
  <c r="M3455" i="1" s="1"/>
  <c r="O3455" i="1" s="1"/>
  <c r="T3454" i="1"/>
  <c r="U3454" i="1" s="1"/>
  <c r="L3454" i="1"/>
  <c r="M3454" i="1" s="1"/>
  <c r="T3453" i="1"/>
  <c r="L3453" i="1"/>
  <c r="M3453" i="1" s="1"/>
  <c r="T3452" i="1"/>
  <c r="L3452" i="1"/>
  <c r="M3452" i="1" s="1"/>
  <c r="T3451" i="1"/>
  <c r="U3451" i="1" s="1"/>
  <c r="L3451" i="1"/>
  <c r="M3451" i="1" s="1"/>
  <c r="T3450" i="1"/>
  <c r="U3450" i="1" s="1"/>
  <c r="L3450" i="1"/>
  <c r="M3450" i="1" s="1"/>
  <c r="T3449" i="1"/>
  <c r="U3449" i="1" s="1"/>
  <c r="L3449" i="1"/>
  <c r="M3449" i="1" s="1"/>
  <c r="T3448" i="1"/>
  <c r="U3448" i="1" s="1"/>
  <c r="V3448" i="1" s="1"/>
  <c r="L3448" i="1"/>
  <c r="M3448" i="1" s="1"/>
  <c r="O3448" i="1" s="1"/>
  <c r="P3448" i="1" s="1"/>
  <c r="T3447" i="1"/>
  <c r="L3447" i="1"/>
  <c r="M3447" i="1" s="1"/>
  <c r="O3447" i="1" s="1"/>
  <c r="P3447" i="1" s="1"/>
  <c r="T3446" i="1"/>
  <c r="L3446" i="1"/>
  <c r="M3446" i="1" s="1"/>
  <c r="T3445" i="1"/>
  <c r="L3445" i="1"/>
  <c r="M3445" i="1" s="1"/>
  <c r="T3444" i="1"/>
  <c r="U3444" i="1" s="1"/>
  <c r="V3444" i="1" s="1"/>
  <c r="L3444" i="1"/>
  <c r="M3444" i="1" s="1"/>
  <c r="T3443" i="1"/>
  <c r="L3443" i="1"/>
  <c r="M3443" i="1" s="1"/>
  <c r="T3442" i="1"/>
  <c r="L3442" i="1"/>
  <c r="M3442" i="1" s="1"/>
  <c r="T3441" i="1"/>
  <c r="U3441" i="1" s="1"/>
  <c r="V3441" i="1" s="1"/>
  <c r="L3441" i="1"/>
  <c r="M3441" i="1" s="1"/>
  <c r="O3441" i="1" s="1"/>
  <c r="T3440" i="1"/>
  <c r="L3440" i="1"/>
  <c r="M3440" i="1" s="1"/>
  <c r="O3440" i="1" s="1"/>
  <c r="T3439" i="1"/>
  <c r="L3439" i="1"/>
  <c r="M3439" i="1" s="1"/>
  <c r="T3438" i="1"/>
  <c r="U3438" i="1" s="1"/>
  <c r="V3438" i="1" s="1"/>
  <c r="W3438" i="1" s="1"/>
  <c r="L3438" i="1"/>
  <c r="M3438" i="1" s="1"/>
  <c r="T3437" i="1"/>
  <c r="L3437" i="1"/>
  <c r="M3437" i="1" s="1"/>
  <c r="T3436" i="1"/>
  <c r="U3436" i="1" s="1"/>
  <c r="L3436" i="1"/>
  <c r="M3436" i="1" s="1"/>
  <c r="T3435" i="1"/>
  <c r="U3435" i="1" s="1"/>
  <c r="L3435" i="1"/>
  <c r="M3435" i="1" s="1"/>
  <c r="O3435" i="1" s="1"/>
  <c r="T3434" i="1"/>
  <c r="U3434" i="1" s="1"/>
  <c r="V3434" i="1" s="1"/>
  <c r="L3434" i="1"/>
  <c r="M3434" i="1" s="1"/>
  <c r="T3433" i="1"/>
  <c r="L3433" i="1"/>
  <c r="M3433" i="1" s="1"/>
  <c r="T3432" i="1"/>
  <c r="U3432" i="1" s="1"/>
  <c r="L3432" i="1"/>
  <c r="M3432" i="1" s="1"/>
  <c r="T3431" i="1"/>
  <c r="L3431" i="1"/>
  <c r="M3431" i="1" s="1"/>
  <c r="O3431" i="1" s="1"/>
  <c r="T3430" i="1"/>
  <c r="U3430" i="1" s="1"/>
  <c r="V3430" i="1" s="1"/>
  <c r="W3430" i="1" s="1"/>
  <c r="L3430" i="1"/>
  <c r="M3430" i="1" s="1"/>
  <c r="T3429" i="1"/>
  <c r="L3429" i="1"/>
  <c r="M3429" i="1" s="1"/>
  <c r="T3428" i="1"/>
  <c r="U3428" i="1" s="1"/>
  <c r="L3428" i="1"/>
  <c r="M3428" i="1" s="1"/>
  <c r="T3427" i="1"/>
  <c r="L3427" i="1"/>
  <c r="M3427" i="1" s="1"/>
  <c r="O3427" i="1" s="1"/>
  <c r="T3426" i="1"/>
  <c r="U3426" i="1" s="1"/>
  <c r="V3426" i="1" s="1"/>
  <c r="W3426" i="1" s="1"/>
  <c r="L3426" i="1"/>
  <c r="M3426" i="1" s="1"/>
  <c r="T3425" i="1"/>
  <c r="L3425" i="1"/>
  <c r="M3425" i="1" s="1"/>
  <c r="T3424" i="1"/>
  <c r="U3424" i="1" s="1"/>
  <c r="L3424" i="1"/>
  <c r="M3424" i="1" s="1"/>
  <c r="T3423" i="1"/>
  <c r="U3423" i="1" s="1"/>
  <c r="V3423" i="1" s="1"/>
  <c r="L3423" i="1"/>
  <c r="M3423" i="1" s="1"/>
  <c r="O3423" i="1" s="1"/>
  <c r="T3422" i="1"/>
  <c r="U3422" i="1" s="1"/>
  <c r="V3422" i="1" s="1"/>
  <c r="W3422" i="1" s="1"/>
  <c r="L3422" i="1"/>
  <c r="M3422" i="1" s="1"/>
  <c r="T3421" i="1"/>
  <c r="L3421" i="1"/>
  <c r="M3421" i="1" s="1"/>
  <c r="T3420" i="1"/>
  <c r="U3420" i="1" s="1"/>
  <c r="L3420" i="1"/>
  <c r="M3420" i="1" s="1"/>
  <c r="T3419" i="1"/>
  <c r="U3419" i="1" s="1"/>
  <c r="L3419" i="1"/>
  <c r="M3419" i="1" s="1"/>
  <c r="O3419" i="1" s="1"/>
  <c r="T3418" i="1"/>
  <c r="U3418" i="1" s="1"/>
  <c r="V3418" i="1" s="1"/>
  <c r="L3418" i="1"/>
  <c r="M3418" i="1" s="1"/>
  <c r="O3418" i="1" s="1"/>
  <c r="T3417" i="1"/>
  <c r="L3417" i="1"/>
  <c r="M3417" i="1" s="1"/>
  <c r="T3416" i="1"/>
  <c r="U3416" i="1" s="1"/>
  <c r="L3416" i="1"/>
  <c r="M3416" i="1" s="1"/>
  <c r="T3415" i="1"/>
  <c r="U3415" i="1" s="1"/>
  <c r="L3415" i="1"/>
  <c r="M3415" i="1" s="1"/>
  <c r="O3415" i="1" s="1"/>
  <c r="T3414" i="1"/>
  <c r="U3414" i="1" s="1"/>
  <c r="V3414" i="1" s="1"/>
  <c r="W3414" i="1" s="1"/>
  <c r="L3414" i="1"/>
  <c r="M3414" i="1" s="1"/>
  <c r="O3414" i="1" s="1"/>
  <c r="T3413" i="1"/>
  <c r="L3413" i="1"/>
  <c r="M3413" i="1" s="1"/>
  <c r="T3412" i="1"/>
  <c r="U3412" i="1" s="1"/>
  <c r="L3412" i="1"/>
  <c r="M3412" i="1" s="1"/>
  <c r="T3411" i="1"/>
  <c r="L3411" i="1"/>
  <c r="M3411" i="1" s="1"/>
  <c r="T3410" i="1"/>
  <c r="U3410" i="1" s="1"/>
  <c r="V3410" i="1" s="1"/>
  <c r="L3410" i="1"/>
  <c r="M3410" i="1" s="1"/>
  <c r="T3409" i="1"/>
  <c r="L3409" i="1"/>
  <c r="M3409" i="1" s="1"/>
  <c r="T3408" i="1"/>
  <c r="U3408" i="1" s="1"/>
  <c r="L3408" i="1"/>
  <c r="M3408" i="1" s="1"/>
  <c r="T3407" i="1"/>
  <c r="L3407" i="1"/>
  <c r="M3407" i="1" s="1"/>
  <c r="O3407" i="1" s="1"/>
  <c r="T3406" i="1"/>
  <c r="L3406" i="1"/>
  <c r="M3406" i="1" s="1"/>
  <c r="O3406" i="1" s="1"/>
  <c r="T3405" i="1"/>
  <c r="L3405" i="1"/>
  <c r="M3405" i="1" s="1"/>
  <c r="T3404" i="1"/>
  <c r="U3404" i="1" s="1"/>
  <c r="L3404" i="1"/>
  <c r="M3404" i="1" s="1"/>
  <c r="T3403" i="1"/>
  <c r="U3403" i="1" s="1"/>
  <c r="V3403" i="1" s="1"/>
  <c r="L3403" i="1"/>
  <c r="M3403" i="1" s="1"/>
  <c r="T3402" i="1"/>
  <c r="U3402" i="1" s="1"/>
  <c r="V3402" i="1" s="1"/>
  <c r="L3402" i="1"/>
  <c r="M3402" i="1" s="1"/>
  <c r="O3402" i="1" s="1"/>
  <c r="T3401" i="1"/>
  <c r="L3401" i="1"/>
  <c r="M3401" i="1" s="1"/>
  <c r="T3400" i="1"/>
  <c r="U3400" i="1" s="1"/>
  <c r="L3400" i="1"/>
  <c r="M3400" i="1" s="1"/>
  <c r="T3399" i="1"/>
  <c r="U3399" i="1" s="1"/>
  <c r="L3399" i="1"/>
  <c r="M3399" i="1" s="1"/>
  <c r="O3399" i="1" s="1"/>
  <c r="T3398" i="1"/>
  <c r="U3398" i="1" s="1"/>
  <c r="L3398" i="1"/>
  <c r="M3398" i="1" s="1"/>
  <c r="T3397" i="1"/>
  <c r="L3397" i="1"/>
  <c r="M3397" i="1" s="1"/>
  <c r="T3396" i="1"/>
  <c r="U3396" i="1" s="1"/>
  <c r="L3396" i="1"/>
  <c r="M3396" i="1" s="1"/>
  <c r="T3395" i="1"/>
  <c r="U3395" i="1" s="1"/>
  <c r="V3395" i="1" s="1"/>
  <c r="L3395" i="1"/>
  <c r="M3395" i="1" s="1"/>
  <c r="O3395" i="1" s="1"/>
  <c r="T3394" i="1"/>
  <c r="L3394" i="1"/>
  <c r="M3394" i="1" s="1"/>
  <c r="O3394" i="1" s="1"/>
  <c r="T3393" i="1"/>
  <c r="L3393" i="1"/>
  <c r="M3393" i="1" s="1"/>
  <c r="T3392" i="1"/>
  <c r="U3392" i="1" s="1"/>
  <c r="L3392" i="1"/>
  <c r="M3392" i="1" s="1"/>
  <c r="T3391" i="1"/>
  <c r="L3391" i="1"/>
  <c r="M3391" i="1" s="1"/>
  <c r="T3390" i="1"/>
  <c r="U3390" i="1" s="1"/>
  <c r="V3390" i="1" s="1"/>
  <c r="W3390" i="1" s="1"/>
  <c r="L3390" i="1"/>
  <c r="M3390" i="1" s="1"/>
  <c r="O3390" i="1" s="1"/>
  <c r="T3389" i="1"/>
  <c r="L3389" i="1"/>
  <c r="M3389" i="1" s="1"/>
  <c r="T3388" i="1"/>
  <c r="U3388" i="1" s="1"/>
  <c r="L3388" i="1"/>
  <c r="M3388" i="1" s="1"/>
  <c r="T3387" i="1"/>
  <c r="L3387" i="1"/>
  <c r="M3387" i="1" s="1"/>
  <c r="T3386" i="1"/>
  <c r="U3386" i="1" s="1"/>
  <c r="V3386" i="1" s="1"/>
  <c r="L3386" i="1"/>
  <c r="M3386" i="1" s="1"/>
  <c r="T3385" i="1"/>
  <c r="U3385" i="1" s="1"/>
  <c r="L3385" i="1"/>
  <c r="M3385" i="1" s="1"/>
  <c r="O3385" i="1" s="1"/>
  <c r="T3384" i="1"/>
  <c r="L3384" i="1"/>
  <c r="M3384" i="1" s="1"/>
  <c r="T3383" i="1"/>
  <c r="L3383" i="1"/>
  <c r="M3383" i="1" s="1"/>
  <c r="T3382" i="1"/>
  <c r="U3382" i="1" s="1"/>
  <c r="L3382" i="1"/>
  <c r="M3382" i="1" s="1"/>
  <c r="T3381" i="1"/>
  <c r="U3381" i="1" s="1"/>
  <c r="L3381" i="1"/>
  <c r="M3381" i="1" s="1"/>
  <c r="O3381" i="1" s="1"/>
  <c r="T3380" i="1"/>
  <c r="L3380" i="1"/>
  <c r="M3380" i="1" s="1"/>
  <c r="T3379" i="1"/>
  <c r="L3379" i="1"/>
  <c r="M3379" i="1" s="1"/>
  <c r="T3378" i="1"/>
  <c r="L3378" i="1"/>
  <c r="M3378" i="1" s="1"/>
  <c r="T3377" i="1"/>
  <c r="U3377" i="1" s="1"/>
  <c r="L3377" i="1"/>
  <c r="M3377" i="1" s="1"/>
  <c r="O3377" i="1" s="1"/>
  <c r="T3376" i="1"/>
  <c r="L3376" i="1"/>
  <c r="M3376" i="1" s="1"/>
  <c r="T3375" i="1"/>
  <c r="L3375" i="1"/>
  <c r="M3375" i="1" s="1"/>
  <c r="T3374" i="1"/>
  <c r="U3374" i="1" s="1"/>
  <c r="L3374" i="1"/>
  <c r="M3374" i="1" s="1"/>
  <c r="T3373" i="1"/>
  <c r="U3373" i="1" s="1"/>
  <c r="L3373" i="1"/>
  <c r="M3373" i="1" s="1"/>
  <c r="T3372" i="1"/>
  <c r="L3372" i="1"/>
  <c r="M3372" i="1" s="1"/>
  <c r="O3372" i="1" s="1"/>
  <c r="T3371" i="1"/>
  <c r="L3371" i="1"/>
  <c r="M3371" i="1" s="1"/>
  <c r="T3370" i="1"/>
  <c r="U3370" i="1" s="1"/>
  <c r="L3370" i="1"/>
  <c r="M3370" i="1" s="1"/>
  <c r="T3369" i="1"/>
  <c r="U3369" i="1" s="1"/>
  <c r="L3369" i="1"/>
  <c r="M3369" i="1" s="1"/>
  <c r="O3369" i="1" s="1"/>
  <c r="T3368" i="1"/>
  <c r="L3368" i="1"/>
  <c r="M3368" i="1" s="1"/>
  <c r="O3368" i="1" s="1"/>
  <c r="T3367" i="1"/>
  <c r="L3367" i="1"/>
  <c r="M3367" i="1" s="1"/>
  <c r="T3366" i="1"/>
  <c r="U3366" i="1" s="1"/>
  <c r="L3366" i="1"/>
  <c r="M3366" i="1" s="1"/>
  <c r="T3365" i="1"/>
  <c r="U3365" i="1" s="1"/>
  <c r="L3365" i="1"/>
  <c r="M3365" i="1" s="1"/>
  <c r="O3365" i="1" s="1"/>
  <c r="T3364" i="1"/>
  <c r="L3364" i="1"/>
  <c r="M3364" i="1" s="1"/>
  <c r="O3364" i="1" s="1"/>
  <c r="T3363" i="1"/>
  <c r="L3363" i="1"/>
  <c r="M3363" i="1" s="1"/>
  <c r="T3362" i="1"/>
  <c r="L3362" i="1"/>
  <c r="M3362" i="1" s="1"/>
  <c r="T3361" i="1"/>
  <c r="U3361" i="1" s="1"/>
  <c r="L3361" i="1"/>
  <c r="M3361" i="1" s="1"/>
  <c r="O3361" i="1" s="1"/>
  <c r="T3360" i="1"/>
  <c r="L3360" i="1"/>
  <c r="M3360" i="1" s="1"/>
  <c r="O3360" i="1" s="1"/>
  <c r="P3360" i="1" s="1"/>
  <c r="T3359" i="1"/>
  <c r="L3359" i="1"/>
  <c r="M3359" i="1" s="1"/>
  <c r="T3358" i="1"/>
  <c r="U3358" i="1" s="1"/>
  <c r="L3358" i="1"/>
  <c r="M3358" i="1" s="1"/>
  <c r="T3357" i="1"/>
  <c r="U3357" i="1" s="1"/>
  <c r="L3357" i="1"/>
  <c r="M3357" i="1" s="1"/>
  <c r="T3356" i="1"/>
  <c r="L3356" i="1"/>
  <c r="M3356" i="1" s="1"/>
  <c r="T3355" i="1"/>
  <c r="L3355" i="1"/>
  <c r="M3355" i="1" s="1"/>
  <c r="T3354" i="1"/>
  <c r="U3354" i="1" s="1"/>
  <c r="L3354" i="1"/>
  <c r="M3354" i="1" s="1"/>
  <c r="T3353" i="1"/>
  <c r="U3353" i="1" s="1"/>
  <c r="L3353" i="1"/>
  <c r="M3353" i="1" s="1"/>
  <c r="O3353" i="1" s="1"/>
  <c r="T3352" i="1"/>
  <c r="L3352" i="1"/>
  <c r="M3352" i="1" s="1"/>
  <c r="O3352" i="1" s="1"/>
  <c r="P3352" i="1" s="1"/>
  <c r="T3351" i="1"/>
  <c r="L3351" i="1"/>
  <c r="M3351" i="1" s="1"/>
  <c r="T3350" i="1"/>
  <c r="U3350" i="1" s="1"/>
  <c r="L3350" i="1"/>
  <c r="M3350" i="1" s="1"/>
  <c r="T3349" i="1"/>
  <c r="L3349" i="1"/>
  <c r="M3349" i="1" s="1"/>
  <c r="O3349" i="1" s="1"/>
  <c r="T3348" i="1"/>
  <c r="U3348" i="1" s="1"/>
  <c r="L3348" i="1"/>
  <c r="M3348" i="1" s="1"/>
  <c r="T3347" i="1"/>
  <c r="L3347" i="1"/>
  <c r="M3347" i="1" s="1"/>
  <c r="T3346" i="1"/>
  <c r="L3346" i="1"/>
  <c r="M3346" i="1" s="1"/>
  <c r="T3345" i="1"/>
  <c r="U3345" i="1" s="1"/>
  <c r="L3345" i="1"/>
  <c r="M3345" i="1" s="1"/>
  <c r="O3345" i="1" s="1"/>
  <c r="T3344" i="1"/>
  <c r="U3344" i="1" s="1"/>
  <c r="V3344" i="1" s="1"/>
  <c r="W3344" i="1" s="1"/>
  <c r="L3344" i="1"/>
  <c r="M3344" i="1" s="1"/>
  <c r="O3344" i="1" s="1"/>
  <c r="T3343" i="1"/>
  <c r="L3343" i="1"/>
  <c r="M3343" i="1" s="1"/>
  <c r="T3342" i="1"/>
  <c r="U3342" i="1" s="1"/>
  <c r="L3342" i="1"/>
  <c r="M3342" i="1" s="1"/>
  <c r="T3341" i="1"/>
  <c r="L3341" i="1"/>
  <c r="M3341" i="1" s="1"/>
  <c r="T3340" i="1"/>
  <c r="U3340" i="1" s="1"/>
  <c r="V3340" i="1" s="1"/>
  <c r="W3340" i="1" s="1"/>
  <c r="L3340" i="1"/>
  <c r="M3340" i="1" s="1"/>
  <c r="O3340" i="1" s="1"/>
  <c r="P3340" i="1" s="1"/>
  <c r="T3339" i="1"/>
  <c r="L3339" i="1"/>
  <c r="M3339" i="1" s="1"/>
  <c r="T3338" i="1"/>
  <c r="U3338" i="1" s="1"/>
  <c r="L3338" i="1"/>
  <c r="M3338" i="1" s="1"/>
  <c r="T3337" i="1"/>
  <c r="L3337" i="1"/>
  <c r="M3337" i="1" s="1"/>
  <c r="O3337" i="1" s="1"/>
  <c r="T3336" i="1"/>
  <c r="U3336" i="1" s="1"/>
  <c r="V3336" i="1" s="1"/>
  <c r="L3336" i="1"/>
  <c r="M3336" i="1" s="1"/>
  <c r="T3335" i="1"/>
  <c r="L3335" i="1"/>
  <c r="M3335" i="1" s="1"/>
  <c r="T3334" i="1"/>
  <c r="U3334" i="1" s="1"/>
  <c r="L3334" i="1"/>
  <c r="M3334" i="1" s="1"/>
  <c r="T3333" i="1"/>
  <c r="L3333" i="1"/>
  <c r="M3333" i="1" s="1"/>
  <c r="O3333" i="1" s="1"/>
  <c r="T3332" i="1"/>
  <c r="U3332" i="1" s="1"/>
  <c r="V3332" i="1" s="1"/>
  <c r="W3332" i="1" s="1"/>
  <c r="L3332" i="1"/>
  <c r="M3332" i="1" s="1"/>
  <c r="O3332" i="1" s="1"/>
  <c r="P3332" i="1" s="1"/>
  <c r="T3331" i="1"/>
  <c r="L3331" i="1"/>
  <c r="M3331" i="1" s="1"/>
  <c r="T3330" i="1"/>
  <c r="U3330" i="1" s="1"/>
  <c r="L3330" i="1"/>
  <c r="M3330" i="1" s="1"/>
  <c r="T3329" i="1"/>
  <c r="L3329" i="1"/>
  <c r="M3329" i="1" s="1"/>
  <c r="O3329" i="1" s="1"/>
  <c r="T3328" i="1"/>
  <c r="U3328" i="1" s="1"/>
  <c r="V3328" i="1" s="1"/>
  <c r="W3328" i="1" s="1"/>
  <c r="L3328" i="1"/>
  <c r="M3328" i="1" s="1"/>
  <c r="O3328" i="1" s="1"/>
  <c r="T3327" i="1"/>
  <c r="L3327" i="1"/>
  <c r="M3327" i="1" s="1"/>
  <c r="T3326" i="1"/>
  <c r="U3326" i="1" s="1"/>
  <c r="L3326" i="1"/>
  <c r="M3326" i="1" s="1"/>
  <c r="T3325" i="1"/>
  <c r="L3325" i="1"/>
  <c r="M3325" i="1" s="1"/>
  <c r="T3324" i="1"/>
  <c r="U3324" i="1" s="1"/>
  <c r="V3324" i="1" s="1"/>
  <c r="W3324" i="1" s="1"/>
  <c r="L3324" i="1"/>
  <c r="M3324" i="1" s="1"/>
  <c r="O3324" i="1" s="1"/>
  <c r="P3324" i="1" s="1"/>
  <c r="T3323" i="1"/>
  <c r="L3323" i="1"/>
  <c r="M3323" i="1" s="1"/>
  <c r="O3323" i="1" s="1"/>
  <c r="T3322" i="1"/>
  <c r="U3322" i="1" s="1"/>
  <c r="L3322" i="1"/>
  <c r="M3322" i="1" s="1"/>
  <c r="T3321" i="1"/>
  <c r="U3321" i="1" s="1"/>
  <c r="L3321" i="1"/>
  <c r="M3321" i="1" s="1"/>
  <c r="T3320" i="1"/>
  <c r="U3320" i="1" s="1"/>
  <c r="V3320" i="1" s="1"/>
  <c r="W3320" i="1" s="1"/>
  <c r="L3320" i="1"/>
  <c r="M3320" i="1" s="1"/>
  <c r="O3320" i="1" s="1"/>
  <c r="P3320" i="1" s="1"/>
  <c r="T3319" i="1"/>
  <c r="L3319" i="1"/>
  <c r="M3319" i="1" s="1"/>
  <c r="O3319" i="1" s="1"/>
  <c r="T3318" i="1"/>
  <c r="U3318" i="1" s="1"/>
  <c r="L3318" i="1"/>
  <c r="M3318" i="1" s="1"/>
  <c r="T3317" i="1"/>
  <c r="L3317" i="1"/>
  <c r="M3317" i="1" s="1"/>
  <c r="T3316" i="1"/>
  <c r="L3316" i="1"/>
  <c r="M3316" i="1" s="1"/>
  <c r="O3316" i="1" s="1"/>
  <c r="T3315" i="1"/>
  <c r="L3315" i="1"/>
  <c r="M3315" i="1" s="1"/>
  <c r="O3315" i="1" s="1"/>
  <c r="T3314" i="1"/>
  <c r="U3314" i="1" s="1"/>
  <c r="L3314" i="1"/>
  <c r="M3314" i="1" s="1"/>
  <c r="T3313" i="1"/>
  <c r="U3313" i="1" s="1"/>
  <c r="V3313" i="1" s="1"/>
  <c r="L3313" i="1"/>
  <c r="M3313" i="1" s="1"/>
  <c r="T3312" i="1"/>
  <c r="U3312" i="1" s="1"/>
  <c r="L3312" i="1"/>
  <c r="M3312" i="1" s="1"/>
  <c r="T3311" i="1"/>
  <c r="L3311" i="1"/>
  <c r="M3311" i="1" s="1"/>
  <c r="O3311" i="1" s="1"/>
  <c r="T3310" i="1"/>
  <c r="U3310" i="1" s="1"/>
  <c r="L3310" i="1"/>
  <c r="M3310" i="1" s="1"/>
  <c r="T3309" i="1"/>
  <c r="L3309" i="1"/>
  <c r="M3309" i="1" s="1"/>
  <c r="T3308" i="1"/>
  <c r="L3308" i="1"/>
  <c r="M3308" i="1" s="1"/>
  <c r="T3307" i="1"/>
  <c r="L3307" i="1"/>
  <c r="M3307" i="1" s="1"/>
  <c r="O3307" i="1" s="1"/>
  <c r="T3306" i="1"/>
  <c r="U3306" i="1" s="1"/>
  <c r="L3306" i="1"/>
  <c r="M3306" i="1" s="1"/>
  <c r="T3305" i="1"/>
  <c r="U3305" i="1" s="1"/>
  <c r="L3305" i="1"/>
  <c r="M3305" i="1" s="1"/>
  <c r="T3304" i="1"/>
  <c r="U3304" i="1" s="1"/>
  <c r="V3304" i="1" s="1"/>
  <c r="W3304" i="1" s="1"/>
  <c r="L3304" i="1"/>
  <c r="M3304" i="1" s="1"/>
  <c r="T3303" i="1"/>
  <c r="L3303" i="1"/>
  <c r="M3303" i="1" s="1"/>
  <c r="O3303" i="1" s="1"/>
  <c r="T3302" i="1"/>
  <c r="U3302" i="1" s="1"/>
  <c r="L3302" i="1"/>
  <c r="M3302" i="1" s="1"/>
  <c r="T3301" i="1"/>
  <c r="L3301" i="1"/>
  <c r="M3301" i="1" s="1"/>
  <c r="T3300" i="1"/>
  <c r="U3300" i="1" s="1"/>
  <c r="V3300" i="1" s="1"/>
  <c r="W3300" i="1" s="1"/>
  <c r="L3300" i="1"/>
  <c r="M3300" i="1" s="1"/>
  <c r="T3299" i="1"/>
  <c r="L3299" i="1"/>
  <c r="M3299" i="1" s="1"/>
  <c r="O3299" i="1" s="1"/>
  <c r="T3298" i="1"/>
  <c r="U3298" i="1" s="1"/>
  <c r="L3298" i="1"/>
  <c r="M3298" i="1" s="1"/>
  <c r="T3297" i="1"/>
  <c r="U3297" i="1" s="1"/>
  <c r="V3297" i="1" s="1"/>
  <c r="L3297" i="1"/>
  <c r="M3297" i="1" s="1"/>
  <c r="T3296" i="1"/>
  <c r="U3296" i="1" s="1"/>
  <c r="L3296" i="1"/>
  <c r="M3296" i="1" s="1"/>
  <c r="T3295" i="1"/>
  <c r="L3295" i="1"/>
  <c r="M3295" i="1" s="1"/>
  <c r="O3295" i="1" s="1"/>
  <c r="T3294" i="1"/>
  <c r="U3294" i="1" s="1"/>
  <c r="L3294" i="1"/>
  <c r="M3294" i="1" s="1"/>
  <c r="T3293" i="1"/>
  <c r="U3293" i="1" s="1"/>
  <c r="V3293" i="1" s="1"/>
  <c r="L3293" i="1"/>
  <c r="M3293" i="1" s="1"/>
  <c r="T3292" i="1"/>
  <c r="L3292" i="1"/>
  <c r="M3292" i="1" s="1"/>
  <c r="T3291" i="1"/>
  <c r="L3291" i="1"/>
  <c r="M3291" i="1" s="1"/>
  <c r="O3291" i="1" s="1"/>
  <c r="T3290" i="1"/>
  <c r="U3290" i="1" s="1"/>
  <c r="L3290" i="1"/>
  <c r="M3290" i="1" s="1"/>
  <c r="T3289" i="1"/>
  <c r="U3289" i="1" s="1"/>
  <c r="L3289" i="1"/>
  <c r="M3289" i="1" s="1"/>
  <c r="T3288" i="1"/>
  <c r="U3288" i="1" s="1"/>
  <c r="V3288" i="1" s="1"/>
  <c r="W3288" i="1" s="1"/>
  <c r="L3288" i="1"/>
  <c r="M3288" i="1" s="1"/>
  <c r="O3288" i="1" s="1"/>
  <c r="P3288" i="1" s="1"/>
  <c r="T3287" i="1"/>
  <c r="L3287" i="1"/>
  <c r="M3287" i="1" s="1"/>
  <c r="O3287" i="1" s="1"/>
  <c r="T3286" i="1"/>
  <c r="U3286" i="1" s="1"/>
  <c r="L3286" i="1"/>
  <c r="M3286" i="1" s="1"/>
  <c r="T3285" i="1"/>
  <c r="L3285" i="1"/>
  <c r="M3285" i="1" s="1"/>
  <c r="T3284" i="1"/>
  <c r="L3284" i="1"/>
  <c r="M3284" i="1" s="1"/>
  <c r="O3284" i="1" s="1"/>
  <c r="T3283" i="1"/>
  <c r="L3283" i="1"/>
  <c r="M3283" i="1" s="1"/>
  <c r="O3283" i="1" s="1"/>
  <c r="T3282" i="1"/>
  <c r="U3282" i="1" s="1"/>
  <c r="L3282" i="1"/>
  <c r="M3282" i="1" s="1"/>
  <c r="T3281" i="1"/>
  <c r="U3281" i="1" s="1"/>
  <c r="V3281" i="1" s="1"/>
  <c r="L3281" i="1"/>
  <c r="M3281" i="1" s="1"/>
  <c r="T3280" i="1"/>
  <c r="U3280" i="1" s="1"/>
  <c r="L3280" i="1"/>
  <c r="M3280" i="1" s="1"/>
  <c r="T3279" i="1"/>
  <c r="L3279" i="1"/>
  <c r="M3279" i="1" s="1"/>
  <c r="O3279" i="1" s="1"/>
  <c r="T3278" i="1"/>
  <c r="U3278" i="1" s="1"/>
  <c r="L3278" i="1"/>
  <c r="M3278" i="1" s="1"/>
  <c r="T3277" i="1"/>
  <c r="U3277" i="1" s="1"/>
  <c r="V3277" i="1" s="1"/>
  <c r="W3277" i="1" s="1"/>
  <c r="L3277" i="1"/>
  <c r="M3277" i="1" s="1"/>
  <c r="O3277" i="1" s="1"/>
  <c r="T3276" i="1"/>
  <c r="U3276" i="1" s="1"/>
  <c r="L3276" i="1"/>
  <c r="M3276" i="1" s="1"/>
  <c r="T3275" i="1"/>
  <c r="U3275" i="1" s="1"/>
  <c r="L3275" i="1"/>
  <c r="M3275" i="1" s="1"/>
  <c r="O3275" i="1" s="1"/>
  <c r="T3274" i="1"/>
  <c r="U3274" i="1" s="1"/>
  <c r="L3274" i="1"/>
  <c r="M3274" i="1" s="1"/>
  <c r="T3273" i="1"/>
  <c r="L3273" i="1"/>
  <c r="M3273" i="1" s="1"/>
  <c r="T3272" i="1"/>
  <c r="U3272" i="1" s="1"/>
  <c r="V3272" i="1" s="1"/>
  <c r="W3272" i="1" s="1"/>
  <c r="L3272" i="1"/>
  <c r="M3272" i="1" s="1"/>
  <c r="O3272" i="1" s="1"/>
  <c r="P3272" i="1" s="1"/>
  <c r="T3271" i="1"/>
  <c r="U3271" i="1" s="1"/>
  <c r="L3271" i="1"/>
  <c r="M3271" i="1" s="1"/>
  <c r="O3271" i="1" s="1"/>
  <c r="P3271" i="1" s="1"/>
  <c r="T3270" i="1"/>
  <c r="L3270" i="1"/>
  <c r="M3270" i="1" s="1"/>
  <c r="T3269" i="1"/>
  <c r="L3269" i="1"/>
  <c r="M3269" i="1" s="1"/>
  <c r="T3268" i="1"/>
  <c r="L3268" i="1"/>
  <c r="M3268" i="1" s="1"/>
  <c r="O3268" i="1" s="1"/>
  <c r="P3268" i="1" s="1"/>
  <c r="T3267" i="1"/>
  <c r="L3267" i="1"/>
  <c r="M3267" i="1" s="1"/>
  <c r="O3267" i="1" s="1"/>
  <c r="P3267" i="1" s="1"/>
  <c r="T3266" i="1"/>
  <c r="U3266" i="1" s="1"/>
  <c r="L3266" i="1"/>
  <c r="M3266" i="1" s="1"/>
  <c r="O3266" i="1" s="1"/>
  <c r="T3265" i="1"/>
  <c r="L3265" i="1"/>
  <c r="M3265" i="1" s="1"/>
  <c r="T3264" i="1"/>
  <c r="U3264" i="1" s="1"/>
  <c r="V3264" i="1" s="1"/>
  <c r="L3264" i="1"/>
  <c r="M3264" i="1" s="1"/>
  <c r="T3263" i="1"/>
  <c r="L3263" i="1"/>
  <c r="M3263" i="1" s="1"/>
  <c r="T3262" i="1"/>
  <c r="L3262" i="1"/>
  <c r="M3262" i="1" s="1"/>
  <c r="O3262" i="1" s="1"/>
  <c r="T3261" i="1"/>
  <c r="U3261" i="1" s="1"/>
  <c r="V3261" i="1" s="1"/>
  <c r="W3261" i="1" s="1"/>
  <c r="L3261" i="1"/>
  <c r="M3261" i="1" s="1"/>
  <c r="T3260" i="1"/>
  <c r="U3260" i="1" s="1"/>
  <c r="V3260" i="1" s="1"/>
  <c r="L3260" i="1"/>
  <c r="M3260" i="1" s="1"/>
  <c r="O3260" i="1" s="1"/>
  <c r="T3259" i="1"/>
  <c r="U3259" i="1" s="1"/>
  <c r="L3259" i="1"/>
  <c r="M3259" i="1" s="1"/>
  <c r="O3259" i="1" s="1"/>
  <c r="T3258" i="1"/>
  <c r="U3258" i="1" s="1"/>
  <c r="L3258" i="1"/>
  <c r="M3258" i="1" s="1"/>
  <c r="T3257" i="1"/>
  <c r="L3257" i="1"/>
  <c r="M3257" i="1" s="1"/>
  <c r="T3256" i="1"/>
  <c r="U3256" i="1" s="1"/>
  <c r="V3256" i="1" s="1"/>
  <c r="L3256" i="1"/>
  <c r="M3256" i="1" s="1"/>
  <c r="O3256" i="1" s="1"/>
  <c r="T3255" i="1"/>
  <c r="L3255" i="1"/>
  <c r="M3255" i="1" s="1"/>
  <c r="T3254" i="1"/>
  <c r="L3254" i="1"/>
  <c r="M3254" i="1" s="1"/>
  <c r="T3253" i="1"/>
  <c r="U3253" i="1" s="1"/>
  <c r="L3253" i="1"/>
  <c r="M3253" i="1" s="1"/>
  <c r="T3252" i="1"/>
  <c r="U3252" i="1" s="1"/>
  <c r="L3252" i="1"/>
  <c r="M3252" i="1" s="1"/>
  <c r="O3252" i="1" s="1"/>
  <c r="T3251" i="1"/>
  <c r="U3251" i="1" s="1"/>
  <c r="V3251" i="1" s="1"/>
  <c r="W3251" i="1" s="1"/>
  <c r="L3251" i="1"/>
  <c r="M3251" i="1" s="1"/>
  <c r="O3251" i="1" s="1"/>
  <c r="P3251" i="1" s="1"/>
  <c r="T3250" i="1"/>
  <c r="L3250" i="1"/>
  <c r="M3250" i="1" s="1"/>
  <c r="T3249" i="1"/>
  <c r="L3249" i="1"/>
  <c r="M3249" i="1" s="1"/>
  <c r="T3248" i="1"/>
  <c r="U3248" i="1" s="1"/>
  <c r="V3248" i="1" s="1"/>
  <c r="L3248" i="1"/>
  <c r="M3248" i="1" s="1"/>
  <c r="T3247" i="1"/>
  <c r="U3247" i="1" s="1"/>
  <c r="V3247" i="1" s="1"/>
  <c r="L3247" i="1"/>
  <c r="M3247" i="1" s="1"/>
  <c r="T3246" i="1"/>
  <c r="L3246" i="1"/>
  <c r="M3246" i="1" s="1"/>
  <c r="T3245" i="1"/>
  <c r="U3245" i="1" s="1"/>
  <c r="L3245" i="1"/>
  <c r="M3245" i="1" s="1"/>
  <c r="T3244" i="1"/>
  <c r="U3244" i="1" s="1"/>
  <c r="L3244" i="1"/>
  <c r="M3244" i="1" s="1"/>
  <c r="O3244" i="1" s="1"/>
  <c r="T3243" i="1"/>
  <c r="U3243" i="1" s="1"/>
  <c r="V3243" i="1" s="1"/>
  <c r="W3243" i="1" s="1"/>
  <c r="L3243" i="1"/>
  <c r="M3243" i="1" s="1"/>
  <c r="O3243" i="1" s="1"/>
  <c r="P3243" i="1" s="1"/>
  <c r="T3242" i="1"/>
  <c r="L3242" i="1"/>
  <c r="M3242" i="1" s="1"/>
  <c r="T3241" i="1"/>
  <c r="L3241" i="1"/>
  <c r="M3241" i="1" s="1"/>
  <c r="T3240" i="1"/>
  <c r="U3240" i="1" s="1"/>
  <c r="V3240" i="1" s="1"/>
  <c r="L3240" i="1"/>
  <c r="M3240" i="1" s="1"/>
  <c r="T3239" i="1"/>
  <c r="U3239" i="1" s="1"/>
  <c r="V3239" i="1" s="1"/>
  <c r="L3239" i="1"/>
  <c r="M3239" i="1" s="1"/>
  <c r="T3238" i="1"/>
  <c r="L3238" i="1"/>
  <c r="M3238" i="1" s="1"/>
  <c r="T3237" i="1"/>
  <c r="U3237" i="1" s="1"/>
  <c r="L3237" i="1"/>
  <c r="M3237" i="1" s="1"/>
  <c r="T3236" i="1"/>
  <c r="U3236" i="1" s="1"/>
  <c r="L3236" i="1"/>
  <c r="M3236" i="1" s="1"/>
  <c r="O3236" i="1" s="1"/>
  <c r="T3235" i="1"/>
  <c r="U3235" i="1" s="1"/>
  <c r="V3235" i="1" s="1"/>
  <c r="W3235" i="1" s="1"/>
  <c r="L3235" i="1"/>
  <c r="M3235" i="1" s="1"/>
  <c r="O3235" i="1" s="1"/>
  <c r="P3235" i="1" s="1"/>
  <c r="T3234" i="1"/>
  <c r="L3234" i="1"/>
  <c r="M3234" i="1" s="1"/>
  <c r="T3233" i="1"/>
  <c r="U3233" i="1" s="1"/>
  <c r="L3233" i="1"/>
  <c r="M3233" i="1" s="1"/>
  <c r="T3232" i="1"/>
  <c r="U3232" i="1" s="1"/>
  <c r="V3232" i="1" s="1"/>
  <c r="L3232" i="1"/>
  <c r="M3232" i="1" s="1"/>
  <c r="T3231" i="1"/>
  <c r="U3231" i="1" s="1"/>
  <c r="V3231" i="1" s="1"/>
  <c r="L3231" i="1"/>
  <c r="M3231" i="1" s="1"/>
  <c r="T3230" i="1"/>
  <c r="L3230" i="1"/>
  <c r="M3230" i="1" s="1"/>
  <c r="T3229" i="1"/>
  <c r="U3229" i="1" s="1"/>
  <c r="L3229" i="1"/>
  <c r="M3229" i="1" s="1"/>
  <c r="T3228" i="1"/>
  <c r="U3228" i="1" s="1"/>
  <c r="L3228" i="1"/>
  <c r="M3228" i="1" s="1"/>
  <c r="O3228" i="1" s="1"/>
  <c r="T3227" i="1"/>
  <c r="U3227" i="1" s="1"/>
  <c r="V3227" i="1" s="1"/>
  <c r="W3227" i="1" s="1"/>
  <c r="L3227" i="1"/>
  <c r="M3227" i="1" s="1"/>
  <c r="O3227" i="1" s="1"/>
  <c r="P3227" i="1" s="1"/>
  <c r="T3226" i="1"/>
  <c r="L3226" i="1"/>
  <c r="M3226" i="1" s="1"/>
  <c r="O3226" i="1" s="1"/>
  <c r="T3225" i="1"/>
  <c r="U3225" i="1" s="1"/>
  <c r="L3225" i="1"/>
  <c r="M3225" i="1" s="1"/>
  <c r="T3224" i="1"/>
  <c r="L3224" i="1"/>
  <c r="M3224" i="1" s="1"/>
  <c r="T3223" i="1"/>
  <c r="U3223" i="1" s="1"/>
  <c r="V3223" i="1" s="1"/>
  <c r="L3223" i="1"/>
  <c r="M3223" i="1" s="1"/>
  <c r="T3222" i="1"/>
  <c r="U3222" i="1" s="1"/>
  <c r="L3222" i="1"/>
  <c r="M3222" i="1" s="1"/>
  <c r="O3222" i="1" s="1"/>
  <c r="T3221" i="1"/>
  <c r="L3221" i="1"/>
  <c r="M3221" i="1" s="1"/>
  <c r="O3221" i="1" s="1"/>
  <c r="T3220" i="1"/>
  <c r="U3220" i="1" s="1"/>
  <c r="L3220" i="1"/>
  <c r="M3220" i="1" s="1"/>
  <c r="T3219" i="1"/>
  <c r="U3219" i="1" s="1"/>
  <c r="V3219" i="1" s="1"/>
  <c r="L3219" i="1"/>
  <c r="M3219" i="1" s="1"/>
  <c r="O3219" i="1" s="1"/>
  <c r="T3218" i="1"/>
  <c r="L3218" i="1"/>
  <c r="M3218" i="1" s="1"/>
  <c r="O3218" i="1" s="1"/>
  <c r="T3217" i="1"/>
  <c r="L3217" i="1"/>
  <c r="M3217" i="1" s="1"/>
  <c r="T3216" i="1"/>
  <c r="L3216" i="1"/>
  <c r="M3216" i="1" s="1"/>
  <c r="T3215" i="1"/>
  <c r="U3215" i="1" s="1"/>
  <c r="V3215" i="1" s="1"/>
  <c r="L3215" i="1"/>
  <c r="M3215" i="1" s="1"/>
  <c r="O3215" i="1" s="1"/>
  <c r="T3214" i="1"/>
  <c r="L3214" i="1"/>
  <c r="M3214" i="1" s="1"/>
  <c r="O3214" i="1" s="1"/>
  <c r="T3213" i="1"/>
  <c r="U3213" i="1" s="1"/>
  <c r="L3213" i="1"/>
  <c r="M3213" i="1" s="1"/>
  <c r="O3213" i="1" s="1"/>
  <c r="T3212" i="1"/>
  <c r="U3212" i="1" s="1"/>
  <c r="L3212" i="1"/>
  <c r="M3212" i="1" s="1"/>
  <c r="T3211" i="1"/>
  <c r="U3211" i="1" s="1"/>
  <c r="V3211" i="1" s="1"/>
  <c r="L3211" i="1"/>
  <c r="M3211" i="1" s="1"/>
  <c r="T3210" i="1"/>
  <c r="L3210" i="1"/>
  <c r="M3210" i="1" s="1"/>
  <c r="O3210" i="1" s="1"/>
  <c r="T3209" i="1"/>
  <c r="U3209" i="1" s="1"/>
  <c r="L3209" i="1"/>
  <c r="M3209" i="1" s="1"/>
  <c r="T3208" i="1"/>
  <c r="L3208" i="1"/>
  <c r="M3208" i="1" s="1"/>
  <c r="T3207" i="1"/>
  <c r="U3207" i="1" s="1"/>
  <c r="V3207" i="1" s="1"/>
  <c r="L3207" i="1"/>
  <c r="M3207" i="1" s="1"/>
  <c r="T3206" i="1"/>
  <c r="L3206" i="1"/>
  <c r="M3206" i="1" s="1"/>
  <c r="O3206" i="1" s="1"/>
  <c r="T3205" i="1"/>
  <c r="L3205" i="1"/>
  <c r="M3205" i="1" s="1"/>
  <c r="O3205" i="1" s="1"/>
  <c r="T3204" i="1"/>
  <c r="L3204" i="1"/>
  <c r="M3204" i="1" s="1"/>
  <c r="T3203" i="1"/>
  <c r="L3203" i="1"/>
  <c r="M3203" i="1" s="1"/>
  <c r="O3203" i="1" s="1"/>
  <c r="P3203" i="1" s="1"/>
  <c r="T3202" i="1"/>
  <c r="U3202" i="1" s="1"/>
  <c r="L3202" i="1"/>
  <c r="M3202" i="1" s="1"/>
  <c r="O3202" i="1" s="1"/>
  <c r="P3202" i="1" s="1"/>
  <c r="T3201" i="1"/>
  <c r="U3201" i="1" s="1"/>
  <c r="L3201" i="1"/>
  <c r="M3201" i="1" s="1"/>
  <c r="T3200" i="1"/>
  <c r="L3200" i="1"/>
  <c r="M3200" i="1" s="1"/>
  <c r="T3199" i="1"/>
  <c r="U3199" i="1" s="1"/>
  <c r="V3199" i="1" s="1"/>
  <c r="W3199" i="1" s="1"/>
  <c r="L3199" i="1"/>
  <c r="M3199" i="1" s="1"/>
  <c r="O3199" i="1" s="1"/>
  <c r="P3199" i="1" s="1"/>
  <c r="T3198" i="1"/>
  <c r="L3198" i="1"/>
  <c r="M3198" i="1" s="1"/>
  <c r="O3198" i="1" s="1"/>
  <c r="T3197" i="1"/>
  <c r="L3197" i="1"/>
  <c r="M3197" i="1" s="1"/>
  <c r="T3196" i="1"/>
  <c r="U3196" i="1" s="1"/>
  <c r="V3196" i="1" s="1"/>
  <c r="L3196" i="1"/>
  <c r="M3196" i="1" s="1"/>
  <c r="T3195" i="1"/>
  <c r="L3195" i="1"/>
  <c r="M3195" i="1" s="1"/>
  <c r="T3194" i="1"/>
  <c r="L3194" i="1"/>
  <c r="M3194" i="1" s="1"/>
  <c r="T3193" i="1"/>
  <c r="U3193" i="1" s="1"/>
  <c r="L3193" i="1"/>
  <c r="M3193" i="1" s="1"/>
  <c r="O3193" i="1" s="1"/>
  <c r="T3192" i="1"/>
  <c r="L3192" i="1"/>
  <c r="M3192" i="1" s="1"/>
  <c r="T3191" i="1"/>
  <c r="U3191" i="1" s="1"/>
  <c r="V3191" i="1" s="1"/>
  <c r="L3191" i="1"/>
  <c r="M3191" i="1" s="1"/>
  <c r="T3190" i="1"/>
  <c r="L3190" i="1"/>
  <c r="M3190" i="1" s="1"/>
  <c r="T3189" i="1"/>
  <c r="L3189" i="1"/>
  <c r="M3189" i="1" s="1"/>
  <c r="O3189" i="1" s="1"/>
  <c r="T3188" i="1"/>
  <c r="U3188" i="1" s="1"/>
  <c r="L3188" i="1"/>
  <c r="M3188" i="1" s="1"/>
  <c r="T3187" i="1"/>
  <c r="U3187" i="1" s="1"/>
  <c r="V3187" i="1" s="1"/>
  <c r="L3187" i="1"/>
  <c r="M3187" i="1" s="1"/>
  <c r="O3187" i="1" s="1"/>
  <c r="P3187" i="1" s="1"/>
  <c r="T3186" i="1"/>
  <c r="U3186" i="1" s="1"/>
  <c r="L3186" i="1"/>
  <c r="M3186" i="1" s="1"/>
  <c r="O3186" i="1" s="1"/>
  <c r="P3186" i="1" s="1"/>
  <c r="T3185" i="1"/>
  <c r="U3185" i="1" s="1"/>
  <c r="L3185" i="1"/>
  <c r="M3185" i="1" s="1"/>
  <c r="T3184" i="1"/>
  <c r="L3184" i="1"/>
  <c r="M3184" i="1" s="1"/>
  <c r="T3183" i="1"/>
  <c r="U3183" i="1" s="1"/>
  <c r="V3183" i="1" s="1"/>
  <c r="L3183" i="1"/>
  <c r="M3183" i="1" s="1"/>
  <c r="O3183" i="1" s="1"/>
  <c r="P3183" i="1" s="1"/>
  <c r="T3182" i="1"/>
  <c r="U3182" i="1" s="1"/>
  <c r="L3182" i="1"/>
  <c r="M3182" i="1" s="1"/>
  <c r="T3181" i="1"/>
  <c r="L3181" i="1"/>
  <c r="M3181" i="1" s="1"/>
  <c r="T3180" i="1"/>
  <c r="U3180" i="1" s="1"/>
  <c r="V3180" i="1" s="1"/>
  <c r="L3180" i="1"/>
  <c r="M3180" i="1" s="1"/>
  <c r="T3179" i="1"/>
  <c r="L3179" i="1"/>
  <c r="M3179" i="1" s="1"/>
  <c r="T3178" i="1"/>
  <c r="L3178" i="1"/>
  <c r="M3178" i="1" s="1"/>
  <c r="T3177" i="1"/>
  <c r="L3177" i="1"/>
  <c r="M3177" i="1" s="1"/>
  <c r="T3176" i="1"/>
  <c r="U3176" i="1" s="1"/>
  <c r="V3176" i="1" s="1"/>
  <c r="L3176" i="1"/>
  <c r="M3176" i="1" s="1"/>
  <c r="T3175" i="1"/>
  <c r="U3175" i="1" s="1"/>
  <c r="V3175" i="1" s="1"/>
  <c r="L3175" i="1"/>
  <c r="M3175" i="1" s="1"/>
  <c r="T3174" i="1"/>
  <c r="L3174" i="1"/>
  <c r="M3174" i="1" s="1"/>
  <c r="O3174" i="1" s="1"/>
  <c r="T3173" i="1"/>
  <c r="L3173" i="1"/>
  <c r="M3173" i="1" s="1"/>
  <c r="T3172" i="1"/>
  <c r="U3172" i="1" s="1"/>
  <c r="V3172" i="1" s="1"/>
  <c r="L3172" i="1"/>
  <c r="M3172" i="1" s="1"/>
  <c r="T3171" i="1"/>
  <c r="U3171" i="1" s="1"/>
  <c r="V3171" i="1" s="1"/>
  <c r="L3171" i="1"/>
  <c r="M3171" i="1" s="1"/>
  <c r="O3171" i="1" s="1"/>
  <c r="T3170" i="1"/>
  <c r="L3170" i="1"/>
  <c r="M3170" i="1" s="1"/>
  <c r="O3170" i="1" s="1"/>
  <c r="P3170" i="1" s="1"/>
  <c r="T3169" i="1"/>
  <c r="L3169" i="1"/>
  <c r="M3169" i="1" s="1"/>
  <c r="T3168" i="1"/>
  <c r="U3168" i="1" s="1"/>
  <c r="V3168" i="1" s="1"/>
  <c r="L3168" i="1"/>
  <c r="M3168" i="1" s="1"/>
  <c r="T3167" i="1"/>
  <c r="U3167" i="1" s="1"/>
  <c r="V3167" i="1" s="1"/>
  <c r="L3167" i="1"/>
  <c r="M3167" i="1" s="1"/>
  <c r="T3166" i="1"/>
  <c r="U3166" i="1" s="1"/>
  <c r="L3166" i="1"/>
  <c r="M3166" i="1" s="1"/>
  <c r="O3166" i="1" s="1"/>
  <c r="P3166" i="1" s="1"/>
  <c r="T3165" i="1"/>
  <c r="L3165" i="1"/>
  <c r="M3165" i="1" s="1"/>
  <c r="T3164" i="1"/>
  <c r="U3164" i="1" s="1"/>
  <c r="V3164" i="1" s="1"/>
  <c r="L3164" i="1"/>
  <c r="M3164" i="1" s="1"/>
  <c r="T3163" i="1"/>
  <c r="L3163" i="1"/>
  <c r="M3163" i="1" s="1"/>
  <c r="T3162" i="1"/>
  <c r="U3162" i="1" s="1"/>
  <c r="L3162" i="1"/>
  <c r="M3162" i="1" s="1"/>
  <c r="O3162" i="1" s="1"/>
  <c r="P3162" i="1" s="1"/>
  <c r="T3161" i="1"/>
  <c r="L3161" i="1"/>
  <c r="M3161" i="1" s="1"/>
  <c r="T3160" i="1"/>
  <c r="U3160" i="1" s="1"/>
  <c r="V3160" i="1" s="1"/>
  <c r="L3160" i="1"/>
  <c r="M3160" i="1" s="1"/>
  <c r="T3159" i="1"/>
  <c r="U3159" i="1" s="1"/>
  <c r="V3159" i="1" s="1"/>
  <c r="L3159" i="1"/>
  <c r="M3159" i="1" s="1"/>
  <c r="T3158" i="1"/>
  <c r="U3158" i="1" s="1"/>
  <c r="L3158" i="1"/>
  <c r="M3158" i="1" s="1"/>
  <c r="T3157" i="1"/>
  <c r="L3157" i="1"/>
  <c r="M3157" i="1" s="1"/>
  <c r="T3156" i="1"/>
  <c r="U3156" i="1" s="1"/>
  <c r="V3156" i="1" s="1"/>
  <c r="L3156" i="1"/>
  <c r="M3156" i="1" s="1"/>
  <c r="T3155" i="1"/>
  <c r="U3155" i="1" s="1"/>
  <c r="V3155" i="1" s="1"/>
  <c r="L3155" i="1"/>
  <c r="M3155" i="1" s="1"/>
  <c r="O3155" i="1" s="1"/>
  <c r="T3154" i="1"/>
  <c r="U3154" i="1" s="1"/>
  <c r="L3154" i="1"/>
  <c r="M3154" i="1" s="1"/>
  <c r="O3154" i="1" s="1"/>
  <c r="P3154" i="1" s="1"/>
  <c r="T3153" i="1"/>
  <c r="L3153" i="1"/>
  <c r="M3153" i="1" s="1"/>
  <c r="T3152" i="1"/>
  <c r="U3152" i="1" s="1"/>
  <c r="V3152" i="1" s="1"/>
  <c r="L3152" i="1"/>
  <c r="M3152" i="1" s="1"/>
  <c r="T3151" i="1"/>
  <c r="U3151" i="1" s="1"/>
  <c r="V3151" i="1" s="1"/>
  <c r="L3151" i="1"/>
  <c r="M3151" i="1" s="1"/>
  <c r="T3150" i="1"/>
  <c r="L3150" i="1"/>
  <c r="M3150" i="1" s="1"/>
  <c r="O3150" i="1" s="1"/>
  <c r="P3150" i="1" s="1"/>
  <c r="T3149" i="1"/>
  <c r="L3149" i="1"/>
  <c r="M3149" i="1" s="1"/>
  <c r="T3148" i="1"/>
  <c r="U3148" i="1" s="1"/>
  <c r="V3148" i="1" s="1"/>
  <c r="L3148" i="1"/>
  <c r="M3148" i="1" s="1"/>
  <c r="T3147" i="1"/>
  <c r="U3147" i="1" s="1"/>
  <c r="L3147" i="1"/>
  <c r="M3147" i="1" s="1"/>
  <c r="T3146" i="1"/>
  <c r="L3146" i="1"/>
  <c r="M3146" i="1" s="1"/>
  <c r="O3146" i="1" s="1"/>
  <c r="P3146" i="1" s="1"/>
  <c r="T3145" i="1"/>
  <c r="L3145" i="1"/>
  <c r="M3145" i="1" s="1"/>
  <c r="T3144" i="1"/>
  <c r="U3144" i="1" s="1"/>
  <c r="V3144" i="1" s="1"/>
  <c r="L3144" i="1"/>
  <c r="M3144" i="1" s="1"/>
  <c r="T3143" i="1"/>
  <c r="U3143" i="1" s="1"/>
  <c r="V3143" i="1" s="1"/>
  <c r="L3143" i="1"/>
  <c r="M3143" i="1" s="1"/>
  <c r="T3142" i="1"/>
  <c r="L3142" i="1"/>
  <c r="M3142" i="1" s="1"/>
  <c r="T3141" i="1"/>
  <c r="L3141" i="1"/>
  <c r="M3141" i="1" s="1"/>
  <c r="T3140" i="1"/>
  <c r="U3140" i="1" s="1"/>
  <c r="V3140" i="1" s="1"/>
  <c r="L3140" i="1"/>
  <c r="M3140" i="1" s="1"/>
  <c r="T3139" i="1"/>
  <c r="U3139" i="1" s="1"/>
  <c r="V3139" i="1" s="1"/>
  <c r="L3139" i="1"/>
  <c r="M3139" i="1" s="1"/>
  <c r="O3139" i="1" s="1"/>
  <c r="T3138" i="1"/>
  <c r="L3138" i="1"/>
  <c r="M3138" i="1" s="1"/>
  <c r="O3138" i="1" s="1"/>
  <c r="P3138" i="1" s="1"/>
  <c r="T3137" i="1"/>
  <c r="L3137" i="1"/>
  <c r="M3137" i="1" s="1"/>
  <c r="T3136" i="1"/>
  <c r="U3136" i="1" s="1"/>
  <c r="V3136" i="1" s="1"/>
  <c r="L3136" i="1"/>
  <c r="M3136" i="1" s="1"/>
  <c r="T3135" i="1"/>
  <c r="U3135" i="1" s="1"/>
  <c r="V3135" i="1" s="1"/>
  <c r="L3135" i="1"/>
  <c r="M3135" i="1" s="1"/>
  <c r="T3134" i="1"/>
  <c r="U3134" i="1" s="1"/>
  <c r="L3134" i="1"/>
  <c r="M3134" i="1" s="1"/>
  <c r="O3134" i="1" s="1"/>
  <c r="P3134" i="1" s="1"/>
  <c r="T3133" i="1"/>
  <c r="L3133" i="1"/>
  <c r="M3133" i="1" s="1"/>
  <c r="T3132" i="1"/>
  <c r="U3132" i="1" s="1"/>
  <c r="V3132" i="1" s="1"/>
  <c r="L3132" i="1"/>
  <c r="M3132" i="1" s="1"/>
  <c r="T3131" i="1"/>
  <c r="L3131" i="1"/>
  <c r="M3131" i="1" s="1"/>
  <c r="T3130" i="1"/>
  <c r="U3130" i="1" s="1"/>
  <c r="L3130" i="1"/>
  <c r="M3130" i="1" s="1"/>
  <c r="O3130" i="1" s="1"/>
  <c r="P3130" i="1" s="1"/>
  <c r="T3129" i="1"/>
  <c r="L3129" i="1"/>
  <c r="M3129" i="1" s="1"/>
  <c r="T3128" i="1"/>
  <c r="U3128" i="1" s="1"/>
  <c r="V3128" i="1" s="1"/>
  <c r="L3128" i="1"/>
  <c r="M3128" i="1" s="1"/>
  <c r="T3127" i="1"/>
  <c r="U3127" i="1" s="1"/>
  <c r="V3127" i="1" s="1"/>
  <c r="L3127" i="1"/>
  <c r="M3127" i="1" s="1"/>
  <c r="T3126" i="1"/>
  <c r="U3126" i="1" s="1"/>
  <c r="L3126" i="1"/>
  <c r="M3126" i="1" s="1"/>
  <c r="T3125" i="1"/>
  <c r="L3125" i="1"/>
  <c r="M3125" i="1" s="1"/>
  <c r="T3124" i="1"/>
  <c r="U3124" i="1" s="1"/>
  <c r="V3124" i="1" s="1"/>
  <c r="L3124" i="1"/>
  <c r="M3124" i="1" s="1"/>
  <c r="T3123" i="1"/>
  <c r="U3123" i="1" s="1"/>
  <c r="V3123" i="1" s="1"/>
  <c r="L3123" i="1"/>
  <c r="M3123" i="1" s="1"/>
  <c r="O3123" i="1" s="1"/>
  <c r="T3122" i="1"/>
  <c r="U3122" i="1" s="1"/>
  <c r="L3122" i="1"/>
  <c r="M3122" i="1" s="1"/>
  <c r="O3122" i="1" s="1"/>
  <c r="P3122" i="1" s="1"/>
  <c r="T3121" i="1"/>
  <c r="L3121" i="1"/>
  <c r="M3121" i="1" s="1"/>
  <c r="T3120" i="1"/>
  <c r="U3120" i="1" s="1"/>
  <c r="V3120" i="1" s="1"/>
  <c r="L3120" i="1"/>
  <c r="M3120" i="1" s="1"/>
  <c r="T3119" i="1"/>
  <c r="U3119" i="1" s="1"/>
  <c r="V3119" i="1" s="1"/>
  <c r="L3119" i="1"/>
  <c r="M3119" i="1" s="1"/>
  <c r="T3118" i="1"/>
  <c r="U3118" i="1" s="1"/>
  <c r="L3118" i="1"/>
  <c r="M3118" i="1" s="1"/>
  <c r="O3118" i="1" s="1"/>
  <c r="T3117" i="1"/>
  <c r="L3117" i="1"/>
  <c r="M3117" i="1" s="1"/>
  <c r="O3117" i="1" s="1"/>
  <c r="T3116" i="1"/>
  <c r="U3116" i="1" s="1"/>
  <c r="L3116" i="1"/>
  <c r="M3116" i="1" s="1"/>
  <c r="T3115" i="1"/>
  <c r="U3115" i="1" s="1"/>
  <c r="V3115" i="1" s="1"/>
  <c r="L3115" i="1"/>
  <c r="M3115" i="1" s="1"/>
  <c r="O3115" i="1" s="1"/>
  <c r="T3114" i="1"/>
  <c r="L3114" i="1"/>
  <c r="M3114" i="1" s="1"/>
  <c r="O3114" i="1" s="1"/>
  <c r="T3113" i="1"/>
  <c r="L3113" i="1"/>
  <c r="M3113" i="1" s="1"/>
  <c r="T3112" i="1"/>
  <c r="L3112" i="1"/>
  <c r="M3112" i="1" s="1"/>
  <c r="T3111" i="1"/>
  <c r="U3111" i="1" s="1"/>
  <c r="V3111" i="1" s="1"/>
  <c r="L3111" i="1"/>
  <c r="M3111" i="1" s="1"/>
  <c r="O3111" i="1" s="1"/>
  <c r="T3110" i="1"/>
  <c r="U3110" i="1" s="1"/>
  <c r="L3110" i="1"/>
  <c r="M3110" i="1" s="1"/>
  <c r="O3110" i="1" s="1"/>
  <c r="T3109" i="1"/>
  <c r="U3109" i="1" s="1"/>
  <c r="L3109" i="1"/>
  <c r="M3109" i="1" s="1"/>
  <c r="O3109" i="1" s="1"/>
  <c r="T3108" i="1"/>
  <c r="U3108" i="1" s="1"/>
  <c r="L3108" i="1"/>
  <c r="M3108" i="1" s="1"/>
  <c r="T3107" i="1"/>
  <c r="U3107" i="1" s="1"/>
  <c r="V3107" i="1" s="1"/>
  <c r="L3107" i="1"/>
  <c r="M3107" i="1" s="1"/>
  <c r="O3107" i="1" s="1"/>
  <c r="T3106" i="1"/>
  <c r="L3106" i="1"/>
  <c r="M3106" i="1" s="1"/>
  <c r="O3106" i="1" s="1"/>
  <c r="T3105" i="1"/>
  <c r="U3105" i="1" s="1"/>
  <c r="L3105" i="1"/>
  <c r="M3105" i="1" s="1"/>
  <c r="T3104" i="1"/>
  <c r="L3104" i="1"/>
  <c r="M3104" i="1" s="1"/>
  <c r="T3103" i="1"/>
  <c r="U3103" i="1" s="1"/>
  <c r="V3103" i="1" s="1"/>
  <c r="L3103" i="1"/>
  <c r="M3103" i="1" s="1"/>
  <c r="O3103" i="1" s="1"/>
  <c r="T3102" i="1"/>
  <c r="L3102" i="1"/>
  <c r="M3102" i="1" s="1"/>
  <c r="O3102" i="1" s="1"/>
  <c r="T3101" i="1"/>
  <c r="U3101" i="1" s="1"/>
  <c r="L3101" i="1"/>
  <c r="M3101" i="1" s="1"/>
  <c r="T3100" i="1"/>
  <c r="L3100" i="1"/>
  <c r="M3100" i="1" s="1"/>
  <c r="T3099" i="1"/>
  <c r="U3099" i="1" s="1"/>
  <c r="V3099" i="1" s="1"/>
  <c r="W3099" i="1" s="1"/>
  <c r="L3099" i="1"/>
  <c r="M3099" i="1" s="1"/>
  <c r="O3099" i="1" s="1"/>
  <c r="P3099" i="1" s="1"/>
  <c r="T3098" i="1"/>
  <c r="L3098" i="1"/>
  <c r="M3098" i="1" s="1"/>
  <c r="O3098" i="1" s="1"/>
  <c r="P3098" i="1" s="1"/>
  <c r="T3097" i="1"/>
  <c r="L3097" i="1"/>
  <c r="M3097" i="1" s="1"/>
  <c r="T3096" i="1"/>
  <c r="L3096" i="1"/>
  <c r="M3096" i="1" s="1"/>
  <c r="T3095" i="1"/>
  <c r="L3095" i="1"/>
  <c r="M3095" i="1" s="1"/>
  <c r="O3095" i="1" s="1"/>
  <c r="P3095" i="1" s="1"/>
  <c r="T3094" i="1"/>
  <c r="L3094" i="1"/>
  <c r="M3094" i="1" s="1"/>
  <c r="O3094" i="1" s="1"/>
  <c r="P3094" i="1" s="1"/>
  <c r="T3093" i="1"/>
  <c r="U3093" i="1" s="1"/>
  <c r="L3093" i="1"/>
  <c r="M3093" i="1" s="1"/>
  <c r="T3092" i="1"/>
  <c r="U3092" i="1" s="1"/>
  <c r="L3092" i="1"/>
  <c r="M3092" i="1" s="1"/>
  <c r="T3091" i="1"/>
  <c r="U3091" i="1" s="1"/>
  <c r="V3091" i="1" s="1"/>
  <c r="L3091" i="1"/>
  <c r="M3091" i="1" s="1"/>
  <c r="T3090" i="1"/>
  <c r="U3090" i="1" s="1"/>
  <c r="L3090" i="1"/>
  <c r="M3090" i="1" s="1"/>
  <c r="T3089" i="1"/>
  <c r="L3089" i="1"/>
  <c r="M3089" i="1" s="1"/>
  <c r="O3089" i="1" s="1"/>
  <c r="T3088" i="1"/>
  <c r="U3088" i="1" s="1"/>
  <c r="V3088" i="1" s="1"/>
  <c r="L3088" i="1"/>
  <c r="M3088" i="1" s="1"/>
  <c r="T3087" i="1"/>
  <c r="U3087" i="1" s="1"/>
  <c r="L3087" i="1"/>
  <c r="M3087" i="1" s="1"/>
  <c r="O3087" i="1" s="1"/>
  <c r="T3086" i="1"/>
  <c r="U3086" i="1" s="1"/>
  <c r="L3086" i="1"/>
  <c r="M3086" i="1" s="1"/>
  <c r="O3086" i="1" s="1"/>
  <c r="T3085" i="1"/>
  <c r="U3085" i="1" s="1"/>
  <c r="L3085" i="1"/>
  <c r="M3085" i="1" s="1"/>
  <c r="T3084" i="1"/>
  <c r="L3084" i="1"/>
  <c r="M3084" i="1" s="1"/>
  <c r="T3083" i="1"/>
  <c r="U3083" i="1" s="1"/>
  <c r="V3083" i="1" s="1"/>
  <c r="L3083" i="1"/>
  <c r="M3083" i="1" s="1"/>
  <c r="T3082" i="1"/>
  <c r="L3082" i="1"/>
  <c r="M3082" i="1" s="1"/>
  <c r="O3082" i="1" s="1"/>
  <c r="T3081" i="1"/>
  <c r="L3081" i="1"/>
  <c r="M3081" i="1" s="1"/>
  <c r="T3080" i="1"/>
  <c r="U3080" i="1" s="1"/>
  <c r="L3080" i="1"/>
  <c r="M3080" i="1" s="1"/>
  <c r="T3079" i="1"/>
  <c r="U3079" i="1" s="1"/>
  <c r="V3079" i="1" s="1"/>
  <c r="L3079" i="1"/>
  <c r="M3079" i="1" s="1"/>
  <c r="O3079" i="1" s="1"/>
  <c r="P3079" i="1" s="1"/>
  <c r="T3078" i="1"/>
  <c r="L3078" i="1"/>
  <c r="M3078" i="1" s="1"/>
  <c r="O3078" i="1" s="1"/>
  <c r="P3078" i="1" s="1"/>
  <c r="T3077" i="1"/>
  <c r="U3077" i="1" s="1"/>
  <c r="L3077" i="1"/>
  <c r="M3077" i="1" s="1"/>
  <c r="T3076" i="1"/>
  <c r="U3076" i="1" s="1"/>
  <c r="V3076" i="1" s="1"/>
  <c r="L3076" i="1"/>
  <c r="M3076" i="1" s="1"/>
  <c r="T3075" i="1"/>
  <c r="U3075" i="1" s="1"/>
  <c r="V3075" i="1" s="1"/>
  <c r="L3075" i="1"/>
  <c r="M3075" i="1" s="1"/>
  <c r="T3074" i="1"/>
  <c r="U3074" i="1" s="1"/>
  <c r="L3074" i="1"/>
  <c r="M3074" i="1" s="1"/>
  <c r="T3073" i="1"/>
  <c r="L3073" i="1"/>
  <c r="M3073" i="1" s="1"/>
  <c r="O3073" i="1" s="1"/>
  <c r="T3072" i="1"/>
  <c r="U3072" i="1" s="1"/>
  <c r="V3072" i="1" s="1"/>
  <c r="L3072" i="1"/>
  <c r="M3072" i="1" s="1"/>
  <c r="O3072" i="1" s="1"/>
  <c r="T3071" i="1"/>
  <c r="L3071" i="1"/>
  <c r="M3071" i="1" s="1"/>
  <c r="T3070" i="1"/>
  <c r="U3070" i="1" s="1"/>
  <c r="L3070" i="1"/>
  <c r="M3070" i="1" s="1"/>
  <c r="O3070" i="1" s="1"/>
  <c r="T3069" i="1"/>
  <c r="U3069" i="1" s="1"/>
  <c r="L3069" i="1"/>
  <c r="M3069" i="1" s="1"/>
  <c r="T3068" i="1"/>
  <c r="L3068" i="1"/>
  <c r="M3068" i="1" s="1"/>
  <c r="T3067" i="1"/>
  <c r="U3067" i="1" s="1"/>
  <c r="V3067" i="1" s="1"/>
  <c r="W3067" i="1" s="1"/>
  <c r="L3067" i="1"/>
  <c r="M3067" i="1" s="1"/>
  <c r="O3067" i="1" s="1"/>
  <c r="P3067" i="1" s="1"/>
  <c r="T3066" i="1"/>
  <c r="L3066" i="1"/>
  <c r="M3066" i="1" s="1"/>
  <c r="O3066" i="1" s="1"/>
  <c r="P3066" i="1" s="1"/>
  <c r="T3065" i="1"/>
  <c r="L3065" i="1"/>
  <c r="M3065" i="1" s="1"/>
  <c r="T3064" i="1"/>
  <c r="L3064" i="1"/>
  <c r="M3064" i="1" s="1"/>
  <c r="T3063" i="1"/>
  <c r="U3063" i="1" s="1"/>
  <c r="V3063" i="1" s="1"/>
  <c r="L3063" i="1"/>
  <c r="M3063" i="1" s="1"/>
  <c r="O3063" i="1" s="1"/>
  <c r="P3063" i="1" s="1"/>
  <c r="T3062" i="1"/>
  <c r="L3062" i="1"/>
  <c r="M3062" i="1" s="1"/>
  <c r="O3062" i="1" s="1"/>
  <c r="P3062" i="1" s="1"/>
  <c r="T3061" i="1"/>
  <c r="U3061" i="1" s="1"/>
  <c r="L3061" i="1"/>
  <c r="M3061" i="1" s="1"/>
  <c r="T3060" i="1"/>
  <c r="U3060" i="1" s="1"/>
  <c r="L3060" i="1"/>
  <c r="M3060" i="1" s="1"/>
  <c r="T3059" i="1"/>
  <c r="U3059" i="1" s="1"/>
  <c r="V3059" i="1" s="1"/>
  <c r="L3059" i="1"/>
  <c r="M3059" i="1" s="1"/>
  <c r="T3058" i="1"/>
  <c r="U3058" i="1" s="1"/>
  <c r="L3058" i="1"/>
  <c r="M3058" i="1" s="1"/>
  <c r="T3057" i="1"/>
  <c r="L3057" i="1"/>
  <c r="M3057" i="1" s="1"/>
  <c r="O3057" i="1" s="1"/>
  <c r="T3056" i="1"/>
  <c r="U3056" i="1" s="1"/>
  <c r="V3056" i="1" s="1"/>
  <c r="L3056" i="1"/>
  <c r="M3056" i="1" s="1"/>
  <c r="T3055" i="1"/>
  <c r="U3055" i="1" s="1"/>
  <c r="L3055" i="1"/>
  <c r="M3055" i="1" s="1"/>
  <c r="O3055" i="1" s="1"/>
  <c r="T3054" i="1"/>
  <c r="U3054" i="1" s="1"/>
  <c r="L3054" i="1"/>
  <c r="M3054" i="1" s="1"/>
  <c r="O3054" i="1" s="1"/>
  <c r="T3053" i="1"/>
  <c r="U3053" i="1" s="1"/>
  <c r="L3053" i="1"/>
  <c r="M3053" i="1" s="1"/>
  <c r="T3052" i="1"/>
  <c r="U3052" i="1" s="1"/>
  <c r="L3052" i="1"/>
  <c r="M3052" i="1" s="1"/>
  <c r="T3051" i="1"/>
  <c r="L3051" i="1"/>
  <c r="M3051" i="1" s="1"/>
  <c r="O3051" i="1" s="1"/>
  <c r="T3050" i="1"/>
  <c r="U3050" i="1" s="1"/>
  <c r="V3050" i="1" s="1"/>
  <c r="W3050" i="1" s="1"/>
  <c r="L3050" i="1"/>
  <c r="M3050" i="1" s="1"/>
  <c r="O3050" i="1" s="1"/>
  <c r="P3050" i="1" s="1"/>
  <c r="T3049" i="1"/>
  <c r="L3049" i="1"/>
  <c r="M3049" i="1" s="1"/>
  <c r="T3048" i="1"/>
  <c r="U3048" i="1" s="1"/>
  <c r="L3048" i="1"/>
  <c r="M3048" i="1" s="1"/>
  <c r="T3047" i="1"/>
  <c r="U3047" i="1" s="1"/>
  <c r="V3047" i="1" s="1"/>
  <c r="L3047" i="1"/>
  <c r="M3047" i="1" s="1"/>
  <c r="T3046" i="1"/>
  <c r="U3046" i="1" s="1"/>
  <c r="V3046" i="1" s="1"/>
  <c r="L3046" i="1"/>
  <c r="M3046" i="1" s="1"/>
  <c r="T3045" i="1"/>
  <c r="L3045" i="1"/>
  <c r="M3045" i="1" s="1"/>
  <c r="T3044" i="1"/>
  <c r="U3044" i="1" s="1"/>
  <c r="L3044" i="1"/>
  <c r="M3044" i="1" s="1"/>
  <c r="T3043" i="1"/>
  <c r="L3043" i="1"/>
  <c r="M3043" i="1" s="1"/>
  <c r="O3043" i="1" s="1"/>
  <c r="T3042" i="1"/>
  <c r="U3042" i="1" s="1"/>
  <c r="V3042" i="1" s="1"/>
  <c r="W3042" i="1" s="1"/>
  <c r="L3042" i="1"/>
  <c r="M3042" i="1" s="1"/>
  <c r="O3042" i="1" s="1"/>
  <c r="P3042" i="1" s="1"/>
  <c r="T3041" i="1"/>
  <c r="L3041" i="1"/>
  <c r="M3041" i="1" s="1"/>
  <c r="T3040" i="1"/>
  <c r="U3040" i="1" s="1"/>
  <c r="L3040" i="1"/>
  <c r="M3040" i="1" s="1"/>
  <c r="T3039" i="1"/>
  <c r="U3039" i="1" s="1"/>
  <c r="V3039" i="1" s="1"/>
  <c r="L3039" i="1"/>
  <c r="M3039" i="1" s="1"/>
  <c r="T3038" i="1"/>
  <c r="U3038" i="1" s="1"/>
  <c r="V3038" i="1" s="1"/>
  <c r="L3038" i="1"/>
  <c r="M3038" i="1" s="1"/>
  <c r="T3037" i="1"/>
  <c r="L3037" i="1"/>
  <c r="M3037" i="1" s="1"/>
  <c r="T3036" i="1"/>
  <c r="U3036" i="1" s="1"/>
  <c r="L3036" i="1"/>
  <c r="M3036" i="1" s="1"/>
  <c r="T3035" i="1"/>
  <c r="L3035" i="1"/>
  <c r="M3035" i="1" s="1"/>
  <c r="O3035" i="1" s="1"/>
  <c r="T3034" i="1"/>
  <c r="U3034" i="1" s="1"/>
  <c r="V3034" i="1" s="1"/>
  <c r="W3034" i="1" s="1"/>
  <c r="L3034" i="1"/>
  <c r="M3034" i="1" s="1"/>
  <c r="O3034" i="1" s="1"/>
  <c r="P3034" i="1" s="1"/>
  <c r="T3033" i="1"/>
  <c r="L3033" i="1"/>
  <c r="M3033" i="1" s="1"/>
  <c r="T3032" i="1"/>
  <c r="U3032" i="1" s="1"/>
  <c r="L3032" i="1"/>
  <c r="M3032" i="1" s="1"/>
  <c r="T3031" i="1"/>
  <c r="U3031" i="1" s="1"/>
  <c r="V3031" i="1" s="1"/>
  <c r="L3031" i="1"/>
  <c r="M3031" i="1" s="1"/>
  <c r="T3030" i="1"/>
  <c r="U3030" i="1" s="1"/>
  <c r="V3030" i="1" s="1"/>
  <c r="L3030" i="1"/>
  <c r="M3030" i="1" s="1"/>
  <c r="T3029" i="1"/>
  <c r="L3029" i="1"/>
  <c r="M3029" i="1" s="1"/>
  <c r="T3028" i="1"/>
  <c r="U3028" i="1" s="1"/>
  <c r="L3028" i="1"/>
  <c r="M3028" i="1" s="1"/>
  <c r="T3027" i="1"/>
  <c r="L3027" i="1"/>
  <c r="M3027" i="1" s="1"/>
  <c r="O3027" i="1" s="1"/>
  <c r="T3026" i="1"/>
  <c r="U3026" i="1" s="1"/>
  <c r="V3026" i="1" s="1"/>
  <c r="W3026" i="1" s="1"/>
  <c r="L3026" i="1"/>
  <c r="M3026" i="1" s="1"/>
  <c r="O3026" i="1" s="1"/>
  <c r="P3026" i="1" s="1"/>
  <c r="T3025" i="1"/>
  <c r="L3025" i="1"/>
  <c r="M3025" i="1" s="1"/>
  <c r="T3024" i="1"/>
  <c r="U3024" i="1" s="1"/>
  <c r="L3024" i="1"/>
  <c r="M3024" i="1" s="1"/>
  <c r="T3023" i="1"/>
  <c r="U3023" i="1" s="1"/>
  <c r="V3023" i="1" s="1"/>
  <c r="L3023" i="1"/>
  <c r="M3023" i="1" s="1"/>
  <c r="T3022" i="1"/>
  <c r="U3022" i="1" s="1"/>
  <c r="V3022" i="1" s="1"/>
  <c r="L3022" i="1"/>
  <c r="M3022" i="1" s="1"/>
  <c r="O3022" i="1" s="1"/>
  <c r="P3022" i="1" s="1"/>
  <c r="T3021" i="1"/>
  <c r="L3021" i="1"/>
  <c r="M3021" i="1" s="1"/>
  <c r="T3020" i="1"/>
  <c r="U3020" i="1" s="1"/>
  <c r="L3020" i="1"/>
  <c r="M3020" i="1" s="1"/>
  <c r="T3019" i="1"/>
  <c r="L3019" i="1"/>
  <c r="M3019" i="1" s="1"/>
  <c r="O3019" i="1" s="1"/>
  <c r="T3018" i="1"/>
  <c r="U3018" i="1" s="1"/>
  <c r="V3018" i="1" s="1"/>
  <c r="W3018" i="1" s="1"/>
  <c r="L3018" i="1"/>
  <c r="M3018" i="1" s="1"/>
  <c r="O3018" i="1" s="1"/>
  <c r="P3018" i="1" s="1"/>
  <c r="T3017" i="1"/>
  <c r="L3017" i="1"/>
  <c r="M3017" i="1" s="1"/>
  <c r="T3016" i="1"/>
  <c r="U3016" i="1" s="1"/>
  <c r="L3016" i="1"/>
  <c r="M3016" i="1" s="1"/>
  <c r="T3015" i="1"/>
  <c r="U3015" i="1" s="1"/>
  <c r="V3015" i="1" s="1"/>
  <c r="L3015" i="1"/>
  <c r="M3015" i="1" s="1"/>
  <c r="T3014" i="1"/>
  <c r="U3014" i="1" s="1"/>
  <c r="V3014" i="1" s="1"/>
  <c r="L3014" i="1"/>
  <c r="M3014" i="1" s="1"/>
  <c r="T3013" i="1"/>
  <c r="L3013" i="1"/>
  <c r="M3013" i="1" s="1"/>
  <c r="T3012" i="1"/>
  <c r="U3012" i="1" s="1"/>
  <c r="L3012" i="1"/>
  <c r="M3012" i="1" s="1"/>
  <c r="T3011" i="1"/>
  <c r="L3011" i="1"/>
  <c r="M3011" i="1" s="1"/>
  <c r="O3011" i="1" s="1"/>
  <c r="T3010" i="1"/>
  <c r="U3010" i="1" s="1"/>
  <c r="V3010" i="1" s="1"/>
  <c r="W3010" i="1" s="1"/>
  <c r="L3010" i="1"/>
  <c r="M3010" i="1" s="1"/>
  <c r="O3010" i="1" s="1"/>
  <c r="P3010" i="1" s="1"/>
  <c r="T3009" i="1"/>
  <c r="L3009" i="1"/>
  <c r="M3009" i="1" s="1"/>
  <c r="T3008" i="1"/>
  <c r="U3008" i="1" s="1"/>
  <c r="L3008" i="1"/>
  <c r="M3008" i="1" s="1"/>
  <c r="T3007" i="1"/>
  <c r="U3007" i="1" s="1"/>
  <c r="V3007" i="1" s="1"/>
  <c r="L3007" i="1"/>
  <c r="M3007" i="1" s="1"/>
  <c r="T3006" i="1"/>
  <c r="U3006" i="1" s="1"/>
  <c r="V3006" i="1" s="1"/>
  <c r="L3006" i="1"/>
  <c r="M3006" i="1" s="1"/>
  <c r="T3005" i="1"/>
  <c r="L3005" i="1"/>
  <c r="M3005" i="1" s="1"/>
  <c r="T3004" i="1"/>
  <c r="U3004" i="1" s="1"/>
  <c r="L3004" i="1"/>
  <c r="M3004" i="1" s="1"/>
  <c r="T3003" i="1"/>
  <c r="U3003" i="1" s="1"/>
  <c r="L3003" i="1"/>
  <c r="M3003" i="1" s="1"/>
  <c r="O3003" i="1" s="1"/>
  <c r="T3002" i="1"/>
  <c r="U3002" i="1" s="1"/>
  <c r="V3002" i="1" s="1"/>
  <c r="W3002" i="1" s="1"/>
  <c r="L3002" i="1"/>
  <c r="M3002" i="1" s="1"/>
  <c r="O3002" i="1" s="1"/>
  <c r="T3001" i="1"/>
  <c r="U3001" i="1" s="1"/>
  <c r="L3001" i="1"/>
  <c r="M3001" i="1" s="1"/>
  <c r="T3000" i="1"/>
  <c r="U3000" i="1" s="1"/>
  <c r="L3000" i="1"/>
  <c r="M3000" i="1" s="1"/>
  <c r="T2999" i="1"/>
  <c r="L2999" i="1"/>
  <c r="M2999" i="1" s="1"/>
  <c r="O2999" i="1" s="1"/>
  <c r="T2998" i="1"/>
  <c r="U2998" i="1" s="1"/>
  <c r="V2998" i="1" s="1"/>
  <c r="W2998" i="1" s="1"/>
  <c r="L2998" i="1"/>
  <c r="M2998" i="1" s="1"/>
  <c r="T2997" i="1"/>
  <c r="L2997" i="1"/>
  <c r="M2997" i="1" s="1"/>
  <c r="T2996" i="1"/>
  <c r="U2996" i="1" s="1"/>
  <c r="L2996" i="1"/>
  <c r="M2996" i="1" s="1"/>
  <c r="T2995" i="1"/>
  <c r="L2995" i="1"/>
  <c r="M2995" i="1" s="1"/>
  <c r="O2995" i="1" s="1"/>
  <c r="T2994" i="1"/>
  <c r="U2994" i="1" s="1"/>
  <c r="V2994" i="1" s="1"/>
  <c r="W2994" i="1" s="1"/>
  <c r="L2994" i="1"/>
  <c r="M2994" i="1" s="1"/>
  <c r="O2994" i="1" s="1"/>
  <c r="T2993" i="1"/>
  <c r="U2993" i="1" s="1"/>
  <c r="L2993" i="1"/>
  <c r="M2993" i="1" s="1"/>
  <c r="T2992" i="1"/>
  <c r="U2992" i="1" s="1"/>
  <c r="L2992" i="1"/>
  <c r="M2992" i="1" s="1"/>
  <c r="T2991" i="1"/>
  <c r="U2991" i="1" s="1"/>
  <c r="L2991" i="1"/>
  <c r="M2991" i="1" s="1"/>
  <c r="O2991" i="1" s="1"/>
  <c r="T2990" i="1"/>
  <c r="U2990" i="1" s="1"/>
  <c r="V2990" i="1" s="1"/>
  <c r="W2990" i="1" s="1"/>
  <c r="L2990" i="1"/>
  <c r="M2990" i="1" s="1"/>
  <c r="T2989" i="1"/>
  <c r="L2989" i="1"/>
  <c r="M2989" i="1" s="1"/>
  <c r="T2988" i="1"/>
  <c r="U2988" i="1" s="1"/>
  <c r="L2988" i="1"/>
  <c r="M2988" i="1" s="1"/>
  <c r="T2987" i="1"/>
  <c r="U2987" i="1" s="1"/>
  <c r="L2987" i="1"/>
  <c r="M2987" i="1" s="1"/>
  <c r="O2987" i="1" s="1"/>
  <c r="T2986" i="1"/>
  <c r="U2986" i="1" s="1"/>
  <c r="V2986" i="1" s="1"/>
  <c r="W2986" i="1" s="1"/>
  <c r="L2986" i="1"/>
  <c r="M2986" i="1" s="1"/>
  <c r="O2986" i="1" s="1"/>
  <c r="T2985" i="1"/>
  <c r="U2985" i="1" s="1"/>
  <c r="L2985" i="1"/>
  <c r="M2985" i="1" s="1"/>
  <c r="T2984" i="1"/>
  <c r="U2984" i="1" s="1"/>
  <c r="L2984" i="1"/>
  <c r="M2984" i="1" s="1"/>
  <c r="T2983" i="1"/>
  <c r="U2983" i="1" s="1"/>
  <c r="L2983" i="1"/>
  <c r="M2983" i="1" s="1"/>
  <c r="O2983" i="1" s="1"/>
  <c r="T2982" i="1"/>
  <c r="U2982" i="1" s="1"/>
  <c r="V2982" i="1" s="1"/>
  <c r="W2982" i="1" s="1"/>
  <c r="L2982" i="1"/>
  <c r="M2982" i="1" s="1"/>
  <c r="T2981" i="1"/>
  <c r="L2981" i="1"/>
  <c r="M2981" i="1" s="1"/>
  <c r="T2980" i="1"/>
  <c r="U2980" i="1" s="1"/>
  <c r="L2980" i="1"/>
  <c r="M2980" i="1" s="1"/>
  <c r="T2979" i="1"/>
  <c r="L2979" i="1"/>
  <c r="M2979" i="1" s="1"/>
  <c r="O2979" i="1" s="1"/>
  <c r="T2978" i="1"/>
  <c r="U2978" i="1" s="1"/>
  <c r="V2978" i="1" s="1"/>
  <c r="W2978" i="1" s="1"/>
  <c r="L2978" i="1"/>
  <c r="M2978" i="1" s="1"/>
  <c r="O2978" i="1" s="1"/>
  <c r="T2977" i="1"/>
  <c r="U2977" i="1" s="1"/>
  <c r="L2977" i="1"/>
  <c r="M2977" i="1" s="1"/>
  <c r="T2976" i="1"/>
  <c r="U2976" i="1" s="1"/>
  <c r="L2976" i="1"/>
  <c r="M2976" i="1" s="1"/>
  <c r="T2975" i="1"/>
  <c r="L2975" i="1"/>
  <c r="M2975" i="1" s="1"/>
  <c r="O2975" i="1" s="1"/>
  <c r="T2974" i="1"/>
  <c r="U2974" i="1" s="1"/>
  <c r="V2974" i="1" s="1"/>
  <c r="W2974" i="1" s="1"/>
  <c r="L2974" i="1"/>
  <c r="M2974" i="1" s="1"/>
  <c r="T2973" i="1"/>
  <c r="L2973" i="1"/>
  <c r="M2973" i="1" s="1"/>
  <c r="T2972" i="1"/>
  <c r="U2972" i="1" s="1"/>
  <c r="L2972" i="1"/>
  <c r="M2972" i="1" s="1"/>
  <c r="T2971" i="1"/>
  <c r="L2971" i="1"/>
  <c r="M2971" i="1" s="1"/>
  <c r="O2971" i="1" s="1"/>
  <c r="T2970" i="1"/>
  <c r="U2970" i="1" s="1"/>
  <c r="V2970" i="1" s="1"/>
  <c r="W2970" i="1" s="1"/>
  <c r="L2970" i="1"/>
  <c r="M2970" i="1" s="1"/>
  <c r="O2970" i="1" s="1"/>
  <c r="T2969" i="1"/>
  <c r="U2969" i="1" s="1"/>
  <c r="L2969" i="1"/>
  <c r="M2969" i="1" s="1"/>
  <c r="O2969" i="1" s="1"/>
  <c r="T2968" i="1"/>
  <c r="U2968" i="1" s="1"/>
  <c r="L2968" i="1"/>
  <c r="M2968" i="1" s="1"/>
  <c r="T2966" i="1"/>
  <c r="U2966" i="1" s="1"/>
  <c r="V2966" i="1" s="1"/>
  <c r="L2966" i="1"/>
  <c r="M2966" i="1" s="1"/>
  <c r="O2966" i="1" s="1"/>
  <c r="T2965" i="1"/>
  <c r="L2965" i="1"/>
  <c r="M2965" i="1" s="1"/>
  <c r="O2965" i="1" s="1"/>
  <c r="P2965" i="1" s="1"/>
  <c r="T2964" i="1"/>
  <c r="L2964" i="1"/>
  <c r="M2964" i="1" s="1"/>
  <c r="T2963" i="1"/>
  <c r="U2963" i="1" s="1"/>
  <c r="L2963" i="1"/>
  <c r="M2963" i="1" s="1"/>
  <c r="T2962" i="1"/>
  <c r="U2962" i="1" s="1"/>
  <c r="V2962" i="1" s="1"/>
  <c r="L2962" i="1"/>
  <c r="M2962" i="1" s="1"/>
  <c r="O2962" i="1" s="1"/>
  <c r="P2962" i="1" s="1"/>
  <c r="T2961" i="1"/>
  <c r="L2961" i="1"/>
  <c r="M2961" i="1" s="1"/>
  <c r="O2961" i="1" s="1"/>
  <c r="P2961" i="1" s="1"/>
  <c r="T2960" i="1"/>
  <c r="U2960" i="1" s="1"/>
  <c r="L2960" i="1"/>
  <c r="M2960" i="1" s="1"/>
  <c r="T2959" i="1"/>
  <c r="U2959" i="1" s="1"/>
  <c r="V2959" i="1" s="1"/>
  <c r="L2959" i="1"/>
  <c r="M2959" i="1" s="1"/>
  <c r="T2958" i="1"/>
  <c r="U2958" i="1" s="1"/>
  <c r="V2958" i="1" s="1"/>
  <c r="L2958" i="1"/>
  <c r="M2958" i="1" s="1"/>
  <c r="T2957" i="1"/>
  <c r="L2957" i="1"/>
  <c r="M2957" i="1" s="1"/>
  <c r="T2956" i="1"/>
  <c r="L2956" i="1"/>
  <c r="M2956" i="1" s="1"/>
  <c r="O2956" i="1" s="1"/>
  <c r="T2955" i="1"/>
  <c r="U2955" i="1" s="1"/>
  <c r="V2955" i="1" s="1"/>
  <c r="L2955" i="1"/>
  <c r="M2955" i="1" s="1"/>
  <c r="T2954" i="1"/>
  <c r="U2954" i="1" s="1"/>
  <c r="L2954" i="1"/>
  <c r="M2954" i="1" s="1"/>
  <c r="O2954" i="1" s="1"/>
  <c r="T2953" i="1"/>
  <c r="U2953" i="1" s="1"/>
  <c r="L2953" i="1"/>
  <c r="M2953" i="1" s="1"/>
  <c r="O2953" i="1" s="1"/>
  <c r="T2952" i="1"/>
  <c r="U2952" i="1" s="1"/>
  <c r="L2952" i="1"/>
  <c r="M2952" i="1" s="1"/>
  <c r="T2951" i="1"/>
  <c r="L2951" i="1"/>
  <c r="M2951" i="1" s="1"/>
  <c r="T2950" i="1"/>
  <c r="U2950" i="1" s="1"/>
  <c r="V2950" i="1" s="1"/>
  <c r="W2950" i="1" s="1"/>
  <c r="L2950" i="1"/>
  <c r="M2950" i="1" s="1"/>
  <c r="T2949" i="1"/>
  <c r="U2949" i="1" s="1"/>
  <c r="L2949" i="1"/>
  <c r="M2949" i="1" s="1"/>
  <c r="O2949" i="1" s="1"/>
  <c r="P2949" i="1" s="1"/>
  <c r="T2948" i="1"/>
  <c r="L2948" i="1"/>
  <c r="M2948" i="1" s="1"/>
  <c r="T2947" i="1"/>
  <c r="U2947" i="1" s="1"/>
  <c r="L2947" i="1"/>
  <c r="M2947" i="1" s="1"/>
  <c r="T2946" i="1"/>
  <c r="U2946" i="1" s="1"/>
  <c r="V2946" i="1" s="1"/>
  <c r="L2946" i="1"/>
  <c r="M2946" i="1" s="1"/>
  <c r="O2946" i="1" s="1"/>
  <c r="P2946" i="1" s="1"/>
  <c r="T2945" i="1"/>
  <c r="L2945" i="1"/>
  <c r="M2945" i="1" s="1"/>
  <c r="O2945" i="1" s="1"/>
  <c r="P2945" i="1" s="1"/>
  <c r="T2944" i="1"/>
  <c r="U2944" i="1" s="1"/>
  <c r="L2944" i="1"/>
  <c r="M2944" i="1" s="1"/>
  <c r="T2943" i="1"/>
  <c r="L2943" i="1"/>
  <c r="M2943" i="1" s="1"/>
  <c r="T2942" i="1"/>
  <c r="U2942" i="1" s="1"/>
  <c r="V2942" i="1" s="1"/>
  <c r="L2942" i="1"/>
  <c r="M2942" i="1" s="1"/>
  <c r="T2941" i="1"/>
  <c r="U2941" i="1" s="1"/>
  <c r="L2941" i="1"/>
  <c r="M2941" i="1" s="1"/>
  <c r="T2940" i="1"/>
  <c r="L2940" i="1"/>
  <c r="M2940" i="1" s="1"/>
  <c r="O2940" i="1" s="1"/>
  <c r="T2939" i="1"/>
  <c r="U2939" i="1" s="1"/>
  <c r="V2939" i="1" s="1"/>
  <c r="L2939" i="1"/>
  <c r="M2939" i="1" s="1"/>
  <c r="T2938" i="1"/>
  <c r="U2938" i="1" s="1"/>
  <c r="L2938" i="1"/>
  <c r="M2938" i="1" s="1"/>
  <c r="T2937" i="1"/>
  <c r="U2937" i="1" s="1"/>
  <c r="L2937" i="1"/>
  <c r="M2937" i="1" s="1"/>
  <c r="O2937" i="1" s="1"/>
  <c r="T2936" i="1"/>
  <c r="U2936" i="1" s="1"/>
  <c r="L2936" i="1"/>
  <c r="M2936" i="1" s="1"/>
  <c r="T2935" i="1"/>
  <c r="L2935" i="1"/>
  <c r="M2935" i="1" s="1"/>
  <c r="T2934" i="1"/>
  <c r="L2934" i="1"/>
  <c r="M2934" i="1" s="1"/>
  <c r="T2933" i="1"/>
  <c r="U2933" i="1" s="1"/>
  <c r="V2933" i="1" s="1"/>
  <c r="L2933" i="1"/>
  <c r="M2933" i="1" s="1"/>
  <c r="O2933" i="1" s="1"/>
  <c r="T2932" i="1"/>
  <c r="U2932" i="1" s="1"/>
  <c r="V2932" i="1" s="1"/>
  <c r="L2932" i="1"/>
  <c r="M2932" i="1" s="1"/>
  <c r="O2932" i="1" s="1"/>
  <c r="P2932" i="1" s="1"/>
  <c r="T2931" i="1"/>
  <c r="L2931" i="1"/>
  <c r="M2931" i="1" s="1"/>
  <c r="T2930" i="1"/>
  <c r="U2930" i="1" s="1"/>
  <c r="L2930" i="1"/>
  <c r="M2930" i="1" s="1"/>
  <c r="T2929" i="1"/>
  <c r="U2929" i="1" s="1"/>
  <c r="L2929" i="1"/>
  <c r="M2929" i="1" s="1"/>
  <c r="T2928" i="1"/>
  <c r="U2928" i="1" s="1"/>
  <c r="V2928" i="1" s="1"/>
  <c r="W2928" i="1" s="1"/>
  <c r="L2928" i="1"/>
  <c r="M2928" i="1" s="1"/>
  <c r="O2928" i="1" s="1"/>
  <c r="P2928" i="1" s="1"/>
  <c r="T2927" i="1"/>
  <c r="L2927" i="1"/>
  <c r="M2927" i="1" s="1"/>
  <c r="T2926" i="1"/>
  <c r="U2926" i="1" s="1"/>
  <c r="L2926" i="1"/>
  <c r="M2926" i="1" s="1"/>
  <c r="T2925" i="1"/>
  <c r="L2925" i="1"/>
  <c r="M2925" i="1" s="1"/>
  <c r="T2924" i="1"/>
  <c r="U2924" i="1" s="1"/>
  <c r="V2924" i="1" s="1"/>
  <c r="W2924" i="1" s="1"/>
  <c r="L2924" i="1"/>
  <c r="M2924" i="1" s="1"/>
  <c r="O2924" i="1" s="1"/>
  <c r="T2923" i="1"/>
  <c r="L2923" i="1"/>
  <c r="M2923" i="1" s="1"/>
  <c r="T2922" i="1"/>
  <c r="U2922" i="1" s="1"/>
  <c r="L2922" i="1"/>
  <c r="M2922" i="1" s="1"/>
  <c r="T2921" i="1"/>
  <c r="U2921" i="1" s="1"/>
  <c r="V2921" i="1" s="1"/>
  <c r="L2921" i="1"/>
  <c r="M2921" i="1" s="1"/>
  <c r="O2921" i="1" s="1"/>
  <c r="T2920" i="1"/>
  <c r="U2920" i="1" s="1"/>
  <c r="V2920" i="1" s="1"/>
  <c r="L2920" i="1"/>
  <c r="M2920" i="1" s="1"/>
  <c r="T2919" i="1"/>
  <c r="L2919" i="1"/>
  <c r="M2919" i="1" s="1"/>
  <c r="T2918" i="1"/>
  <c r="U2918" i="1" s="1"/>
  <c r="L2918" i="1"/>
  <c r="M2918" i="1" s="1"/>
  <c r="T2917" i="1"/>
  <c r="U2917" i="1" s="1"/>
  <c r="V2917" i="1" s="1"/>
  <c r="L2917" i="1"/>
  <c r="M2917" i="1" s="1"/>
  <c r="O2917" i="1" s="1"/>
  <c r="T2916" i="1"/>
  <c r="U2916" i="1" s="1"/>
  <c r="V2916" i="1" s="1"/>
  <c r="L2916" i="1"/>
  <c r="M2916" i="1" s="1"/>
  <c r="O2916" i="1" s="1"/>
  <c r="P2916" i="1" s="1"/>
  <c r="T2915" i="1"/>
  <c r="L2915" i="1"/>
  <c r="M2915" i="1" s="1"/>
  <c r="T2914" i="1"/>
  <c r="U2914" i="1" s="1"/>
  <c r="L2914" i="1"/>
  <c r="M2914" i="1" s="1"/>
  <c r="T2913" i="1"/>
  <c r="U2913" i="1" s="1"/>
  <c r="L2913" i="1"/>
  <c r="M2913" i="1" s="1"/>
  <c r="T2912" i="1"/>
  <c r="U2912" i="1" s="1"/>
  <c r="V2912" i="1" s="1"/>
  <c r="W2912" i="1" s="1"/>
  <c r="L2912" i="1"/>
  <c r="M2912" i="1" s="1"/>
  <c r="O2912" i="1" s="1"/>
  <c r="P2912" i="1" s="1"/>
  <c r="T2911" i="1"/>
  <c r="L2911" i="1"/>
  <c r="M2911" i="1" s="1"/>
  <c r="T2910" i="1"/>
  <c r="U2910" i="1" s="1"/>
  <c r="L2910" i="1"/>
  <c r="M2910" i="1" s="1"/>
  <c r="T2909" i="1"/>
  <c r="L2909" i="1"/>
  <c r="M2909" i="1" s="1"/>
  <c r="T2908" i="1"/>
  <c r="U2908" i="1" s="1"/>
  <c r="V2908" i="1" s="1"/>
  <c r="W2908" i="1" s="1"/>
  <c r="L2908" i="1"/>
  <c r="M2908" i="1" s="1"/>
  <c r="O2908" i="1" s="1"/>
  <c r="T2907" i="1"/>
  <c r="L2907" i="1"/>
  <c r="M2907" i="1" s="1"/>
  <c r="T2906" i="1"/>
  <c r="U2906" i="1" s="1"/>
  <c r="L2906" i="1"/>
  <c r="M2906" i="1" s="1"/>
  <c r="T2905" i="1"/>
  <c r="U2905" i="1" s="1"/>
  <c r="V2905" i="1" s="1"/>
  <c r="L2905" i="1"/>
  <c r="M2905" i="1" s="1"/>
  <c r="O2905" i="1" s="1"/>
  <c r="T2904" i="1"/>
  <c r="U2904" i="1" s="1"/>
  <c r="V2904" i="1" s="1"/>
  <c r="L2904" i="1"/>
  <c r="M2904" i="1" s="1"/>
  <c r="T2903" i="1"/>
  <c r="L2903" i="1"/>
  <c r="M2903" i="1" s="1"/>
  <c r="T2902" i="1"/>
  <c r="U2902" i="1" s="1"/>
  <c r="L2902" i="1"/>
  <c r="M2902" i="1" s="1"/>
  <c r="T2901" i="1"/>
  <c r="U2901" i="1" s="1"/>
  <c r="V2901" i="1" s="1"/>
  <c r="L2901" i="1"/>
  <c r="M2901" i="1" s="1"/>
  <c r="O2901" i="1" s="1"/>
  <c r="T2900" i="1"/>
  <c r="U2900" i="1" s="1"/>
  <c r="V2900" i="1" s="1"/>
  <c r="L2900" i="1"/>
  <c r="M2900" i="1" s="1"/>
  <c r="O2900" i="1" s="1"/>
  <c r="P2900" i="1" s="1"/>
  <c r="T2899" i="1"/>
  <c r="L2899" i="1"/>
  <c r="M2899" i="1" s="1"/>
  <c r="T2898" i="1"/>
  <c r="U2898" i="1" s="1"/>
  <c r="L2898" i="1"/>
  <c r="M2898" i="1" s="1"/>
  <c r="T2897" i="1"/>
  <c r="U2897" i="1" s="1"/>
  <c r="L2897" i="1"/>
  <c r="M2897" i="1" s="1"/>
  <c r="T2896" i="1"/>
  <c r="U2896" i="1" s="1"/>
  <c r="V2896" i="1" s="1"/>
  <c r="W2896" i="1" s="1"/>
  <c r="L2896" i="1"/>
  <c r="M2896" i="1" s="1"/>
  <c r="O2896" i="1" s="1"/>
  <c r="P2896" i="1" s="1"/>
  <c r="T2895" i="1"/>
  <c r="L2895" i="1"/>
  <c r="M2895" i="1" s="1"/>
  <c r="T2894" i="1"/>
  <c r="U2894" i="1" s="1"/>
  <c r="L2894" i="1"/>
  <c r="M2894" i="1" s="1"/>
  <c r="T2893" i="1"/>
  <c r="L2893" i="1"/>
  <c r="M2893" i="1" s="1"/>
  <c r="T2892" i="1"/>
  <c r="U2892" i="1" s="1"/>
  <c r="V2892" i="1" s="1"/>
  <c r="W2892" i="1" s="1"/>
  <c r="L2892" i="1"/>
  <c r="M2892" i="1" s="1"/>
  <c r="O2892" i="1" s="1"/>
  <c r="T2891" i="1"/>
  <c r="L2891" i="1"/>
  <c r="M2891" i="1" s="1"/>
  <c r="T2890" i="1"/>
  <c r="U2890" i="1" s="1"/>
  <c r="L2890" i="1"/>
  <c r="M2890" i="1" s="1"/>
  <c r="T2889" i="1"/>
  <c r="U2889" i="1" s="1"/>
  <c r="V2889" i="1" s="1"/>
  <c r="L2889" i="1"/>
  <c r="M2889" i="1" s="1"/>
  <c r="O2889" i="1" s="1"/>
  <c r="T2888" i="1"/>
  <c r="U2888" i="1" s="1"/>
  <c r="V2888" i="1" s="1"/>
  <c r="L2888" i="1"/>
  <c r="M2888" i="1" s="1"/>
  <c r="T2887" i="1"/>
  <c r="L2887" i="1"/>
  <c r="M2887" i="1" s="1"/>
  <c r="T2886" i="1"/>
  <c r="U2886" i="1" s="1"/>
  <c r="L2886" i="1"/>
  <c r="M2886" i="1" s="1"/>
  <c r="T2885" i="1"/>
  <c r="U2885" i="1" s="1"/>
  <c r="V2885" i="1" s="1"/>
  <c r="L2885" i="1"/>
  <c r="M2885" i="1" s="1"/>
  <c r="O2885" i="1" s="1"/>
  <c r="T2884" i="1"/>
  <c r="U2884" i="1" s="1"/>
  <c r="V2884" i="1" s="1"/>
  <c r="L2884" i="1"/>
  <c r="M2884" i="1" s="1"/>
  <c r="O2884" i="1" s="1"/>
  <c r="P2884" i="1" s="1"/>
  <c r="T2883" i="1"/>
  <c r="L2883" i="1"/>
  <c r="M2883" i="1" s="1"/>
  <c r="T2882" i="1"/>
  <c r="U2882" i="1" s="1"/>
  <c r="L2882" i="1"/>
  <c r="M2882" i="1" s="1"/>
  <c r="T2881" i="1"/>
  <c r="U2881" i="1" s="1"/>
  <c r="L2881" i="1"/>
  <c r="M2881" i="1" s="1"/>
  <c r="T2880" i="1"/>
  <c r="U2880" i="1" s="1"/>
  <c r="V2880" i="1" s="1"/>
  <c r="W2880" i="1" s="1"/>
  <c r="L2880" i="1"/>
  <c r="M2880" i="1" s="1"/>
  <c r="O2880" i="1" s="1"/>
  <c r="P2880" i="1" s="1"/>
  <c r="T2879" i="1"/>
  <c r="L2879" i="1"/>
  <c r="M2879" i="1" s="1"/>
  <c r="T2878" i="1"/>
  <c r="U2878" i="1" s="1"/>
  <c r="L2878" i="1"/>
  <c r="M2878" i="1" s="1"/>
  <c r="T2877" i="1"/>
  <c r="L2877" i="1"/>
  <c r="M2877" i="1" s="1"/>
  <c r="T2876" i="1"/>
  <c r="U2876" i="1" s="1"/>
  <c r="V2876" i="1" s="1"/>
  <c r="W2876" i="1" s="1"/>
  <c r="L2876" i="1"/>
  <c r="M2876" i="1" s="1"/>
  <c r="O2876" i="1" s="1"/>
  <c r="T2875" i="1"/>
  <c r="L2875" i="1"/>
  <c r="M2875" i="1" s="1"/>
  <c r="T2874" i="1"/>
  <c r="U2874" i="1" s="1"/>
  <c r="L2874" i="1"/>
  <c r="M2874" i="1" s="1"/>
  <c r="T2873" i="1"/>
  <c r="U2873" i="1" s="1"/>
  <c r="V2873" i="1" s="1"/>
  <c r="L2873" i="1"/>
  <c r="M2873" i="1" s="1"/>
  <c r="O2873" i="1" s="1"/>
  <c r="T2872" i="1"/>
  <c r="U2872" i="1" s="1"/>
  <c r="V2872" i="1" s="1"/>
  <c r="L2872" i="1"/>
  <c r="M2872" i="1" s="1"/>
  <c r="T2871" i="1"/>
  <c r="L2871" i="1"/>
  <c r="M2871" i="1" s="1"/>
  <c r="T2870" i="1"/>
  <c r="U2870" i="1" s="1"/>
  <c r="L2870" i="1"/>
  <c r="M2870" i="1" s="1"/>
  <c r="T2869" i="1"/>
  <c r="U2869" i="1" s="1"/>
  <c r="V2869" i="1" s="1"/>
  <c r="L2869" i="1"/>
  <c r="M2869" i="1" s="1"/>
  <c r="O2869" i="1" s="1"/>
  <c r="T2868" i="1"/>
  <c r="U2868" i="1" s="1"/>
  <c r="V2868" i="1" s="1"/>
  <c r="L2868" i="1"/>
  <c r="M2868" i="1" s="1"/>
  <c r="O2868" i="1" s="1"/>
  <c r="P2868" i="1" s="1"/>
  <c r="T2867" i="1"/>
  <c r="L2867" i="1"/>
  <c r="M2867" i="1" s="1"/>
  <c r="T2866" i="1"/>
  <c r="U2866" i="1" s="1"/>
  <c r="L2866" i="1"/>
  <c r="M2866" i="1" s="1"/>
  <c r="T2865" i="1"/>
  <c r="U2865" i="1" s="1"/>
  <c r="L2865" i="1"/>
  <c r="M2865" i="1" s="1"/>
  <c r="T2864" i="1"/>
  <c r="U2864" i="1" s="1"/>
  <c r="V2864" i="1" s="1"/>
  <c r="W2864" i="1" s="1"/>
  <c r="L2864" i="1"/>
  <c r="M2864" i="1" s="1"/>
  <c r="O2864" i="1" s="1"/>
  <c r="P2864" i="1" s="1"/>
  <c r="T2863" i="1"/>
  <c r="L2863" i="1"/>
  <c r="M2863" i="1" s="1"/>
  <c r="T2862" i="1"/>
  <c r="U2862" i="1" s="1"/>
  <c r="L2862" i="1"/>
  <c r="M2862" i="1" s="1"/>
  <c r="T2861" i="1"/>
  <c r="L2861" i="1"/>
  <c r="M2861" i="1" s="1"/>
  <c r="T2860" i="1"/>
  <c r="U2860" i="1" s="1"/>
  <c r="V2860" i="1" s="1"/>
  <c r="W2860" i="1" s="1"/>
  <c r="L2860" i="1"/>
  <c r="M2860" i="1" s="1"/>
  <c r="O2860" i="1" s="1"/>
  <c r="T2859" i="1"/>
  <c r="L2859" i="1"/>
  <c r="M2859" i="1" s="1"/>
  <c r="T2858" i="1"/>
  <c r="U2858" i="1" s="1"/>
  <c r="L2858" i="1"/>
  <c r="M2858" i="1" s="1"/>
  <c r="T2857" i="1"/>
  <c r="U2857" i="1" s="1"/>
  <c r="V2857" i="1" s="1"/>
  <c r="L2857" i="1"/>
  <c r="M2857" i="1" s="1"/>
  <c r="O2857" i="1" s="1"/>
  <c r="T2856" i="1"/>
  <c r="U2856" i="1" s="1"/>
  <c r="V2856" i="1" s="1"/>
  <c r="L2856" i="1"/>
  <c r="M2856" i="1" s="1"/>
  <c r="T2855" i="1"/>
  <c r="L2855" i="1"/>
  <c r="M2855" i="1" s="1"/>
  <c r="T2854" i="1"/>
  <c r="U2854" i="1" s="1"/>
  <c r="L2854" i="1"/>
  <c r="M2854" i="1" s="1"/>
  <c r="T2853" i="1"/>
  <c r="U2853" i="1" s="1"/>
  <c r="V2853" i="1" s="1"/>
  <c r="L2853" i="1"/>
  <c r="M2853" i="1" s="1"/>
  <c r="O2853" i="1" s="1"/>
  <c r="T2852" i="1"/>
  <c r="U2852" i="1" s="1"/>
  <c r="V2852" i="1" s="1"/>
  <c r="L2852" i="1"/>
  <c r="M2852" i="1" s="1"/>
  <c r="O2852" i="1" s="1"/>
  <c r="P2852" i="1" s="1"/>
  <c r="T2851" i="1"/>
  <c r="L2851" i="1"/>
  <c r="M2851" i="1" s="1"/>
  <c r="T2850" i="1"/>
  <c r="U2850" i="1" s="1"/>
  <c r="L2850" i="1"/>
  <c r="M2850" i="1" s="1"/>
  <c r="T2849" i="1"/>
  <c r="U2849" i="1" s="1"/>
  <c r="L2849" i="1"/>
  <c r="M2849" i="1" s="1"/>
  <c r="T2848" i="1"/>
  <c r="U2848" i="1" s="1"/>
  <c r="V2848" i="1" s="1"/>
  <c r="W2848" i="1" s="1"/>
  <c r="L2848" i="1"/>
  <c r="M2848" i="1" s="1"/>
  <c r="O2848" i="1" s="1"/>
  <c r="P2848" i="1" s="1"/>
  <c r="T2847" i="1"/>
  <c r="L2847" i="1"/>
  <c r="M2847" i="1" s="1"/>
  <c r="T2846" i="1"/>
  <c r="U2846" i="1" s="1"/>
  <c r="L2846" i="1"/>
  <c r="M2846" i="1" s="1"/>
  <c r="T2845" i="1"/>
  <c r="L2845" i="1"/>
  <c r="M2845" i="1" s="1"/>
  <c r="T2844" i="1"/>
  <c r="U2844" i="1" s="1"/>
  <c r="V2844" i="1" s="1"/>
  <c r="W2844" i="1" s="1"/>
  <c r="L2844" i="1"/>
  <c r="M2844" i="1" s="1"/>
  <c r="O2844" i="1" s="1"/>
  <c r="T2843" i="1"/>
  <c r="L2843" i="1"/>
  <c r="M2843" i="1" s="1"/>
  <c r="T2842" i="1"/>
  <c r="U2842" i="1" s="1"/>
  <c r="L2842" i="1"/>
  <c r="M2842" i="1" s="1"/>
  <c r="T2841" i="1"/>
  <c r="U2841" i="1" s="1"/>
  <c r="V2841" i="1" s="1"/>
  <c r="L2841" i="1"/>
  <c r="M2841" i="1" s="1"/>
  <c r="O2841" i="1" s="1"/>
  <c r="T2840" i="1"/>
  <c r="U2840" i="1" s="1"/>
  <c r="V2840" i="1" s="1"/>
  <c r="L2840" i="1"/>
  <c r="M2840" i="1" s="1"/>
  <c r="T2839" i="1"/>
  <c r="L2839" i="1"/>
  <c r="M2839" i="1" s="1"/>
  <c r="T2838" i="1"/>
  <c r="U2838" i="1" s="1"/>
  <c r="L2838" i="1"/>
  <c r="M2838" i="1" s="1"/>
  <c r="T2837" i="1"/>
  <c r="U2837" i="1" s="1"/>
  <c r="V2837" i="1" s="1"/>
  <c r="L2837" i="1"/>
  <c r="M2837" i="1" s="1"/>
  <c r="O2837" i="1" s="1"/>
  <c r="T2836" i="1"/>
  <c r="U2836" i="1" s="1"/>
  <c r="V2836" i="1" s="1"/>
  <c r="L2836" i="1"/>
  <c r="M2836" i="1" s="1"/>
  <c r="O2836" i="1" s="1"/>
  <c r="P2836" i="1" s="1"/>
  <c r="T2835" i="1"/>
  <c r="L2835" i="1"/>
  <c r="M2835" i="1" s="1"/>
  <c r="T2834" i="1"/>
  <c r="U2834" i="1" s="1"/>
  <c r="L2834" i="1"/>
  <c r="M2834" i="1" s="1"/>
  <c r="T2833" i="1"/>
  <c r="U2833" i="1" s="1"/>
  <c r="L2833" i="1"/>
  <c r="M2833" i="1" s="1"/>
  <c r="T2832" i="1"/>
  <c r="U2832" i="1" s="1"/>
  <c r="V2832" i="1" s="1"/>
  <c r="W2832" i="1" s="1"/>
  <c r="L2832" i="1"/>
  <c r="M2832" i="1" s="1"/>
  <c r="O2832" i="1" s="1"/>
  <c r="P2832" i="1" s="1"/>
  <c r="T2831" i="1"/>
  <c r="L2831" i="1"/>
  <c r="M2831" i="1" s="1"/>
  <c r="T2830" i="1"/>
  <c r="U2830" i="1" s="1"/>
  <c r="L2830" i="1"/>
  <c r="M2830" i="1" s="1"/>
  <c r="T2829" i="1"/>
  <c r="L2829" i="1"/>
  <c r="M2829" i="1" s="1"/>
  <c r="T2828" i="1"/>
  <c r="U2828" i="1" s="1"/>
  <c r="V2828" i="1" s="1"/>
  <c r="W2828" i="1" s="1"/>
  <c r="L2828" i="1"/>
  <c r="M2828" i="1" s="1"/>
  <c r="O2828" i="1" s="1"/>
  <c r="T2827" i="1"/>
  <c r="L2827" i="1"/>
  <c r="M2827" i="1" s="1"/>
  <c r="T2826" i="1"/>
  <c r="U2826" i="1" s="1"/>
  <c r="L2826" i="1"/>
  <c r="M2826" i="1" s="1"/>
  <c r="T2825" i="1"/>
  <c r="U2825" i="1" s="1"/>
  <c r="V2825" i="1" s="1"/>
  <c r="L2825" i="1"/>
  <c r="M2825" i="1" s="1"/>
  <c r="O2825" i="1" s="1"/>
  <c r="T2824" i="1"/>
  <c r="U2824" i="1" s="1"/>
  <c r="V2824" i="1" s="1"/>
  <c r="L2824" i="1"/>
  <c r="M2824" i="1" s="1"/>
  <c r="T2823" i="1"/>
  <c r="L2823" i="1"/>
  <c r="M2823" i="1" s="1"/>
  <c r="T2822" i="1"/>
  <c r="U2822" i="1" s="1"/>
  <c r="L2822" i="1"/>
  <c r="M2822" i="1" s="1"/>
  <c r="T2821" i="1"/>
  <c r="U2821" i="1" s="1"/>
  <c r="V2821" i="1" s="1"/>
  <c r="L2821" i="1"/>
  <c r="M2821" i="1" s="1"/>
  <c r="O2821" i="1" s="1"/>
  <c r="T2820" i="1"/>
  <c r="U2820" i="1" s="1"/>
  <c r="V2820" i="1" s="1"/>
  <c r="L2820" i="1"/>
  <c r="M2820" i="1" s="1"/>
  <c r="O2820" i="1" s="1"/>
  <c r="P2820" i="1" s="1"/>
  <c r="T2819" i="1"/>
  <c r="L2819" i="1"/>
  <c r="M2819" i="1" s="1"/>
  <c r="T2818" i="1"/>
  <c r="U2818" i="1" s="1"/>
  <c r="L2818" i="1"/>
  <c r="M2818" i="1" s="1"/>
  <c r="T2817" i="1"/>
  <c r="U2817" i="1" s="1"/>
  <c r="L2817" i="1"/>
  <c r="M2817" i="1" s="1"/>
  <c r="T2816" i="1"/>
  <c r="U2816" i="1" s="1"/>
  <c r="V2816" i="1" s="1"/>
  <c r="W2816" i="1" s="1"/>
  <c r="L2816" i="1"/>
  <c r="M2816" i="1" s="1"/>
  <c r="O2816" i="1" s="1"/>
  <c r="P2816" i="1" s="1"/>
  <c r="T2815" i="1"/>
  <c r="L2815" i="1"/>
  <c r="M2815" i="1" s="1"/>
  <c r="T2814" i="1"/>
  <c r="U2814" i="1" s="1"/>
  <c r="L2814" i="1"/>
  <c r="M2814" i="1" s="1"/>
  <c r="T2813" i="1"/>
  <c r="L2813" i="1"/>
  <c r="M2813" i="1" s="1"/>
  <c r="T2812" i="1"/>
  <c r="U2812" i="1" s="1"/>
  <c r="V2812" i="1" s="1"/>
  <c r="W2812" i="1" s="1"/>
  <c r="L2812" i="1"/>
  <c r="M2812" i="1" s="1"/>
  <c r="O2812" i="1" s="1"/>
  <c r="T2811" i="1"/>
  <c r="L2811" i="1"/>
  <c r="M2811" i="1" s="1"/>
  <c r="T2810" i="1"/>
  <c r="U2810" i="1" s="1"/>
  <c r="L2810" i="1"/>
  <c r="M2810" i="1" s="1"/>
  <c r="T2809" i="1"/>
  <c r="U2809" i="1" s="1"/>
  <c r="V2809" i="1" s="1"/>
  <c r="L2809" i="1"/>
  <c r="M2809" i="1" s="1"/>
  <c r="O2809" i="1" s="1"/>
  <c r="T2808" i="1"/>
  <c r="U2808" i="1" s="1"/>
  <c r="V2808" i="1" s="1"/>
  <c r="L2808" i="1"/>
  <c r="M2808" i="1" s="1"/>
  <c r="T2807" i="1"/>
  <c r="L2807" i="1"/>
  <c r="M2807" i="1" s="1"/>
  <c r="T2806" i="1"/>
  <c r="U2806" i="1" s="1"/>
  <c r="L2806" i="1"/>
  <c r="M2806" i="1" s="1"/>
  <c r="T2805" i="1"/>
  <c r="U2805" i="1" s="1"/>
  <c r="V2805" i="1" s="1"/>
  <c r="L2805" i="1"/>
  <c r="M2805" i="1" s="1"/>
  <c r="O2805" i="1" s="1"/>
  <c r="T2804" i="1"/>
  <c r="U2804" i="1" s="1"/>
  <c r="V2804" i="1" s="1"/>
  <c r="L2804" i="1"/>
  <c r="M2804" i="1" s="1"/>
  <c r="O2804" i="1" s="1"/>
  <c r="P2804" i="1" s="1"/>
  <c r="T2803" i="1"/>
  <c r="L2803" i="1"/>
  <c r="M2803" i="1" s="1"/>
  <c r="T2802" i="1"/>
  <c r="U2802" i="1" s="1"/>
  <c r="L2802" i="1"/>
  <c r="M2802" i="1" s="1"/>
  <c r="T2801" i="1"/>
  <c r="U2801" i="1" s="1"/>
  <c r="L2801" i="1"/>
  <c r="M2801" i="1" s="1"/>
  <c r="T2800" i="1"/>
  <c r="U2800" i="1" s="1"/>
  <c r="V2800" i="1" s="1"/>
  <c r="W2800" i="1" s="1"/>
  <c r="L2800" i="1"/>
  <c r="M2800" i="1" s="1"/>
  <c r="O2800" i="1" s="1"/>
  <c r="P2800" i="1" s="1"/>
  <c r="T2799" i="1"/>
  <c r="L2799" i="1"/>
  <c r="M2799" i="1" s="1"/>
  <c r="T2798" i="1"/>
  <c r="U2798" i="1" s="1"/>
  <c r="L2798" i="1"/>
  <c r="M2798" i="1" s="1"/>
  <c r="T2797" i="1"/>
  <c r="L2797" i="1"/>
  <c r="M2797" i="1" s="1"/>
  <c r="T2796" i="1"/>
  <c r="U2796" i="1" s="1"/>
  <c r="V2796" i="1" s="1"/>
  <c r="W2796" i="1" s="1"/>
  <c r="L2796" i="1"/>
  <c r="M2796" i="1" s="1"/>
  <c r="O2796" i="1" s="1"/>
  <c r="T2795" i="1"/>
  <c r="L2795" i="1"/>
  <c r="M2795" i="1" s="1"/>
  <c r="T2794" i="1"/>
  <c r="U2794" i="1" s="1"/>
  <c r="L2794" i="1"/>
  <c r="M2794" i="1" s="1"/>
  <c r="T2793" i="1"/>
  <c r="U2793" i="1" s="1"/>
  <c r="V2793" i="1" s="1"/>
  <c r="L2793" i="1"/>
  <c r="M2793" i="1" s="1"/>
  <c r="O2793" i="1" s="1"/>
  <c r="T2792" i="1"/>
  <c r="U2792" i="1" s="1"/>
  <c r="V2792" i="1" s="1"/>
  <c r="L2792" i="1"/>
  <c r="M2792" i="1" s="1"/>
  <c r="T2791" i="1"/>
  <c r="L2791" i="1"/>
  <c r="M2791" i="1" s="1"/>
  <c r="T2790" i="1"/>
  <c r="U2790" i="1" s="1"/>
  <c r="L2790" i="1"/>
  <c r="M2790" i="1" s="1"/>
  <c r="T2789" i="1"/>
  <c r="U2789" i="1" s="1"/>
  <c r="V2789" i="1" s="1"/>
  <c r="L2789" i="1"/>
  <c r="M2789" i="1" s="1"/>
  <c r="O2789" i="1" s="1"/>
  <c r="T2788" i="1"/>
  <c r="U2788" i="1" s="1"/>
  <c r="V2788" i="1" s="1"/>
  <c r="L2788" i="1"/>
  <c r="M2788" i="1" s="1"/>
  <c r="O2788" i="1" s="1"/>
  <c r="P2788" i="1" s="1"/>
  <c r="T2787" i="1"/>
  <c r="L2787" i="1"/>
  <c r="M2787" i="1" s="1"/>
  <c r="T2786" i="1"/>
  <c r="U2786" i="1" s="1"/>
  <c r="L2786" i="1"/>
  <c r="M2786" i="1" s="1"/>
  <c r="T2785" i="1"/>
  <c r="U2785" i="1" s="1"/>
  <c r="L2785" i="1"/>
  <c r="M2785" i="1" s="1"/>
  <c r="T2784" i="1"/>
  <c r="U2784" i="1" s="1"/>
  <c r="V2784" i="1" s="1"/>
  <c r="W2784" i="1" s="1"/>
  <c r="L2784" i="1"/>
  <c r="M2784" i="1" s="1"/>
  <c r="O2784" i="1" s="1"/>
  <c r="P2784" i="1" s="1"/>
  <c r="T2783" i="1"/>
  <c r="L2783" i="1"/>
  <c r="M2783" i="1" s="1"/>
  <c r="T2782" i="1"/>
  <c r="U2782" i="1" s="1"/>
  <c r="L2782" i="1"/>
  <c r="M2782" i="1" s="1"/>
  <c r="T2781" i="1"/>
  <c r="L2781" i="1"/>
  <c r="M2781" i="1" s="1"/>
  <c r="T2780" i="1"/>
  <c r="U2780" i="1" s="1"/>
  <c r="V2780" i="1" s="1"/>
  <c r="W2780" i="1" s="1"/>
  <c r="L2780" i="1"/>
  <c r="M2780" i="1" s="1"/>
  <c r="O2780" i="1" s="1"/>
  <c r="T2779" i="1"/>
  <c r="L2779" i="1"/>
  <c r="M2779" i="1" s="1"/>
  <c r="T2778" i="1"/>
  <c r="U2778" i="1" s="1"/>
  <c r="L2778" i="1"/>
  <c r="M2778" i="1" s="1"/>
  <c r="T2777" i="1"/>
  <c r="U2777" i="1" s="1"/>
  <c r="V2777" i="1" s="1"/>
  <c r="L2777" i="1"/>
  <c r="M2777" i="1" s="1"/>
  <c r="O2777" i="1" s="1"/>
  <c r="T2776" i="1"/>
  <c r="U2776" i="1" s="1"/>
  <c r="V2776" i="1" s="1"/>
  <c r="L2776" i="1"/>
  <c r="M2776" i="1" s="1"/>
  <c r="T2775" i="1"/>
  <c r="L2775" i="1"/>
  <c r="M2775" i="1" s="1"/>
  <c r="T2774" i="1"/>
  <c r="U2774" i="1" s="1"/>
  <c r="L2774" i="1"/>
  <c r="M2774" i="1" s="1"/>
  <c r="T2773" i="1"/>
  <c r="U2773" i="1" s="1"/>
  <c r="V2773" i="1" s="1"/>
  <c r="L2773" i="1"/>
  <c r="M2773" i="1" s="1"/>
  <c r="O2773" i="1" s="1"/>
  <c r="T2772" i="1"/>
  <c r="U2772" i="1" s="1"/>
  <c r="V2772" i="1" s="1"/>
  <c r="L2772" i="1"/>
  <c r="M2772" i="1" s="1"/>
  <c r="O2772" i="1" s="1"/>
  <c r="P2772" i="1" s="1"/>
  <c r="T2771" i="1"/>
  <c r="L2771" i="1"/>
  <c r="M2771" i="1" s="1"/>
  <c r="T2770" i="1"/>
  <c r="U2770" i="1" s="1"/>
  <c r="L2770" i="1"/>
  <c r="M2770" i="1" s="1"/>
  <c r="T2769" i="1"/>
  <c r="U2769" i="1" s="1"/>
  <c r="L2769" i="1"/>
  <c r="M2769" i="1" s="1"/>
  <c r="T2768" i="1"/>
  <c r="U2768" i="1" s="1"/>
  <c r="V2768" i="1" s="1"/>
  <c r="W2768" i="1" s="1"/>
  <c r="L2768" i="1"/>
  <c r="M2768" i="1" s="1"/>
  <c r="O2768" i="1" s="1"/>
  <c r="P2768" i="1" s="1"/>
  <c r="T2767" i="1"/>
  <c r="L2767" i="1"/>
  <c r="M2767" i="1" s="1"/>
  <c r="T2766" i="1"/>
  <c r="U2766" i="1" s="1"/>
  <c r="L2766" i="1"/>
  <c r="M2766" i="1" s="1"/>
  <c r="T2765" i="1"/>
  <c r="L2765" i="1"/>
  <c r="M2765" i="1" s="1"/>
  <c r="T2764" i="1"/>
  <c r="U2764" i="1" s="1"/>
  <c r="V2764" i="1" s="1"/>
  <c r="W2764" i="1" s="1"/>
  <c r="L2764" i="1"/>
  <c r="M2764" i="1" s="1"/>
  <c r="O2764" i="1" s="1"/>
  <c r="T2763" i="1"/>
  <c r="L2763" i="1"/>
  <c r="M2763" i="1" s="1"/>
  <c r="T2762" i="1"/>
  <c r="U2762" i="1" s="1"/>
  <c r="L2762" i="1"/>
  <c r="M2762" i="1" s="1"/>
  <c r="T2761" i="1"/>
  <c r="U2761" i="1" s="1"/>
  <c r="V2761" i="1" s="1"/>
  <c r="L2761" i="1"/>
  <c r="M2761" i="1" s="1"/>
  <c r="O2761" i="1" s="1"/>
  <c r="T2760" i="1"/>
  <c r="U2760" i="1" s="1"/>
  <c r="V2760" i="1" s="1"/>
  <c r="L2760" i="1"/>
  <c r="M2760" i="1" s="1"/>
  <c r="T2759" i="1"/>
  <c r="L2759" i="1"/>
  <c r="M2759" i="1" s="1"/>
  <c r="T2758" i="1"/>
  <c r="U2758" i="1" s="1"/>
  <c r="L2758" i="1"/>
  <c r="M2758" i="1" s="1"/>
  <c r="T2757" i="1"/>
  <c r="U2757" i="1" s="1"/>
  <c r="V2757" i="1" s="1"/>
  <c r="L2757" i="1"/>
  <c r="M2757" i="1" s="1"/>
  <c r="O2757" i="1" s="1"/>
  <c r="T2756" i="1"/>
  <c r="U2756" i="1" s="1"/>
  <c r="V2756" i="1" s="1"/>
  <c r="L2756" i="1"/>
  <c r="M2756" i="1" s="1"/>
  <c r="O2756" i="1" s="1"/>
  <c r="P2756" i="1" s="1"/>
  <c r="T2755" i="1"/>
  <c r="L2755" i="1"/>
  <c r="M2755" i="1" s="1"/>
  <c r="T2754" i="1"/>
  <c r="U2754" i="1" s="1"/>
  <c r="L2754" i="1"/>
  <c r="M2754" i="1" s="1"/>
  <c r="T2753" i="1"/>
  <c r="U2753" i="1" s="1"/>
  <c r="L2753" i="1"/>
  <c r="M2753" i="1" s="1"/>
  <c r="T2752" i="1"/>
  <c r="U2752" i="1" s="1"/>
  <c r="V2752" i="1" s="1"/>
  <c r="W2752" i="1" s="1"/>
  <c r="L2752" i="1"/>
  <c r="M2752" i="1" s="1"/>
  <c r="O2752" i="1" s="1"/>
  <c r="P2752" i="1" s="1"/>
  <c r="T2751" i="1"/>
  <c r="L2751" i="1"/>
  <c r="M2751" i="1" s="1"/>
  <c r="T2750" i="1"/>
  <c r="U2750" i="1" s="1"/>
  <c r="L2750" i="1"/>
  <c r="M2750" i="1" s="1"/>
  <c r="T2749" i="1"/>
  <c r="L2749" i="1"/>
  <c r="M2749" i="1" s="1"/>
  <c r="T2748" i="1"/>
  <c r="U2748" i="1" s="1"/>
  <c r="V2748" i="1" s="1"/>
  <c r="W2748" i="1" s="1"/>
  <c r="L2748" i="1"/>
  <c r="M2748" i="1" s="1"/>
  <c r="O2748" i="1" s="1"/>
  <c r="T2747" i="1"/>
  <c r="L2747" i="1"/>
  <c r="M2747" i="1" s="1"/>
  <c r="T2746" i="1"/>
  <c r="U2746" i="1" s="1"/>
  <c r="L2746" i="1"/>
  <c r="M2746" i="1" s="1"/>
  <c r="T2745" i="1"/>
  <c r="U2745" i="1" s="1"/>
  <c r="V2745" i="1" s="1"/>
  <c r="L2745" i="1"/>
  <c r="M2745" i="1" s="1"/>
  <c r="O2745" i="1" s="1"/>
  <c r="T2744" i="1"/>
  <c r="U2744" i="1" s="1"/>
  <c r="V2744" i="1" s="1"/>
  <c r="L2744" i="1"/>
  <c r="M2744" i="1" s="1"/>
  <c r="T2743" i="1"/>
  <c r="L2743" i="1"/>
  <c r="M2743" i="1" s="1"/>
  <c r="T2742" i="1"/>
  <c r="U2742" i="1" s="1"/>
  <c r="L2742" i="1"/>
  <c r="M2742" i="1" s="1"/>
  <c r="T2741" i="1"/>
  <c r="U2741" i="1" s="1"/>
  <c r="V2741" i="1" s="1"/>
  <c r="L2741" i="1"/>
  <c r="M2741" i="1" s="1"/>
  <c r="O2741" i="1" s="1"/>
  <c r="T2740" i="1"/>
  <c r="U2740" i="1" s="1"/>
  <c r="V2740" i="1" s="1"/>
  <c r="L2740" i="1"/>
  <c r="M2740" i="1" s="1"/>
  <c r="O2740" i="1" s="1"/>
  <c r="P2740" i="1" s="1"/>
  <c r="T2739" i="1"/>
  <c r="L2739" i="1"/>
  <c r="M2739" i="1" s="1"/>
  <c r="T2738" i="1"/>
  <c r="U2738" i="1" s="1"/>
  <c r="L2738" i="1"/>
  <c r="M2738" i="1" s="1"/>
  <c r="T2737" i="1"/>
  <c r="U2737" i="1" s="1"/>
  <c r="L2737" i="1"/>
  <c r="M2737" i="1" s="1"/>
  <c r="T2736" i="1"/>
  <c r="U2736" i="1" s="1"/>
  <c r="V2736" i="1" s="1"/>
  <c r="W2736" i="1" s="1"/>
  <c r="L2736" i="1"/>
  <c r="M2736" i="1" s="1"/>
  <c r="O2736" i="1" s="1"/>
  <c r="P2736" i="1" s="1"/>
  <c r="T2735" i="1"/>
  <c r="L2735" i="1"/>
  <c r="M2735" i="1" s="1"/>
  <c r="T2734" i="1"/>
  <c r="U2734" i="1" s="1"/>
  <c r="L2734" i="1"/>
  <c r="M2734" i="1" s="1"/>
  <c r="T2733" i="1"/>
  <c r="L2733" i="1"/>
  <c r="M2733" i="1" s="1"/>
  <c r="T2732" i="1"/>
  <c r="U2732" i="1" s="1"/>
  <c r="V2732" i="1" s="1"/>
  <c r="W2732" i="1" s="1"/>
  <c r="L2732" i="1"/>
  <c r="M2732" i="1" s="1"/>
  <c r="O2732" i="1" s="1"/>
  <c r="T2731" i="1"/>
  <c r="L2731" i="1"/>
  <c r="M2731" i="1" s="1"/>
  <c r="T2730" i="1"/>
  <c r="U2730" i="1" s="1"/>
  <c r="L2730" i="1"/>
  <c r="M2730" i="1" s="1"/>
  <c r="T2729" i="1"/>
  <c r="U2729" i="1" s="1"/>
  <c r="V2729" i="1" s="1"/>
  <c r="L2729" i="1"/>
  <c r="M2729" i="1" s="1"/>
  <c r="O2729" i="1" s="1"/>
  <c r="T2728" i="1"/>
  <c r="U2728" i="1" s="1"/>
  <c r="V2728" i="1" s="1"/>
  <c r="L2728" i="1"/>
  <c r="M2728" i="1" s="1"/>
  <c r="T2727" i="1"/>
  <c r="L2727" i="1"/>
  <c r="M2727" i="1" s="1"/>
  <c r="T2726" i="1"/>
  <c r="U2726" i="1" s="1"/>
  <c r="L2726" i="1"/>
  <c r="M2726" i="1" s="1"/>
  <c r="T2725" i="1"/>
  <c r="U2725" i="1" s="1"/>
  <c r="V2725" i="1" s="1"/>
  <c r="L2725" i="1"/>
  <c r="M2725" i="1" s="1"/>
  <c r="O2725" i="1" s="1"/>
  <c r="T2724" i="1"/>
  <c r="U2724" i="1" s="1"/>
  <c r="V2724" i="1" s="1"/>
  <c r="L2724" i="1"/>
  <c r="M2724" i="1" s="1"/>
  <c r="O2724" i="1" s="1"/>
  <c r="P2724" i="1" s="1"/>
  <c r="T2723" i="1"/>
  <c r="L2723" i="1"/>
  <c r="M2723" i="1" s="1"/>
  <c r="T2722" i="1"/>
  <c r="U2722" i="1" s="1"/>
  <c r="L2722" i="1"/>
  <c r="M2722" i="1" s="1"/>
  <c r="T2721" i="1"/>
  <c r="L2721" i="1"/>
  <c r="M2721" i="1" s="1"/>
  <c r="T2720" i="1"/>
  <c r="U2720" i="1" s="1"/>
  <c r="V2720" i="1" s="1"/>
  <c r="W2720" i="1" s="1"/>
  <c r="L2720" i="1"/>
  <c r="M2720" i="1" s="1"/>
  <c r="O2720" i="1" s="1"/>
  <c r="P2720" i="1" s="1"/>
  <c r="T2719" i="1"/>
  <c r="L2719" i="1"/>
  <c r="M2719" i="1" s="1"/>
  <c r="O2719" i="1" s="1"/>
  <c r="T2718" i="1"/>
  <c r="U2718" i="1" s="1"/>
  <c r="L2718" i="1"/>
  <c r="M2718" i="1" s="1"/>
  <c r="T2717" i="1"/>
  <c r="L2717" i="1"/>
  <c r="M2717" i="1" s="1"/>
  <c r="T2716" i="1"/>
  <c r="U2716" i="1" s="1"/>
  <c r="V2716" i="1" s="1"/>
  <c r="W2716" i="1" s="1"/>
  <c r="L2716" i="1"/>
  <c r="M2716" i="1" s="1"/>
  <c r="O2716" i="1" s="1"/>
  <c r="T2715" i="1"/>
  <c r="L2715" i="1"/>
  <c r="M2715" i="1" s="1"/>
  <c r="T2714" i="1"/>
  <c r="U2714" i="1" s="1"/>
  <c r="L2714" i="1"/>
  <c r="M2714" i="1" s="1"/>
  <c r="T2713" i="1"/>
  <c r="L2713" i="1"/>
  <c r="M2713" i="1" s="1"/>
  <c r="O2713" i="1" s="1"/>
  <c r="T2712" i="1"/>
  <c r="U2712" i="1" s="1"/>
  <c r="V2712" i="1" s="1"/>
  <c r="L2712" i="1"/>
  <c r="M2712" i="1" s="1"/>
  <c r="O2712" i="1" s="1"/>
  <c r="T2711" i="1"/>
  <c r="U2711" i="1" s="1"/>
  <c r="L2711" i="1"/>
  <c r="M2711" i="1" s="1"/>
  <c r="O2711" i="1" s="1"/>
  <c r="T2710" i="1"/>
  <c r="U2710" i="1" s="1"/>
  <c r="L2710" i="1"/>
  <c r="M2710" i="1" s="1"/>
  <c r="T2709" i="1"/>
  <c r="L2709" i="1"/>
  <c r="M2709" i="1" s="1"/>
  <c r="T2708" i="1"/>
  <c r="U2708" i="1" s="1"/>
  <c r="V2708" i="1" s="1"/>
  <c r="W2708" i="1" s="1"/>
  <c r="L2708" i="1"/>
  <c r="M2708" i="1" s="1"/>
  <c r="T2707" i="1"/>
  <c r="L2707" i="1"/>
  <c r="M2707" i="1" s="1"/>
  <c r="T2706" i="1"/>
  <c r="U2706" i="1" s="1"/>
  <c r="L2706" i="1"/>
  <c r="M2706" i="1" s="1"/>
  <c r="T2705" i="1"/>
  <c r="L2705" i="1"/>
  <c r="M2705" i="1" s="1"/>
  <c r="O2705" i="1" s="1"/>
  <c r="T2704" i="1"/>
  <c r="U2704" i="1" s="1"/>
  <c r="V2704" i="1" s="1"/>
  <c r="L2704" i="1"/>
  <c r="M2704" i="1" s="1"/>
  <c r="O2704" i="1" s="1"/>
  <c r="T2703" i="1"/>
  <c r="U2703" i="1" s="1"/>
  <c r="L2703" i="1"/>
  <c r="M2703" i="1" s="1"/>
  <c r="O2703" i="1" s="1"/>
  <c r="T2702" i="1"/>
  <c r="U2702" i="1" s="1"/>
  <c r="L2702" i="1"/>
  <c r="M2702" i="1" s="1"/>
  <c r="O2702" i="1" s="1"/>
  <c r="T2701" i="1"/>
  <c r="L2701" i="1"/>
  <c r="M2701" i="1" s="1"/>
  <c r="T2700" i="1"/>
  <c r="U2700" i="1" s="1"/>
  <c r="V2700" i="1" s="1"/>
  <c r="W2700" i="1" s="1"/>
  <c r="L2700" i="1"/>
  <c r="M2700" i="1" s="1"/>
  <c r="O2700" i="1" s="1"/>
  <c r="T2699" i="1"/>
  <c r="L2699" i="1"/>
  <c r="M2699" i="1" s="1"/>
  <c r="T2698" i="1"/>
  <c r="U2698" i="1" s="1"/>
  <c r="L2698" i="1"/>
  <c r="M2698" i="1" s="1"/>
  <c r="T2697" i="1"/>
  <c r="L2697" i="1"/>
  <c r="M2697" i="1" s="1"/>
  <c r="O2697" i="1" s="1"/>
  <c r="T2696" i="1"/>
  <c r="U2696" i="1" s="1"/>
  <c r="V2696" i="1" s="1"/>
  <c r="L2696" i="1"/>
  <c r="M2696" i="1" s="1"/>
  <c r="O2696" i="1" s="1"/>
  <c r="T2695" i="1"/>
  <c r="U2695" i="1" s="1"/>
  <c r="L2695" i="1"/>
  <c r="M2695" i="1" s="1"/>
  <c r="O2695" i="1" s="1"/>
  <c r="T2694" i="1"/>
  <c r="U2694" i="1" s="1"/>
  <c r="L2694" i="1"/>
  <c r="M2694" i="1" s="1"/>
  <c r="T2693" i="1"/>
  <c r="L2693" i="1"/>
  <c r="M2693" i="1" s="1"/>
  <c r="T2692" i="1"/>
  <c r="U2692" i="1" s="1"/>
  <c r="V2692" i="1" s="1"/>
  <c r="W2692" i="1" s="1"/>
  <c r="L2692" i="1"/>
  <c r="M2692" i="1" s="1"/>
  <c r="T2691" i="1"/>
  <c r="L2691" i="1"/>
  <c r="M2691" i="1" s="1"/>
  <c r="T2690" i="1"/>
  <c r="U2690" i="1" s="1"/>
  <c r="L2690" i="1"/>
  <c r="M2690" i="1" s="1"/>
  <c r="T2689" i="1"/>
  <c r="U2689" i="1" s="1"/>
  <c r="V2689" i="1" s="1"/>
  <c r="L2689" i="1"/>
  <c r="M2689" i="1" s="1"/>
  <c r="T2688" i="1"/>
  <c r="U2688" i="1" s="1"/>
  <c r="V2688" i="1" s="1"/>
  <c r="L2688" i="1"/>
  <c r="M2688" i="1" s="1"/>
  <c r="T2687" i="1"/>
  <c r="L2687" i="1"/>
  <c r="M2687" i="1" s="1"/>
  <c r="T2686" i="1"/>
  <c r="U2686" i="1" s="1"/>
  <c r="L2686" i="1"/>
  <c r="M2686" i="1" s="1"/>
  <c r="T2685" i="1"/>
  <c r="L2685" i="1"/>
  <c r="M2685" i="1" s="1"/>
  <c r="T2684" i="1"/>
  <c r="U2684" i="1" s="1"/>
  <c r="V2684" i="1" s="1"/>
  <c r="W2684" i="1" s="1"/>
  <c r="L2684" i="1"/>
  <c r="M2684" i="1" s="1"/>
  <c r="T2683" i="1"/>
  <c r="U2683" i="1" s="1"/>
  <c r="L2683" i="1"/>
  <c r="M2683" i="1" s="1"/>
  <c r="O2683" i="1" s="1"/>
  <c r="P2683" i="1" s="1"/>
  <c r="T2682" i="1"/>
  <c r="U2682" i="1" s="1"/>
  <c r="L2682" i="1"/>
  <c r="M2682" i="1" s="1"/>
  <c r="T2681" i="1"/>
  <c r="U2681" i="1" s="1"/>
  <c r="V2681" i="1" s="1"/>
  <c r="L2681" i="1"/>
  <c r="M2681" i="1" s="1"/>
  <c r="T2680" i="1"/>
  <c r="U2680" i="1" s="1"/>
  <c r="V2680" i="1" s="1"/>
  <c r="L2680" i="1"/>
  <c r="M2680" i="1" s="1"/>
  <c r="T2679" i="1"/>
  <c r="L2679" i="1"/>
  <c r="M2679" i="1" s="1"/>
  <c r="T2678" i="1"/>
  <c r="L2678" i="1"/>
  <c r="M2678" i="1" s="1"/>
  <c r="T2677" i="1"/>
  <c r="U2677" i="1" s="1"/>
  <c r="V2677" i="1" s="1"/>
  <c r="L2677" i="1"/>
  <c r="M2677" i="1" s="1"/>
  <c r="T2676" i="1"/>
  <c r="U2676" i="1" s="1"/>
  <c r="V2676" i="1" s="1"/>
  <c r="L2676" i="1"/>
  <c r="M2676" i="1" s="1"/>
  <c r="T2675" i="1"/>
  <c r="L2675" i="1"/>
  <c r="M2675" i="1" s="1"/>
  <c r="T2674" i="1"/>
  <c r="U2674" i="1" s="1"/>
  <c r="L2674" i="1"/>
  <c r="M2674" i="1" s="1"/>
  <c r="O2674" i="1" s="1"/>
  <c r="P2674" i="1" s="1"/>
  <c r="T2673" i="1"/>
  <c r="L2673" i="1"/>
  <c r="M2673" i="1" s="1"/>
  <c r="T2672" i="1"/>
  <c r="L2672" i="1"/>
  <c r="M2672" i="1" s="1"/>
  <c r="T2671" i="1"/>
  <c r="U2671" i="1" s="1"/>
  <c r="V2671" i="1" s="1"/>
  <c r="L2671" i="1"/>
  <c r="M2671" i="1" s="1"/>
  <c r="T2670" i="1"/>
  <c r="L2670" i="1"/>
  <c r="M2670" i="1" s="1"/>
  <c r="O2670" i="1" s="1"/>
  <c r="P2670" i="1" s="1"/>
  <c r="T2669" i="1"/>
  <c r="L2669" i="1"/>
  <c r="M2669" i="1" s="1"/>
  <c r="T2668" i="1"/>
  <c r="L2668" i="1"/>
  <c r="M2668" i="1" s="1"/>
  <c r="T2667" i="1"/>
  <c r="U2667" i="1" s="1"/>
  <c r="V2667" i="1" s="1"/>
  <c r="L2667" i="1"/>
  <c r="M2667" i="1" s="1"/>
  <c r="T2666" i="1"/>
  <c r="U2666" i="1" s="1"/>
  <c r="L2666" i="1"/>
  <c r="M2666" i="1" s="1"/>
  <c r="O2666" i="1" s="1"/>
  <c r="P2666" i="1" s="1"/>
  <c r="T2665" i="1"/>
  <c r="L2665" i="1"/>
  <c r="M2665" i="1" s="1"/>
  <c r="T2664" i="1"/>
  <c r="L2664" i="1"/>
  <c r="M2664" i="1" s="1"/>
  <c r="T2663" i="1"/>
  <c r="U2663" i="1" s="1"/>
  <c r="V2663" i="1" s="1"/>
  <c r="L2663" i="1"/>
  <c r="M2663" i="1" s="1"/>
  <c r="T2662" i="1"/>
  <c r="L2662" i="1"/>
  <c r="M2662" i="1" s="1"/>
  <c r="O2662" i="1" s="1"/>
  <c r="P2662" i="1" s="1"/>
  <c r="T2661" i="1"/>
  <c r="L2661" i="1"/>
  <c r="M2661" i="1" s="1"/>
  <c r="O2661" i="1" s="1"/>
  <c r="T2660" i="1"/>
  <c r="L2660" i="1"/>
  <c r="M2660" i="1" s="1"/>
  <c r="T2659" i="1"/>
  <c r="U2659" i="1" s="1"/>
  <c r="V2659" i="1" s="1"/>
  <c r="L2659" i="1"/>
  <c r="M2659" i="1" s="1"/>
  <c r="T2658" i="1"/>
  <c r="U2658" i="1" s="1"/>
  <c r="V2658" i="1" s="1"/>
  <c r="L2658" i="1"/>
  <c r="M2658" i="1" s="1"/>
  <c r="O2658" i="1" s="1"/>
  <c r="P2658" i="1" s="1"/>
  <c r="T2657" i="1"/>
  <c r="L2657" i="1"/>
  <c r="M2657" i="1" s="1"/>
  <c r="T2656" i="1"/>
  <c r="L2656" i="1"/>
  <c r="M2656" i="1" s="1"/>
  <c r="T2655" i="1"/>
  <c r="U2655" i="1" s="1"/>
  <c r="L2655" i="1"/>
  <c r="M2655" i="1" s="1"/>
  <c r="O2655" i="1" s="1"/>
  <c r="P2655" i="1" s="1"/>
  <c r="T2654" i="1"/>
  <c r="L2654" i="1"/>
  <c r="M2654" i="1" s="1"/>
  <c r="T2653" i="1"/>
  <c r="L2653" i="1"/>
  <c r="M2653" i="1" s="1"/>
  <c r="T2652" i="1"/>
  <c r="U2652" i="1" s="1"/>
  <c r="V2652" i="1" s="1"/>
  <c r="L2652" i="1"/>
  <c r="M2652" i="1" s="1"/>
  <c r="T2651" i="1"/>
  <c r="U2651" i="1" s="1"/>
  <c r="L2651" i="1"/>
  <c r="M2651" i="1" s="1"/>
  <c r="O2651" i="1" s="1"/>
  <c r="P2651" i="1" s="1"/>
  <c r="T2650" i="1"/>
  <c r="L2650" i="1"/>
  <c r="M2650" i="1" s="1"/>
  <c r="O2650" i="1" s="1"/>
  <c r="T2649" i="1"/>
  <c r="L2649" i="1"/>
  <c r="M2649" i="1" s="1"/>
  <c r="T2648" i="1"/>
  <c r="U2648" i="1" s="1"/>
  <c r="V2648" i="1" s="1"/>
  <c r="L2648" i="1"/>
  <c r="M2648" i="1" s="1"/>
  <c r="T2647" i="1"/>
  <c r="L2647" i="1"/>
  <c r="M2647" i="1" s="1"/>
  <c r="O2647" i="1" s="1"/>
  <c r="P2647" i="1" s="1"/>
  <c r="T2646" i="1"/>
  <c r="L2646" i="1"/>
  <c r="M2646" i="1" s="1"/>
  <c r="O2646" i="1" s="1"/>
  <c r="T2645" i="1"/>
  <c r="L2645" i="1"/>
  <c r="M2645" i="1" s="1"/>
  <c r="T2644" i="1"/>
  <c r="U2644" i="1" s="1"/>
  <c r="V2644" i="1" s="1"/>
  <c r="L2644" i="1"/>
  <c r="M2644" i="1" s="1"/>
  <c r="T2643" i="1"/>
  <c r="L2643" i="1"/>
  <c r="M2643" i="1" s="1"/>
  <c r="O2643" i="1" s="1"/>
  <c r="P2643" i="1" s="1"/>
  <c r="T2642" i="1"/>
  <c r="L2642" i="1"/>
  <c r="M2642" i="1" s="1"/>
  <c r="T2641" i="1"/>
  <c r="L2641" i="1"/>
  <c r="M2641" i="1" s="1"/>
  <c r="T2640" i="1"/>
  <c r="U2640" i="1" s="1"/>
  <c r="V2640" i="1" s="1"/>
  <c r="L2640" i="1"/>
  <c r="M2640" i="1" s="1"/>
  <c r="T2639" i="1"/>
  <c r="L2639" i="1"/>
  <c r="M2639" i="1" s="1"/>
  <c r="O2639" i="1" s="1"/>
  <c r="P2639" i="1" s="1"/>
  <c r="T2638" i="1"/>
  <c r="L2638" i="1"/>
  <c r="M2638" i="1" s="1"/>
  <c r="T2637" i="1"/>
  <c r="L2637" i="1"/>
  <c r="M2637" i="1" s="1"/>
  <c r="T2636" i="1"/>
  <c r="U2636" i="1" s="1"/>
  <c r="V2636" i="1" s="1"/>
  <c r="L2636" i="1"/>
  <c r="M2636" i="1" s="1"/>
  <c r="T2635" i="1"/>
  <c r="L2635" i="1"/>
  <c r="M2635" i="1" s="1"/>
  <c r="O2635" i="1" s="1"/>
  <c r="P2635" i="1" s="1"/>
  <c r="T2634" i="1"/>
  <c r="L2634" i="1"/>
  <c r="M2634" i="1" s="1"/>
  <c r="T2633" i="1"/>
  <c r="L2633" i="1"/>
  <c r="M2633" i="1" s="1"/>
  <c r="T2632" i="1"/>
  <c r="U2632" i="1" s="1"/>
  <c r="V2632" i="1" s="1"/>
  <c r="L2632" i="1"/>
  <c r="M2632" i="1" s="1"/>
  <c r="T2631" i="1"/>
  <c r="U2631" i="1" s="1"/>
  <c r="L2631" i="1"/>
  <c r="M2631" i="1" s="1"/>
  <c r="O2631" i="1" s="1"/>
  <c r="P2631" i="1" s="1"/>
  <c r="T2630" i="1"/>
  <c r="L2630" i="1"/>
  <c r="M2630" i="1" s="1"/>
  <c r="T2629" i="1"/>
  <c r="L2629" i="1"/>
  <c r="M2629" i="1" s="1"/>
  <c r="T2628" i="1"/>
  <c r="U2628" i="1" s="1"/>
  <c r="V2628" i="1" s="1"/>
  <c r="L2628" i="1"/>
  <c r="M2628" i="1" s="1"/>
  <c r="T2627" i="1"/>
  <c r="L2627" i="1"/>
  <c r="M2627" i="1" s="1"/>
  <c r="O2627" i="1" s="1"/>
  <c r="P2627" i="1" s="1"/>
  <c r="T2626" i="1"/>
  <c r="L2626" i="1"/>
  <c r="M2626" i="1" s="1"/>
  <c r="O2626" i="1" s="1"/>
  <c r="T2625" i="1"/>
  <c r="L2625" i="1"/>
  <c r="M2625" i="1" s="1"/>
  <c r="T2624" i="1"/>
  <c r="U2624" i="1" s="1"/>
  <c r="V2624" i="1" s="1"/>
  <c r="L2624" i="1"/>
  <c r="M2624" i="1" s="1"/>
  <c r="T2623" i="1"/>
  <c r="L2623" i="1"/>
  <c r="M2623" i="1" s="1"/>
  <c r="O2623" i="1" s="1"/>
  <c r="P2623" i="1" s="1"/>
  <c r="T2622" i="1"/>
  <c r="L2622" i="1"/>
  <c r="M2622" i="1" s="1"/>
  <c r="O2622" i="1" s="1"/>
  <c r="T2621" i="1"/>
  <c r="L2621" i="1"/>
  <c r="M2621" i="1" s="1"/>
  <c r="T2620" i="1"/>
  <c r="U2620" i="1" s="1"/>
  <c r="V2620" i="1" s="1"/>
  <c r="L2620" i="1"/>
  <c r="M2620" i="1" s="1"/>
  <c r="T2619" i="1"/>
  <c r="L2619" i="1"/>
  <c r="M2619" i="1" s="1"/>
  <c r="O2619" i="1" s="1"/>
  <c r="P2619" i="1" s="1"/>
  <c r="T2618" i="1"/>
  <c r="L2618" i="1"/>
  <c r="M2618" i="1" s="1"/>
  <c r="T2617" i="1"/>
  <c r="L2617" i="1"/>
  <c r="M2617" i="1" s="1"/>
  <c r="T2616" i="1"/>
  <c r="U2616" i="1" s="1"/>
  <c r="V2616" i="1" s="1"/>
  <c r="L2616" i="1"/>
  <c r="M2616" i="1" s="1"/>
  <c r="T2615" i="1"/>
  <c r="L2615" i="1"/>
  <c r="M2615" i="1" s="1"/>
  <c r="O2615" i="1" s="1"/>
  <c r="P2615" i="1" s="1"/>
  <c r="T2614" i="1"/>
  <c r="L2614" i="1"/>
  <c r="M2614" i="1" s="1"/>
  <c r="T2613" i="1"/>
  <c r="L2613" i="1"/>
  <c r="M2613" i="1" s="1"/>
  <c r="T2612" i="1"/>
  <c r="U2612" i="1" s="1"/>
  <c r="V2612" i="1" s="1"/>
  <c r="L2612" i="1"/>
  <c r="M2612" i="1" s="1"/>
  <c r="T2611" i="1"/>
  <c r="U2611" i="1" s="1"/>
  <c r="V2611" i="1" s="1"/>
  <c r="L2611" i="1"/>
  <c r="M2611" i="1" s="1"/>
  <c r="O2611" i="1" s="1"/>
  <c r="P2611" i="1" s="1"/>
  <c r="T2610" i="1"/>
  <c r="L2610" i="1"/>
  <c r="M2610" i="1" s="1"/>
  <c r="T2609" i="1"/>
  <c r="L2609" i="1"/>
  <c r="M2609" i="1" s="1"/>
  <c r="T2608" i="1"/>
  <c r="U2608" i="1" s="1"/>
  <c r="V2608" i="1" s="1"/>
  <c r="L2608" i="1"/>
  <c r="M2608" i="1" s="1"/>
  <c r="T2607" i="1"/>
  <c r="L2607" i="1"/>
  <c r="M2607" i="1" s="1"/>
  <c r="O2607" i="1" s="1"/>
  <c r="P2607" i="1" s="1"/>
  <c r="T2606" i="1"/>
  <c r="L2606" i="1"/>
  <c r="M2606" i="1" s="1"/>
  <c r="O2606" i="1" s="1"/>
  <c r="T2605" i="1"/>
  <c r="L2605" i="1"/>
  <c r="M2605" i="1" s="1"/>
  <c r="T2604" i="1"/>
  <c r="U2604" i="1" s="1"/>
  <c r="V2604" i="1" s="1"/>
  <c r="L2604" i="1"/>
  <c r="M2604" i="1" s="1"/>
  <c r="T2603" i="1"/>
  <c r="L2603" i="1"/>
  <c r="M2603" i="1" s="1"/>
  <c r="O2603" i="1" s="1"/>
  <c r="P2603" i="1" s="1"/>
  <c r="T2602" i="1"/>
  <c r="L2602" i="1"/>
  <c r="M2602" i="1" s="1"/>
  <c r="T2601" i="1"/>
  <c r="L2601" i="1"/>
  <c r="M2601" i="1" s="1"/>
  <c r="T2600" i="1"/>
  <c r="U2600" i="1" s="1"/>
  <c r="V2600" i="1" s="1"/>
  <c r="L2600" i="1"/>
  <c r="M2600" i="1" s="1"/>
  <c r="T2599" i="1"/>
  <c r="L2599" i="1"/>
  <c r="M2599" i="1" s="1"/>
  <c r="O2599" i="1" s="1"/>
  <c r="P2599" i="1" s="1"/>
  <c r="T2598" i="1"/>
  <c r="L2598" i="1"/>
  <c r="M2598" i="1" s="1"/>
  <c r="T2597" i="1"/>
  <c r="L2597" i="1"/>
  <c r="M2597" i="1" s="1"/>
  <c r="T2596" i="1"/>
  <c r="U2596" i="1" s="1"/>
  <c r="V2596" i="1" s="1"/>
  <c r="L2596" i="1"/>
  <c r="M2596" i="1" s="1"/>
  <c r="T2595" i="1"/>
  <c r="L2595" i="1"/>
  <c r="M2595" i="1" s="1"/>
  <c r="O2595" i="1" s="1"/>
  <c r="P2595" i="1" s="1"/>
  <c r="T2594" i="1"/>
  <c r="L2594" i="1"/>
  <c r="M2594" i="1" s="1"/>
  <c r="T2593" i="1"/>
  <c r="L2593" i="1"/>
  <c r="M2593" i="1" s="1"/>
  <c r="T2592" i="1"/>
  <c r="U2592" i="1" s="1"/>
  <c r="V2592" i="1" s="1"/>
  <c r="L2592" i="1"/>
  <c r="M2592" i="1" s="1"/>
  <c r="T2591" i="1"/>
  <c r="L2591" i="1"/>
  <c r="M2591" i="1" s="1"/>
  <c r="O2591" i="1" s="1"/>
  <c r="P2591" i="1" s="1"/>
  <c r="T2590" i="1"/>
  <c r="L2590" i="1"/>
  <c r="M2590" i="1" s="1"/>
  <c r="O2590" i="1" s="1"/>
  <c r="T2589" i="1"/>
  <c r="L2589" i="1"/>
  <c r="M2589" i="1" s="1"/>
  <c r="T2588" i="1"/>
  <c r="U2588" i="1" s="1"/>
  <c r="V2588" i="1" s="1"/>
  <c r="L2588" i="1"/>
  <c r="M2588" i="1" s="1"/>
  <c r="T2587" i="1"/>
  <c r="L2587" i="1"/>
  <c r="M2587" i="1" s="1"/>
  <c r="O2587" i="1" s="1"/>
  <c r="P2587" i="1" s="1"/>
  <c r="T2586" i="1"/>
  <c r="L2586" i="1"/>
  <c r="M2586" i="1" s="1"/>
  <c r="T2585" i="1"/>
  <c r="L2585" i="1"/>
  <c r="M2585" i="1" s="1"/>
  <c r="T2584" i="1"/>
  <c r="U2584" i="1" s="1"/>
  <c r="V2584" i="1" s="1"/>
  <c r="L2584" i="1"/>
  <c r="M2584" i="1" s="1"/>
  <c r="T2583" i="1"/>
  <c r="L2583" i="1"/>
  <c r="M2583" i="1" s="1"/>
  <c r="O2583" i="1" s="1"/>
  <c r="P2583" i="1" s="1"/>
  <c r="T2582" i="1"/>
  <c r="L2582" i="1"/>
  <c r="M2582" i="1" s="1"/>
  <c r="T2581" i="1"/>
  <c r="L2581" i="1"/>
  <c r="M2581" i="1" s="1"/>
  <c r="T2580" i="1"/>
  <c r="U2580" i="1" s="1"/>
  <c r="V2580" i="1" s="1"/>
  <c r="L2580" i="1"/>
  <c r="M2580" i="1" s="1"/>
  <c r="T2579" i="1"/>
  <c r="L2579" i="1"/>
  <c r="M2579" i="1" s="1"/>
  <c r="O2579" i="1" s="1"/>
  <c r="P2579" i="1" s="1"/>
  <c r="T2578" i="1"/>
  <c r="L2578" i="1"/>
  <c r="M2578" i="1" s="1"/>
  <c r="O2578" i="1" s="1"/>
  <c r="T2577" i="1"/>
  <c r="L2577" i="1"/>
  <c r="M2577" i="1" s="1"/>
  <c r="T2576" i="1"/>
  <c r="U2576" i="1" s="1"/>
  <c r="V2576" i="1" s="1"/>
  <c r="L2576" i="1"/>
  <c r="M2576" i="1" s="1"/>
  <c r="T2575" i="1"/>
  <c r="U2575" i="1" s="1"/>
  <c r="L2575" i="1"/>
  <c r="M2575" i="1" s="1"/>
  <c r="O2575" i="1" s="1"/>
  <c r="P2575" i="1" s="1"/>
  <c r="T2574" i="1"/>
  <c r="L2574" i="1"/>
  <c r="M2574" i="1" s="1"/>
  <c r="O2574" i="1" s="1"/>
  <c r="T2573" i="1"/>
  <c r="L2573" i="1"/>
  <c r="M2573" i="1" s="1"/>
  <c r="T2572" i="1"/>
  <c r="U2572" i="1" s="1"/>
  <c r="V2572" i="1" s="1"/>
  <c r="L2572" i="1"/>
  <c r="M2572" i="1" s="1"/>
  <c r="T2571" i="1"/>
  <c r="L2571" i="1"/>
  <c r="M2571" i="1" s="1"/>
  <c r="O2571" i="1" s="1"/>
  <c r="P2571" i="1" s="1"/>
  <c r="T2570" i="1"/>
  <c r="L2570" i="1"/>
  <c r="M2570" i="1" s="1"/>
  <c r="O2570" i="1" s="1"/>
  <c r="T2569" i="1"/>
  <c r="L2569" i="1"/>
  <c r="M2569" i="1" s="1"/>
  <c r="T2568" i="1"/>
  <c r="U2568" i="1" s="1"/>
  <c r="V2568" i="1" s="1"/>
  <c r="L2568" i="1"/>
  <c r="M2568" i="1" s="1"/>
  <c r="T2567" i="1"/>
  <c r="U2567" i="1" s="1"/>
  <c r="V2567" i="1" s="1"/>
  <c r="L2567" i="1"/>
  <c r="M2567" i="1" s="1"/>
  <c r="O2567" i="1" s="1"/>
  <c r="P2567" i="1" s="1"/>
  <c r="T2566" i="1"/>
  <c r="L2566" i="1"/>
  <c r="M2566" i="1" s="1"/>
  <c r="T2565" i="1"/>
  <c r="L2565" i="1"/>
  <c r="M2565" i="1" s="1"/>
  <c r="T2564" i="1"/>
  <c r="U2564" i="1" s="1"/>
  <c r="V2564" i="1" s="1"/>
  <c r="L2564" i="1"/>
  <c r="M2564" i="1" s="1"/>
  <c r="T2563" i="1"/>
  <c r="L2563" i="1"/>
  <c r="M2563" i="1" s="1"/>
  <c r="O2563" i="1" s="1"/>
  <c r="P2563" i="1" s="1"/>
  <c r="T2562" i="1"/>
  <c r="L2562" i="1"/>
  <c r="M2562" i="1" s="1"/>
  <c r="T2561" i="1"/>
  <c r="L2561" i="1"/>
  <c r="M2561" i="1" s="1"/>
  <c r="T2560" i="1"/>
  <c r="U2560" i="1" s="1"/>
  <c r="V2560" i="1" s="1"/>
  <c r="L2560" i="1"/>
  <c r="M2560" i="1" s="1"/>
  <c r="T2559" i="1"/>
  <c r="U2559" i="1" s="1"/>
  <c r="L2559" i="1"/>
  <c r="M2559" i="1" s="1"/>
  <c r="O2559" i="1" s="1"/>
  <c r="P2559" i="1" s="1"/>
  <c r="T2558" i="1"/>
  <c r="L2558" i="1"/>
  <c r="M2558" i="1" s="1"/>
  <c r="O2558" i="1" s="1"/>
  <c r="T2557" i="1"/>
  <c r="L2557" i="1"/>
  <c r="M2557" i="1" s="1"/>
  <c r="T2556" i="1"/>
  <c r="U2556" i="1" s="1"/>
  <c r="V2556" i="1" s="1"/>
  <c r="L2556" i="1"/>
  <c r="M2556" i="1" s="1"/>
  <c r="T2555" i="1"/>
  <c r="L2555" i="1"/>
  <c r="M2555" i="1" s="1"/>
  <c r="O2555" i="1" s="1"/>
  <c r="P2555" i="1" s="1"/>
  <c r="T2554" i="1"/>
  <c r="L2554" i="1"/>
  <c r="M2554" i="1" s="1"/>
  <c r="O2554" i="1" s="1"/>
  <c r="T2553" i="1"/>
  <c r="L2553" i="1"/>
  <c r="M2553" i="1" s="1"/>
  <c r="T2552" i="1"/>
  <c r="U2552" i="1" s="1"/>
  <c r="V2552" i="1" s="1"/>
  <c r="L2552" i="1"/>
  <c r="M2552" i="1" s="1"/>
  <c r="T2551" i="1"/>
  <c r="U2551" i="1" s="1"/>
  <c r="V2551" i="1" s="1"/>
  <c r="L2551" i="1"/>
  <c r="M2551" i="1" s="1"/>
  <c r="O2551" i="1" s="1"/>
  <c r="P2551" i="1" s="1"/>
  <c r="T2550" i="1"/>
  <c r="L2550" i="1"/>
  <c r="M2550" i="1" s="1"/>
  <c r="T2549" i="1"/>
  <c r="L2549" i="1"/>
  <c r="M2549" i="1" s="1"/>
  <c r="T2548" i="1"/>
  <c r="U2548" i="1" s="1"/>
  <c r="V2548" i="1" s="1"/>
  <c r="L2548" i="1"/>
  <c r="M2548" i="1" s="1"/>
  <c r="T2547" i="1"/>
  <c r="U2547" i="1" s="1"/>
  <c r="L2547" i="1"/>
  <c r="M2547" i="1" s="1"/>
  <c r="O2547" i="1" s="1"/>
  <c r="P2547" i="1" s="1"/>
  <c r="T2546" i="1"/>
  <c r="L2546" i="1"/>
  <c r="M2546" i="1" s="1"/>
  <c r="T2545" i="1"/>
  <c r="L2545" i="1"/>
  <c r="M2545" i="1" s="1"/>
  <c r="T2544" i="1"/>
  <c r="U2544" i="1" s="1"/>
  <c r="V2544" i="1" s="1"/>
  <c r="L2544" i="1"/>
  <c r="M2544" i="1" s="1"/>
  <c r="T2543" i="1"/>
  <c r="L2543" i="1"/>
  <c r="M2543" i="1" s="1"/>
  <c r="O2543" i="1" s="1"/>
  <c r="P2543" i="1" s="1"/>
  <c r="T2542" i="1"/>
  <c r="L2542" i="1"/>
  <c r="M2542" i="1" s="1"/>
  <c r="O2542" i="1" s="1"/>
  <c r="T2541" i="1"/>
  <c r="L2541" i="1"/>
  <c r="M2541" i="1" s="1"/>
  <c r="T2540" i="1"/>
  <c r="U2540" i="1" s="1"/>
  <c r="V2540" i="1" s="1"/>
  <c r="L2540" i="1"/>
  <c r="M2540" i="1" s="1"/>
  <c r="T2539" i="1"/>
  <c r="U2539" i="1" s="1"/>
  <c r="L2539" i="1"/>
  <c r="M2539" i="1" s="1"/>
  <c r="O2539" i="1" s="1"/>
  <c r="P2539" i="1" s="1"/>
  <c r="T2538" i="1"/>
  <c r="L2538" i="1"/>
  <c r="M2538" i="1" s="1"/>
  <c r="O2538" i="1" s="1"/>
  <c r="T2537" i="1"/>
  <c r="L2537" i="1"/>
  <c r="M2537" i="1" s="1"/>
  <c r="T2536" i="1"/>
  <c r="U2536" i="1" s="1"/>
  <c r="V2536" i="1" s="1"/>
  <c r="L2536" i="1"/>
  <c r="M2536" i="1" s="1"/>
  <c r="T2535" i="1"/>
  <c r="L2535" i="1"/>
  <c r="M2535" i="1" s="1"/>
  <c r="O2535" i="1" s="1"/>
  <c r="P2535" i="1" s="1"/>
  <c r="T2534" i="1"/>
  <c r="L2534" i="1"/>
  <c r="M2534" i="1" s="1"/>
  <c r="T2533" i="1"/>
  <c r="L2533" i="1"/>
  <c r="M2533" i="1" s="1"/>
  <c r="T2532" i="1"/>
  <c r="U2532" i="1" s="1"/>
  <c r="V2532" i="1" s="1"/>
  <c r="L2532" i="1"/>
  <c r="M2532" i="1" s="1"/>
  <c r="T2531" i="1"/>
  <c r="L2531" i="1"/>
  <c r="M2531" i="1" s="1"/>
  <c r="O2531" i="1" s="1"/>
  <c r="P2531" i="1" s="1"/>
  <c r="T2530" i="1"/>
  <c r="L2530" i="1"/>
  <c r="M2530" i="1" s="1"/>
  <c r="T2529" i="1"/>
  <c r="L2529" i="1"/>
  <c r="M2529" i="1" s="1"/>
  <c r="T2528" i="1"/>
  <c r="U2528" i="1" s="1"/>
  <c r="V2528" i="1" s="1"/>
  <c r="L2528" i="1"/>
  <c r="M2528" i="1" s="1"/>
  <c r="T2527" i="1"/>
  <c r="U2527" i="1" s="1"/>
  <c r="L2527" i="1"/>
  <c r="M2527" i="1" s="1"/>
  <c r="O2527" i="1" s="1"/>
  <c r="P2527" i="1" s="1"/>
  <c r="T2526" i="1"/>
  <c r="L2526" i="1"/>
  <c r="M2526" i="1" s="1"/>
  <c r="O2526" i="1" s="1"/>
  <c r="T2525" i="1"/>
  <c r="L2525" i="1"/>
  <c r="M2525" i="1" s="1"/>
  <c r="T2524" i="1"/>
  <c r="U2524" i="1" s="1"/>
  <c r="V2524" i="1" s="1"/>
  <c r="L2524" i="1"/>
  <c r="M2524" i="1" s="1"/>
  <c r="T2523" i="1"/>
  <c r="U2523" i="1" s="1"/>
  <c r="V2523" i="1" s="1"/>
  <c r="L2523" i="1"/>
  <c r="M2523" i="1" s="1"/>
  <c r="O2523" i="1" s="1"/>
  <c r="P2523" i="1" s="1"/>
  <c r="T2522" i="1"/>
  <c r="L2522" i="1"/>
  <c r="M2522" i="1" s="1"/>
  <c r="O2522" i="1" s="1"/>
  <c r="T2521" i="1"/>
  <c r="L2521" i="1"/>
  <c r="M2521" i="1" s="1"/>
  <c r="T2520" i="1"/>
  <c r="U2520" i="1" s="1"/>
  <c r="V2520" i="1" s="1"/>
  <c r="L2520" i="1"/>
  <c r="M2520" i="1" s="1"/>
  <c r="T2519" i="1"/>
  <c r="L2519" i="1"/>
  <c r="M2519" i="1" s="1"/>
  <c r="O2519" i="1" s="1"/>
  <c r="P2519" i="1" s="1"/>
  <c r="T2518" i="1"/>
  <c r="L2518" i="1"/>
  <c r="M2518" i="1" s="1"/>
  <c r="T2517" i="1"/>
  <c r="L2517" i="1"/>
  <c r="M2517" i="1" s="1"/>
  <c r="T2516" i="1"/>
  <c r="U2516" i="1" s="1"/>
  <c r="V2516" i="1" s="1"/>
  <c r="L2516" i="1"/>
  <c r="M2516" i="1" s="1"/>
  <c r="T2515" i="1"/>
  <c r="U2515" i="1" s="1"/>
  <c r="V2515" i="1" s="1"/>
  <c r="L2515" i="1"/>
  <c r="M2515" i="1" s="1"/>
  <c r="O2515" i="1" s="1"/>
  <c r="P2515" i="1" s="1"/>
  <c r="T2514" i="1"/>
  <c r="L2514" i="1"/>
  <c r="M2514" i="1" s="1"/>
  <c r="O2514" i="1" s="1"/>
  <c r="T2513" i="1"/>
  <c r="L2513" i="1"/>
  <c r="M2513" i="1" s="1"/>
  <c r="T2512" i="1"/>
  <c r="U2512" i="1" s="1"/>
  <c r="V2512" i="1" s="1"/>
  <c r="L2512" i="1"/>
  <c r="M2512" i="1" s="1"/>
  <c r="T2511" i="1"/>
  <c r="U2511" i="1" s="1"/>
  <c r="V2511" i="1" s="1"/>
  <c r="L2511" i="1"/>
  <c r="M2511" i="1" s="1"/>
  <c r="O2511" i="1" s="1"/>
  <c r="P2511" i="1" s="1"/>
  <c r="T2510" i="1"/>
  <c r="L2510" i="1"/>
  <c r="M2510" i="1" s="1"/>
  <c r="O2510" i="1" s="1"/>
  <c r="T2509" i="1"/>
  <c r="L2509" i="1"/>
  <c r="M2509" i="1" s="1"/>
  <c r="T2508" i="1"/>
  <c r="U2508" i="1" s="1"/>
  <c r="V2508" i="1" s="1"/>
  <c r="L2508" i="1"/>
  <c r="M2508" i="1" s="1"/>
  <c r="T2507" i="1"/>
  <c r="L2507" i="1"/>
  <c r="M2507" i="1" s="1"/>
  <c r="O2507" i="1" s="1"/>
  <c r="P2507" i="1" s="1"/>
  <c r="T2506" i="1"/>
  <c r="L2506" i="1"/>
  <c r="M2506" i="1" s="1"/>
  <c r="O2506" i="1" s="1"/>
  <c r="T2505" i="1"/>
  <c r="L2505" i="1"/>
  <c r="M2505" i="1" s="1"/>
  <c r="T2504" i="1"/>
  <c r="U2504" i="1" s="1"/>
  <c r="V2504" i="1" s="1"/>
  <c r="L2504" i="1"/>
  <c r="M2504" i="1" s="1"/>
  <c r="T2503" i="1"/>
  <c r="U2503" i="1" s="1"/>
  <c r="L2503" i="1"/>
  <c r="M2503" i="1" s="1"/>
  <c r="O2503" i="1" s="1"/>
  <c r="P2503" i="1" s="1"/>
  <c r="T2502" i="1"/>
  <c r="L2502" i="1"/>
  <c r="M2502" i="1" s="1"/>
  <c r="T2501" i="1"/>
  <c r="L2501" i="1"/>
  <c r="M2501" i="1" s="1"/>
  <c r="T2500" i="1"/>
  <c r="U2500" i="1" s="1"/>
  <c r="V2500" i="1" s="1"/>
  <c r="L2500" i="1"/>
  <c r="M2500" i="1" s="1"/>
  <c r="T2499" i="1"/>
  <c r="L2499" i="1"/>
  <c r="M2499" i="1" s="1"/>
  <c r="O2499" i="1" s="1"/>
  <c r="P2499" i="1" s="1"/>
  <c r="T2498" i="1"/>
  <c r="L2498" i="1"/>
  <c r="M2498" i="1" s="1"/>
  <c r="T2497" i="1"/>
  <c r="L2497" i="1"/>
  <c r="M2497" i="1" s="1"/>
  <c r="T2496" i="1"/>
  <c r="U2496" i="1" s="1"/>
  <c r="V2496" i="1" s="1"/>
  <c r="L2496" i="1"/>
  <c r="M2496" i="1" s="1"/>
  <c r="T2495" i="1"/>
  <c r="U2495" i="1" s="1"/>
  <c r="V2495" i="1" s="1"/>
  <c r="L2495" i="1"/>
  <c r="M2495" i="1" s="1"/>
  <c r="O2495" i="1" s="1"/>
  <c r="P2495" i="1" s="1"/>
  <c r="T2494" i="1"/>
  <c r="L2494" i="1"/>
  <c r="M2494" i="1" s="1"/>
  <c r="O2494" i="1" s="1"/>
  <c r="T2493" i="1"/>
  <c r="L2493" i="1"/>
  <c r="M2493" i="1" s="1"/>
  <c r="T2492" i="1"/>
  <c r="U2492" i="1" s="1"/>
  <c r="V2492" i="1" s="1"/>
  <c r="L2492" i="1"/>
  <c r="M2492" i="1" s="1"/>
  <c r="T2491" i="1"/>
  <c r="L2491" i="1"/>
  <c r="M2491" i="1" s="1"/>
  <c r="O2491" i="1" s="1"/>
  <c r="P2491" i="1" s="1"/>
  <c r="T2490" i="1"/>
  <c r="L2490" i="1"/>
  <c r="M2490" i="1" s="1"/>
  <c r="O2490" i="1" s="1"/>
  <c r="T2489" i="1"/>
  <c r="L2489" i="1"/>
  <c r="M2489" i="1" s="1"/>
  <c r="T2488" i="1"/>
  <c r="U2488" i="1" s="1"/>
  <c r="V2488" i="1" s="1"/>
  <c r="L2488" i="1"/>
  <c r="M2488" i="1" s="1"/>
  <c r="T2487" i="1"/>
  <c r="U2487" i="1" s="1"/>
  <c r="V2487" i="1" s="1"/>
  <c r="L2487" i="1"/>
  <c r="M2487" i="1" s="1"/>
  <c r="O2487" i="1" s="1"/>
  <c r="P2487" i="1" s="1"/>
  <c r="T2486" i="1"/>
  <c r="L2486" i="1"/>
  <c r="M2486" i="1" s="1"/>
  <c r="T2485" i="1"/>
  <c r="L2485" i="1"/>
  <c r="M2485" i="1" s="1"/>
  <c r="T2484" i="1"/>
  <c r="U2484" i="1" s="1"/>
  <c r="V2484" i="1" s="1"/>
  <c r="L2484" i="1"/>
  <c r="M2484" i="1" s="1"/>
  <c r="T2483" i="1"/>
  <c r="U2483" i="1" s="1"/>
  <c r="L2483" i="1"/>
  <c r="M2483" i="1" s="1"/>
  <c r="O2483" i="1" s="1"/>
  <c r="P2483" i="1" s="1"/>
  <c r="T2482" i="1"/>
  <c r="L2482" i="1"/>
  <c r="M2482" i="1" s="1"/>
  <c r="O2482" i="1" s="1"/>
  <c r="P2482" i="1" s="1"/>
  <c r="T2481" i="1"/>
  <c r="L2481" i="1"/>
  <c r="M2481" i="1" s="1"/>
  <c r="T2480" i="1"/>
  <c r="U2480" i="1" s="1"/>
  <c r="V2480" i="1" s="1"/>
  <c r="L2480" i="1"/>
  <c r="M2480" i="1" s="1"/>
  <c r="T2479" i="1"/>
  <c r="L2479" i="1"/>
  <c r="M2479" i="1" s="1"/>
  <c r="O2479" i="1" s="1"/>
  <c r="P2479" i="1" s="1"/>
  <c r="T2478" i="1"/>
  <c r="L2478" i="1"/>
  <c r="M2478" i="1" s="1"/>
  <c r="O2478" i="1" s="1"/>
  <c r="T2477" i="1"/>
  <c r="L2477" i="1"/>
  <c r="M2477" i="1" s="1"/>
  <c r="T2476" i="1"/>
  <c r="U2476" i="1" s="1"/>
  <c r="V2476" i="1" s="1"/>
  <c r="L2476" i="1"/>
  <c r="M2476" i="1" s="1"/>
  <c r="T2475" i="1"/>
  <c r="L2475" i="1"/>
  <c r="M2475" i="1" s="1"/>
  <c r="O2475" i="1" s="1"/>
  <c r="P2475" i="1" s="1"/>
  <c r="T2474" i="1"/>
  <c r="L2474" i="1"/>
  <c r="M2474" i="1" s="1"/>
  <c r="O2474" i="1" s="1"/>
  <c r="T2473" i="1"/>
  <c r="L2473" i="1"/>
  <c r="M2473" i="1" s="1"/>
  <c r="T2472" i="1"/>
  <c r="U2472" i="1" s="1"/>
  <c r="V2472" i="1" s="1"/>
  <c r="L2472" i="1"/>
  <c r="M2472" i="1" s="1"/>
  <c r="T2471" i="1"/>
  <c r="L2471" i="1"/>
  <c r="M2471" i="1" s="1"/>
  <c r="O2471" i="1" s="1"/>
  <c r="P2471" i="1" s="1"/>
  <c r="T2470" i="1"/>
  <c r="L2470" i="1"/>
  <c r="M2470" i="1" s="1"/>
  <c r="T2469" i="1"/>
  <c r="L2469" i="1"/>
  <c r="M2469" i="1" s="1"/>
  <c r="T2468" i="1"/>
  <c r="L2468" i="1"/>
  <c r="M2468" i="1" s="1"/>
  <c r="T2467" i="1"/>
  <c r="L2467" i="1"/>
  <c r="M2467" i="1" s="1"/>
  <c r="O2467" i="1" s="1"/>
  <c r="P2467" i="1" s="1"/>
  <c r="T2466" i="1"/>
  <c r="U2466" i="1" s="1"/>
  <c r="L2466" i="1"/>
  <c r="M2466" i="1" s="1"/>
  <c r="O2466" i="1" s="1"/>
  <c r="P2466" i="1" s="1"/>
  <c r="T2465" i="1"/>
  <c r="U2465" i="1" s="1"/>
  <c r="L2465" i="1"/>
  <c r="M2465" i="1" s="1"/>
  <c r="T2464" i="1"/>
  <c r="L2464" i="1"/>
  <c r="M2464" i="1" s="1"/>
  <c r="T2463" i="1"/>
  <c r="U2463" i="1" s="1"/>
  <c r="V2463" i="1" s="1"/>
  <c r="L2463" i="1"/>
  <c r="M2463" i="1" s="1"/>
  <c r="O2463" i="1" s="1"/>
  <c r="P2463" i="1" s="1"/>
  <c r="T2462" i="1"/>
  <c r="U2462" i="1" s="1"/>
  <c r="L2462" i="1"/>
  <c r="M2462" i="1" s="1"/>
  <c r="O2462" i="1" s="1"/>
  <c r="P2462" i="1" s="1"/>
  <c r="T2461" i="1"/>
  <c r="L2461" i="1"/>
  <c r="M2461" i="1" s="1"/>
  <c r="T2460" i="1"/>
  <c r="U2460" i="1" s="1"/>
  <c r="V2460" i="1" s="1"/>
  <c r="L2460" i="1"/>
  <c r="M2460" i="1" s="1"/>
  <c r="T2459" i="1"/>
  <c r="U2459" i="1" s="1"/>
  <c r="V2459" i="1" s="1"/>
  <c r="L2459" i="1"/>
  <c r="M2459" i="1" s="1"/>
  <c r="T2458" i="1"/>
  <c r="L2458" i="1"/>
  <c r="M2458" i="1" s="1"/>
  <c r="T2457" i="1"/>
  <c r="L2457" i="1"/>
  <c r="M2457" i="1" s="1"/>
  <c r="T2456" i="1"/>
  <c r="U2456" i="1" s="1"/>
  <c r="V2456" i="1" s="1"/>
  <c r="L2456" i="1"/>
  <c r="M2456" i="1" s="1"/>
  <c r="T2455" i="1"/>
  <c r="U2455" i="1" s="1"/>
  <c r="V2455" i="1" s="1"/>
  <c r="L2455" i="1"/>
  <c r="M2455" i="1" s="1"/>
  <c r="T2454" i="1"/>
  <c r="L2454" i="1"/>
  <c r="M2454" i="1" s="1"/>
  <c r="T2453" i="1"/>
  <c r="L2453" i="1"/>
  <c r="M2453" i="1" s="1"/>
  <c r="T2452" i="1"/>
  <c r="L2452" i="1"/>
  <c r="M2452" i="1" s="1"/>
  <c r="O2452" i="1" s="1"/>
  <c r="T2451" i="1"/>
  <c r="U2451" i="1" s="1"/>
  <c r="L2451" i="1"/>
  <c r="M2451" i="1" s="1"/>
  <c r="O2451" i="1" s="1"/>
  <c r="P2451" i="1" s="1"/>
  <c r="T2450" i="1"/>
  <c r="U2450" i="1" s="1"/>
  <c r="L2450" i="1"/>
  <c r="M2450" i="1" s="1"/>
  <c r="O2450" i="1" s="1"/>
  <c r="P2450" i="1" s="1"/>
  <c r="T2449" i="1"/>
  <c r="U2449" i="1" s="1"/>
  <c r="L2449" i="1"/>
  <c r="M2449" i="1" s="1"/>
  <c r="T2448" i="1"/>
  <c r="L2448" i="1"/>
  <c r="M2448" i="1" s="1"/>
  <c r="T2447" i="1"/>
  <c r="U2447" i="1" s="1"/>
  <c r="V2447" i="1" s="1"/>
  <c r="L2447" i="1"/>
  <c r="M2447" i="1" s="1"/>
  <c r="T2446" i="1"/>
  <c r="U2446" i="1" s="1"/>
  <c r="L2446" i="1"/>
  <c r="M2446" i="1" s="1"/>
  <c r="O2446" i="1" s="1"/>
  <c r="P2446" i="1" s="1"/>
  <c r="T2445" i="1"/>
  <c r="L2445" i="1"/>
  <c r="M2445" i="1" s="1"/>
  <c r="T2444" i="1"/>
  <c r="U2444" i="1" s="1"/>
  <c r="V2444" i="1" s="1"/>
  <c r="L2444" i="1"/>
  <c r="M2444" i="1" s="1"/>
  <c r="T2443" i="1"/>
  <c r="U2443" i="1" s="1"/>
  <c r="V2443" i="1" s="1"/>
  <c r="L2443" i="1"/>
  <c r="M2443" i="1" s="1"/>
  <c r="T2442" i="1"/>
  <c r="L2442" i="1"/>
  <c r="M2442" i="1" s="1"/>
  <c r="T2441" i="1"/>
  <c r="L2441" i="1"/>
  <c r="M2441" i="1" s="1"/>
  <c r="O2441" i="1" s="1"/>
  <c r="T2440" i="1"/>
  <c r="U2440" i="1" s="1"/>
  <c r="L2440" i="1"/>
  <c r="M2440" i="1" s="1"/>
  <c r="T2439" i="1"/>
  <c r="U2439" i="1" s="1"/>
  <c r="V2439" i="1" s="1"/>
  <c r="L2439" i="1"/>
  <c r="M2439" i="1" s="1"/>
  <c r="T2438" i="1"/>
  <c r="U2438" i="1" s="1"/>
  <c r="L2438" i="1"/>
  <c r="M2438" i="1" s="1"/>
  <c r="T2437" i="1"/>
  <c r="L2437" i="1"/>
  <c r="M2437" i="1" s="1"/>
  <c r="T2436" i="1"/>
  <c r="L2436" i="1"/>
  <c r="M2436" i="1" s="1"/>
  <c r="T2435" i="1"/>
  <c r="L2435" i="1"/>
  <c r="M2435" i="1" s="1"/>
  <c r="T2434" i="1"/>
  <c r="L2434" i="1"/>
  <c r="M2434" i="1" s="1"/>
  <c r="T2433" i="1"/>
  <c r="U2433" i="1" s="1"/>
  <c r="V2433" i="1" s="1"/>
  <c r="L2433" i="1"/>
  <c r="M2433" i="1" s="1"/>
  <c r="T2432" i="1"/>
  <c r="U2432" i="1" s="1"/>
  <c r="L2432" i="1"/>
  <c r="M2432" i="1" s="1"/>
  <c r="T2431" i="1"/>
  <c r="L2431" i="1"/>
  <c r="M2431" i="1" s="1"/>
  <c r="O2431" i="1" s="1"/>
  <c r="T2430" i="1"/>
  <c r="L2430" i="1"/>
  <c r="M2430" i="1" s="1"/>
  <c r="T2429" i="1"/>
  <c r="U2429" i="1" s="1"/>
  <c r="V2429" i="1" s="1"/>
  <c r="L2429" i="1"/>
  <c r="M2429" i="1" s="1"/>
  <c r="T2428" i="1"/>
  <c r="U2428" i="1" s="1"/>
  <c r="V2428" i="1" s="1"/>
  <c r="L2428" i="1"/>
  <c r="M2428" i="1" s="1"/>
  <c r="T2427" i="1"/>
  <c r="L2427" i="1"/>
  <c r="M2427" i="1" s="1"/>
  <c r="O2427" i="1" s="1"/>
  <c r="T2426" i="1"/>
  <c r="L2426" i="1"/>
  <c r="M2426" i="1" s="1"/>
  <c r="T2425" i="1"/>
  <c r="U2425" i="1" s="1"/>
  <c r="V2425" i="1" s="1"/>
  <c r="L2425" i="1"/>
  <c r="M2425" i="1" s="1"/>
  <c r="T2424" i="1"/>
  <c r="U2424" i="1" s="1"/>
  <c r="V2424" i="1" s="1"/>
  <c r="L2424" i="1"/>
  <c r="M2424" i="1" s="1"/>
  <c r="O2424" i="1" s="1"/>
  <c r="T2423" i="1"/>
  <c r="L2423" i="1"/>
  <c r="M2423" i="1" s="1"/>
  <c r="O2423" i="1" s="1"/>
  <c r="T2422" i="1"/>
  <c r="L2422" i="1"/>
  <c r="M2422" i="1" s="1"/>
  <c r="T2421" i="1"/>
  <c r="U2421" i="1" s="1"/>
  <c r="V2421" i="1" s="1"/>
  <c r="L2421" i="1"/>
  <c r="M2421" i="1" s="1"/>
  <c r="T2420" i="1"/>
  <c r="U2420" i="1" s="1"/>
  <c r="V2420" i="1" s="1"/>
  <c r="L2420" i="1"/>
  <c r="M2420" i="1" s="1"/>
  <c r="T2419" i="1"/>
  <c r="L2419" i="1"/>
  <c r="M2419" i="1" s="1"/>
  <c r="T2418" i="1"/>
  <c r="L2418" i="1"/>
  <c r="M2418" i="1" s="1"/>
  <c r="T2417" i="1"/>
  <c r="U2417" i="1" s="1"/>
  <c r="V2417" i="1" s="1"/>
  <c r="L2417" i="1"/>
  <c r="M2417" i="1" s="1"/>
  <c r="T2416" i="1"/>
  <c r="U2416" i="1" s="1"/>
  <c r="L2416" i="1"/>
  <c r="M2416" i="1" s="1"/>
  <c r="T2415" i="1"/>
  <c r="L2415" i="1"/>
  <c r="M2415" i="1" s="1"/>
  <c r="O2415" i="1" s="1"/>
  <c r="T2414" i="1"/>
  <c r="L2414" i="1"/>
  <c r="M2414" i="1" s="1"/>
  <c r="T2413" i="1"/>
  <c r="U2413" i="1" s="1"/>
  <c r="V2413" i="1" s="1"/>
  <c r="L2413" i="1"/>
  <c r="M2413" i="1" s="1"/>
  <c r="T2412" i="1"/>
  <c r="U2412" i="1" s="1"/>
  <c r="V2412" i="1" s="1"/>
  <c r="L2412" i="1"/>
  <c r="M2412" i="1" s="1"/>
  <c r="T2411" i="1"/>
  <c r="L2411" i="1"/>
  <c r="M2411" i="1" s="1"/>
  <c r="O2411" i="1" s="1"/>
  <c r="T2410" i="1"/>
  <c r="L2410" i="1"/>
  <c r="M2410" i="1" s="1"/>
  <c r="T2409" i="1"/>
  <c r="U2409" i="1" s="1"/>
  <c r="V2409" i="1" s="1"/>
  <c r="L2409" i="1"/>
  <c r="M2409" i="1" s="1"/>
  <c r="T2408" i="1"/>
  <c r="U2408" i="1" s="1"/>
  <c r="V2408" i="1" s="1"/>
  <c r="L2408" i="1"/>
  <c r="M2408" i="1" s="1"/>
  <c r="O2408" i="1" s="1"/>
  <c r="T2407" i="1"/>
  <c r="L2407" i="1"/>
  <c r="M2407" i="1" s="1"/>
  <c r="T2406" i="1"/>
  <c r="L2406" i="1"/>
  <c r="M2406" i="1" s="1"/>
  <c r="T2405" i="1"/>
  <c r="U2405" i="1" s="1"/>
  <c r="V2405" i="1" s="1"/>
  <c r="L2405" i="1"/>
  <c r="M2405" i="1" s="1"/>
  <c r="T2404" i="1"/>
  <c r="U2404" i="1" s="1"/>
  <c r="V2404" i="1" s="1"/>
  <c r="L2404" i="1"/>
  <c r="M2404" i="1" s="1"/>
  <c r="T2403" i="1"/>
  <c r="L2403" i="1"/>
  <c r="M2403" i="1" s="1"/>
  <c r="T2402" i="1"/>
  <c r="L2402" i="1"/>
  <c r="M2402" i="1" s="1"/>
  <c r="T2401" i="1"/>
  <c r="U2401" i="1" s="1"/>
  <c r="V2401" i="1" s="1"/>
  <c r="L2401" i="1"/>
  <c r="M2401" i="1" s="1"/>
  <c r="T2400" i="1"/>
  <c r="L2400" i="1"/>
  <c r="M2400" i="1" s="1"/>
  <c r="T2399" i="1"/>
  <c r="L2399" i="1"/>
  <c r="M2399" i="1" s="1"/>
  <c r="O2399" i="1" s="1"/>
  <c r="T2398" i="1"/>
  <c r="L2398" i="1"/>
  <c r="M2398" i="1" s="1"/>
  <c r="T2397" i="1"/>
  <c r="U2397" i="1" s="1"/>
  <c r="V2397" i="1" s="1"/>
  <c r="L2397" i="1"/>
  <c r="M2397" i="1" s="1"/>
  <c r="T2396" i="1"/>
  <c r="U2396" i="1" s="1"/>
  <c r="V2396" i="1" s="1"/>
  <c r="L2396" i="1"/>
  <c r="M2396" i="1" s="1"/>
  <c r="T2395" i="1"/>
  <c r="L2395" i="1"/>
  <c r="M2395" i="1" s="1"/>
  <c r="O2395" i="1" s="1"/>
  <c r="T2394" i="1"/>
  <c r="L2394" i="1"/>
  <c r="M2394" i="1" s="1"/>
  <c r="T2393" i="1"/>
  <c r="U2393" i="1" s="1"/>
  <c r="V2393" i="1" s="1"/>
  <c r="L2393" i="1"/>
  <c r="M2393" i="1" s="1"/>
  <c r="T2392" i="1"/>
  <c r="U2392" i="1" s="1"/>
  <c r="V2392" i="1" s="1"/>
  <c r="L2392" i="1"/>
  <c r="M2392" i="1" s="1"/>
  <c r="O2392" i="1" s="1"/>
  <c r="T2391" i="1"/>
  <c r="L2391" i="1"/>
  <c r="M2391" i="1" s="1"/>
  <c r="T2390" i="1"/>
  <c r="L2390" i="1"/>
  <c r="M2390" i="1" s="1"/>
  <c r="T2389" i="1"/>
  <c r="U2389" i="1" s="1"/>
  <c r="V2389" i="1" s="1"/>
  <c r="L2389" i="1"/>
  <c r="M2389" i="1" s="1"/>
  <c r="T2388" i="1"/>
  <c r="U2388" i="1" s="1"/>
  <c r="V2388" i="1" s="1"/>
  <c r="L2388" i="1"/>
  <c r="M2388" i="1" s="1"/>
  <c r="T2387" i="1"/>
  <c r="L2387" i="1"/>
  <c r="M2387" i="1" s="1"/>
  <c r="T2386" i="1"/>
  <c r="L2386" i="1"/>
  <c r="M2386" i="1" s="1"/>
  <c r="T2385" i="1"/>
  <c r="U2385" i="1" s="1"/>
  <c r="V2385" i="1" s="1"/>
  <c r="L2385" i="1"/>
  <c r="M2385" i="1" s="1"/>
  <c r="T2384" i="1"/>
  <c r="U2384" i="1" s="1"/>
  <c r="L2384" i="1"/>
  <c r="M2384" i="1" s="1"/>
  <c r="T2383" i="1"/>
  <c r="L2383" i="1"/>
  <c r="M2383" i="1" s="1"/>
  <c r="O2383" i="1" s="1"/>
  <c r="T2382" i="1"/>
  <c r="L2382" i="1"/>
  <c r="M2382" i="1" s="1"/>
  <c r="T2381" i="1"/>
  <c r="U2381" i="1" s="1"/>
  <c r="V2381" i="1" s="1"/>
  <c r="L2381" i="1"/>
  <c r="M2381" i="1" s="1"/>
  <c r="T2380" i="1"/>
  <c r="U2380" i="1" s="1"/>
  <c r="V2380" i="1" s="1"/>
  <c r="L2380" i="1"/>
  <c r="M2380" i="1" s="1"/>
  <c r="T2379" i="1"/>
  <c r="L2379" i="1"/>
  <c r="M2379" i="1" s="1"/>
  <c r="O2379" i="1" s="1"/>
  <c r="T2378" i="1"/>
  <c r="L2378" i="1"/>
  <c r="M2378" i="1" s="1"/>
  <c r="T2377" i="1"/>
  <c r="U2377" i="1" s="1"/>
  <c r="V2377" i="1" s="1"/>
  <c r="L2377" i="1"/>
  <c r="M2377" i="1" s="1"/>
  <c r="T2376" i="1"/>
  <c r="U2376" i="1" s="1"/>
  <c r="V2376" i="1" s="1"/>
  <c r="L2376" i="1"/>
  <c r="M2376" i="1" s="1"/>
  <c r="O2376" i="1" s="1"/>
  <c r="T2375" i="1"/>
  <c r="L2375" i="1"/>
  <c r="M2375" i="1" s="1"/>
  <c r="T2374" i="1"/>
  <c r="L2374" i="1"/>
  <c r="M2374" i="1" s="1"/>
  <c r="T2373" i="1"/>
  <c r="U2373" i="1" s="1"/>
  <c r="V2373" i="1" s="1"/>
  <c r="L2373" i="1"/>
  <c r="M2373" i="1" s="1"/>
  <c r="T2372" i="1"/>
  <c r="U2372" i="1" s="1"/>
  <c r="V2372" i="1" s="1"/>
  <c r="L2372" i="1"/>
  <c r="M2372" i="1" s="1"/>
  <c r="T2371" i="1"/>
  <c r="L2371" i="1"/>
  <c r="M2371" i="1" s="1"/>
  <c r="T2370" i="1"/>
  <c r="L2370" i="1"/>
  <c r="M2370" i="1" s="1"/>
  <c r="T2369" i="1"/>
  <c r="U2369" i="1" s="1"/>
  <c r="V2369" i="1" s="1"/>
  <c r="L2369" i="1"/>
  <c r="M2369" i="1" s="1"/>
  <c r="T2368" i="1"/>
  <c r="U2368" i="1" s="1"/>
  <c r="L2368" i="1"/>
  <c r="M2368" i="1" s="1"/>
  <c r="T2367" i="1"/>
  <c r="L2367" i="1"/>
  <c r="M2367" i="1" s="1"/>
  <c r="O2367" i="1" s="1"/>
  <c r="T2366" i="1"/>
  <c r="L2366" i="1"/>
  <c r="M2366" i="1" s="1"/>
  <c r="T2365" i="1"/>
  <c r="U2365" i="1" s="1"/>
  <c r="V2365" i="1" s="1"/>
  <c r="L2365" i="1"/>
  <c r="M2365" i="1" s="1"/>
  <c r="T2364" i="1"/>
  <c r="U2364" i="1" s="1"/>
  <c r="V2364" i="1" s="1"/>
  <c r="L2364" i="1"/>
  <c r="M2364" i="1" s="1"/>
  <c r="T2363" i="1"/>
  <c r="L2363" i="1"/>
  <c r="M2363" i="1" s="1"/>
  <c r="O2363" i="1" s="1"/>
  <c r="T2362" i="1"/>
  <c r="L2362" i="1"/>
  <c r="M2362" i="1" s="1"/>
  <c r="T2361" i="1"/>
  <c r="U2361" i="1" s="1"/>
  <c r="V2361" i="1" s="1"/>
  <c r="L2361" i="1"/>
  <c r="M2361" i="1" s="1"/>
  <c r="T2360" i="1"/>
  <c r="U2360" i="1" s="1"/>
  <c r="V2360" i="1" s="1"/>
  <c r="L2360" i="1"/>
  <c r="M2360" i="1" s="1"/>
  <c r="O2360" i="1" s="1"/>
  <c r="T2359" i="1"/>
  <c r="L2359" i="1"/>
  <c r="M2359" i="1" s="1"/>
  <c r="O2359" i="1" s="1"/>
  <c r="T2358" i="1"/>
  <c r="L2358" i="1"/>
  <c r="M2358" i="1" s="1"/>
  <c r="T2357" i="1"/>
  <c r="U2357" i="1" s="1"/>
  <c r="V2357" i="1" s="1"/>
  <c r="L2357" i="1"/>
  <c r="M2357" i="1" s="1"/>
  <c r="T2356" i="1"/>
  <c r="U2356" i="1" s="1"/>
  <c r="V2356" i="1" s="1"/>
  <c r="L2356" i="1"/>
  <c r="M2356" i="1" s="1"/>
  <c r="T2355" i="1"/>
  <c r="L2355" i="1"/>
  <c r="M2355" i="1" s="1"/>
  <c r="T2354" i="1"/>
  <c r="L2354" i="1"/>
  <c r="M2354" i="1" s="1"/>
  <c r="T2353" i="1"/>
  <c r="U2353" i="1" s="1"/>
  <c r="V2353" i="1" s="1"/>
  <c r="L2353" i="1"/>
  <c r="M2353" i="1" s="1"/>
  <c r="T2352" i="1"/>
  <c r="L2352" i="1"/>
  <c r="M2352" i="1" s="1"/>
  <c r="T2351" i="1"/>
  <c r="L2351" i="1"/>
  <c r="M2351" i="1" s="1"/>
  <c r="O2351" i="1" s="1"/>
  <c r="T2350" i="1"/>
  <c r="L2350" i="1"/>
  <c r="M2350" i="1" s="1"/>
  <c r="T2349" i="1"/>
  <c r="U2349" i="1" s="1"/>
  <c r="V2349" i="1" s="1"/>
  <c r="L2349" i="1"/>
  <c r="M2349" i="1" s="1"/>
  <c r="T2348" i="1"/>
  <c r="U2348" i="1" s="1"/>
  <c r="V2348" i="1" s="1"/>
  <c r="L2348" i="1"/>
  <c r="M2348" i="1" s="1"/>
  <c r="T2347" i="1"/>
  <c r="L2347" i="1"/>
  <c r="M2347" i="1" s="1"/>
  <c r="O2347" i="1" s="1"/>
  <c r="T2346" i="1"/>
  <c r="L2346" i="1"/>
  <c r="M2346" i="1" s="1"/>
  <c r="T2345" i="1"/>
  <c r="U2345" i="1" s="1"/>
  <c r="V2345" i="1" s="1"/>
  <c r="L2345" i="1"/>
  <c r="M2345" i="1" s="1"/>
  <c r="T2344" i="1"/>
  <c r="U2344" i="1" s="1"/>
  <c r="V2344" i="1" s="1"/>
  <c r="L2344" i="1"/>
  <c r="M2344" i="1" s="1"/>
  <c r="O2344" i="1" s="1"/>
  <c r="T2343" i="1"/>
  <c r="L2343" i="1"/>
  <c r="M2343" i="1" s="1"/>
  <c r="O2343" i="1" s="1"/>
  <c r="T2342" i="1"/>
  <c r="L2342" i="1"/>
  <c r="M2342" i="1" s="1"/>
  <c r="T2341" i="1"/>
  <c r="U2341" i="1" s="1"/>
  <c r="V2341" i="1" s="1"/>
  <c r="L2341" i="1"/>
  <c r="M2341" i="1" s="1"/>
  <c r="T2340" i="1"/>
  <c r="U2340" i="1" s="1"/>
  <c r="V2340" i="1" s="1"/>
  <c r="L2340" i="1"/>
  <c r="M2340" i="1" s="1"/>
  <c r="T2339" i="1"/>
  <c r="L2339" i="1"/>
  <c r="M2339" i="1" s="1"/>
  <c r="T2338" i="1"/>
  <c r="L2338" i="1"/>
  <c r="M2338" i="1" s="1"/>
  <c r="T2337" i="1"/>
  <c r="U2337" i="1" s="1"/>
  <c r="V2337" i="1" s="1"/>
  <c r="L2337" i="1"/>
  <c r="M2337" i="1" s="1"/>
  <c r="T2336" i="1"/>
  <c r="L2336" i="1"/>
  <c r="M2336" i="1" s="1"/>
  <c r="T2335" i="1"/>
  <c r="L2335" i="1"/>
  <c r="M2335" i="1" s="1"/>
  <c r="O2335" i="1" s="1"/>
  <c r="T2334" i="1"/>
  <c r="L2334" i="1"/>
  <c r="M2334" i="1" s="1"/>
  <c r="T2333" i="1"/>
  <c r="U2333" i="1" s="1"/>
  <c r="V2333" i="1" s="1"/>
  <c r="L2333" i="1"/>
  <c r="M2333" i="1" s="1"/>
  <c r="T2332" i="1"/>
  <c r="U2332" i="1" s="1"/>
  <c r="V2332" i="1" s="1"/>
  <c r="L2332" i="1"/>
  <c r="M2332" i="1" s="1"/>
  <c r="T2331" i="1"/>
  <c r="L2331" i="1"/>
  <c r="M2331" i="1" s="1"/>
  <c r="O2331" i="1" s="1"/>
  <c r="T2330" i="1"/>
  <c r="L2330" i="1"/>
  <c r="M2330" i="1" s="1"/>
  <c r="T2329" i="1"/>
  <c r="U2329" i="1" s="1"/>
  <c r="V2329" i="1" s="1"/>
  <c r="L2329" i="1"/>
  <c r="M2329" i="1" s="1"/>
  <c r="T2328" i="1"/>
  <c r="U2328" i="1" s="1"/>
  <c r="V2328" i="1" s="1"/>
  <c r="L2328" i="1"/>
  <c r="M2328" i="1" s="1"/>
  <c r="O2328" i="1" s="1"/>
  <c r="T2327" i="1"/>
  <c r="L2327" i="1"/>
  <c r="M2327" i="1" s="1"/>
  <c r="O2327" i="1" s="1"/>
  <c r="T2326" i="1"/>
  <c r="L2326" i="1"/>
  <c r="M2326" i="1" s="1"/>
  <c r="T2325" i="1"/>
  <c r="U2325" i="1" s="1"/>
  <c r="V2325" i="1" s="1"/>
  <c r="L2325" i="1"/>
  <c r="M2325" i="1" s="1"/>
  <c r="T2324" i="1"/>
  <c r="U2324" i="1" s="1"/>
  <c r="V2324" i="1" s="1"/>
  <c r="L2324" i="1"/>
  <c r="M2324" i="1" s="1"/>
  <c r="T2323" i="1"/>
  <c r="L2323" i="1"/>
  <c r="M2323" i="1" s="1"/>
  <c r="T2322" i="1"/>
  <c r="L2322" i="1"/>
  <c r="M2322" i="1" s="1"/>
  <c r="T2321" i="1"/>
  <c r="U2321" i="1" s="1"/>
  <c r="V2321" i="1" s="1"/>
  <c r="L2321" i="1"/>
  <c r="M2321" i="1" s="1"/>
  <c r="T2320" i="1"/>
  <c r="U2320" i="1" s="1"/>
  <c r="L2320" i="1"/>
  <c r="M2320" i="1" s="1"/>
  <c r="T2319" i="1"/>
  <c r="L2319" i="1"/>
  <c r="M2319" i="1" s="1"/>
  <c r="O2319" i="1" s="1"/>
  <c r="T2318" i="1"/>
  <c r="L2318" i="1"/>
  <c r="M2318" i="1" s="1"/>
  <c r="T2317" i="1"/>
  <c r="U2317" i="1" s="1"/>
  <c r="V2317" i="1" s="1"/>
  <c r="L2317" i="1"/>
  <c r="M2317" i="1" s="1"/>
  <c r="T2316" i="1"/>
  <c r="U2316" i="1" s="1"/>
  <c r="V2316" i="1" s="1"/>
  <c r="L2316" i="1"/>
  <c r="M2316" i="1" s="1"/>
  <c r="T2315" i="1"/>
  <c r="L2315" i="1"/>
  <c r="M2315" i="1" s="1"/>
  <c r="O2315" i="1" s="1"/>
  <c r="T2314" i="1"/>
  <c r="L2314" i="1"/>
  <c r="M2314" i="1" s="1"/>
  <c r="T2313" i="1"/>
  <c r="U2313" i="1" s="1"/>
  <c r="V2313" i="1" s="1"/>
  <c r="L2313" i="1"/>
  <c r="M2313" i="1" s="1"/>
  <c r="T2312" i="1"/>
  <c r="U2312" i="1" s="1"/>
  <c r="V2312" i="1" s="1"/>
  <c r="L2312" i="1"/>
  <c r="M2312" i="1" s="1"/>
  <c r="O2312" i="1" s="1"/>
  <c r="T2311" i="1"/>
  <c r="L2311" i="1"/>
  <c r="M2311" i="1" s="1"/>
  <c r="T2310" i="1"/>
  <c r="L2310" i="1"/>
  <c r="M2310" i="1" s="1"/>
  <c r="T2309" i="1"/>
  <c r="U2309" i="1" s="1"/>
  <c r="V2309" i="1" s="1"/>
  <c r="L2309" i="1"/>
  <c r="M2309" i="1" s="1"/>
  <c r="T2308" i="1"/>
  <c r="U2308" i="1" s="1"/>
  <c r="V2308" i="1" s="1"/>
  <c r="L2308" i="1"/>
  <c r="M2308" i="1" s="1"/>
  <c r="T2307" i="1"/>
  <c r="L2307" i="1"/>
  <c r="M2307" i="1" s="1"/>
  <c r="T2306" i="1"/>
  <c r="L2306" i="1"/>
  <c r="M2306" i="1" s="1"/>
  <c r="T2305" i="1"/>
  <c r="U2305" i="1" s="1"/>
  <c r="V2305" i="1" s="1"/>
  <c r="L2305" i="1"/>
  <c r="M2305" i="1" s="1"/>
  <c r="T2304" i="1"/>
  <c r="L2304" i="1"/>
  <c r="M2304" i="1" s="1"/>
  <c r="T2303" i="1"/>
  <c r="L2303" i="1"/>
  <c r="M2303" i="1" s="1"/>
  <c r="O2303" i="1" s="1"/>
  <c r="T2302" i="1"/>
  <c r="L2302" i="1"/>
  <c r="M2302" i="1" s="1"/>
  <c r="T2301" i="1"/>
  <c r="U2301" i="1" s="1"/>
  <c r="V2301" i="1" s="1"/>
  <c r="L2301" i="1"/>
  <c r="M2301" i="1" s="1"/>
  <c r="T2300" i="1"/>
  <c r="U2300" i="1" s="1"/>
  <c r="V2300" i="1" s="1"/>
  <c r="L2300" i="1"/>
  <c r="M2300" i="1" s="1"/>
  <c r="T2299" i="1"/>
  <c r="L2299" i="1"/>
  <c r="M2299" i="1" s="1"/>
  <c r="O2299" i="1" s="1"/>
  <c r="T2298" i="1"/>
  <c r="L2298" i="1"/>
  <c r="M2298" i="1" s="1"/>
  <c r="T2297" i="1"/>
  <c r="U2297" i="1" s="1"/>
  <c r="V2297" i="1" s="1"/>
  <c r="L2297" i="1"/>
  <c r="M2297" i="1" s="1"/>
  <c r="T2296" i="1"/>
  <c r="U2296" i="1" s="1"/>
  <c r="V2296" i="1" s="1"/>
  <c r="L2296" i="1"/>
  <c r="M2296" i="1" s="1"/>
  <c r="O2296" i="1" s="1"/>
  <c r="T2295" i="1"/>
  <c r="L2295" i="1"/>
  <c r="M2295" i="1" s="1"/>
  <c r="O2295" i="1" s="1"/>
  <c r="T2294" i="1"/>
  <c r="L2294" i="1"/>
  <c r="M2294" i="1" s="1"/>
  <c r="T2293" i="1"/>
  <c r="U2293" i="1" s="1"/>
  <c r="V2293" i="1" s="1"/>
  <c r="L2293" i="1"/>
  <c r="M2293" i="1" s="1"/>
  <c r="T2292" i="1"/>
  <c r="U2292" i="1" s="1"/>
  <c r="V2292" i="1" s="1"/>
  <c r="L2292" i="1"/>
  <c r="M2292" i="1" s="1"/>
  <c r="T2291" i="1"/>
  <c r="L2291" i="1"/>
  <c r="M2291" i="1" s="1"/>
  <c r="T2290" i="1"/>
  <c r="L2290" i="1"/>
  <c r="M2290" i="1" s="1"/>
  <c r="T2289" i="1"/>
  <c r="U2289" i="1" s="1"/>
  <c r="V2289" i="1" s="1"/>
  <c r="L2289" i="1"/>
  <c r="M2289" i="1" s="1"/>
  <c r="T2288" i="1"/>
  <c r="L2288" i="1"/>
  <c r="M2288" i="1" s="1"/>
  <c r="T2287" i="1"/>
  <c r="L2287" i="1"/>
  <c r="M2287" i="1" s="1"/>
  <c r="O2287" i="1" s="1"/>
  <c r="T2286" i="1"/>
  <c r="L2286" i="1"/>
  <c r="M2286" i="1" s="1"/>
  <c r="T2285" i="1"/>
  <c r="U2285" i="1" s="1"/>
  <c r="V2285" i="1" s="1"/>
  <c r="L2285" i="1"/>
  <c r="M2285" i="1" s="1"/>
  <c r="T2284" i="1"/>
  <c r="U2284" i="1" s="1"/>
  <c r="V2284" i="1" s="1"/>
  <c r="L2284" i="1"/>
  <c r="M2284" i="1" s="1"/>
  <c r="T2283" i="1"/>
  <c r="L2283" i="1"/>
  <c r="M2283" i="1" s="1"/>
  <c r="O2283" i="1" s="1"/>
  <c r="T2282" i="1"/>
  <c r="L2282" i="1"/>
  <c r="M2282" i="1" s="1"/>
  <c r="T2281" i="1"/>
  <c r="U2281" i="1" s="1"/>
  <c r="V2281" i="1" s="1"/>
  <c r="L2281" i="1"/>
  <c r="M2281" i="1" s="1"/>
  <c r="T2280" i="1"/>
  <c r="U2280" i="1" s="1"/>
  <c r="V2280" i="1" s="1"/>
  <c r="L2280" i="1"/>
  <c r="M2280" i="1" s="1"/>
  <c r="O2280" i="1" s="1"/>
  <c r="T2279" i="1"/>
  <c r="L2279" i="1"/>
  <c r="M2279" i="1" s="1"/>
  <c r="T2278" i="1"/>
  <c r="L2278" i="1"/>
  <c r="M2278" i="1" s="1"/>
  <c r="T2277" i="1"/>
  <c r="U2277" i="1" s="1"/>
  <c r="V2277" i="1" s="1"/>
  <c r="L2277" i="1"/>
  <c r="M2277" i="1" s="1"/>
  <c r="T2276" i="1"/>
  <c r="U2276" i="1" s="1"/>
  <c r="V2276" i="1" s="1"/>
  <c r="L2276" i="1"/>
  <c r="M2276" i="1" s="1"/>
  <c r="T2275" i="1"/>
  <c r="L2275" i="1"/>
  <c r="M2275" i="1" s="1"/>
  <c r="T2274" i="1"/>
  <c r="L2274" i="1"/>
  <c r="M2274" i="1" s="1"/>
  <c r="T2273" i="1"/>
  <c r="U2273" i="1" s="1"/>
  <c r="V2273" i="1" s="1"/>
  <c r="L2273" i="1"/>
  <c r="M2273" i="1" s="1"/>
  <c r="T2272" i="1"/>
  <c r="L2272" i="1"/>
  <c r="M2272" i="1" s="1"/>
  <c r="T2271" i="1"/>
  <c r="L2271" i="1"/>
  <c r="M2271" i="1" s="1"/>
  <c r="O2271" i="1" s="1"/>
  <c r="T2270" i="1"/>
  <c r="L2270" i="1"/>
  <c r="M2270" i="1" s="1"/>
  <c r="T2269" i="1"/>
  <c r="U2269" i="1" s="1"/>
  <c r="V2269" i="1" s="1"/>
  <c r="L2269" i="1"/>
  <c r="M2269" i="1" s="1"/>
  <c r="T2268" i="1"/>
  <c r="U2268" i="1" s="1"/>
  <c r="V2268" i="1" s="1"/>
  <c r="L2268" i="1"/>
  <c r="M2268" i="1" s="1"/>
  <c r="T2267" i="1"/>
  <c r="L2267" i="1"/>
  <c r="M2267" i="1" s="1"/>
  <c r="O2267" i="1" s="1"/>
  <c r="T2266" i="1"/>
  <c r="L2266" i="1"/>
  <c r="M2266" i="1" s="1"/>
  <c r="T2265" i="1"/>
  <c r="U2265" i="1" s="1"/>
  <c r="V2265" i="1" s="1"/>
  <c r="L2265" i="1"/>
  <c r="M2265" i="1" s="1"/>
  <c r="T2264" i="1"/>
  <c r="U2264" i="1" s="1"/>
  <c r="V2264" i="1" s="1"/>
  <c r="L2264" i="1"/>
  <c r="M2264" i="1" s="1"/>
  <c r="O2264" i="1" s="1"/>
  <c r="T2263" i="1"/>
  <c r="L2263" i="1"/>
  <c r="M2263" i="1" s="1"/>
  <c r="T2262" i="1"/>
  <c r="L2262" i="1"/>
  <c r="M2262" i="1" s="1"/>
  <c r="T2261" i="1"/>
  <c r="U2261" i="1" s="1"/>
  <c r="V2261" i="1" s="1"/>
  <c r="L2261" i="1"/>
  <c r="M2261" i="1" s="1"/>
  <c r="T2260" i="1"/>
  <c r="U2260" i="1" s="1"/>
  <c r="V2260" i="1" s="1"/>
  <c r="L2260" i="1"/>
  <c r="M2260" i="1" s="1"/>
  <c r="T2259" i="1"/>
  <c r="L2259" i="1"/>
  <c r="M2259" i="1" s="1"/>
  <c r="T2258" i="1"/>
  <c r="L2258" i="1"/>
  <c r="M2258" i="1" s="1"/>
  <c r="T2257" i="1"/>
  <c r="U2257" i="1" s="1"/>
  <c r="V2257" i="1" s="1"/>
  <c r="L2257" i="1"/>
  <c r="M2257" i="1" s="1"/>
  <c r="T2256" i="1"/>
  <c r="L2256" i="1"/>
  <c r="M2256" i="1" s="1"/>
  <c r="T2255" i="1"/>
  <c r="L2255" i="1"/>
  <c r="M2255" i="1" s="1"/>
  <c r="O2255" i="1" s="1"/>
  <c r="T2254" i="1"/>
  <c r="L2254" i="1"/>
  <c r="M2254" i="1" s="1"/>
  <c r="T2253" i="1"/>
  <c r="U2253" i="1" s="1"/>
  <c r="V2253" i="1" s="1"/>
  <c r="L2253" i="1"/>
  <c r="M2253" i="1" s="1"/>
  <c r="T2252" i="1"/>
  <c r="U2252" i="1" s="1"/>
  <c r="V2252" i="1" s="1"/>
  <c r="L2252" i="1"/>
  <c r="M2252" i="1" s="1"/>
  <c r="T2251" i="1"/>
  <c r="L2251" i="1"/>
  <c r="M2251" i="1" s="1"/>
  <c r="O2251" i="1" s="1"/>
  <c r="T2250" i="1"/>
  <c r="L2250" i="1"/>
  <c r="M2250" i="1" s="1"/>
  <c r="T2249" i="1"/>
  <c r="U2249" i="1" s="1"/>
  <c r="V2249" i="1" s="1"/>
  <c r="L2249" i="1"/>
  <c r="M2249" i="1" s="1"/>
  <c r="T2248" i="1"/>
  <c r="U2248" i="1" s="1"/>
  <c r="V2248" i="1" s="1"/>
  <c r="L2248" i="1"/>
  <c r="M2248" i="1" s="1"/>
  <c r="O2248" i="1" s="1"/>
  <c r="T2247" i="1"/>
  <c r="L2247" i="1"/>
  <c r="M2247" i="1" s="1"/>
  <c r="T2246" i="1"/>
  <c r="L2246" i="1"/>
  <c r="M2246" i="1" s="1"/>
  <c r="T2245" i="1"/>
  <c r="U2245" i="1" s="1"/>
  <c r="V2245" i="1" s="1"/>
  <c r="L2245" i="1"/>
  <c r="M2245" i="1" s="1"/>
  <c r="T2244" i="1"/>
  <c r="U2244" i="1" s="1"/>
  <c r="V2244" i="1" s="1"/>
  <c r="L2244" i="1"/>
  <c r="M2244" i="1" s="1"/>
  <c r="T2243" i="1"/>
  <c r="L2243" i="1"/>
  <c r="M2243" i="1" s="1"/>
  <c r="T2242" i="1"/>
  <c r="L2242" i="1"/>
  <c r="M2242" i="1" s="1"/>
  <c r="T2241" i="1"/>
  <c r="U2241" i="1" s="1"/>
  <c r="V2241" i="1" s="1"/>
  <c r="L2241" i="1"/>
  <c r="M2241" i="1" s="1"/>
  <c r="T2240" i="1"/>
  <c r="L2240" i="1"/>
  <c r="M2240" i="1" s="1"/>
  <c r="T2239" i="1"/>
  <c r="L2239" i="1"/>
  <c r="M2239" i="1" s="1"/>
  <c r="O2239" i="1" s="1"/>
  <c r="T2238" i="1"/>
  <c r="L2238" i="1"/>
  <c r="M2238" i="1" s="1"/>
  <c r="T2237" i="1"/>
  <c r="U2237" i="1" s="1"/>
  <c r="V2237" i="1" s="1"/>
  <c r="L2237" i="1"/>
  <c r="M2237" i="1" s="1"/>
  <c r="T2236" i="1"/>
  <c r="U2236" i="1" s="1"/>
  <c r="V2236" i="1" s="1"/>
  <c r="L2236" i="1"/>
  <c r="M2236" i="1" s="1"/>
  <c r="T2235" i="1"/>
  <c r="L2235" i="1"/>
  <c r="M2235" i="1" s="1"/>
  <c r="O2235" i="1" s="1"/>
  <c r="T2234" i="1"/>
  <c r="L2234" i="1"/>
  <c r="M2234" i="1" s="1"/>
  <c r="T2233" i="1"/>
  <c r="U2233" i="1" s="1"/>
  <c r="V2233" i="1" s="1"/>
  <c r="L2233" i="1"/>
  <c r="M2233" i="1" s="1"/>
  <c r="T2232" i="1"/>
  <c r="U2232" i="1" s="1"/>
  <c r="V2232" i="1" s="1"/>
  <c r="L2232" i="1"/>
  <c r="M2232" i="1" s="1"/>
  <c r="O2232" i="1" s="1"/>
  <c r="T2231" i="1"/>
  <c r="L2231" i="1"/>
  <c r="M2231" i="1" s="1"/>
  <c r="T2230" i="1"/>
  <c r="L2230" i="1"/>
  <c r="M2230" i="1" s="1"/>
  <c r="T2229" i="1"/>
  <c r="U2229" i="1" s="1"/>
  <c r="V2229" i="1" s="1"/>
  <c r="L2229" i="1"/>
  <c r="M2229" i="1" s="1"/>
  <c r="T2228" i="1"/>
  <c r="U2228" i="1" s="1"/>
  <c r="V2228" i="1" s="1"/>
  <c r="L2228" i="1"/>
  <c r="M2228" i="1" s="1"/>
  <c r="T2227" i="1"/>
  <c r="L2227" i="1"/>
  <c r="M2227" i="1" s="1"/>
  <c r="T2226" i="1"/>
  <c r="L2226" i="1"/>
  <c r="M2226" i="1" s="1"/>
  <c r="T2225" i="1"/>
  <c r="U2225" i="1" s="1"/>
  <c r="V2225" i="1" s="1"/>
  <c r="L2225" i="1"/>
  <c r="M2225" i="1" s="1"/>
  <c r="T2224" i="1"/>
  <c r="L2224" i="1"/>
  <c r="M2224" i="1" s="1"/>
  <c r="T2223" i="1"/>
  <c r="L2223" i="1"/>
  <c r="M2223" i="1" s="1"/>
  <c r="O2223" i="1" s="1"/>
  <c r="T2222" i="1"/>
  <c r="L2222" i="1"/>
  <c r="M2222" i="1" s="1"/>
  <c r="T2221" i="1"/>
  <c r="U2221" i="1" s="1"/>
  <c r="V2221" i="1" s="1"/>
  <c r="L2221" i="1"/>
  <c r="M2221" i="1" s="1"/>
  <c r="T2220" i="1"/>
  <c r="U2220" i="1" s="1"/>
  <c r="V2220" i="1" s="1"/>
  <c r="L2220" i="1"/>
  <c r="M2220" i="1" s="1"/>
  <c r="T2219" i="1"/>
  <c r="L2219" i="1"/>
  <c r="M2219" i="1" s="1"/>
  <c r="O2219" i="1" s="1"/>
  <c r="T2218" i="1"/>
  <c r="L2218" i="1"/>
  <c r="M2218" i="1" s="1"/>
  <c r="T2217" i="1"/>
  <c r="U2217" i="1" s="1"/>
  <c r="V2217" i="1" s="1"/>
  <c r="L2217" i="1"/>
  <c r="M2217" i="1" s="1"/>
  <c r="T2216" i="1"/>
  <c r="U2216" i="1" s="1"/>
  <c r="V2216" i="1" s="1"/>
  <c r="L2216" i="1"/>
  <c r="M2216" i="1" s="1"/>
  <c r="O2216" i="1" s="1"/>
  <c r="T2215" i="1"/>
  <c r="L2215" i="1"/>
  <c r="M2215" i="1" s="1"/>
  <c r="O2215" i="1" s="1"/>
  <c r="T2214" i="1"/>
  <c r="L2214" i="1"/>
  <c r="M2214" i="1" s="1"/>
  <c r="T2213" i="1"/>
  <c r="U2213" i="1" s="1"/>
  <c r="V2213" i="1" s="1"/>
  <c r="L2213" i="1"/>
  <c r="M2213" i="1" s="1"/>
  <c r="T2212" i="1"/>
  <c r="U2212" i="1" s="1"/>
  <c r="V2212" i="1" s="1"/>
  <c r="L2212" i="1"/>
  <c r="M2212" i="1" s="1"/>
  <c r="T2211" i="1"/>
  <c r="L2211" i="1"/>
  <c r="M2211" i="1" s="1"/>
  <c r="T2210" i="1"/>
  <c r="L2210" i="1"/>
  <c r="M2210" i="1" s="1"/>
  <c r="T2209" i="1"/>
  <c r="U2209" i="1" s="1"/>
  <c r="V2209" i="1" s="1"/>
  <c r="L2209" i="1"/>
  <c r="M2209" i="1" s="1"/>
  <c r="T2208" i="1"/>
  <c r="L2208" i="1"/>
  <c r="M2208" i="1" s="1"/>
  <c r="T2207" i="1"/>
  <c r="L2207" i="1"/>
  <c r="M2207" i="1" s="1"/>
  <c r="O2207" i="1" s="1"/>
  <c r="T2206" i="1"/>
  <c r="L2206" i="1"/>
  <c r="M2206" i="1" s="1"/>
  <c r="T2205" i="1"/>
  <c r="U2205" i="1" s="1"/>
  <c r="V2205" i="1" s="1"/>
  <c r="L2205" i="1"/>
  <c r="M2205" i="1" s="1"/>
  <c r="T2204" i="1"/>
  <c r="U2204" i="1" s="1"/>
  <c r="V2204" i="1" s="1"/>
  <c r="L2204" i="1"/>
  <c r="M2204" i="1" s="1"/>
  <c r="T2203" i="1"/>
  <c r="L2203" i="1"/>
  <c r="M2203" i="1" s="1"/>
  <c r="O2203" i="1" s="1"/>
  <c r="T2202" i="1"/>
  <c r="L2202" i="1"/>
  <c r="M2202" i="1" s="1"/>
  <c r="T2201" i="1"/>
  <c r="U2201" i="1" s="1"/>
  <c r="V2201" i="1" s="1"/>
  <c r="L2201" i="1"/>
  <c r="M2201" i="1" s="1"/>
  <c r="T2200" i="1"/>
  <c r="U2200" i="1" s="1"/>
  <c r="V2200" i="1" s="1"/>
  <c r="L2200" i="1"/>
  <c r="M2200" i="1" s="1"/>
  <c r="O2200" i="1" s="1"/>
  <c r="T2199" i="1"/>
  <c r="L2199" i="1"/>
  <c r="M2199" i="1" s="1"/>
  <c r="O2199" i="1" s="1"/>
  <c r="T2198" i="1"/>
  <c r="L2198" i="1"/>
  <c r="M2198" i="1" s="1"/>
  <c r="T2197" i="1"/>
  <c r="U2197" i="1" s="1"/>
  <c r="V2197" i="1" s="1"/>
  <c r="L2197" i="1"/>
  <c r="M2197" i="1" s="1"/>
  <c r="T2196" i="1"/>
  <c r="U2196" i="1" s="1"/>
  <c r="V2196" i="1" s="1"/>
  <c r="L2196" i="1"/>
  <c r="M2196" i="1" s="1"/>
  <c r="O2196" i="1" s="1"/>
  <c r="T2195" i="1"/>
  <c r="L2195" i="1"/>
  <c r="M2195" i="1" s="1"/>
  <c r="O2195" i="1" s="1"/>
  <c r="T2194" i="1"/>
  <c r="L2194" i="1"/>
  <c r="M2194" i="1" s="1"/>
  <c r="T2193" i="1"/>
  <c r="U2193" i="1" s="1"/>
  <c r="V2193" i="1" s="1"/>
  <c r="L2193" i="1"/>
  <c r="M2193" i="1" s="1"/>
  <c r="O2193" i="1" s="1"/>
  <c r="T2192" i="1"/>
  <c r="L2192" i="1"/>
  <c r="M2192" i="1" s="1"/>
  <c r="T2191" i="1"/>
  <c r="L2191" i="1"/>
  <c r="M2191" i="1" s="1"/>
  <c r="T2190" i="1"/>
  <c r="L2190" i="1"/>
  <c r="M2190" i="1" s="1"/>
  <c r="T2189" i="1"/>
  <c r="U2189" i="1" s="1"/>
  <c r="V2189" i="1" s="1"/>
  <c r="L2189" i="1"/>
  <c r="M2189" i="1" s="1"/>
  <c r="T2188" i="1"/>
  <c r="U2188" i="1" s="1"/>
  <c r="V2188" i="1" s="1"/>
  <c r="L2188" i="1"/>
  <c r="M2188" i="1" s="1"/>
  <c r="O2188" i="1" s="1"/>
  <c r="T2187" i="1"/>
  <c r="L2187" i="1"/>
  <c r="M2187" i="1" s="1"/>
  <c r="O2187" i="1" s="1"/>
  <c r="T2186" i="1"/>
  <c r="L2186" i="1"/>
  <c r="M2186" i="1" s="1"/>
  <c r="T2185" i="1"/>
  <c r="U2185" i="1" s="1"/>
  <c r="V2185" i="1" s="1"/>
  <c r="L2185" i="1"/>
  <c r="M2185" i="1" s="1"/>
  <c r="O2185" i="1" s="1"/>
  <c r="T2184" i="1"/>
  <c r="U2184" i="1" s="1"/>
  <c r="L2184" i="1"/>
  <c r="M2184" i="1" s="1"/>
  <c r="T2183" i="1"/>
  <c r="L2183" i="1"/>
  <c r="M2183" i="1" s="1"/>
  <c r="O2183" i="1" s="1"/>
  <c r="T2182" i="1"/>
  <c r="L2182" i="1"/>
  <c r="M2182" i="1" s="1"/>
  <c r="T2181" i="1"/>
  <c r="U2181" i="1" s="1"/>
  <c r="V2181" i="1" s="1"/>
  <c r="L2181" i="1"/>
  <c r="M2181" i="1" s="1"/>
  <c r="T2180" i="1"/>
  <c r="U2180" i="1" s="1"/>
  <c r="V2180" i="1" s="1"/>
  <c r="L2180" i="1"/>
  <c r="M2180" i="1" s="1"/>
  <c r="T2179" i="1"/>
  <c r="L2179" i="1"/>
  <c r="M2179" i="1" s="1"/>
  <c r="O2179" i="1" s="1"/>
  <c r="T2178" i="1"/>
  <c r="L2178" i="1"/>
  <c r="M2178" i="1" s="1"/>
  <c r="T2177" i="1"/>
  <c r="U2177" i="1" s="1"/>
  <c r="V2177" i="1" s="1"/>
  <c r="L2177" i="1"/>
  <c r="M2177" i="1" s="1"/>
  <c r="O2177" i="1" s="1"/>
  <c r="T2176" i="1"/>
  <c r="L2176" i="1"/>
  <c r="M2176" i="1" s="1"/>
  <c r="T2175" i="1"/>
  <c r="L2175" i="1"/>
  <c r="M2175" i="1" s="1"/>
  <c r="T2174" i="1"/>
  <c r="L2174" i="1"/>
  <c r="M2174" i="1" s="1"/>
  <c r="T2173" i="1"/>
  <c r="U2173" i="1" s="1"/>
  <c r="V2173" i="1" s="1"/>
  <c r="L2173" i="1"/>
  <c r="M2173" i="1" s="1"/>
  <c r="T2172" i="1"/>
  <c r="U2172" i="1" s="1"/>
  <c r="V2172" i="1" s="1"/>
  <c r="L2172" i="1"/>
  <c r="M2172" i="1" s="1"/>
  <c r="O2172" i="1" s="1"/>
  <c r="T2171" i="1"/>
  <c r="L2171" i="1"/>
  <c r="M2171" i="1" s="1"/>
  <c r="O2171" i="1" s="1"/>
  <c r="T2170" i="1"/>
  <c r="L2170" i="1"/>
  <c r="M2170" i="1" s="1"/>
  <c r="T2169" i="1"/>
  <c r="U2169" i="1" s="1"/>
  <c r="V2169" i="1" s="1"/>
  <c r="L2169" i="1"/>
  <c r="M2169" i="1" s="1"/>
  <c r="O2169" i="1" s="1"/>
  <c r="T2168" i="1"/>
  <c r="L2168" i="1"/>
  <c r="M2168" i="1" s="1"/>
  <c r="T2167" i="1"/>
  <c r="L2167" i="1"/>
  <c r="M2167" i="1" s="1"/>
  <c r="T2166" i="1"/>
  <c r="L2166" i="1"/>
  <c r="M2166" i="1" s="1"/>
  <c r="T2165" i="1"/>
  <c r="U2165" i="1" s="1"/>
  <c r="V2165" i="1" s="1"/>
  <c r="L2165" i="1"/>
  <c r="M2165" i="1" s="1"/>
  <c r="T2164" i="1"/>
  <c r="U2164" i="1" s="1"/>
  <c r="V2164" i="1" s="1"/>
  <c r="L2164" i="1"/>
  <c r="M2164" i="1" s="1"/>
  <c r="O2164" i="1" s="1"/>
  <c r="T2163" i="1"/>
  <c r="L2163" i="1"/>
  <c r="M2163" i="1" s="1"/>
  <c r="T2162" i="1"/>
  <c r="L2162" i="1"/>
  <c r="M2162" i="1" s="1"/>
  <c r="T2161" i="1"/>
  <c r="U2161" i="1" s="1"/>
  <c r="V2161" i="1" s="1"/>
  <c r="L2161" i="1"/>
  <c r="M2161" i="1" s="1"/>
  <c r="O2161" i="1" s="1"/>
  <c r="T2160" i="1"/>
  <c r="U2160" i="1" s="1"/>
  <c r="L2160" i="1"/>
  <c r="M2160" i="1" s="1"/>
  <c r="O2160" i="1" s="1"/>
  <c r="P2160" i="1" s="1"/>
  <c r="T2159" i="1"/>
  <c r="L2159" i="1"/>
  <c r="M2159" i="1" s="1"/>
  <c r="T2158" i="1"/>
  <c r="U2158" i="1" s="1"/>
  <c r="V2158" i="1" s="1"/>
  <c r="L2158" i="1"/>
  <c r="M2158" i="1" s="1"/>
  <c r="T2157" i="1"/>
  <c r="U2157" i="1" s="1"/>
  <c r="V2157" i="1" s="1"/>
  <c r="L2157" i="1"/>
  <c r="M2157" i="1" s="1"/>
  <c r="T2156" i="1"/>
  <c r="L2156" i="1"/>
  <c r="M2156" i="1" s="1"/>
  <c r="T2155" i="1"/>
  <c r="L2155" i="1"/>
  <c r="M2155" i="1" s="1"/>
  <c r="T2154" i="1"/>
  <c r="U2154" i="1" s="1"/>
  <c r="L2154" i="1"/>
  <c r="M2154" i="1" s="1"/>
  <c r="T2153" i="1"/>
  <c r="U2153" i="1" s="1"/>
  <c r="V2153" i="1" s="1"/>
  <c r="L2153" i="1"/>
  <c r="M2153" i="1" s="1"/>
  <c r="T2152" i="1"/>
  <c r="L2152" i="1"/>
  <c r="M2152" i="1" s="1"/>
  <c r="T2151" i="1"/>
  <c r="L2151" i="1"/>
  <c r="M2151" i="1" s="1"/>
  <c r="T2150" i="1"/>
  <c r="L2150" i="1"/>
  <c r="M2150" i="1" s="1"/>
  <c r="T2149" i="1"/>
  <c r="L2149" i="1"/>
  <c r="M2149" i="1" s="1"/>
  <c r="O2149" i="1" s="1"/>
  <c r="P2149" i="1" s="1"/>
  <c r="T2148" i="1"/>
  <c r="U2148" i="1" s="1"/>
  <c r="L2148" i="1"/>
  <c r="M2148" i="1" s="1"/>
  <c r="O2148" i="1" s="1"/>
  <c r="P2148" i="1" s="1"/>
  <c r="T2147" i="1"/>
  <c r="U2147" i="1" s="1"/>
  <c r="L2147" i="1"/>
  <c r="M2147" i="1" s="1"/>
  <c r="T2146" i="1"/>
  <c r="L2146" i="1"/>
  <c r="M2146" i="1" s="1"/>
  <c r="T2145" i="1"/>
  <c r="U2145" i="1" s="1"/>
  <c r="V2145" i="1" s="1"/>
  <c r="W2145" i="1" s="1"/>
  <c r="L2145" i="1"/>
  <c r="M2145" i="1" s="1"/>
  <c r="O2145" i="1" s="1"/>
  <c r="P2145" i="1" s="1"/>
  <c r="T2144" i="1"/>
  <c r="U2144" i="1" s="1"/>
  <c r="L2144" i="1"/>
  <c r="M2144" i="1" s="1"/>
  <c r="T2143" i="1"/>
  <c r="L2143" i="1"/>
  <c r="M2143" i="1" s="1"/>
  <c r="T2142" i="1"/>
  <c r="U2142" i="1" s="1"/>
  <c r="V2142" i="1" s="1"/>
  <c r="L2142" i="1"/>
  <c r="M2142" i="1" s="1"/>
  <c r="T2141" i="1"/>
  <c r="U2141" i="1" s="1"/>
  <c r="V2141" i="1" s="1"/>
  <c r="L2141" i="1"/>
  <c r="M2141" i="1" s="1"/>
  <c r="T2140" i="1"/>
  <c r="L2140" i="1"/>
  <c r="M2140" i="1" s="1"/>
  <c r="T2139" i="1"/>
  <c r="L2139" i="1"/>
  <c r="M2139" i="1" s="1"/>
  <c r="O2139" i="1" s="1"/>
  <c r="T2138" i="1"/>
  <c r="U2138" i="1" s="1"/>
  <c r="V2138" i="1" s="1"/>
  <c r="L2138" i="1"/>
  <c r="M2138" i="1" s="1"/>
  <c r="T2137" i="1"/>
  <c r="U2137" i="1" s="1"/>
  <c r="V2137" i="1" s="1"/>
  <c r="L2137" i="1"/>
  <c r="M2137" i="1" s="1"/>
  <c r="T2136" i="1"/>
  <c r="L2136" i="1"/>
  <c r="M2136" i="1" s="1"/>
  <c r="T2135" i="1"/>
  <c r="L2135" i="1"/>
  <c r="M2135" i="1" s="1"/>
  <c r="T2134" i="1"/>
  <c r="L2134" i="1"/>
  <c r="M2134" i="1" s="1"/>
  <c r="O2134" i="1" s="1"/>
  <c r="T2133" i="1"/>
  <c r="L2133" i="1"/>
  <c r="M2133" i="1" s="1"/>
  <c r="T2132" i="1"/>
  <c r="L2132" i="1"/>
  <c r="M2132" i="1" s="1"/>
  <c r="T2131" i="1"/>
  <c r="U2131" i="1" s="1"/>
  <c r="V2131" i="1" s="1"/>
  <c r="L2131" i="1"/>
  <c r="M2131" i="1" s="1"/>
  <c r="T2130" i="1"/>
  <c r="U2130" i="1" s="1"/>
  <c r="V2130" i="1" s="1"/>
  <c r="L2130" i="1"/>
  <c r="M2130" i="1" s="1"/>
  <c r="T2129" i="1"/>
  <c r="L2129" i="1"/>
  <c r="M2129" i="1" s="1"/>
  <c r="O2129" i="1" s="1"/>
  <c r="T2128" i="1"/>
  <c r="L2128" i="1"/>
  <c r="M2128" i="1" s="1"/>
  <c r="T2127" i="1"/>
  <c r="U2127" i="1" s="1"/>
  <c r="V2127" i="1" s="1"/>
  <c r="L2127" i="1"/>
  <c r="M2127" i="1" s="1"/>
  <c r="T2126" i="1"/>
  <c r="U2126" i="1" s="1"/>
  <c r="L2126" i="1"/>
  <c r="M2126" i="1" s="1"/>
  <c r="O2126" i="1" s="1"/>
  <c r="T2125" i="1"/>
  <c r="L2125" i="1"/>
  <c r="M2125" i="1" s="1"/>
  <c r="T2124" i="1"/>
  <c r="L2124" i="1"/>
  <c r="M2124" i="1" s="1"/>
  <c r="T2123" i="1"/>
  <c r="U2123" i="1" s="1"/>
  <c r="V2123" i="1" s="1"/>
  <c r="L2123" i="1"/>
  <c r="M2123" i="1" s="1"/>
  <c r="T2122" i="1"/>
  <c r="U2122" i="1" s="1"/>
  <c r="V2122" i="1" s="1"/>
  <c r="L2122" i="1"/>
  <c r="M2122" i="1" s="1"/>
  <c r="T2121" i="1"/>
  <c r="L2121" i="1"/>
  <c r="M2121" i="1" s="1"/>
  <c r="T2120" i="1"/>
  <c r="L2120" i="1"/>
  <c r="M2120" i="1" s="1"/>
  <c r="T2119" i="1"/>
  <c r="U2119" i="1" s="1"/>
  <c r="V2119" i="1" s="1"/>
  <c r="L2119" i="1"/>
  <c r="M2119" i="1" s="1"/>
  <c r="T2118" i="1"/>
  <c r="L2118" i="1"/>
  <c r="M2118" i="1" s="1"/>
  <c r="O2118" i="1" s="1"/>
  <c r="T2117" i="1"/>
  <c r="L2117" i="1"/>
  <c r="M2117" i="1" s="1"/>
  <c r="T2116" i="1"/>
  <c r="L2116" i="1"/>
  <c r="M2116" i="1" s="1"/>
  <c r="T2115" i="1"/>
  <c r="U2115" i="1" s="1"/>
  <c r="V2115" i="1" s="1"/>
  <c r="L2115" i="1"/>
  <c r="M2115" i="1" s="1"/>
  <c r="T2114" i="1"/>
  <c r="U2114" i="1" s="1"/>
  <c r="V2114" i="1" s="1"/>
  <c r="L2114" i="1"/>
  <c r="M2114" i="1" s="1"/>
  <c r="T2113" i="1"/>
  <c r="L2113" i="1"/>
  <c r="M2113" i="1" s="1"/>
  <c r="O2113" i="1" s="1"/>
  <c r="T2112" i="1"/>
  <c r="L2112" i="1"/>
  <c r="M2112" i="1" s="1"/>
  <c r="T2111" i="1"/>
  <c r="U2111" i="1" s="1"/>
  <c r="V2111" i="1" s="1"/>
  <c r="L2111" i="1"/>
  <c r="M2111" i="1" s="1"/>
  <c r="T2110" i="1"/>
  <c r="L2110" i="1"/>
  <c r="M2110" i="1" s="1"/>
  <c r="O2110" i="1" s="1"/>
  <c r="T2109" i="1"/>
  <c r="L2109" i="1"/>
  <c r="M2109" i="1" s="1"/>
  <c r="T2108" i="1"/>
  <c r="L2108" i="1"/>
  <c r="M2108" i="1" s="1"/>
  <c r="T2107" i="1"/>
  <c r="U2107" i="1" s="1"/>
  <c r="V2107" i="1" s="1"/>
  <c r="L2107" i="1"/>
  <c r="M2107" i="1" s="1"/>
  <c r="T2106" i="1"/>
  <c r="U2106" i="1" s="1"/>
  <c r="V2106" i="1" s="1"/>
  <c r="L2106" i="1"/>
  <c r="M2106" i="1" s="1"/>
  <c r="T2105" i="1"/>
  <c r="L2105" i="1"/>
  <c r="M2105" i="1" s="1"/>
  <c r="T2104" i="1"/>
  <c r="L2104" i="1"/>
  <c r="M2104" i="1" s="1"/>
  <c r="T2103" i="1"/>
  <c r="U2103" i="1" s="1"/>
  <c r="V2103" i="1" s="1"/>
  <c r="L2103" i="1"/>
  <c r="M2103" i="1" s="1"/>
  <c r="T2102" i="1"/>
  <c r="L2102" i="1"/>
  <c r="M2102" i="1" s="1"/>
  <c r="O2102" i="1" s="1"/>
  <c r="T2101" i="1"/>
  <c r="L2101" i="1"/>
  <c r="M2101" i="1" s="1"/>
  <c r="T2100" i="1"/>
  <c r="L2100" i="1"/>
  <c r="M2100" i="1" s="1"/>
  <c r="T2099" i="1"/>
  <c r="U2099" i="1" s="1"/>
  <c r="V2099" i="1" s="1"/>
  <c r="L2099" i="1"/>
  <c r="M2099" i="1" s="1"/>
  <c r="T2098" i="1"/>
  <c r="U2098" i="1" s="1"/>
  <c r="V2098" i="1" s="1"/>
  <c r="L2098" i="1"/>
  <c r="M2098" i="1" s="1"/>
  <c r="T2097" i="1"/>
  <c r="L2097" i="1"/>
  <c r="M2097" i="1" s="1"/>
  <c r="O2097" i="1" s="1"/>
  <c r="T2096" i="1"/>
  <c r="L2096" i="1"/>
  <c r="M2096" i="1" s="1"/>
  <c r="T2095" i="1"/>
  <c r="U2095" i="1" s="1"/>
  <c r="V2095" i="1" s="1"/>
  <c r="L2095" i="1"/>
  <c r="M2095" i="1" s="1"/>
  <c r="T2094" i="1"/>
  <c r="L2094" i="1"/>
  <c r="M2094" i="1" s="1"/>
  <c r="O2094" i="1" s="1"/>
  <c r="T2093" i="1"/>
  <c r="L2093" i="1"/>
  <c r="M2093" i="1" s="1"/>
  <c r="T2092" i="1"/>
  <c r="L2092" i="1"/>
  <c r="M2092" i="1" s="1"/>
  <c r="T2091" i="1"/>
  <c r="U2091" i="1" s="1"/>
  <c r="V2091" i="1" s="1"/>
  <c r="L2091" i="1"/>
  <c r="M2091" i="1" s="1"/>
  <c r="T2090" i="1"/>
  <c r="U2090" i="1" s="1"/>
  <c r="V2090" i="1" s="1"/>
  <c r="L2090" i="1"/>
  <c r="M2090" i="1" s="1"/>
  <c r="T2089" i="1"/>
  <c r="L2089" i="1"/>
  <c r="M2089" i="1" s="1"/>
  <c r="T2088" i="1"/>
  <c r="L2088" i="1"/>
  <c r="M2088" i="1" s="1"/>
  <c r="T2087" i="1"/>
  <c r="U2087" i="1" s="1"/>
  <c r="V2087" i="1" s="1"/>
  <c r="L2087" i="1"/>
  <c r="M2087" i="1" s="1"/>
  <c r="T2086" i="1"/>
  <c r="U2086" i="1" s="1"/>
  <c r="L2086" i="1"/>
  <c r="M2086" i="1" s="1"/>
  <c r="O2086" i="1" s="1"/>
  <c r="P2086" i="1" s="1"/>
  <c r="T2085" i="1"/>
  <c r="L2085" i="1"/>
  <c r="M2085" i="1" s="1"/>
  <c r="T2084" i="1"/>
  <c r="L2084" i="1"/>
  <c r="M2084" i="1" s="1"/>
  <c r="T2083" i="1"/>
  <c r="U2083" i="1" s="1"/>
  <c r="V2083" i="1" s="1"/>
  <c r="L2083" i="1"/>
  <c r="M2083" i="1" s="1"/>
  <c r="T2082" i="1"/>
  <c r="L2082" i="1"/>
  <c r="M2082" i="1" s="1"/>
  <c r="O2082" i="1" s="1"/>
  <c r="P2082" i="1" s="1"/>
  <c r="T2081" i="1"/>
  <c r="L2081" i="1"/>
  <c r="M2081" i="1" s="1"/>
  <c r="O2081" i="1" s="1"/>
  <c r="T2080" i="1"/>
  <c r="L2080" i="1"/>
  <c r="M2080" i="1" s="1"/>
  <c r="T2079" i="1"/>
  <c r="U2079" i="1" s="1"/>
  <c r="V2079" i="1" s="1"/>
  <c r="L2079" i="1"/>
  <c r="M2079" i="1" s="1"/>
  <c r="T2078" i="1"/>
  <c r="L2078" i="1"/>
  <c r="M2078" i="1" s="1"/>
  <c r="O2078" i="1" s="1"/>
  <c r="P2078" i="1" s="1"/>
  <c r="T2077" i="1"/>
  <c r="L2077" i="1"/>
  <c r="M2077" i="1" s="1"/>
  <c r="O2077" i="1" s="1"/>
  <c r="T2076" i="1"/>
  <c r="L2076" i="1"/>
  <c r="M2076" i="1" s="1"/>
  <c r="T2075" i="1"/>
  <c r="U2075" i="1" s="1"/>
  <c r="V2075" i="1" s="1"/>
  <c r="L2075" i="1"/>
  <c r="M2075" i="1" s="1"/>
  <c r="T2074" i="1"/>
  <c r="U2074" i="1" s="1"/>
  <c r="V2074" i="1" s="1"/>
  <c r="L2074" i="1"/>
  <c r="M2074" i="1" s="1"/>
  <c r="O2074" i="1" s="1"/>
  <c r="P2074" i="1" s="1"/>
  <c r="T2073" i="1"/>
  <c r="L2073" i="1"/>
  <c r="M2073" i="1" s="1"/>
  <c r="T2072" i="1"/>
  <c r="L2072" i="1"/>
  <c r="M2072" i="1" s="1"/>
  <c r="T2071" i="1"/>
  <c r="U2071" i="1" s="1"/>
  <c r="V2071" i="1" s="1"/>
  <c r="L2071" i="1"/>
  <c r="M2071" i="1" s="1"/>
  <c r="T2070" i="1"/>
  <c r="U2070" i="1" s="1"/>
  <c r="L2070" i="1"/>
  <c r="M2070" i="1" s="1"/>
  <c r="O2070" i="1" s="1"/>
  <c r="P2070" i="1" s="1"/>
  <c r="T2069" i="1"/>
  <c r="L2069" i="1"/>
  <c r="M2069" i="1" s="1"/>
  <c r="T2068" i="1"/>
  <c r="L2068" i="1"/>
  <c r="M2068" i="1" s="1"/>
  <c r="T2067" i="1"/>
  <c r="U2067" i="1" s="1"/>
  <c r="V2067" i="1" s="1"/>
  <c r="L2067" i="1"/>
  <c r="M2067" i="1" s="1"/>
  <c r="T2066" i="1"/>
  <c r="L2066" i="1"/>
  <c r="M2066" i="1" s="1"/>
  <c r="O2066" i="1" s="1"/>
  <c r="P2066" i="1" s="1"/>
  <c r="T2065" i="1"/>
  <c r="L2065" i="1"/>
  <c r="M2065" i="1" s="1"/>
  <c r="O2065" i="1" s="1"/>
  <c r="T2064" i="1"/>
  <c r="L2064" i="1"/>
  <c r="M2064" i="1" s="1"/>
  <c r="T2063" i="1"/>
  <c r="U2063" i="1" s="1"/>
  <c r="V2063" i="1" s="1"/>
  <c r="L2063" i="1"/>
  <c r="M2063" i="1" s="1"/>
  <c r="T2062" i="1"/>
  <c r="U2062" i="1" s="1"/>
  <c r="V2062" i="1" s="1"/>
  <c r="L2062" i="1"/>
  <c r="M2062" i="1" s="1"/>
  <c r="O2062" i="1" s="1"/>
  <c r="P2062" i="1" s="1"/>
  <c r="T2061" i="1"/>
  <c r="L2061" i="1"/>
  <c r="M2061" i="1" s="1"/>
  <c r="T2060" i="1"/>
  <c r="L2060" i="1"/>
  <c r="M2060" i="1" s="1"/>
  <c r="T2059" i="1"/>
  <c r="U2059" i="1" s="1"/>
  <c r="V2059" i="1" s="1"/>
  <c r="L2059" i="1"/>
  <c r="M2059" i="1" s="1"/>
  <c r="T2058" i="1"/>
  <c r="U2058" i="1" s="1"/>
  <c r="L2058" i="1"/>
  <c r="M2058" i="1" s="1"/>
  <c r="O2058" i="1" s="1"/>
  <c r="P2058" i="1" s="1"/>
  <c r="T2057" i="1"/>
  <c r="L2057" i="1"/>
  <c r="M2057" i="1" s="1"/>
  <c r="T2056" i="1"/>
  <c r="L2056" i="1"/>
  <c r="M2056" i="1" s="1"/>
  <c r="T2055" i="1"/>
  <c r="U2055" i="1" s="1"/>
  <c r="V2055" i="1" s="1"/>
  <c r="L2055" i="1"/>
  <c r="M2055" i="1" s="1"/>
  <c r="T2054" i="1"/>
  <c r="L2054" i="1"/>
  <c r="M2054" i="1" s="1"/>
  <c r="O2054" i="1" s="1"/>
  <c r="P2054" i="1" s="1"/>
  <c r="T2053" i="1"/>
  <c r="L2053" i="1"/>
  <c r="M2053" i="1" s="1"/>
  <c r="O2053" i="1" s="1"/>
  <c r="T2052" i="1"/>
  <c r="L2052" i="1"/>
  <c r="M2052" i="1" s="1"/>
  <c r="T2051" i="1"/>
  <c r="U2051" i="1" s="1"/>
  <c r="V2051" i="1" s="1"/>
  <c r="L2051" i="1"/>
  <c r="M2051" i="1" s="1"/>
  <c r="T2050" i="1"/>
  <c r="L2050" i="1"/>
  <c r="M2050" i="1" s="1"/>
  <c r="O2050" i="1" s="1"/>
  <c r="P2050" i="1" s="1"/>
  <c r="T2049" i="1"/>
  <c r="L2049" i="1"/>
  <c r="M2049" i="1" s="1"/>
  <c r="O2049" i="1" s="1"/>
  <c r="T2048" i="1"/>
  <c r="L2048" i="1"/>
  <c r="M2048" i="1" s="1"/>
  <c r="T2047" i="1"/>
  <c r="U2047" i="1" s="1"/>
  <c r="V2047" i="1" s="1"/>
  <c r="L2047" i="1"/>
  <c r="M2047" i="1" s="1"/>
  <c r="T2046" i="1"/>
  <c r="L2046" i="1"/>
  <c r="M2046" i="1" s="1"/>
  <c r="O2046" i="1" s="1"/>
  <c r="P2046" i="1" s="1"/>
  <c r="T2045" i="1"/>
  <c r="L2045" i="1"/>
  <c r="M2045" i="1" s="1"/>
  <c r="O2045" i="1" s="1"/>
  <c r="T2044" i="1"/>
  <c r="L2044" i="1"/>
  <c r="M2044" i="1" s="1"/>
  <c r="T2043" i="1"/>
  <c r="U2043" i="1" s="1"/>
  <c r="V2043" i="1" s="1"/>
  <c r="L2043" i="1"/>
  <c r="M2043" i="1" s="1"/>
  <c r="T2042" i="1"/>
  <c r="L2042" i="1"/>
  <c r="M2042" i="1" s="1"/>
  <c r="O2042" i="1" s="1"/>
  <c r="P2042" i="1" s="1"/>
  <c r="T2041" i="1"/>
  <c r="L2041" i="1"/>
  <c r="M2041" i="1" s="1"/>
  <c r="T2040" i="1"/>
  <c r="L2040" i="1"/>
  <c r="M2040" i="1" s="1"/>
  <c r="T2039" i="1"/>
  <c r="U2039" i="1" s="1"/>
  <c r="V2039" i="1" s="1"/>
  <c r="L2039" i="1"/>
  <c r="M2039" i="1" s="1"/>
  <c r="T2038" i="1"/>
  <c r="L2038" i="1"/>
  <c r="M2038" i="1" s="1"/>
  <c r="O2038" i="1" s="1"/>
  <c r="P2038" i="1" s="1"/>
  <c r="T2037" i="1"/>
  <c r="L2037" i="1"/>
  <c r="M2037" i="1" s="1"/>
  <c r="O2037" i="1" s="1"/>
  <c r="T2036" i="1"/>
  <c r="L2036" i="1"/>
  <c r="M2036" i="1" s="1"/>
  <c r="T2035" i="1"/>
  <c r="U2035" i="1" s="1"/>
  <c r="V2035" i="1" s="1"/>
  <c r="L2035" i="1"/>
  <c r="M2035" i="1" s="1"/>
  <c r="T2034" i="1"/>
  <c r="L2034" i="1"/>
  <c r="M2034" i="1" s="1"/>
  <c r="O2034" i="1" s="1"/>
  <c r="P2034" i="1" s="1"/>
  <c r="T2033" i="1"/>
  <c r="L2033" i="1"/>
  <c r="M2033" i="1" s="1"/>
  <c r="O2033" i="1" s="1"/>
  <c r="T2032" i="1"/>
  <c r="L2032" i="1"/>
  <c r="M2032" i="1" s="1"/>
  <c r="T2031" i="1"/>
  <c r="U2031" i="1" s="1"/>
  <c r="V2031" i="1" s="1"/>
  <c r="L2031" i="1"/>
  <c r="M2031" i="1" s="1"/>
  <c r="T2030" i="1"/>
  <c r="U2030" i="1" s="1"/>
  <c r="V2030" i="1" s="1"/>
  <c r="L2030" i="1"/>
  <c r="M2030" i="1" s="1"/>
  <c r="O2030" i="1" s="1"/>
  <c r="P2030" i="1" s="1"/>
  <c r="T2029" i="1"/>
  <c r="L2029" i="1"/>
  <c r="M2029" i="1" s="1"/>
  <c r="T2028" i="1"/>
  <c r="L2028" i="1"/>
  <c r="M2028" i="1" s="1"/>
  <c r="T2027" i="1"/>
  <c r="U2027" i="1" s="1"/>
  <c r="V2027" i="1" s="1"/>
  <c r="L2027" i="1"/>
  <c r="M2027" i="1" s="1"/>
  <c r="T2026" i="1"/>
  <c r="U2026" i="1" s="1"/>
  <c r="L2026" i="1"/>
  <c r="M2026" i="1" s="1"/>
  <c r="O2026" i="1" s="1"/>
  <c r="P2026" i="1" s="1"/>
  <c r="T2025" i="1"/>
  <c r="L2025" i="1"/>
  <c r="M2025" i="1" s="1"/>
  <c r="T2024" i="1"/>
  <c r="L2024" i="1"/>
  <c r="M2024" i="1" s="1"/>
  <c r="T2023" i="1"/>
  <c r="U2023" i="1" s="1"/>
  <c r="V2023" i="1" s="1"/>
  <c r="L2023" i="1"/>
  <c r="M2023" i="1" s="1"/>
  <c r="T2022" i="1"/>
  <c r="L2022" i="1"/>
  <c r="M2022" i="1" s="1"/>
  <c r="O2022" i="1" s="1"/>
  <c r="P2022" i="1" s="1"/>
  <c r="T2021" i="1"/>
  <c r="L2021" i="1"/>
  <c r="M2021" i="1" s="1"/>
  <c r="T2020" i="1"/>
  <c r="L2020" i="1"/>
  <c r="M2020" i="1" s="1"/>
  <c r="T2019" i="1"/>
  <c r="U2019" i="1" s="1"/>
  <c r="V2019" i="1" s="1"/>
  <c r="L2019" i="1"/>
  <c r="M2019" i="1" s="1"/>
  <c r="T2018" i="1"/>
  <c r="L2018" i="1"/>
  <c r="M2018" i="1" s="1"/>
  <c r="O2018" i="1" s="1"/>
  <c r="P2018" i="1" s="1"/>
  <c r="T2017" i="1"/>
  <c r="L2017" i="1"/>
  <c r="M2017" i="1" s="1"/>
  <c r="O2017" i="1" s="1"/>
  <c r="T2016" i="1"/>
  <c r="L2016" i="1"/>
  <c r="M2016" i="1" s="1"/>
  <c r="T2015" i="1"/>
  <c r="U2015" i="1" s="1"/>
  <c r="V2015" i="1" s="1"/>
  <c r="L2015" i="1"/>
  <c r="M2015" i="1" s="1"/>
  <c r="T2014" i="1"/>
  <c r="L2014" i="1"/>
  <c r="M2014" i="1" s="1"/>
  <c r="O2014" i="1" s="1"/>
  <c r="P2014" i="1" s="1"/>
  <c r="T2013" i="1"/>
  <c r="L2013" i="1"/>
  <c r="M2013" i="1" s="1"/>
  <c r="T2012" i="1"/>
  <c r="L2012" i="1"/>
  <c r="M2012" i="1" s="1"/>
  <c r="T2011" i="1"/>
  <c r="U2011" i="1" s="1"/>
  <c r="V2011" i="1" s="1"/>
  <c r="L2011" i="1"/>
  <c r="M2011" i="1" s="1"/>
  <c r="T2010" i="1"/>
  <c r="L2010" i="1"/>
  <c r="M2010" i="1" s="1"/>
  <c r="O2010" i="1" s="1"/>
  <c r="P2010" i="1" s="1"/>
  <c r="T2009" i="1"/>
  <c r="L2009" i="1"/>
  <c r="M2009" i="1" s="1"/>
  <c r="T2008" i="1"/>
  <c r="L2008" i="1"/>
  <c r="M2008" i="1" s="1"/>
  <c r="T2007" i="1"/>
  <c r="U2007" i="1" s="1"/>
  <c r="V2007" i="1" s="1"/>
  <c r="L2007" i="1"/>
  <c r="M2007" i="1" s="1"/>
  <c r="T2006" i="1"/>
  <c r="U2006" i="1" s="1"/>
  <c r="L2006" i="1"/>
  <c r="M2006" i="1" s="1"/>
  <c r="O2006" i="1" s="1"/>
  <c r="P2006" i="1" s="1"/>
  <c r="T2005" i="1"/>
  <c r="L2005" i="1"/>
  <c r="M2005" i="1" s="1"/>
  <c r="T2004" i="1"/>
  <c r="L2004" i="1"/>
  <c r="M2004" i="1" s="1"/>
  <c r="T2003" i="1"/>
  <c r="U2003" i="1" s="1"/>
  <c r="V2003" i="1" s="1"/>
  <c r="L2003" i="1"/>
  <c r="M2003" i="1" s="1"/>
  <c r="T2002" i="1"/>
  <c r="L2002" i="1"/>
  <c r="M2002" i="1" s="1"/>
  <c r="O2002" i="1" s="1"/>
  <c r="P2002" i="1" s="1"/>
  <c r="T2001" i="1"/>
  <c r="L2001" i="1"/>
  <c r="M2001" i="1" s="1"/>
  <c r="O2001" i="1" s="1"/>
  <c r="T2000" i="1"/>
  <c r="L2000" i="1"/>
  <c r="M2000" i="1" s="1"/>
  <c r="T1999" i="1"/>
  <c r="U1999" i="1" s="1"/>
  <c r="V1999" i="1" s="1"/>
  <c r="L1999" i="1"/>
  <c r="M1999" i="1" s="1"/>
  <c r="T1998" i="1"/>
  <c r="L1998" i="1"/>
  <c r="M1998" i="1" s="1"/>
  <c r="O1998" i="1" s="1"/>
  <c r="P1998" i="1" s="1"/>
  <c r="T1997" i="1"/>
  <c r="L1997" i="1"/>
  <c r="M1997" i="1" s="1"/>
  <c r="T1996" i="1"/>
  <c r="L1996" i="1"/>
  <c r="M1996" i="1" s="1"/>
  <c r="T1995" i="1"/>
  <c r="U1995" i="1" s="1"/>
  <c r="V1995" i="1" s="1"/>
  <c r="L1995" i="1"/>
  <c r="M1995" i="1" s="1"/>
  <c r="T1994" i="1"/>
  <c r="U1994" i="1" s="1"/>
  <c r="L1994" i="1"/>
  <c r="M1994" i="1" s="1"/>
  <c r="O1994" i="1" s="1"/>
  <c r="P1994" i="1" s="1"/>
  <c r="T1993" i="1"/>
  <c r="L1993" i="1"/>
  <c r="M1993" i="1" s="1"/>
  <c r="T1992" i="1"/>
  <c r="L1992" i="1"/>
  <c r="M1992" i="1" s="1"/>
  <c r="T1991" i="1"/>
  <c r="U1991" i="1" s="1"/>
  <c r="V1991" i="1" s="1"/>
  <c r="L1991" i="1"/>
  <c r="M1991" i="1" s="1"/>
  <c r="T1990" i="1"/>
  <c r="L1990" i="1"/>
  <c r="M1990" i="1" s="1"/>
  <c r="O1990" i="1" s="1"/>
  <c r="P1990" i="1" s="1"/>
  <c r="T1989" i="1"/>
  <c r="L1989" i="1"/>
  <c r="M1989" i="1" s="1"/>
  <c r="O1989" i="1" s="1"/>
  <c r="T1988" i="1"/>
  <c r="L1988" i="1"/>
  <c r="M1988" i="1" s="1"/>
  <c r="T1987" i="1"/>
  <c r="U1987" i="1" s="1"/>
  <c r="V1987" i="1" s="1"/>
  <c r="L1987" i="1"/>
  <c r="M1987" i="1" s="1"/>
  <c r="T1986" i="1"/>
  <c r="U1986" i="1" s="1"/>
  <c r="V1986" i="1" s="1"/>
  <c r="L1986" i="1"/>
  <c r="M1986" i="1" s="1"/>
  <c r="O1986" i="1" s="1"/>
  <c r="P1986" i="1" s="1"/>
  <c r="T1985" i="1"/>
  <c r="L1985" i="1"/>
  <c r="M1985" i="1" s="1"/>
  <c r="O1985" i="1" s="1"/>
  <c r="T1984" i="1"/>
  <c r="L1984" i="1"/>
  <c r="M1984" i="1" s="1"/>
  <c r="T1983" i="1"/>
  <c r="U1983" i="1" s="1"/>
  <c r="V1983" i="1" s="1"/>
  <c r="L1983" i="1"/>
  <c r="M1983" i="1" s="1"/>
  <c r="T1982" i="1"/>
  <c r="L1982" i="1"/>
  <c r="M1982" i="1" s="1"/>
  <c r="O1982" i="1" s="1"/>
  <c r="P1982" i="1" s="1"/>
  <c r="T1981" i="1"/>
  <c r="L1981" i="1"/>
  <c r="M1981" i="1" s="1"/>
  <c r="O1981" i="1" s="1"/>
  <c r="T1980" i="1"/>
  <c r="L1980" i="1"/>
  <c r="M1980" i="1" s="1"/>
  <c r="T1979" i="1"/>
  <c r="U1979" i="1" s="1"/>
  <c r="V1979" i="1" s="1"/>
  <c r="L1979" i="1"/>
  <c r="M1979" i="1" s="1"/>
  <c r="T1978" i="1"/>
  <c r="L1978" i="1"/>
  <c r="M1978" i="1" s="1"/>
  <c r="O1978" i="1" s="1"/>
  <c r="P1978" i="1" s="1"/>
  <c r="T1977" i="1"/>
  <c r="L1977" i="1"/>
  <c r="M1977" i="1" s="1"/>
  <c r="T1976" i="1"/>
  <c r="L1976" i="1"/>
  <c r="M1976" i="1" s="1"/>
  <c r="T1975" i="1"/>
  <c r="U1975" i="1" s="1"/>
  <c r="V1975" i="1" s="1"/>
  <c r="L1975" i="1"/>
  <c r="M1975" i="1" s="1"/>
  <c r="T1974" i="1"/>
  <c r="U1974" i="1" s="1"/>
  <c r="L1974" i="1"/>
  <c r="M1974" i="1" s="1"/>
  <c r="O1974" i="1" s="1"/>
  <c r="P1974" i="1" s="1"/>
  <c r="T1973" i="1"/>
  <c r="L1973" i="1"/>
  <c r="M1973" i="1" s="1"/>
  <c r="T1972" i="1"/>
  <c r="L1972" i="1"/>
  <c r="M1972" i="1" s="1"/>
  <c r="T1971" i="1"/>
  <c r="U1971" i="1" s="1"/>
  <c r="V1971" i="1" s="1"/>
  <c r="L1971" i="1"/>
  <c r="M1971" i="1" s="1"/>
  <c r="T1970" i="1"/>
  <c r="L1970" i="1"/>
  <c r="M1970" i="1" s="1"/>
  <c r="O1970" i="1" s="1"/>
  <c r="P1970" i="1" s="1"/>
  <c r="T1969" i="1"/>
  <c r="L1969" i="1"/>
  <c r="M1969" i="1" s="1"/>
  <c r="O1969" i="1" s="1"/>
  <c r="T1968" i="1"/>
  <c r="L1968" i="1"/>
  <c r="M1968" i="1" s="1"/>
  <c r="T1967" i="1"/>
  <c r="U1967" i="1" s="1"/>
  <c r="V1967" i="1" s="1"/>
  <c r="L1967" i="1"/>
  <c r="M1967" i="1" s="1"/>
  <c r="T1966" i="1"/>
  <c r="L1966" i="1"/>
  <c r="M1966" i="1" s="1"/>
  <c r="O1966" i="1" s="1"/>
  <c r="P1966" i="1" s="1"/>
  <c r="T1965" i="1"/>
  <c r="L1965" i="1"/>
  <c r="M1965" i="1" s="1"/>
  <c r="T1964" i="1"/>
  <c r="L1964" i="1"/>
  <c r="M1964" i="1" s="1"/>
  <c r="T1963" i="1"/>
  <c r="U1963" i="1" s="1"/>
  <c r="V1963" i="1" s="1"/>
  <c r="L1963" i="1"/>
  <c r="M1963" i="1" s="1"/>
  <c r="T1962" i="1"/>
  <c r="U1962" i="1" s="1"/>
  <c r="L1962" i="1"/>
  <c r="M1962" i="1" s="1"/>
  <c r="O1962" i="1" s="1"/>
  <c r="P1962" i="1" s="1"/>
  <c r="T1961" i="1"/>
  <c r="L1961" i="1"/>
  <c r="M1961" i="1" s="1"/>
  <c r="T1960" i="1"/>
  <c r="L1960" i="1"/>
  <c r="M1960" i="1" s="1"/>
  <c r="T1959" i="1"/>
  <c r="U1959" i="1" s="1"/>
  <c r="V1959" i="1" s="1"/>
  <c r="L1959" i="1"/>
  <c r="M1959" i="1" s="1"/>
  <c r="T1958" i="1"/>
  <c r="L1958" i="1"/>
  <c r="M1958" i="1" s="1"/>
  <c r="O1958" i="1" s="1"/>
  <c r="P1958" i="1" s="1"/>
  <c r="T1957" i="1"/>
  <c r="L1957" i="1"/>
  <c r="M1957" i="1" s="1"/>
  <c r="O1957" i="1" s="1"/>
  <c r="T1956" i="1"/>
  <c r="L1956" i="1"/>
  <c r="M1956" i="1" s="1"/>
  <c r="T1955" i="1"/>
  <c r="U1955" i="1" s="1"/>
  <c r="V1955" i="1" s="1"/>
  <c r="L1955" i="1"/>
  <c r="M1955" i="1" s="1"/>
  <c r="T1954" i="1"/>
  <c r="U1954" i="1" s="1"/>
  <c r="V1954" i="1" s="1"/>
  <c r="L1954" i="1"/>
  <c r="M1954" i="1" s="1"/>
  <c r="O1954" i="1" s="1"/>
  <c r="P1954" i="1" s="1"/>
  <c r="T1953" i="1"/>
  <c r="L1953" i="1"/>
  <c r="M1953" i="1" s="1"/>
  <c r="O1953" i="1" s="1"/>
  <c r="T1952" i="1"/>
  <c r="L1952" i="1"/>
  <c r="M1952" i="1" s="1"/>
  <c r="T1951" i="1"/>
  <c r="U1951" i="1" s="1"/>
  <c r="V1951" i="1" s="1"/>
  <c r="L1951" i="1"/>
  <c r="M1951" i="1" s="1"/>
  <c r="T1950" i="1"/>
  <c r="L1950" i="1"/>
  <c r="M1950" i="1" s="1"/>
  <c r="O1950" i="1" s="1"/>
  <c r="P1950" i="1" s="1"/>
  <c r="T1949" i="1"/>
  <c r="L1949" i="1"/>
  <c r="M1949" i="1" s="1"/>
  <c r="O1949" i="1" s="1"/>
  <c r="T1948" i="1"/>
  <c r="L1948" i="1"/>
  <c r="M1948" i="1" s="1"/>
  <c r="T1947" i="1"/>
  <c r="U1947" i="1" s="1"/>
  <c r="V1947" i="1" s="1"/>
  <c r="L1947" i="1"/>
  <c r="M1947" i="1" s="1"/>
  <c r="T1946" i="1"/>
  <c r="U1946" i="1" s="1"/>
  <c r="L1946" i="1"/>
  <c r="M1946" i="1" s="1"/>
  <c r="O1946" i="1" s="1"/>
  <c r="P1946" i="1" s="1"/>
  <c r="T1945" i="1"/>
  <c r="L1945" i="1"/>
  <c r="M1945" i="1" s="1"/>
  <c r="T1944" i="1"/>
  <c r="L1944" i="1"/>
  <c r="M1944" i="1" s="1"/>
  <c r="T1943" i="1"/>
  <c r="U1943" i="1" s="1"/>
  <c r="V1943" i="1" s="1"/>
  <c r="L1943" i="1"/>
  <c r="M1943" i="1" s="1"/>
  <c r="T1942" i="1"/>
  <c r="L1942" i="1"/>
  <c r="M1942" i="1" s="1"/>
  <c r="O1942" i="1" s="1"/>
  <c r="P1942" i="1" s="1"/>
  <c r="T1941" i="1"/>
  <c r="L1941" i="1"/>
  <c r="M1941" i="1" s="1"/>
  <c r="T1940" i="1"/>
  <c r="L1940" i="1"/>
  <c r="M1940" i="1" s="1"/>
  <c r="T1939" i="1"/>
  <c r="U1939" i="1" s="1"/>
  <c r="V1939" i="1" s="1"/>
  <c r="L1939" i="1"/>
  <c r="M1939" i="1" s="1"/>
  <c r="T1938" i="1"/>
  <c r="L1938" i="1"/>
  <c r="M1938" i="1" s="1"/>
  <c r="O1938" i="1" s="1"/>
  <c r="P1938" i="1" s="1"/>
  <c r="T1937" i="1"/>
  <c r="L1937" i="1"/>
  <c r="M1937" i="1" s="1"/>
  <c r="O1937" i="1" s="1"/>
  <c r="T1936" i="1"/>
  <c r="L1936" i="1"/>
  <c r="M1936" i="1" s="1"/>
  <c r="T1935" i="1"/>
  <c r="U1935" i="1" s="1"/>
  <c r="V1935" i="1" s="1"/>
  <c r="L1935" i="1"/>
  <c r="M1935" i="1" s="1"/>
  <c r="T1934" i="1"/>
  <c r="U1934" i="1" s="1"/>
  <c r="V1934" i="1" s="1"/>
  <c r="L1934" i="1"/>
  <c r="M1934" i="1" s="1"/>
  <c r="T1933" i="1"/>
  <c r="L1933" i="1"/>
  <c r="M1933" i="1" s="1"/>
  <c r="T1932" i="1"/>
  <c r="L1932" i="1"/>
  <c r="M1932" i="1" s="1"/>
  <c r="T1931" i="1"/>
  <c r="U1931" i="1" s="1"/>
  <c r="V1931" i="1" s="1"/>
  <c r="L1931" i="1"/>
  <c r="M1931" i="1" s="1"/>
  <c r="T1930" i="1"/>
  <c r="L1930" i="1"/>
  <c r="M1930" i="1" s="1"/>
  <c r="O1930" i="1" s="1"/>
  <c r="T1929" i="1"/>
  <c r="L1929" i="1"/>
  <c r="M1929" i="1" s="1"/>
  <c r="T1928" i="1"/>
  <c r="L1928" i="1"/>
  <c r="M1928" i="1" s="1"/>
  <c r="T1927" i="1"/>
  <c r="U1927" i="1" s="1"/>
  <c r="L1927" i="1"/>
  <c r="M1927" i="1" s="1"/>
  <c r="T1926" i="1"/>
  <c r="L1926" i="1"/>
  <c r="M1926" i="1" s="1"/>
  <c r="O1926" i="1" s="1"/>
  <c r="T1925" i="1"/>
  <c r="U1925" i="1" s="1"/>
  <c r="V1925" i="1" s="1"/>
  <c r="W1925" i="1" s="1"/>
  <c r="L1925" i="1"/>
  <c r="M1925" i="1" s="1"/>
  <c r="O1925" i="1" s="1"/>
  <c r="T1924" i="1"/>
  <c r="L1924" i="1"/>
  <c r="M1924" i="1" s="1"/>
  <c r="T1923" i="1"/>
  <c r="U1923" i="1" s="1"/>
  <c r="L1923" i="1"/>
  <c r="M1923" i="1" s="1"/>
  <c r="T1922" i="1"/>
  <c r="U1922" i="1" s="1"/>
  <c r="V1922" i="1" s="1"/>
  <c r="L1922" i="1"/>
  <c r="M1922" i="1" s="1"/>
  <c r="O1922" i="1" s="1"/>
  <c r="T1921" i="1"/>
  <c r="U1921" i="1" s="1"/>
  <c r="V1921" i="1" s="1"/>
  <c r="L1921" i="1"/>
  <c r="M1921" i="1" s="1"/>
  <c r="O1921" i="1" s="1"/>
  <c r="T1920" i="1"/>
  <c r="L1920" i="1"/>
  <c r="M1920" i="1" s="1"/>
  <c r="T1919" i="1"/>
  <c r="U1919" i="1" s="1"/>
  <c r="L1919" i="1"/>
  <c r="M1919" i="1" s="1"/>
  <c r="T1918" i="1"/>
  <c r="U1918" i="1" s="1"/>
  <c r="L1918" i="1"/>
  <c r="M1918" i="1" s="1"/>
  <c r="T1917" i="1"/>
  <c r="U1917" i="1" s="1"/>
  <c r="V1917" i="1" s="1"/>
  <c r="W1917" i="1" s="1"/>
  <c r="L1917" i="1"/>
  <c r="M1917" i="1" s="1"/>
  <c r="T1916" i="1"/>
  <c r="L1916" i="1"/>
  <c r="M1916" i="1" s="1"/>
  <c r="T1915" i="1"/>
  <c r="L1915" i="1"/>
  <c r="M1915" i="1" s="1"/>
  <c r="T1914" i="1"/>
  <c r="L1914" i="1"/>
  <c r="M1914" i="1" s="1"/>
  <c r="O1914" i="1" s="1"/>
  <c r="T1913" i="1"/>
  <c r="U1913" i="1" s="1"/>
  <c r="V1913" i="1" s="1"/>
  <c r="L1913" i="1"/>
  <c r="M1913" i="1" s="1"/>
  <c r="T1912" i="1"/>
  <c r="L1912" i="1"/>
  <c r="M1912" i="1" s="1"/>
  <c r="T1911" i="1"/>
  <c r="U1911" i="1" s="1"/>
  <c r="L1911" i="1"/>
  <c r="M1911" i="1" s="1"/>
  <c r="T1910" i="1"/>
  <c r="L1910" i="1"/>
  <c r="M1910" i="1" s="1"/>
  <c r="O1910" i="1" s="1"/>
  <c r="T1909" i="1"/>
  <c r="U1909" i="1" s="1"/>
  <c r="V1909" i="1" s="1"/>
  <c r="W1909" i="1" s="1"/>
  <c r="L1909" i="1"/>
  <c r="M1909" i="1" s="1"/>
  <c r="T1908" i="1"/>
  <c r="L1908" i="1"/>
  <c r="M1908" i="1" s="1"/>
  <c r="T1907" i="1"/>
  <c r="U1907" i="1" s="1"/>
  <c r="L1907" i="1"/>
  <c r="M1907" i="1" s="1"/>
  <c r="T1906" i="1"/>
  <c r="L1906" i="1"/>
  <c r="M1906" i="1" s="1"/>
  <c r="O1906" i="1" s="1"/>
  <c r="T1905" i="1"/>
  <c r="U1905" i="1" s="1"/>
  <c r="V1905" i="1" s="1"/>
  <c r="L1905" i="1"/>
  <c r="M1905" i="1" s="1"/>
  <c r="O1905" i="1" s="1"/>
  <c r="T1904" i="1"/>
  <c r="L1904" i="1"/>
  <c r="M1904" i="1" s="1"/>
  <c r="T1903" i="1"/>
  <c r="U1903" i="1" s="1"/>
  <c r="L1903" i="1"/>
  <c r="M1903" i="1" s="1"/>
  <c r="T1902" i="1"/>
  <c r="U1902" i="1" s="1"/>
  <c r="L1902" i="1"/>
  <c r="M1902" i="1" s="1"/>
  <c r="T1901" i="1"/>
  <c r="U1901" i="1" s="1"/>
  <c r="V1901" i="1" s="1"/>
  <c r="W1901" i="1" s="1"/>
  <c r="L1901" i="1"/>
  <c r="M1901" i="1" s="1"/>
  <c r="T1900" i="1"/>
  <c r="L1900" i="1"/>
  <c r="M1900" i="1" s="1"/>
  <c r="T1899" i="1"/>
  <c r="L1899" i="1"/>
  <c r="M1899" i="1" s="1"/>
  <c r="T1898" i="1"/>
  <c r="L1898" i="1"/>
  <c r="M1898" i="1" s="1"/>
  <c r="O1898" i="1" s="1"/>
  <c r="T1897" i="1"/>
  <c r="U1897" i="1" s="1"/>
  <c r="V1897" i="1" s="1"/>
  <c r="L1897" i="1"/>
  <c r="M1897" i="1" s="1"/>
  <c r="T1896" i="1"/>
  <c r="L1896" i="1"/>
  <c r="M1896" i="1" s="1"/>
  <c r="T1895" i="1"/>
  <c r="U1895" i="1" s="1"/>
  <c r="L1895" i="1"/>
  <c r="M1895" i="1" s="1"/>
  <c r="T1894" i="1"/>
  <c r="L1894" i="1"/>
  <c r="M1894" i="1" s="1"/>
  <c r="O1894" i="1" s="1"/>
  <c r="T1893" i="1"/>
  <c r="U1893" i="1" s="1"/>
  <c r="V1893" i="1" s="1"/>
  <c r="W1893" i="1" s="1"/>
  <c r="L1893" i="1"/>
  <c r="M1893" i="1" s="1"/>
  <c r="O1893" i="1" s="1"/>
  <c r="T1892" i="1"/>
  <c r="L1892" i="1"/>
  <c r="M1892" i="1" s="1"/>
  <c r="T1891" i="1"/>
  <c r="U1891" i="1" s="1"/>
  <c r="L1891" i="1"/>
  <c r="M1891" i="1" s="1"/>
  <c r="T1890" i="1"/>
  <c r="L1890" i="1"/>
  <c r="M1890" i="1" s="1"/>
  <c r="O1890" i="1" s="1"/>
  <c r="T1889" i="1"/>
  <c r="U1889" i="1" s="1"/>
  <c r="V1889" i="1" s="1"/>
  <c r="L1889" i="1"/>
  <c r="M1889" i="1" s="1"/>
  <c r="O1889" i="1" s="1"/>
  <c r="T1888" i="1"/>
  <c r="L1888" i="1"/>
  <c r="M1888" i="1" s="1"/>
  <c r="T1887" i="1"/>
  <c r="U1887" i="1" s="1"/>
  <c r="L1887" i="1"/>
  <c r="M1887" i="1" s="1"/>
  <c r="T1886" i="1"/>
  <c r="U1886" i="1" s="1"/>
  <c r="L1886" i="1"/>
  <c r="M1886" i="1" s="1"/>
  <c r="T1885" i="1"/>
  <c r="U1885" i="1" s="1"/>
  <c r="V1885" i="1" s="1"/>
  <c r="W1885" i="1" s="1"/>
  <c r="L1885" i="1"/>
  <c r="M1885" i="1" s="1"/>
  <c r="T1884" i="1"/>
  <c r="L1884" i="1"/>
  <c r="M1884" i="1" s="1"/>
  <c r="T1883" i="1"/>
  <c r="L1883" i="1"/>
  <c r="M1883" i="1" s="1"/>
  <c r="T1882" i="1"/>
  <c r="L1882" i="1"/>
  <c r="M1882" i="1" s="1"/>
  <c r="O1882" i="1" s="1"/>
  <c r="T1881" i="1"/>
  <c r="U1881" i="1" s="1"/>
  <c r="V1881" i="1" s="1"/>
  <c r="L1881" i="1"/>
  <c r="M1881" i="1" s="1"/>
  <c r="T1880" i="1"/>
  <c r="L1880" i="1"/>
  <c r="M1880" i="1" s="1"/>
  <c r="T1879" i="1"/>
  <c r="U1879" i="1" s="1"/>
  <c r="L1879" i="1"/>
  <c r="M1879" i="1" s="1"/>
  <c r="T1878" i="1"/>
  <c r="U1878" i="1" s="1"/>
  <c r="V1878" i="1" s="1"/>
  <c r="L1878" i="1"/>
  <c r="M1878" i="1" s="1"/>
  <c r="T1877" i="1"/>
  <c r="U1877" i="1" s="1"/>
  <c r="V1877" i="1" s="1"/>
  <c r="W1877" i="1" s="1"/>
  <c r="L1877" i="1"/>
  <c r="M1877" i="1" s="1"/>
  <c r="O1877" i="1" s="1"/>
  <c r="T1876" i="1"/>
  <c r="L1876" i="1"/>
  <c r="M1876" i="1" s="1"/>
  <c r="O1876" i="1" s="1"/>
  <c r="T1875" i="1"/>
  <c r="U1875" i="1" s="1"/>
  <c r="L1875" i="1"/>
  <c r="M1875" i="1" s="1"/>
  <c r="T1874" i="1"/>
  <c r="L1874" i="1"/>
  <c r="M1874" i="1" s="1"/>
  <c r="T1873" i="1"/>
  <c r="U1873" i="1" s="1"/>
  <c r="L1873" i="1"/>
  <c r="M1873" i="1" s="1"/>
  <c r="O1873" i="1" s="1"/>
  <c r="T1872" i="1"/>
  <c r="U1872" i="1" s="1"/>
  <c r="L1872" i="1"/>
  <c r="M1872" i="1" s="1"/>
  <c r="T1871" i="1"/>
  <c r="L1871" i="1"/>
  <c r="M1871" i="1" s="1"/>
  <c r="T1870" i="1"/>
  <c r="U1870" i="1" s="1"/>
  <c r="V1870" i="1" s="1"/>
  <c r="W1870" i="1" s="1"/>
  <c r="L1870" i="1"/>
  <c r="M1870" i="1" s="1"/>
  <c r="O1870" i="1" s="1"/>
  <c r="P1870" i="1" s="1"/>
  <c r="T1869" i="1"/>
  <c r="U1869" i="1" s="1"/>
  <c r="L1869" i="1"/>
  <c r="M1869" i="1" s="1"/>
  <c r="O1869" i="1" s="1"/>
  <c r="P1869" i="1" s="1"/>
  <c r="T1868" i="1"/>
  <c r="L1868" i="1"/>
  <c r="M1868" i="1" s="1"/>
  <c r="T1867" i="1"/>
  <c r="L1867" i="1"/>
  <c r="M1867" i="1" s="1"/>
  <c r="T1866" i="1"/>
  <c r="L1866" i="1"/>
  <c r="M1866" i="1" s="1"/>
  <c r="O1866" i="1" s="1"/>
  <c r="P1866" i="1" s="1"/>
  <c r="T1865" i="1"/>
  <c r="L1865" i="1"/>
  <c r="M1865" i="1" s="1"/>
  <c r="O1865" i="1" s="1"/>
  <c r="P1865" i="1" s="1"/>
  <c r="T1864" i="1"/>
  <c r="U1864" i="1" s="1"/>
  <c r="L1864" i="1"/>
  <c r="M1864" i="1" s="1"/>
  <c r="T1863" i="1"/>
  <c r="L1863" i="1"/>
  <c r="M1863" i="1" s="1"/>
  <c r="T1862" i="1"/>
  <c r="U1862" i="1" s="1"/>
  <c r="V1862" i="1" s="1"/>
  <c r="L1862" i="1"/>
  <c r="M1862" i="1" s="1"/>
  <c r="T1861" i="1"/>
  <c r="L1861" i="1"/>
  <c r="M1861" i="1" s="1"/>
  <c r="T1860" i="1"/>
  <c r="L1860" i="1"/>
  <c r="M1860" i="1" s="1"/>
  <c r="O1860" i="1" s="1"/>
  <c r="T1859" i="1"/>
  <c r="U1859" i="1" s="1"/>
  <c r="V1859" i="1" s="1"/>
  <c r="W1859" i="1" s="1"/>
  <c r="L1859" i="1"/>
  <c r="M1859" i="1" s="1"/>
  <c r="T1858" i="1"/>
  <c r="L1858" i="1"/>
  <c r="M1858" i="1" s="1"/>
  <c r="O1858" i="1" s="1"/>
  <c r="T1857" i="1"/>
  <c r="U1857" i="1" s="1"/>
  <c r="L1857" i="1"/>
  <c r="M1857" i="1" s="1"/>
  <c r="T1856" i="1"/>
  <c r="U1856" i="1" s="1"/>
  <c r="L1856" i="1"/>
  <c r="M1856" i="1" s="1"/>
  <c r="T1855" i="1"/>
  <c r="L1855" i="1"/>
  <c r="M1855" i="1" s="1"/>
  <c r="T1854" i="1"/>
  <c r="U1854" i="1" s="1"/>
  <c r="V1854" i="1" s="1"/>
  <c r="W1854" i="1" s="1"/>
  <c r="L1854" i="1"/>
  <c r="M1854" i="1" s="1"/>
  <c r="T1853" i="1"/>
  <c r="L1853" i="1"/>
  <c r="M1853" i="1" s="1"/>
  <c r="T1852" i="1"/>
  <c r="L1852" i="1"/>
  <c r="M1852" i="1" s="1"/>
  <c r="T1851" i="1"/>
  <c r="U1851" i="1" s="1"/>
  <c r="L1851" i="1"/>
  <c r="M1851" i="1" s="1"/>
  <c r="T1850" i="1"/>
  <c r="U1850" i="1" s="1"/>
  <c r="L1850" i="1"/>
  <c r="M1850" i="1" s="1"/>
  <c r="O1850" i="1" s="1"/>
  <c r="P1850" i="1" s="1"/>
  <c r="T1849" i="1"/>
  <c r="L1849" i="1"/>
  <c r="M1849" i="1" s="1"/>
  <c r="O1849" i="1" s="1"/>
  <c r="P1849" i="1" s="1"/>
  <c r="T1848" i="1"/>
  <c r="U1848" i="1" s="1"/>
  <c r="L1848" i="1"/>
  <c r="M1848" i="1" s="1"/>
  <c r="O1848" i="1" s="1"/>
  <c r="T1847" i="1"/>
  <c r="U1847" i="1" s="1"/>
  <c r="V1847" i="1" s="1"/>
  <c r="L1847" i="1"/>
  <c r="M1847" i="1" s="1"/>
  <c r="T1846" i="1"/>
  <c r="U1846" i="1" s="1"/>
  <c r="V1846" i="1" s="1"/>
  <c r="L1846" i="1"/>
  <c r="M1846" i="1" s="1"/>
  <c r="T1845" i="1"/>
  <c r="U1845" i="1" s="1"/>
  <c r="L1845" i="1"/>
  <c r="M1845" i="1" s="1"/>
  <c r="T1844" i="1"/>
  <c r="L1844" i="1"/>
  <c r="M1844" i="1" s="1"/>
  <c r="O1844" i="1" s="1"/>
  <c r="T1843" i="1"/>
  <c r="U1843" i="1" s="1"/>
  <c r="V1843" i="1" s="1"/>
  <c r="W1843" i="1" s="1"/>
  <c r="L1843" i="1"/>
  <c r="M1843" i="1" s="1"/>
  <c r="O1843" i="1" s="1"/>
  <c r="T1842" i="1"/>
  <c r="U1842" i="1" s="1"/>
  <c r="V1842" i="1" s="1"/>
  <c r="L1842" i="1"/>
  <c r="M1842" i="1" s="1"/>
  <c r="T1841" i="1"/>
  <c r="U1841" i="1" s="1"/>
  <c r="L1841" i="1"/>
  <c r="M1841" i="1" s="1"/>
  <c r="O1841" i="1" s="1"/>
  <c r="T1840" i="1"/>
  <c r="L1840" i="1"/>
  <c r="M1840" i="1" s="1"/>
  <c r="O1840" i="1" s="1"/>
  <c r="T1839" i="1"/>
  <c r="U1839" i="1" s="1"/>
  <c r="V1839" i="1" s="1"/>
  <c r="W1839" i="1" s="1"/>
  <c r="L1839" i="1"/>
  <c r="M1839" i="1" s="1"/>
  <c r="O1839" i="1" s="1"/>
  <c r="P1839" i="1" s="1"/>
  <c r="T1838" i="1"/>
  <c r="L1838" i="1"/>
  <c r="M1838" i="1" s="1"/>
  <c r="T1837" i="1"/>
  <c r="U1837" i="1" s="1"/>
  <c r="L1837" i="1"/>
  <c r="M1837" i="1" s="1"/>
  <c r="T1836" i="1"/>
  <c r="U1836" i="1" s="1"/>
  <c r="V1836" i="1" s="1"/>
  <c r="L1836" i="1"/>
  <c r="M1836" i="1" s="1"/>
  <c r="T1835" i="1"/>
  <c r="U1835" i="1" s="1"/>
  <c r="V1835" i="1" s="1"/>
  <c r="L1835" i="1"/>
  <c r="M1835" i="1" s="1"/>
  <c r="T1834" i="1"/>
  <c r="L1834" i="1"/>
  <c r="M1834" i="1" s="1"/>
  <c r="T1833" i="1"/>
  <c r="U1833" i="1" s="1"/>
  <c r="L1833" i="1"/>
  <c r="M1833" i="1" s="1"/>
  <c r="T1832" i="1"/>
  <c r="L1832" i="1"/>
  <c r="M1832" i="1" s="1"/>
  <c r="O1832" i="1" s="1"/>
  <c r="T1831" i="1"/>
  <c r="U1831" i="1" s="1"/>
  <c r="V1831" i="1" s="1"/>
  <c r="W1831" i="1" s="1"/>
  <c r="L1831" i="1"/>
  <c r="M1831" i="1" s="1"/>
  <c r="O1831" i="1" s="1"/>
  <c r="P1831" i="1" s="1"/>
  <c r="T1830" i="1"/>
  <c r="L1830" i="1"/>
  <c r="M1830" i="1" s="1"/>
  <c r="T1829" i="1"/>
  <c r="L1829" i="1"/>
  <c r="M1829" i="1" s="1"/>
  <c r="T1828" i="1"/>
  <c r="U1828" i="1" s="1"/>
  <c r="V1828" i="1" s="1"/>
  <c r="L1828" i="1"/>
  <c r="M1828" i="1" s="1"/>
  <c r="T1827" i="1"/>
  <c r="U1827" i="1" s="1"/>
  <c r="V1827" i="1" s="1"/>
  <c r="L1827" i="1"/>
  <c r="M1827" i="1" s="1"/>
  <c r="O1827" i="1" s="1"/>
  <c r="T1826" i="1"/>
  <c r="L1826" i="1"/>
  <c r="M1826" i="1" s="1"/>
  <c r="T1825" i="1"/>
  <c r="U1825" i="1" s="1"/>
  <c r="L1825" i="1"/>
  <c r="M1825" i="1" s="1"/>
  <c r="T1824" i="1"/>
  <c r="U1824" i="1" s="1"/>
  <c r="L1824" i="1"/>
  <c r="M1824" i="1" s="1"/>
  <c r="O1824" i="1" s="1"/>
  <c r="T1823" i="1"/>
  <c r="U1823" i="1" s="1"/>
  <c r="V1823" i="1" s="1"/>
  <c r="W1823" i="1" s="1"/>
  <c r="L1823" i="1"/>
  <c r="M1823" i="1" s="1"/>
  <c r="O1823" i="1" s="1"/>
  <c r="P1823" i="1" s="1"/>
  <c r="T1822" i="1"/>
  <c r="L1822" i="1"/>
  <c r="M1822" i="1" s="1"/>
  <c r="T1821" i="1"/>
  <c r="U1821" i="1" s="1"/>
  <c r="L1821" i="1"/>
  <c r="M1821" i="1" s="1"/>
  <c r="T1820" i="1"/>
  <c r="U1820" i="1" s="1"/>
  <c r="V1820" i="1" s="1"/>
  <c r="L1820" i="1"/>
  <c r="M1820" i="1" s="1"/>
  <c r="O1820" i="1" s="1"/>
  <c r="T1819" i="1"/>
  <c r="U1819" i="1" s="1"/>
  <c r="V1819" i="1" s="1"/>
  <c r="L1819" i="1"/>
  <c r="M1819" i="1" s="1"/>
  <c r="T1818" i="1"/>
  <c r="L1818" i="1"/>
  <c r="M1818" i="1" s="1"/>
  <c r="T1817" i="1"/>
  <c r="U1817" i="1" s="1"/>
  <c r="L1817" i="1"/>
  <c r="M1817" i="1" s="1"/>
  <c r="T1816" i="1"/>
  <c r="U1816" i="1" s="1"/>
  <c r="L1816" i="1"/>
  <c r="M1816" i="1" s="1"/>
  <c r="O1816" i="1" s="1"/>
  <c r="T1815" i="1"/>
  <c r="U1815" i="1" s="1"/>
  <c r="V1815" i="1" s="1"/>
  <c r="W1815" i="1" s="1"/>
  <c r="L1815" i="1"/>
  <c r="M1815" i="1" s="1"/>
  <c r="O1815" i="1" s="1"/>
  <c r="P1815" i="1" s="1"/>
  <c r="T1814" i="1"/>
  <c r="L1814" i="1"/>
  <c r="M1814" i="1" s="1"/>
  <c r="T1813" i="1"/>
  <c r="L1813" i="1"/>
  <c r="M1813" i="1" s="1"/>
  <c r="T1812" i="1"/>
  <c r="U1812" i="1" s="1"/>
  <c r="V1812" i="1" s="1"/>
  <c r="L1812" i="1"/>
  <c r="M1812" i="1" s="1"/>
  <c r="T1811" i="1"/>
  <c r="U1811" i="1" s="1"/>
  <c r="V1811" i="1" s="1"/>
  <c r="L1811" i="1"/>
  <c r="M1811" i="1" s="1"/>
  <c r="O1811" i="1" s="1"/>
  <c r="T1810" i="1"/>
  <c r="L1810" i="1"/>
  <c r="M1810" i="1" s="1"/>
  <c r="T1809" i="1"/>
  <c r="U1809" i="1" s="1"/>
  <c r="L1809" i="1"/>
  <c r="M1809" i="1" s="1"/>
  <c r="T1808" i="1"/>
  <c r="U1808" i="1" s="1"/>
  <c r="L1808" i="1"/>
  <c r="M1808" i="1" s="1"/>
  <c r="O1808" i="1" s="1"/>
  <c r="T1807" i="1"/>
  <c r="U1807" i="1" s="1"/>
  <c r="V1807" i="1" s="1"/>
  <c r="W1807" i="1" s="1"/>
  <c r="L1807" i="1"/>
  <c r="M1807" i="1" s="1"/>
  <c r="O1807" i="1" s="1"/>
  <c r="P1807" i="1" s="1"/>
  <c r="T1806" i="1"/>
  <c r="L1806" i="1"/>
  <c r="M1806" i="1" s="1"/>
  <c r="T1805" i="1"/>
  <c r="U1805" i="1" s="1"/>
  <c r="L1805" i="1"/>
  <c r="M1805" i="1" s="1"/>
  <c r="T1804" i="1"/>
  <c r="U1804" i="1" s="1"/>
  <c r="V1804" i="1" s="1"/>
  <c r="L1804" i="1"/>
  <c r="M1804" i="1" s="1"/>
  <c r="T1803" i="1"/>
  <c r="U1803" i="1" s="1"/>
  <c r="V1803" i="1" s="1"/>
  <c r="L1803" i="1"/>
  <c r="M1803" i="1" s="1"/>
  <c r="T1802" i="1"/>
  <c r="L1802" i="1"/>
  <c r="M1802" i="1" s="1"/>
  <c r="T1801" i="1"/>
  <c r="U1801" i="1" s="1"/>
  <c r="L1801" i="1"/>
  <c r="M1801" i="1" s="1"/>
  <c r="T1800" i="1"/>
  <c r="L1800" i="1"/>
  <c r="M1800" i="1" s="1"/>
  <c r="O1800" i="1" s="1"/>
  <c r="T1799" i="1"/>
  <c r="U1799" i="1" s="1"/>
  <c r="V1799" i="1" s="1"/>
  <c r="W1799" i="1" s="1"/>
  <c r="L1799" i="1"/>
  <c r="M1799" i="1" s="1"/>
  <c r="O1799" i="1" s="1"/>
  <c r="P1799" i="1" s="1"/>
  <c r="T1798" i="1"/>
  <c r="L1798" i="1"/>
  <c r="M1798" i="1" s="1"/>
  <c r="T1797" i="1"/>
  <c r="L1797" i="1"/>
  <c r="M1797" i="1" s="1"/>
  <c r="T1796" i="1"/>
  <c r="U1796" i="1" s="1"/>
  <c r="V1796" i="1" s="1"/>
  <c r="L1796" i="1"/>
  <c r="M1796" i="1" s="1"/>
  <c r="T1795" i="1"/>
  <c r="U1795" i="1" s="1"/>
  <c r="V1795" i="1" s="1"/>
  <c r="W1795" i="1" s="1"/>
  <c r="L1795" i="1"/>
  <c r="M1795" i="1" s="1"/>
  <c r="O1795" i="1" s="1"/>
  <c r="T1794" i="1"/>
  <c r="L1794" i="1"/>
  <c r="M1794" i="1" s="1"/>
  <c r="T1793" i="1"/>
  <c r="U1793" i="1" s="1"/>
  <c r="L1793" i="1"/>
  <c r="M1793" i="1" s="1"/>
  <c r="T1792" i="1"/>
  <c r="U1792" i="1" s="1"/>
  <c r="L1792" i="1"/>
  <c r="M1792" i="1" s="1"/>
  <c r="O1792" i="1" s="1"/>
  <c r="T1791" i="1"/>
  <c r="U1791" i="1" s="1"/>
  <c r="V1791" i="1" s="1"/>
  <c r="W1791" i="1" s="1"/>
  <c r="L1791" i="1"/>
  <c r="M1791" i="1" s="1"/>
  <c r="O1791" i="1" s="1"/>
  <c r="P1791" i="1" s="1"/>
  <c r="T1790" i="1"/>
  <c r="L1790" i="1"/>
  <c r="M1790" i="1" s="1"/>
  <c r="T1789" i="1"/>
  <c r="U1789" i="1" s="1"/>
  <c r="L1789" i="1"/>
  <c r="M1789" i="1" s="1"/>
  <c r="T1788" i="1"/>
  <c r="U1788" i="1" s="1"/>
  <c r="V1788" i="1" s="1"/>
  <c r="L1788" i="1"/>
  <c r="M1788" i="1" s="1"/>
  <c r="O1788" i="1" s="1"/>
  <c r="T1787" i="1"/>
  <c r="U1787" i="1" s="1"/>
  <c r="V1787" i="1" s="1"/>
  <c r="L1787" i="1"/>
  <c r="M1787" i="1" s="1"/>
  <c r="O1787" i="1" s="1"/>
  <c r="T1786" i="1"/>
  <c r="L1786" i="1"/>
  <c r="M1786" i="1" s="1"/>
  <c r="T1785" i="1"/>
  <c r="U1785" i="1" s="1"/>
  <c r="L1785" i="1"/>
  <c r="M1785" i="1" s="1"/>
  <c r="T1784" i="1"/>
  <c r="U1784" i="1" s="1"/>
  <c r="L1784" i="1"/>
  <c r="M1784" i="1" s="1"/>
  <c r="O1784" i="1" s="1"/>
  <c r="T1783" i="1"/>
  <c r="U1783" i="1" s="1"/>
  <c r="V1783" i="1" s="1"/>
  <c r="W1783" i="1" s="1"/>
  <c r="L1783" i="1"/>
  <c r="M1783" i="1" s="1"/>
  <c r="O1783" i="1" s="1"/>
  <c r="P1783" i="1" s="1"/>
  <c r="T1782" i="1"/>
  <c r="L1782" i="1"/>
  <c r="M1782" i="1" s="1"/>
  <c r="T1781" i="1"/>
  <c r="L1781" i="1"/>
  <c r="M1781" i="1" s="1"/>
  <c r="T1780" i="1"/>
  <c r="U1780" i="1" s="1"/>
  <c r="V1780" i="1" s="1"/>
  <c r="L1780" i="1"/>
  <c r="M1780" i="1" s="1"/>
  <c r="T1779" i="1"/>
  <c r="U1779" i="1" s="1"/>
  <c r="V1779" i="1" s="1"/>
  <c r="W1779" i="1" s="1"/>
  <c r="L1779" i="1"/>
  <c r="M1779" i="1" s="1"/>
  <c r="O1779" i="1" s="1"/>
  <c r="T1778" i="1"/>
  <c r="L1778" i="1"/>
  <c r="M1778" i="1" s="1"/>
  <c r="T1777" i="1"/>
  <c r="U1777" i="1" s="1"/>
  <c r="L1777" i="1"/>
  <c r="M1777" i="1" s="1"/>
  <c r="T1776" i="1"/>
  <c r="L1776" i="1"/>
  <c r="M1776" i="1" s="1"/>
  <c r="O1776" i="1" s="1"/>
  <c r="T1775" i="1"/>
  <c r="U1775" i="1" s="1"/>
  <c r="V1775" i="1" s="1"/>
  <c r="W1775" i="1" s="1"/>
  <c r="L1775" i="1"/>
  <c r="M1775" i="1" s="1"/>
  <c r="O1775" i="1" s="1"/>
  <c r="P1775" i="1" s="1"/>
  <c r="T1774" i="1"/>
  <c r="L1774" i="1"/>
  <c r="M1774" i="1" s="1"/>
  <c r="T1773" i="1"/>
  <c r="U1773" i="1" s="1"/>
  <c r="L1773" i="1"/>
  <c r="M1773" i="1" s="1"/>
  <c r="T1772" i="1"/>
  <c r="U1772" i="1" s="1"/>
  <c r="V1772" i="1" s="1"/>
  <c r="L1772" i="1"/>
  <c r="M1772" i="1" s="1"/>
  <c r="O1772" i="1" s="1"/>
  <c r="T1771" i="1"/>
  <c r="U1771" i="1" s="1"/>
  <c r="V1771" i="1" s="1"/>
  <c r="L1771" i="1"/>
  <c r="M1771" i="1" s="1"/>
  <c r="T1770" i="1"/>
  <c r="L1770" i="1"/>
  <c r="M1770" i="1" s="1"/>
  <c r="T1769" i="1"/>
  <c r="U1769" i="1" s="1"/>
  <c r="V1769" i="1" s="1"/>
  <c r="L1769" i="1"/>
  <c r="M1769" i="1" s="1"/>
  <c r="T1768" i="1"/>
  <c r="U1768" i="1" s="1"/>
  <c r="L1768" i="1"/>
  <c r="M1768" i="1" s="1"/>
  <c r="O1768" i="1" s="1"/>
  <c r="T1767" i="1"/>
  <c r="U1767" i="1" s="1"/>
  <c r="L1767" i="1"/>
  <c r="M1767" i="1" s="1"/>
  <c r="O1767" i="1" s="1"/>
  <c r="P1767" i="1" s="1"/>
  <c r="T1766" i="1"/>
  <c r="L1766" i="1"/>
  <c r="M1766" i="1" s="1"/>
  <c r="T1765" i="1"/>
  <c r="U1765" i="1" s="1"/>
  <c r="V1765" i="1" s="1"/>
  <c r="L1765" i="1"/>
  <c r="M1765" i="1" s="1"/>
  <c r="T1764" i="1"/>
  <c r="U1764" i="1" s="1"/>
  <c r="V1764" i="1" s="1"/>
  <c r="L1764" i="1"/>
  <c r="M1764" i="1" s="1"/>
  <c r="T1763" i="1"/>
  <c r="U1763" i="1" s="1"/>
  <c r="L1763" i="1"/>
  <c r="M1763" i="1" s="1"/>
  <c r="O1763" i="1" s="1"/>
  <c r="T1762" i="1"/>
  <c r="L1762" i="1"/>
  <c r="M1762" i="1" s="1"/>
  <c r="T1761" i="1"/>
  <c r="U1761" i="1" s="1"/>
  <c r="V1761" i="1" s="1"/>
  <c r="L1761" i="1"/>
  <c r="M1761" i="1" s="1"/>
  <c r="T1760" i="1"/>
  <c r="U1760" i="1" s="1"/>
  <c r="L1760" i="1"/>
  <c r="M1760" i="1" s="1"/>
  <c r="O1760" i="1" s="1"/>
  <c r="T1759" i="1"/>
  <c r="U1759" i="1" s="1"/>
  <c r="L1759" i="1"/>
  <c r="M1759" i="1" s="1"/>
  <c r="O1759" i="1" s="1"/>
  <c r="P1759" i="1" s="1"/>
  <c r="T1758" i="1"/>
  <c r="L1758" i="1"/>
  <c r="M1758" i="1" s="1"/>
  <c r="T1757" i="1"/>
  <c r="U1757" i="1" s="1"/>
  <c r="V1757" i="1" s="1"/>
  <c r="L1757" i="1"/>
  <c r="M1757" i="1" s="1"/>
  <c r="T1756" i="1"/>
  <c r="U1756" i="1" s="1"/>
  <c r="V1756" i="1" s="1"/>
  <c r="L1756" i="1"/>
  <c r="M1756" i="1" s="1"/>
  <c r="O1756" i="1" s="1"/>
  <c r="T1755" i="1"/>
  <c r="U1755" i="1" s="1"/>
  <c r="L1755" i="1"/>
  <c r="M1755" i="1" s="1"/>
  <c r="O1755" i="1" s="1"/>
  <c r="T1754" i="1"/>
  <c r="L1754" i="1"/>
  <c r="M1754" i="1" s="1"/>
  <c r="T1753" i="1"/>
  <c r="U1753" i="1" s="1"/>
  <c r="V1753" i="1" s="1"/>
  <c r="L1753" i="1"/>
  <c r="M1753" i="1" s="1"/>
  <c r="T1752" i="1"/>
  <c r="U1752" i="1" s="1"/>
  <c r="L1752" i="1"/>
  <c r="M1752" i="1" s="1"/>
  <c r="O1752" i="1" s="1"/>
  <c r="T1751" i="1"/>
  <c r="U1751" i="1" s="1"/>
  <c r="L1751" i="1"/>
  <c r="M1751" i="1" s="1"/>
  <c r="O1751" i="1" s="1"/>
  <c r="P1751" i="1" s="1"/>
  <c r="T1750" i="1"/>
  <c r="L1750" i="1"/>
  <c r="M1750" i="1" s="1"/>
  <c r="T1749" i="1"/>
  <c r="U1749" i="1" s="1"/>
  <c r="V1749" i="1" s="1"/>
  <c r="L1749" i="1"/>
  <c r="M1749" i="1" s="1"/>
  <c r="T1748" i="1"/>
  <c r="U1748" i="1" s="1"/>
  <c r="V1748" i="1" s="1"/>
  <c r="L1748" i="1"/>
  <c r="M1748" i="1" s="1"/>
  <c r="T1747" i="1"/>
  <c r="U1747" i="1" s="1"/>
  <c r="L1747" i="1"/>
  <c r="M1747" i="1" s="1"/>
  <c r="O1747" i="1" s="1"/>
  <c r="T1746" i="1"/>
  <c r="L1746" i="1"/>
  <c r="M1746" i="1" s="1"/>
  <c r="T1745" i="1"/>
  <c r="U1745" i="1" s="1"/>
  <c r="V1745" i="1" s="1"/>
  <c r="L1745" i="1"/>
  <c r="M1745" i="1" s="1"/>
  <c r="T1744" i="1"/>
  <c r="U1744" i="1" s="1"/>
  <c r="L1744" i="1"/>
  <c r="M1744" i="1" s="1"/>
  <c r="O1744" i="1" s="1"/>
  <c r="T1743" i="1"/>
  <c r="U1743" i="1" s="1"/>
  <c r="L1743" i="1"/>
  <c r="M1743" i="1" s="1"/>
  <c r="O1743" i="1" s="1"/>
  <c r="P1743" i="1" s="1"/>
  <c r="T1742" i="1"/>
  <c r="L1742" i="1"/>
  <c r="M1742" i="1" s="1"/>
  <c r="T1741" i="1"/>
  <c r="U1741" i="1" s="1"/>
  <c r="V1741" i="1" s="1"/>
  <c r="L1741" i="1"/>
  <c r="M1741" i="1" s="1"/>
  <c r="T1740" i="1"/>
  <c r="U1740" i="1" s="1"/>
  <c r="V1740" i="1" s="1"/>
  <c r="L1740" i="1"/>
  <c r="M1740" i="1" s="1"/>
  <c r="T1739" i="1"/>
  <c r="U1739" i="1" s="1"/>
  <c r="L1739" i="1"/>
  <c r="M1739" i="1" s="1"/>
  <c r="O1739" i="1" s="1"/>
  <c r="T1738" i="1"/>
  <c r="L1738" i="1"/>
  <c r="M1738" i="1" s="1"/>
  <c r="T1737" i="1"/>
  <c r="U1737" i="1" s="1"/>
  <c r="V1737" i="1" s="1"/>
  <c r="L1737" i="1"/>
  <c r="M1737" i="1" s="1"/>
  <c r="T1736" i="1"/>
  <c r="L1736" i="1"/>
  <c r="M1736" i="1" s="1"/>
  <c r="O1736" i="1" s="1"/>
  <c r="T1735" i="1"/>
  <c r="U1735" i="1" s="1"/>
  <c r="L1735" i="1"/>
  <c r="M1735" i="1" s="1"/>
  <c r="O1735" i="1" s="1"/>
  <c r="P1735" i="1" s="1"/>
  <c r="T1734" i="1"/>
  <c r="L1734" i="1"/>
  <c r="M1734" i="1" s="1"/>
  <c r="T1733" i="1"/>
  <c r="U1733" i="1" s="1"/>
  <c r="V1733" i="1" s="1"/>
  <c r="L1733" i="1"/>
  <c r="M1733" i="1" s="1"/>
  <c r="T1732" i="1"/>
  <c r="U1732" i="1" s="1"/>
  <c r="V1732" i="1" s="1"/>
  <c r="L1732" i="1"/>
  <c r="M1732" i="1" s="1"/>
  <c r="T1731" i="1"/>
  <c r="U1731" i="1" s="1"/>
  <c r="L1731" i="1"/>
  <c r="M1731" i="1" s="1"/>
  <c r="T1730" i="1"/>
  <c r="L1730" i="1"/>
  <c r="M1730" i="1" s="1"/>
  <c r="T1729" i="1"/>
  <c r="U1729" i="1" s="1"/>
  <c r="V1729" i="1" s="1"/>
  <c r="L1729" i="1"/>
  <c r="M1729" i="1" s="1"/>
  <c r="T1728" i="1"/>
  <c r="L1728" i="1"/>
  <c r="M1728" i="1" s="1"/>
  <c r="O1728" i="1" s="1"/>
  <c r="T1727" i="1"/>
  <c r="U1727" i="1" s="1"/>
  <c r="L1727" i="1"/>
  <c r="M1727" i="1" s="1"/>
  <c r="O1727" i="1" s="1"/>
  <c r="P1727" i="1" s="1"/>
  <c r="T1726" i="1"/>
  <c r="L1726" i="1"/>
  <c r="M1726" i="1" s="1"/>
  <c r="T1725" i="1"/>
  <c r="U1725" i="1" s="1"/>
  <c r="V1725" i="1" s="1"/>
  <c r="L1725" i="1"/>
  <c r="M1725" i="1" s="1"/>
  <c r="T1724" i="1"/>
  <c r="U1724" i="1" s="1"/>
  <c r="V1724" i="1" s="1"/>
  <c r="L1724" i="1"/>
  <c r="M1724" i="1" s="1"/>
  <c r="T1723" i="1"/>
  <c r="U1723" i="1" s="1"/>
  <c r="L1723" i="1"/>
  <c r="M1723" i="1" s="1"/>
  <c r="O1723" i="1" s="1"/>
  <c r="T1722" i="1"/>
  <c r="L1722" i="1"/>
  <c r="M1722" i="1" s="1"/>
  <c r="T1721" i="1"/>
  <c r="U1721" i="1" s="1"/>
  <c r="V1721" i="1" s="1"/>
  <c r="L1721" i="1"/>
  <c r="M1721" i="1" s="1"/>
  <c r="T1720" i="1"/>
  <c r="U1720" i="1" s="1"/>
  <c r="L1720" i="1"/>
  <c r="M1720" i="1" s="1"/>
  <c r="O1720" i="1" s="1"/>
  <c r="T1719" i="1"/>
  <c r="U1719" i="1" s="1"/>
  <c r="L1719" i="1"/>
  <c r="M1719" i="1" s="1"/>
  <c r="O1719" i="1" s="1"/>
  <c r="P1719" i="1" s="1"/>
  <c r="T1718" i="1"/>
  <c r="L1718" i="1"/>
  <c r="M1718" i="1" s="1"/>
  <c r="T1717" i="1"/>
  <c r="U1717" i="1" s="1"/>
  <c r="V1717" i="1" s="1"/>
  <c r="L1717" i="1"/>
  <c r="M1717" i="1" s="1"/>
  <c r="T1716" i="1"/>
  <c r="U1716" i="1" s="1"/>
  <c r="V1716" i="1" s="1"/>
  <c r="L1716" i="1"/>
  <c r="M1716" i="1" s="1"/>
  <c r="T1715" i="1"/>
  <c r="U1715" i="1" s="1"/>
  <c r="L1715" i="1"/>
  <c r="M1715" i="1" s="1"/>
  <c r="O1715" i="1" s="1"/>
  <c r="T1714" i="1"/>
  <c r="L1714" i="1"/>
  <c r="M1714" i="1" s="1"/>
  <c r="T1713" i="1"/>
  <c r="U1713" i="1" s="1"/>
  <c r="V1713" i="1" s="1"/>
  <c r="L1713" i="1"/>
  <c r="M1713" i="1" s="1"/>
  <c r="T1712" i="1"/>
  <c r="U1712" i="1" s="1"/>
  <c r="L1712" i="1"/>
  <c r="M1712" i="1" s="1"/>
  <c r="O1712" i="1" s="1"/>
  <c r="T1711" i="1"/>
  <c r="U1711" i="1" s="1"/>
  <c r="L1711" i="1"/>
  <c r="M1711" i="1" s="1"/>
  <c r="O1711" i="1" s="1"/>
  <c r="P1711" i="1" s="1"/>
  <c r="T1710" i="1"/>
  <c r="L1710" i="1"/>
  <c r="M1710" i="1" s="1"/>
  <c r="T1709" i="1"/>
  <c r="U1709" i="1" s="1"/>
  <c r="V1709" i="1" s="1"/>
  <c r="L1709" i="1"/>
  <c r="M1709" i="1" s="1"/>
  <c r="T1708" i="1"/>
  <c r="U1708" i="1" s="1"/>
  <c r="V1708" i="1" s="1"/>
  <c r="L1708" i="1"/>
  <c r="M1708" i="1" s="1"/>
  <c r="O1708" i="1" s="1"/>
  <c r="T1707" i="1"/>
  <c r="U1707" i="1" s="1"/>
  <c r="L1707" i="1"/>
  <c r="M1707" i="1" s="1"/>
  <c r="T1706" i="1"/>
  <c r="L1706" i="1"/>
  <c r="M1706" i="1" s="1"/>
  <c r="T1705" i="1"/>
  <c r="U1705" i="1" s="1"/>
  <c r="V1705" i="1" s="1"/>
  <c r="L1705" i="1"/>
  <c r="M1705" i="1" s="1"/>
  <c r="T1704" i="1"/>
  <c r="L1704" i="1"/>
  <c r="M1704" i="1" s="1"/>
  <c r="O1704" i="1" s="1"/>
  <c r="T1703" i="1"/>
  <c r="U1703" i="1" s="1"/>
  <c r="L1703" i="1"/>
  <c r="M1703" i="1" s="1"/>
  <c r="O1703" i="1" s="1"/>
  <c r="P1703" i="1" s="1"/>
  <c r="T1702" i="1"/>
  <c r="L1702" i="1"/>
  <c r="M1702" i="1" s="1"/>
  <c r="T1701" i="1"/>
  <c r="U1701" i="1" s="1"/>
  <c r="V1701" i="1" s="1"/>
  <c r="L1701" i="1"/>
  <c r="M1701" i="1" s="1"/>
  <c r="T1700" i="1"/>
  <c r="U1700" i="1" s="1"/>
  <c r="V1700" i="1" s="1"/>
  <c r="L1700" i="1"/>
  <c r="M1700" i="1" s="1"/>
  <c r="T1699" i="1"/>
  <c r="L1699" i="1"/>
  <c r="M1699" i="1" s="1"/>
  <c r="O1699" i="1" s="1"/>
  <c r="T1698" i="1"/>
  <c r="L1698" i="1"/>
  <c r="M1698" i="1" s="1"/>
  <c r="T1697" i="1"/>
  <c r="U1697" i="1" s="1"/>
  <c r="V1697" i="1" s="1"/>
  <c r="L1697" i="1"/>
  <c r="M1697" i="1" s="1"/>
  <c r="T1696" i="1"/>
  <c r="U1696" i="1" s="1"/>
  <c r="L1696" i="1"/>
  <c r="M1696" i="1" s="1"/>
  <c r="O1696" i="1" s="1"/>
  <c r="T1695" i="1"/>
  <c r="L1695" i="1"/>
  <c r="M1695" i="1" s="1"/>
  <c r="O1695" i="1" s="1"/>
  <c r="P1695" i="1" s="1"/>
  <c r="T1694" i="1"/>
  <c r="L1694" i="1"/>
  <c r="M1694" i="1" s="1"/>
  <c r="T1693" i="1"/>
  <c r="U1693" i="1" s="1"/>
  <c r="V1693" i="1" s="1"/>
  <c r="L1693" i="1"/>
  <c r="M1693" i="1" s="1"/>
  <c r="T1692" i="1"/>
  <c r="U1692" i="1" s="1"/>
  <c r="V1692" i="1" s="1"/>
  <c r="L1692" i="1"/>
  <c r="M1692" i="1" s="1"/>
  <c r="T1691" i="1"/>
  <c r="L1691" i="1"/>
  <c r="M1691" i="1" s="1"/>
  <c r="T1690" i="1"/>
  <c r="L1690" i="1"/>
  <c r="M1690" i="1" s="1"/>
  <c r="T1689" i="1"/>
  <c r="U1689" i="1" s="1"/>
  <c r="V1689" i="1" s="1"/>
  <c r="L1689" i="1"/>
  <c r="M1689" i="1" s="1"/>
  <c r="T1688" i="1"/>
  <c r="U1688" i="1" s="1"/>
  <c r="L1688" i="1"/>
  <c r="M1688" i="1" s="1"/>
  <c r="O1688" i="1" s="1"/>
  <c r="T1687" i="1"/>
  <c r="L1687" i="1"/>
  <c r="M1687" i="1" s="1"/>
  <c r="O1687" i="1" s="1"/>
  <c r="P1687" i="1" s="1"/>
  <c r="T1686" i="1"/>
  <c r="L1686" i="1"/>
  <c r="M1686" i="1" s="1"/>
  <c r="T1685" i="1"/>
  <c r="U1685" i="1" s="1"/>
  <c r="V1685" i="1" s="1"/>
  <c r="L1685" i="1"/>
  <c r="M1685" i="1" s="1"/>
  <c r="T1684" i="1"/>
  <c r="U1684" i="1" s="1"/>
  <c r="V1684" i="1" s="1"/>
  <c r="L1684" i="1"/>
  <c r="M1684" i="1" s="1"/>
  <c r="T1683" i="1"/>
  <c r="L1683" i="1"/>
  <c r="M1683" i="1" s="1"/>
  <c r="O1683" i="1" s="1"/>
  <c r="T1682" i="1"/>
  <c r="L1682" i="1"/>
  <c r="M1682" i="1" s="1"/>
  <c r="T1681" i="1"/>
  <c r="U1681" i="1" s="1"/>
  <c r="V1681" i="1" s="1"/>
  <c r="L1681" i="1"/>
  <c r="M1681" i="1" s="1"/>
  <c r="T1680" i="1"/>
  <c r="U1680" i="1" s="1"/>
  <c r="L1680" i="1"/>
  <c r="M1680" i="1" s="1"/>
  <c r="O1680" i="1" s="1"/>
  <c r="T1679" i="1"/>
  <c r="L1679" i="1"/>
  <c r="M1679" i="1" s="1"/>
  <c r="O1679" i="1" s="1"/>
  <c r="P1679" i="1" s="1"/>
  <c r="T1678" i="1"/>
  <c r="L1678" i="1"/>
  <c r="M1678" i="1" s="1"/>
  <c r="T1677" i="1"/>
  <c r="U1677" i="1" s="1"/>
  <c r="V1677" i="1" s="1"/>
  <c r="L1677" i="1"/>
  <c r="M1677" i="1" s="1"/>
  <c r="T1676" i="1"/>
  <c r="U1676" i="1" s="1"/>
  <c r="V1676" i="1" s="1"/>
  <c r="L1676" i="1"/>
  <c r="M1676" i="1" s="1"/>
  <c r="O1676" i="1" s="1"/>
  <c r="T1675" i="1"/>
  <c r="L1675" i="1"/>
  <c r="M1675" i="1" s="1"/>
  <c r="T1674" i="1"/>
  <c r="L1674" i="1"/>
  <c r="M1674" i="1" s="1"/>
  <c r="T1673" i="1"/>
  <c r="U1673" i="1" s="1"/>
  <c r="V1673" i="1" s="1"/>
  <c r="L1673" i="1"/>
  <c r="M1673" i="1" s="1"/>
  <c r="T1672" i="1"/>
  <c r="U1672" i="1" s="1"/>
  <c r="L1672" i="1"/>
  <c r="M1672" i="1" s="1"/>
  <c r="O1672" i="1" s="1"/>
  <c r="T1671" i="1"/>
  <c r="U1671" i="1" s="1"/>
  <c r="L1671" i="1"/>
  <c r="M1671" i="1" s="1"/>
  <c r="O1671" i="1" s="1"/>
  <c r="P1671" i="1" s="1"/>
  <c r="T1670" i="1"/>
  <c r="L1670" i="1"/>
  <c r="M1670" i="1" s="1"/>
  <c r="T1669" i="1"/>
  <c r="U1669" i="1" s="1"/>
  <c r="V1669" i="1" s="1"/>
  <c r="L1669" i="1"/>
  <c r="M1669" i="1" s="1"/>
  <c r="T1668" i="1"/>
  <c r="U1668" i="1" s="1"/>
  <c r="V1668" i="1" s="1"/>
  <c r="L1668" i="1"/>
  <c r="M1668" i="1" s="1"/>
  <c r="T1667" i="1"/>
  <c r="L1667" i="1"/>
  <c r="M1667" i="1" s="1"/>
  <c r="O1667" i="1" s="1"/>
  <c r="T1666" i="1"/>
  <c r="L1666" i="1"/>
  <c r="M1666" i="1" s="1"/>
  <c r="T1665" i="1"/>
  <c r="U1665" i="1" s="1"/>
  <c r="V1665" i="1" s="1"/>
  <c r="L1665" i="1"/>
  <c r="M1665" i="1" s="1"/>
  <c r="T1664" i="1"/>
  <c r="U1664" i="1" s="1"/>
  <c r="L1664" i="1"/>
  <c r="M1664" i="1" s="1"/>
  <c r="O1664" i="1" s="1"/>
  <c r="T1663" i="1"/>
  <c r="L1663" i="1"/>
  <c r="M1663" i="1" s="1"/>
  <c r="O1663" i="1" s="1"/>
  <c r="P1663" i="1" s="1"/>
  <c r="T1662" i="1"/>
  <c r="L1662" i="1"/>
  <c r="M1662" i="1" s="1"/>
  <c r="T1661" i="1"/>
  <c r="U1661" i="1" s="1"/>
  <c r="V1661" i="1" s="1"/>
  <c r="L1661" i="1"/>
  <c r="M1661" i="1" s="1"/>
  <c r="T1660" i="1"/>
  <c r="U1660" i="1" s="1"/>
  <c r="V1660" i="1" s="1"/>
  <c r="L1660" i="1"/>
  <c r="M1660" i="1" s="1"/>
  <c r="O1660" i="1" s="1"/>
  <c r="T1659" i="1"/>
  <c r="L1659" i="1"/>
  <c r="M1659" i="1" s="1"/>
  <c r="T1658" i="1"/>
  <c r="L1658" i="1"/>
  <c r="M1658" i="1" s="1"/>
  <c r="T1657" i="1"/>
  <c r="U1657" i="1" s="1"/>
  <c r="V1657" i="1" s="1"/>
  <c r="L1657" i="1"/>
  <c r="M1657" i="1" s="1"/>
  <c r="T1656" i="1"/>
  <c r="U1656" i="1" s="1"/>
  <c r="L1656" i="1"/>
  <c r="M1656" i="1" s="1"/>
  <c r="O1656" i="1" s="1"/>
  <c r="T1655" i="1"/>
  <c r="U1655" i="1" s="1"/>
  <c r="L1655" i="1"/>
  <c r="M1655" i="1" s="1"/>
  <c r="O1655" i="1" s="1"/>
  <c r="P1655" i="1" s="1"/>
  <c r="T1654" i="1"/>
  <c r="L1654" i="1"/>
  <c r="M1654" i="1" s="1"/>
  <c r="T1653" i="1"/>
  <c r="U1653" i="1" s="1"/>
  <c r="V1653" i="1" s="1"/>
  <c r="L1653" i="1"/>
  <c r="M1653" i="1" s="1"/>
  <c r="T1652" i="1"/>
  <c r="U1652" i="1" s="1"/>
  <c r="V1652" i="1" s="1"/>
  <c r="L1652" i="1"/>
  <c r="M1652" i="1" s="1"/>
  <c r="T1651" i="1"/>
  <c r="L1651" i="1"/>
  <c r="M1651" i="1" s="1"/>
  <c r="T1650" i="1"/>
  <c r="L1650" i="1"/>
  <c r="M1650" i="1" s="1"/>
  <c r="T1649" i="1"/>
  <c r="U1649" i="1" s="1"/>
  <c r="V1649" i="1" s="1"/>
  <c r="L1649" i="1"/>
  <c r="M1649" i="1" s="1"/>
  <c r="T1648" i="1"/>
  <c r="L1648" i="1"/>
  <c r="M1648" i="1" s="1"/>
  <c r="O1648" i="1" s="1"/>
  <c r="T1647" i="1"/>
  <c r="L1647" i="1"/>
  <c r="M1647" i="1" s="1"/>
  <c r="O1647" i="1" s="1"/>
  <c r="P1647" i="1" s="1"/>
  <c r="T1646" i="1"/>
  <c r="L1646" i="1"/>
  <c r="M1646" i="1" s="1"/>
  <c r="T1645" i="1"/>
  <c r="U1645" i="1" s="1"/>
  <c r="V1645" i="1" s="1"/>
  <c r="L1645" i="1"/>
  <c r="M1645" i="1" s="1"/>
  <c r="T1644" i="1"/>
  <c r="U1644" i="1" s="1"/>
  <c r="V1644" i="1" s="1"/>
  <c r="L1644" i="1"/>
  <c r="M1644" i="1" s="1"/>
  <c r="O1644" i="1" s="1"/>
  <c r="T1643" i="1"/>
  <c r="L1643" i="1"/>
  <c r="M1643" i="1" s="1"/>
  <c r="T1642" i="1"/>
  <c r="L1642" i="1"/>
  <c r="M1642" i="1" s="1"/>
  <c r="T1641" i="1"/>
  <c r="U1641" i="1" s="1"/>
  <c r="V1641" i="1" s="1"/>
  <c r="L1641" i="1"/>
  <c r="M1641" i="1" s="1"/>
  <c r="T1640" i="1"/>
  <c r="U1640" i="1" s="1"/>
  <c r="L1640" i="1"/>
  <c r="M1640" i="1" s="1"/>
  <c r="O1640" i="1" s="1"/>
  <c r="T1639" i="1"/>
  <c r="U1639" i="1" s="1"/>
  <c r="L1639" i="1"/>
  <c r="M1639" i="1" s="1"/>
  <c r="O1639" i="1" s="1"/>
  <c r="P1639" i="1" s="1"/>
  <c r="T1638" i="1"/>
  <c r="L1638" i="1"/>
  <c r="M1638" i="1" s="1"/>
  <c r="T1637" i="1"/>
  <c r="U1637" i="1" s="1"/>
  <c r="V1637" i="1" s="1"/>
  <c r="L1637" i="1"/>
  <c r="M1637" i="1" s="1"/>
  <c r="T1636" i="1"/>
  <c r="U1636" i="1" s="1"/>
  <c r="V1636" i="1" s="1"/>
  <c r="L1636" i="1"/>
  <c r="M1636" i="1" s="1"/>
  <c r="T1635" i="1"/>
  <c r="L1635" i="1"/>
  <c r="M1635" i="1" s="1"/>
  <c r="O1635" i="1" s="1"/>
  <c r="T1634" i="1"/>
  <c r="L1634" i="1"/>
  <c r="M1634" i="1" s="1"/>
  <c r="T1633" i="1"/>
  <c r="U1633" i="1" s="1"/>
  <c r="V1633" i="1" s="1"/>
  <c r="L1633" i="1"/>
  <c r="M1633" i="1" s="1"/>
  <c r="T1632" i="1"/>
  <c r="U1632" i="1" s="1"/>
  <c r="L1632" i="1"/>
  <c r="M1632" i="1" s="1"/>
  <c r="O1632" i="1" s="1"/>
  <c r="T1631" i="1"/>
  <c r="L1631" i="1"/>
  <c r="M1631" i="1" s="1"/>
  <c r="O1631" i="1" s="1"/>
  <c r="P1631" i="1" s="1"/>
  <c r="T1630" i="1"/>
  <c r="L1630" i="1"/>
  <c r="M1630" i="1" s="1"/>
  <c r="T1629" i="1"/>
  <c r="U1629" i="1" s="1"/>
  <c r="V1629" i="1" s="1"/>
  <c r="L1629" i="1"/>
  <c r="M1629" i="1" s="1"/>
  <c r="T1628" i="1"/>
  <c r="U1628" i="1" s="1"/>
  <c r="V1628" i="1" s="1"/>
  <c r="L1628" i="1"/>
  <c r="M1628" i="1" s="1"/>
  <c r="O1628" i="1" s="1"/>
  <c r="T1627" i="1"/>
  <c r="L1627" i="1"/>
  <c r="M1627" i="1" s="1"/>
  <c r="T1626" i="1"/>
  <c r="L1626" i="1"/>
  <c r="M1626" i="1" s="1"/>
  <c r="T1625" i="1"/>
  <c r="U1625" i="1" s="1"/>
  <c r="V1625" i="1" s="1"/>
  <c r="L1625" i="1"/>
  <c r="M1625" i="1" s="1"/>
  <c r="T1624" i="1"/>
  <c r="U1624" i="1" s="1"/>
  <c r="L1624" i="1"/>
  <c r="M1624" i="1" s="1"/>
  <c r="O1624" i="1" s="1"/>
  <c r="T1623" i="1"/>
  <c r="U1623" i="1" s="1"/>
  <c r="L1623" i="1"/>
  <c r="M1623" i="1" s="1"/>
  <c r="O1623" i="1" s="1"/>
  <c r="P1623" i="1" s="1"/>
  <c r="T1622" i="1"/>
  <c r="L1622" i="1"/>
  <c r="M1622" i="1" s="1"/>
  <c r="T1621" i="1"/>
  <c r="U1621" i="1" s="1"/>
  <c r="V1621" i="1" s="1"/>
  <c r="L1621" i="1"/>
  <c r="M1621" i="1" s="1"/>
  <c r="T1620" i="1"/>
  <c r="U1620" i="1" s="1"/>
  <c r="V1620" i="1" s="1"/>
  <c r="L1620" i="1"/>
  <c r="M1620" i="1" s="1"/>
  <c r="T1619" i="1"/>
  <c r="L1619" i="1"/>
  <c r="M1619" i="1" s="1"/>
  <c r="T1618" i="1"/>
  <c r="L1618" i="1"/>
  <c r="M1618" i="1" s="1"/>
  <c r="T1617" i="1"/>
  <c r="U1617" i="1" s="1"/>
  <c r="V1617" i="1" s="1"/>
  <c r="L1617" i="1"/>
  <c r="M1617" i="1" s="1"/>
  <c r="T1616" i="1"/>
  <c r="U1616" i="1" s="1"/>
  <c r="L1616" i="1"/>
  <c r="M1616" i="1" s="1"/>
  <c r="O1616" i="1" s="1"/>
  <c r="T1615" i="1"/>
  <c r="L1615" i="1"/>
  <c r="M1615" i="1" s="1"/>
  <c r="O1615" i="1" s="1"/>
  <c r="P1615" i="1" s="1"/>
  <c r="T1614" i="1"/>
  <c r="L1614" i="1"/>
  <c r="M1614" i="1" s="1"/>
  <c r="T1613" i="1"/>
  <c r="U1613" i="1" s="1"/>
  <c r="V1613" i="1" s="1"/>
  <c r="L1613" i="1"/>
  <c r="M1613" i="1" s="1"/>
  <c r="T1612" i="1"/>
  <c r="U1612" i="1" s="1"/>
  <c r="V1612" i="1" s="1"/>
  <c r="L1612" i="1"/>
  <c r="M1612" i="1" s="1"/>
  <c r="T1611" i="1"/>
  <c r="L1611" i="1"/>
  <c r="M1611" i="1" s="1"/>
  <c r="T1610" i="1"/>
  <c r="L1610" i="1"/>
  <c r="M1610" i="1" s="1"/>
  <c r="T1609" i="1"/>
  <c r="U1609" i="1" s="1"/>
  <c r="V1609" i="1" s="1"/>
  <c r="L1609" i="1"/>
  <c r="M1609" i="1" s="1"/>
  <c r="T1608" i="1"/>
  <c r="U1608" i="1" s="1"/>
  <c r="L1608" i="1"/>
  <c r="M1608" i="1" s="1"/>
  <c r="O1608" i="1" s="1"/>
  <c r="T1607" i="1"/>
  <c r="U1607" i="1" s="1"/>
  <c r="L1607" i="1"/>
  <c r="M1607" i="1" s="1"/>
  <c r="O1607" i="1" s="1"/>
  <c r="P1607" i="1" s="1"/>
  <c r="T1606" i="1"/>
  <c r="L1606" i="1"/>
  <c r="M1606" i="1" s="1"/>
  <c r="T1605" i="1"/>
  <c r="U1605" i="1" s="1"/>
  <c r="V1605" i="1" s="1"/>
  <c r="L1605" i="1"/>
  <c r="M1605" i="1" s="1"/>
  <c r="T1604" i="1"/>
  <c r="U1604" i="1" s="1"/>
  <c r="V1604" i="1" s="1"/>
  <c r="L1604" i="1"/>
  <c r="M1604" i="1" s="1"/>
  <c r="T1603" i="1"/>
  <c r="L1603" i="1"/>
  <c r="M1603" i="1" s="1"/>
  <c r="O1603" i="1" s="1"/>
  <c r="T1602" i="1"/>
  <c r="L1602" i="1"/>
  <c r="M1602" i="1" s="1"/>
  <c r="T1601" i="1"/>
  <c r="U1601" i="1" s="1"/>
  <c r="V1601" i="1" s="1"/>
  <c r="L1601" i="1"/>
  <c r="M1601" i="1" s="1"/>
  <c r="T1600" i="1"/>
  <c r="U1600" i="1" s="1"/>
  <c r="L1600" i="1"/>
  <c r="M1600" i="1" s="1"/>
  <c r="O1600" i="1" s="1"/>
  <c r="T1599" i="1"/>
  <c r="L1599" i="1"/>
  <c r="M1599" i="1" s="1"/>
  <c r="O1599" i="1" s="1"/>
  <c r="P1599" i="1" s="1"/>
  <c r="T1598" i="1"/>
  <c r="L1598" i="1"/>
  <c r="M1598" i="1" s="1"/>
  <c r="T1597" i="1"/>
  <c r="U1597" i="1" s="1"/>
  <c r="V1597" i="1" s="1"/>
  <c r="L1597" i="1"/>
  <c r="M1597" i="1" s="1"/>
  <c r="T1596" i="1"/>
  <c r="U1596" i="1" s="1"/>
  <c r="V1596" i="1" s="1"/>
  <c r="L1596" i="1"/>
  <c r="M1596" i="1" s="1"/>
  <c r="O1596" i="1" s="1"/>
  <c r="T1595" i="1"/>
  <c r="L1595" i="1"/>
  <c r="M1595" i="1" s="1"/>
  <c r="T1594" i="1"/>
  <c r="L1594" i="1"/>
  <c r="M1594" i="1" s="1"/>
  <c r="T1593" i="1"/>
  <c r="U1593" i="1" s="1"/>
  <c r="V1593" i="1" s="1"/>
  <c r="L1593" i="1"/>
  <c r="M1593" i="1" s="1"/>
  <c r="T1592" i="1"/>
  <c r="U1592" i="1" s="1"/>
  <c r="L1592" i="1"/>
  <c r="M1592" i="1" s="1"/>
  <c r="O1592" i="1" s="1"/>
  <c r="T1591" i="1"/>
  <c r="U1591" i="1" s="1"/>
  <c r="L1591" i="1"/>
  <c r="M1591" i="1" s="1"/>
  <c r="O1591" i="1" s="1"/>
  <c r="P1591" i="1" s="1"/>
  <c r="T1590" i="1"/>
  <c r="L1590" i="1"/>
  <c r="M1590" i="1" s="1"/>
  <c r="T1589" i="1"/>
  <c r="U1589" i="1" s="1"/>
  <c r="V1589" i="1" s="1"/>
  <c r="L1589" i="1"/>
  <c r="M1589" i="1" s="1"/>
  <c r="T1588" i="1"/>
  <c r="U1588" i="1" s="1"/>
  <c r="V1588" i="1" s="1"/>
  <c r="L1588" i="1"/>
  <c r="M1588" i="1" s="1"/>
  <c r="T1587" i="1"/>
  <c r="L1587" i="1"/>
  <c r="M1587" i="1" s="1"/>
  <c r="T1586" i="1"/>
  <c r="L1586" i="1"/>
  <c r="M1586" i="1" s="1"/>
  <c r="T1585" i="1"/>
  <c r="U1585" i="1" s="1"/>
  <c r="V1585" i="1" s="1"/>
  <c r="L1585" i="1"/>
  <c r="M1585" i="1" s="1"/>
  <c r="T1584" i="1"/>
  <c r="L1584" i="1"/>
  <c r="M1584" i="1" s="1"/>
  <c r="O1584" i="1" s="1"/>
  <c r="T1583" i="1"/>
  <c r="L1583" i="1"/>
  <c r="M1583" i="1" s="1"/>
  <c r="O1583" i="1" s="1"/>
  <c r="P1583" i="1" s="1"/>
  <c r="T1582" i="1"/>
  <c r="L1582" i="1"/>
  <c r="M1582" i="1" s="1"/>
  <c r="T1581" i="1"/>
  <c r="U1581" i="1" s="1"/>
  <c r="V1581" i="1" s="1"/>
  <c r="L1581" i="1"/>
  <c r="M1581" i="1" s="1"/>
  <c r="T1580" i="1"/>
  <c r="U1580" i="1" s="1"/>
  <c r="V1580" i="1" s="1"/>
  <c r="L1580" i="1"/>
  <c r="M1580" i="1" s="1"/>
  <c r="O1580" i="1" s="1"/>
  <c r="T1579" i="1"/>
  <c r="L1579" i="1"/>
  <c r="M1579" i="1" s="1"/>
  <c r="T1578" i="1"/>
  <c r="L1578" i="1"/>
  <c r="M1578" i="1" s="1"/>
  <c r="T1577" i="1"/>
  <c r="U1577" i="1" s="1"/>
  <c r="V1577" i="1" s="1"/>
  <c r="L1577" i="1"/>
  <c r="M1577" i="1" s="1"/>
  <c r="T1576" i="1"/>
  <c r="U1576" i="1" s="1"/>
  <c r="L1576" i="1"/>
  <c r="M1576" i="1" s="1"/>
  <c r="O1576" i="1" s="1"/>
  <c r="T1575" i="1"/>
  <c r="U1575" i="1" s="1"/>
  <c r="L1575" i="1"/>
  <c r="M1575" i="1" s="1"/>
  <c r="O1575" i="1" s="1"/>
  <c r="P1575" i="1" s="1"/>
  <c r="T1574" i="1"/>
  <c r="L1574" i="1"/>
  <c r="M1574" i="1" s="1"/>
  <c r="T1573" i="1"/>
  <c r="U1573" i="1" s="1"/>
  <c r="V1573" i="1" s="1"/>
  <c r="L1573" i="1"/>
  <c r="M1573" i="1" s="1"/>
  <c r="T1572" i="1"/>
  <c r="U1572" i="1" s="1"/>
  <c r="V1572" i="1" s="1"/>
  <c r="L1572" i="1"/>
  <c r="M1572" i="1" s="1"/>
  <c r="T1571" i="1"/>
  <c r="L1571" i="1"/>
  <c r="M1571" i="1" s="1"/>
  <c r="O1571" i="1" s="1"/>
  <c r="T1570" i="1"/>
  <c r="L1570" i="1"/>
  <c r="M1570" i="1" s="1"/>
  <c r="T1569" i="1"/>
  <c r="U1569" i="1" s="1"/>
  <c r="V1569" i="1" s="1"/>
  <c r="L1569" i="1"/>
  <c r="M1569" i="1" s="1"/>
  <c r="T1568" i="1"/>
  <c r="U1568" i="1" s="1"/>
  <c r="L1568" i="1"/>
  <c r="M1568" i="1" s="1"/>
  <c r="O1568" i="1" s="1"/>
  <c r="T1567" i="1"/>
  <c r="L1567" i="1"/>
  <c r="M1567" i="1" s="1"/>
  <c r="O1567" i="1" s="1"/>
  <c r="P1567" i="1" s="1"/>
  <c r="T1566" i="1"/>
  <c r="L1566" i="1"/>
  <c r="M1566" i="1" s="1"/>
  <c r="T1565" i="1"/>
  <c r="U1565" i="1" s="1"/>
  <c r="V1565" i="1" s="1"/>
  <c r="L1565" i="1"/>
  <c r="M1565" i="1" s="1"/>
  <c r="T1564" i="1"/>
  <c r="U1564" i="1" s="1"/>
  <c r="V1564" i="1" s="1"/>
  <c r="L1564" i="1"/>
  <c r="M1564" i="1" s="1"/>
  <c r="O1564" i="1" s="1"/>
  <c r="T1563" i="1"/>
  <c r="L1563" i="1"/>
  <c r="M1563" i="1" s="1"/>
  <c r="T1562" i="1"/>
  <c r="L1562" i="1"/>
  <c r="M1562" i="1" s="1"/>
  <c r="T1561" i="1"/>
  <c r="U1561" i="1" s="1"/>
  <c r="V1561" i="1" s="1"/>
  <c r="L1561" i="1"/>
  <c r="M1561" i="1" s="1"/>
  <c r="T1560" i="1"/>
  <c r="U1560" i="1" s="1"/>
  <c r="L1560" i="1"/>
  <c r="M1560" i="1" s="1"/>
  <c r="O1560" i="1" s="1"/>
  <c r="T1559" i="1"/>
  <c r="U1559" i="1" s="1"/>
  <c r="L1559" i="1"/>
  <c r="M1559" i="1" s="1"/>
  <c r="O1559" i="1" s="1"/>
  <c r="P1559" i="1" s="1"/>
  <c r="T1558" i="1"/>
  <c r="L1558" i="1"/>
  <c r="M1558" i="1" s="1"/>
  <c r="T1557" i="1"/>
  <c r="U1557" i="1" s="1"/>
  <c r="V1557" i="1" s="1"/>
  <c r="L1557" i="1"/>
  <c r="M1557" i="1" s="1"/>
  <c r="T1556" i="1"/>
  <c r="U1556" i="1" s="1"/>
  <c r="V1556" i="1" s="1"/>
  <c r="L1556" i="1"/>
  <c r="M1556" i="1" s="1"/>
  <c r="T1555" i="1"/>
  <c r="L1555" i="1"/>
  <c r="M1555" i="1" s="1"/>
  <c r="O1555" i="1" s="1"/>
  <c r="T1554" i="1"/>
  <c r="L1554" i="1"/>
  <c r="M1554" i="1" s="1"/>
  <c r="T1553" i="1"/>
  <c r="U1553" i="1" s="1"/>
  <c r="V1553" i="1" s="1"/>
  <c r="L1553" i="1"/>
  <c r="M1553" i="1" s="1"/>
  <c r="T1552" i="1"/>
  <c r="U1552" i="1" s="1"/>
  <c r="L1552" i="1"/>
  <c r="M1552" i="1" s="1"/>
  <c r="O1552" i="1" s="1"/>
  <c r="T1551" i="1"/>
  <c r="L1551" i="1"/>
  <c r="M1551" i="1" s="1"/>
  <c r="O1551" i="1" s="1"/>
  <c r="P1551" i="1" s="1"/>
  <c r="T1550" i="1"/>
  <c r="L1550" i="1"/>
  <c r="M1550" i="1" s="1"/>
  <c r="T1549" i="1"/>
  <c r="U1549" i="1" s="1"/>
  <c r="V1549" i="1" s="1"/>
  <c r="L1549" i="1"/>
  <c r="M1549" i="1" s="1"/>
  <c r="T1548" i="1"/>
  <c r="U1548" i="1" s="1"/>
  <c r="V1548" i="1" s="1"/>
  <c r="L1548" i="1"/>
  <c r="M1548" i="1" s="1"/>
  <c r="O1548" i="1" s="1"/>
  <c r="T1547" i="1"/>
  <c r="L1547" i="1"/>
  <c r="M1547" i="1" s="1"/>
  <c r="T1546" i="1"/>
  <c r="L1546" i="1"/>
  <c r="M1546" i="1" s="1"/>
  <c r="T1545" i="1"/>
  <c r="U1545" i="1" s="1"/>
  <c r="V1545" i="1" s="1"/>
  <c r="L1545" i="1"/>
  <c r="M1545" i="1" s="1"/>
  <c r="T1544" i="1"/>
  <c r="U1544" i="1" s="1"/>
  <c r="L1544" i="1"/>
  <c r="M1544" i="1" s="1"/>
  <c r="O1544" i="1" s="1"/>
  <c r="T1543" i="1"/>
  <c r="U1543" i="1" s="1"/>
  <c r="L1543" i="1"/>
  <c r="M1543" i="1" s="1"/>
  <c r="O1543" i="1" s="1"/>
  <c r="P1543" i="1" s="1"/>
  <c r="T1542" i="1"/>
  <c r="L1542" i="1"/>
  <c r="M1542" i="1" s="1"/>
  <c r="T1541" i="1"/>
  <c r="U1541" i="1" s="1"/>
  <c r="V1541" i="1" s="1"/>
  <c r="L1541" i="1"/>
  <c r="M1541" i="1" s="1"/>
  <c r="T1540" i="1"/>
  <c r="U1540" i="1" s="1"/>
  <c r="V1540" i="1" s="1"/>
  <c r="L1540" i="1"/>
  <c r="M1540" i="1" s="1"/>
  <c r="T1539" i="1"/>
  <c r="L1539" i="1"/>
  <c r="M1539" i="1" s="1"/>
  <c r="O1539" i="1" s="1"/>
  <c r="T1538" i="1"/>
  <c r="L1538" i="1"/>
  <c r="M1538" i="1" s="1"/>
  <c r="T1537" i="1"/>
  <c r="U1537" i="1" s="1"/>
  <c r="V1537" i="1" s="1"/>
  <c r="L1537" i="1"/>
  <c r="M1537" i="1" s="1"/>
  <c r="T1536" i="1"/>
  <c r="U1536" i="1" s="1"/>
  <c r="L1536" i="1"/>
  <c r="M1536" i="1" s="1"/>
  <c r="O1536" i="1" s="1"/>
  <c r="T1535" i="1"/>
  <c r="L1535" i="1"/>
  <c r="M1535" i="1" s="1"/>
  <c r="O1535" i="1" s="1"/>
  <c r="P1535" i="1" s="1"/>
  <c r="T1534" i="1"/>
  <c r="L1534" i="1"/>
  <c r="M1534" i="1" s="1"/>
  <c r="T1533" i="1"/>
  <c r="U1533" i="1" s="1"/>
  <c r="V1533" i="1" s="1"/>
  <c r="L1533" i="1"/>
  <c r="M1533" i="1" s="1"/>
  <c r="T1532" i="1"/>
  <c r="U1532" i="1" s="1"/>
  <c r="V1532" i="1" s="1"/>
  <c r="L1532" i="1"/>
  <c r="M1532" i="1" s="1"/>
  <c r="O1532" i="1" s="1"/>
  <c r="T1531" i="1"/>
  <c r="L1531" i="1"/>
  <c r="M1531" i="1" s="1"/>
  <c r="T1530" i="1"/>
  <c r="L1530" i="1"/>
  <c r="M1530" i="1" s="1"/>
  <c r="T1529" i="1"/>
  <c r="U1529" i="1" s="1"/>
  <c r="V1529" i="1" s="1"/>
  <c r="L1529" i="1"/>
  <c r="M1529" i="1" s="1"/>
  <c r="T1528" i="1"/>
  <c r="U1528" i="1" s="1"/>
  <c r="L1528" i="1"/>
  <c r="M1528" i="1" s="1"/>
  <c r="O1528" i="1" s="1"/>
  <c r="T1527" i="1"/>
  <c r="U1527" i="1" s="1"/>
  <c r="L1527" i="1"/>
  <c r="M1527" i="1" s="1"/>
  <c r="O1527" i="1" s="1"/>
  <c r="P1527" i="1" s="1"/>
  <c r="T1526" i="1"/>
  <c r="L1526" i="1"/>
  <c r="M1526" i="1" s="1"/>
  <c r="T1525" i="1"/>
  <c r="U1525" i="1" s="1"/>
  <c r="V1525" i="1" s="1"/>
  <c r="L1525" i="1"/>
  <c r="M1525" i="1" s="1"/>
  <c r="T1524" i="1"/>
  <c r="U1524" i="1" s="1"/>
  <c r="V1524" i="1" s="1"/>
  <c r="L1524" i="1"/>
  <c r="M1524" i="1" s="1"/>
  <c r="T1523" i="1"/>
  <c r="L1523" i="1"/>
  <c r="M1523" i="1" s="1"/>
  <c r="T1522" i="1"/>
  <c r="L1522" i="1"/>
  <c r="M1522" i="1" s="1"/>
  <c r="T1521" i="1"/>
  <c r="U1521" i="1" s="1"/>
  <c r="V1521" i="1" s="1"/>
  <c r="L1521" i="1"/>
  <c r="M1521" i="1" s="1"/>
  <c r="T1520" i="1"/>
  <c r="L1520" i="1"/>
  <c r="M1520" i="1" s="1"/>
  <c r="O1520" i="1" s="1"/>
  <c r="T1519" i="1"/>
  <c r="L1519" i="1"/>
  <c r="M1519" i="1" s="1"/>
  <c r="O1519" i="1" s="1"/>
  <c r="P1519" i="1" s="1"/>
  <c r="T1518" i="1"/>
  <c r="L1518" i="1"/>
  <c r="M1518" i="1" s="1"/>
  <c r="T1517" i="1"/>
  <c r="U1517" i="1" s="1"/>
  <c r="V1517" i="1" s="1"/>
  <c r="L1517" i="1"/>
  <c r="M1517" i="1" s="1"/>
  <c r="T1516" i="1"/>
  <c r="U1516" i="1" s="1"/>
  <c r="V1516" i="1" s="1"/>
  <c r="L1516" i="1"/>
  <c r="M1516" i="1" s="1"/>
  <c r="T1515" i="1"/>
  <c r="L1515" i="1"/>
  <c r="M1515" i="1" s="1"/>
  <c r="T1514" i="1"/>
  <c r="L1514" i="1"/>
  <c r="M1514" i="1" s="1"/>
  <c r="T1513" i="1"/>
  <c r="U1513" i="1" s="1"/>
  <c r="V1513" i="1" s="1"/>
  <c r="L1513" i="1"/>
  <c r="M1513" i="1" s="1"/>
  <c r="T1512" i="1"/>
  <c r="U1512" i="1" s="1"/>
  <c r="L1512" i="1"/>
  <c r="M1512" i="1" s="1"/>
  <c r="O1512" i="1" s="1"/>
  <c r="T1511" i="1"/>
  <c r="U1511" i="1" s="1"/>
  <c r="L1511" i="1"/>
  <c r="M1511" i="1" s="1"/>
  <c r="O1511" i="1" s="1"/>
  <c r="P1511" i="1" s="1"/>
  <c r="T1510" i="1"/>
  <c r="L1510" i="1"/>
  <c r="M1510" i="1" s="1"/>
  <c r="T1509" i="1"/>
  <c r="U1509" i="1" s="1"/>
  <c r="V1509" i="1" s="1"/>
  <c r="L1509" i="1"/>
  <c r="M1509" i="1" s="1"/>
  <c r="T1508" i="1"/>
  <c r="U1508" i="1" s="1"/>
  <c r="V1508" i="1" s="1"/>
  <c r="L1508" i="1"/>
  <c r="M1508" i="1" s="1"/>
  <c r="T1507" i="1"/>
  <c r="L1507" i="1"/>
  <c r="M1507" i="1" s="1"/>
  <c r="O1507" i="1" s="1"/>
  <c r="T1506" i="1"/>
  <c r="L1506" i="1"/>
  <c r="M1506" i="1" s="1"/>
  <c r="T1505" i="1"/>
  <c r="U1505" i="1" s="1"/>
  <c r="V1505" i="1" s="1"/>
  <c r="L1505" i="1"/>
  <c r="M1505" i="1" s="1"/>
  <c r="T1504" i="1"/>
  <c r="U1504" i="1" s="1"/>
  <c r="L1504" i="1"/>
  <c r="M1504" i="1" s="1"/>
  <c r="O1504" i="1" s="1"/>
  <c r="T1503" i="1"/>
  <c r="L1503" i="1"/>
  <c r="M1503" i="1" s="1"/>
  <c r="O1503" i="1" s="1"/>
  <c r="P1503" i="1" s="1"/>
  <c r="T1502" i="1"/>
  <c r="L1502" i="1"/>
  <c r="M1502" i="1" s="1"/>
  <c r="T1501" i="1"/>
  <c r="U1501" i="1" s="1"/>
  <c r="V1501" i="1" s="1"/>
  <c r="L1501" i="1"/>
  <c r="M1501" i="1" s="1"/>
  <c r="T1500" i="1"/>
  <c r="U1500" i="1" s="1"/>
  <c r="V1500" i="1" s="1"/>
  <c r="L1500" i="1"/>
  <c r="M1500" i="1" s="1"/>
  <c r="T1499" i="1"/>
  <c r="L1499" i="1"/>
  <c r="M1499" i="1" s="1"/>
  <c r="T1498" i="1"/>
  <c r="L1498" i="1"/>
  <c r="M1498" i="1" s="1"/>
  <c r="T1497" i="1"/>
  <c r="U1497" i="1" s="1"/>
  <c r="V1497" i="1" s="1"/>
  <c r="L1497" i="1"/>
  <c r="M1497" i="1" s="1"/>
  <c r="T1496" i="1"/>
  <c r="U1496" i="1" s="1"/>
  <c r="L1496" i="1"/>
  <c r="M1496" i="1" s="1"/>
  <c r="O1496" i="1" s="1"/>
  <c r="T1495" i="1"/>
  <c r="U1495" i="1" s="1"/>
  <c r="L1495" i="1"/>
  <c r="M1495" i="1" s="1"/>
  <c r="O1495" i="1" s="1"/>
  <c r="P1495" i="1" s="1"/>
  <c r="T1494" i="1"/>
  <c r="L1494" i="1"/>
  <c r="M1494" i="1" s="1"/>
  <c r="T1493" i="1"/>
  <c r="U1493" i="1" s="1"/>
  <c r="V1493" i="1" s="1"/>
  <c r="L1493" i="1"/>
  <c r="M1493" i="1" s="1"/>
  <c r="T1492" i="1"/>
  <c r="U1492" i="1" s="1"/>
  <c r="V1492" i="1" s="1"/>
  <c r="L1492" i="1"/>
  <c r="M1492" i="1" s="1"/>
  <c r="T1491" i="1"/>
  <c r="L1491" i="1"/>
  <c r="M1491" i="1" s="1"/>
  <c r="T1490" i="1"/>
  <c r="L1490" i="1"/>
  <c r="M1490" i="1" s="1"/>
  <c r="T1489" i="1"/>
  <c r="U1489" i="1" s="1"/>
  <c r="V1489" i="1" s="1"/>
  <c r="L1489" i="1"/>
  <c r="M1489" i="1" s="1"/>
  <c r="T1488" i="1"/>
  <c r="L1488" i="1"/>
  <c r="M1488" i="1" s="1"/>
  <c r="O1488" i="1" s="1"/>
  <c r="T1487" i="1"/>
  <c r="L1487" i="1"/>
  <c r="M1487" i="1" s="1"/>
  <c r="O1487" i="1" s="1"/>
  <c r="P1487" i="1" s="1"/>
  <c r="T1486" i="1"/>
  <c r="L1486" i="1"/>
  <c r="M1486" i="1" s="1"/>
  <c r="T1485" i="1"/>
  <c r="U1485" i="1" s="1"/>
  <c r="V1485" i="1" s="1"/>
  <c r="L1485" i="1"/>
  <c r="M1485" i="1" s="1"/>
  <c r="T1484" i="1"/>
  <c r="U1484" i="1" s="1"/>
  <c r="V1484" i="1" s="1"/>
  <c r="L1484" i="1"/>
  <c r="M1484" i="1" s="1"/>
  <c r="O1484" i="1" s="1"/>
  <c r="T1483" i="1"/>
  <c r="L1483" i="1"/>
  <c r="M1483" i="1" s="1"/>
  <c r="T1482" i="1"/>
  <c r="L1482" i="1"/>
  <c r="M1482" i="1" s="1"/>
  <c r="T1481" i="1"/>
  <c r="U1481" i="1" s="1"/>
  <c r="V1481" i="1" s="1"/>
  <c r="L1481" i="1"/>
  <c r="M1481" i="1" s="1"/>
  <c r="T1480" i="1"/>
  <c r="U1480" i="1" s="1"/>
  <c r="L1480" i="1"/>
  <c r="M1480" i="1" s="1"/>
  <c r="O1480" i="1" s="1"/>
  <c r="T1479" i="1"/>
  <c r="U1479" i="1" s="1"/>
  <c r="L1479" i="1"/>
  <c r="M1479" i="1" s="1"/>
  <c r="O1479" i="1" s="1"/>
  <c r="P1479" i="1" s="1"/>
  <c r="T1478" i="1"/>
  <c r="L1478" i="1"/>
  <c r="M1478" i="1" s="1"/>
  <c r="T1477" i="1"/>
  <c r="U1477" i="1" s="1"/>
  <c r="V1477" i="1" s="1"/>
  <c r="L1477" i="1"/>
  <c r="M1477" i="1" s="1"/>
  <c r="T1476" i="1"/>
  <c r="U1476" i="1" s="1"/>
  <c r="V1476" i="1" s="1"/>
  <c r="L1476" i="1"/>
  <c r="M1476" i="1" s="1"/>
  <c r="T1475" i="1"/>
  <c r="L1475" i="1"/>
  <c r="M1475" i="1" s="1"/>
  <c r="O1475" i="1" s="1"/>
  <c r="T1474" i="1"/>
  <c r="L1474" i="1"/>
  <c r="M1474" i="1" s="1"/>
  <c r="T1473" i="1"/>
  <c r="U1473" i="1" s="1"/>
  <c r="V1473" i="1" s="1"/>
  <c r="L1473" i="1"/>
  <c r="M1473" i="1" s="1"/>
  <c r="T1472" i="1"/>
  <c r="U1472" i="1" s="1"/>
  <c r="L1472" i="1"/>
  <c r="M1472" i="1" s="1"/>
  <c r="O1472" i="1" s="1"/>
  <c r="T1471" i="1"/>
  <c r="L1471" i="1"/>
  <c r="M1471" i="1" s="1"/>
  <c r="O1471" i="1" s="1"/>
  <c r="P1471" i="1" s="1"/>
  <c r="T1470" i="1"/>
  <c r="L1470" i="1"/>
  <c r="M1470" i="1" s="1"/>
  <c r="T1469" i="1"/>
  <c r="U1469" i="1" s="1"/>
  <c r="V1469" i="1" s="1"/>
  <c r="L1469" i="1"/>
  <c r="M1469" i="1" s="1"/>
  <c r="T1468" i="1"/>
  <c r="U1468" i="1" s="1"/>
  <c r="V1468" i="1" s="1"/>
  <c r="L1468" i="1"/>
  <c r="M1468" i="1" s="1"/>
  <c r="O1468" i="1" s="1"/>
  <c r="T1467" i="1"/>
  <c r="L1467" i="1"/>
  <c r="M1467" i="1" s="1"/>
  <c r="T1466" i="1"/>
  <c r="L1466" i="1"/>
  <c r="M1466" i="1" s="1"/>
  <c r="T1465" i="1"/>
  <c r="U1465" i="1" s="1"/>
  <c r="V1465" i="1" s="1"/>
  <c r="L1465" i="1"/>
  <c r="M1465" i="1" s="1"/>
  <c r="T1464" i="1"/>
  <c r="U1464" i="1" s="1"/>
  <c r="L1464" i="1"/>
  <c r="M1464" i="1" s="1"/>
  <c r="O1464" i="1" s="1"/>
  <c r="T1463" i="1"/>
  <c r="U1463" i="1" s="1"/>
  <c r="L1463" i="1"/>
  <c r="M1463" i="1" s="1"/>
  <c r="O1463" i="1" s="1"/>
  <c r="P1463" i="1" s="1"/>
  <c r="T1462" i="1"/>
  <c r="L1462" i="1"/>
  <c r="M1462" i="1" s="1"/>
  <c r="T1461" i="1"/>
  <c r="U1461" i="1" s="1"/>
  <c r="V1461" i="1" s="1"/>
  <c r="L1461" i="1"/>
  <c r="M1461" i="1" s="1"/>
  <c r="T1460" i="1"/>
  <c r="U1460" i="1" s="1"/>
  <c r="V1460" i="1" s="1"/>
  <c r="L1460" i="1"/>
  <c r="M1460" i="1" s="1"/>
  <c r="T1459" i="1"/>
  <c r="L1459" i="1"/>
  <c r="M1459" i="1" s="1"/>
  <c r="T1458" i="1"/>
  <c r="L1458" i="1"/>
  <c r="M1458" i="1" s="1"/>
  <c r="T1457" i="1"/>
  <c r="U1457" i="1" s="1"/>
  <c r="V1457" i="1" s="1"/>
  <c r="L1457" i="1"/>
  <c r="M1457" i="1" s="1"/>
  <c r="T1456" i="1"/>
  <c r="L1456" i="1"/>
  <c r="M1456" i="1" s="1"/>
  <c r="O1456" i="1" s="1"/>
  <c r="T1455" i="1"/>
  <c r="L1455" i="1"/>
  <c r="M1455" i="1" s="1"/>
  <c r="O1455" i="1" s="1"/>
  <c r="P1455" i="1" s="1"/>
  <c r="T1454" i="1"/>
  <c r="L1454" i="1"/>
  <c r="M1454" i="1" s="1"/>
  <c r="T1453" i="1"/>
  <c r="U1453" i="1" s="1"/>
  <c r="V1453" i="1" s="1"/>
  <c r="L1453" i="1"/>
  <c r="M1453" i="1" s="1"/>
  <c r="T1452" i="1"/>
  <c r="U1452" i="1" s="1"/>
  <c r="V1452" i="1" s="1"/>
  <c r="L1452" i="1"/>
  <c r="M1452" i="1" s="1"/>
  <c r="O1452" i="1" s="1"/>
  <c r="T1451" i="1"/>
  <c r="L1451" i="1"/>
  <c r="M1451" i="1" s="1"/>
  <c r="T1450" i="1"/>
  <c r="L1450" i="1"/>
  <c r="M1450" i="1" s="1"/>
  <c r="T1449" i="1"/>
  <c r="U1449" i="1" s="1"/>
  <c r="V1449" i="1" s="1"/>
  <c r="L1449" i="1"/>
  <c r="M1449" i="1" s="1"/>
  <c r="T1448" i="1"/>
  <c r="U1448" i="1" s="1"/>
  <c r="L1448" i="1"/>
  <c r="M1448" i="1" s="1"/>
  <c r="O1448" i="1" s="1"/>
  <c r="T1447" i="1"/>
  <c r="U1447" i="1" s="1"/>
  <c r="V1447" i="1" s="1"/>
  <c r="W1447" i="1" s="1"/>
  <c r="L1447" i="1"/>
  <c r="M1447" i="1" s="1"/>
  <c r="O1447" i="1" s="1"/>
  <c r="P1447" i="1" s="1"/>
  <c r="T1446" i="1"/>
  <c r="L1446" i="1"/>
  <c r="M1446" i="1" s="1"/>
  <c r="T1445" i="1"/>
  <c r="U1445" i="1" s="1"/>
  <c r="L1445" i="1"/>
  <c r="M1445" i="1" s="1"/>
  <c r="T1444" i="1"/>
  <c r="U1444" i="1" s="1"/>
  <c r="V1444" i="1" s="1"/>
  <c r="L1444" i="1"/>
  <c r="M1444" i="1" s="1"/>
  <c r="T1443" i="1"/>
  <c r="U1443" i="1" s="1"/>
  <c r="V1443" i="1" s="1"/>
  <c r="W1443" i="1" s="1"/>
  <c r="L1443" i="1"/>
  <c r="M1443" i="1" s="1"/>
  <c r="T1442" i="1"/>
  <c r="L1442" i="1"/>
  <c r="M1442" i="1" s="1"/>
  <c r="T1441" i="1"/>
  <c r="U1441" i="1" s="1"/>
  <c r="L1441" i="1"/>
  <c r="M1441" i="1" s="1"/>
  <c r="T1440" i="1"/>
  <c r="U1440" i="1" s="1"/>
  <c r="L1440" i="1"/>
  <c r="M1440" i="1" s="1"/>
  <c r="O1440" i="1" s="1"/>
  <c r="T1439" i="1"/>
  <c r="U1439" i="1" s="1"/>
  <c r="V1439" i="1" s="1"/>
  <c r="W1439" i="1" s="1"/>
  <c r="L1439" i="1"/>
  <c r="M1439" i="1" s="1"/>
  <c r="O1439" i="1" s="1"/>
  <c r="P1439" i="1" s="1"/>
  <c r="T1438" i="1"/>
  <c r="L1438" i="1"/>
  <c r="M1438" i="1" s="1"/>
  <c r="T1437" i="1"/>
  <c r="U1437" i="1" s="1"/>
  <c r="L1437" i="1"/>
  <c r="M1437" i="1" s="1"/>
  <c r="T1436" i="1"/>
  <c r="U1436" i="1" s="1"/>
  <c r="V1436" i="1" s="1"/>
  <c r="L1436" i="1"/>
  <c r="M1436" i="1" s="1"/>
  <c r="O1436" i="1" s="1"/>
  <c r="T1435" i="1"/>
  <c r="U1435" i="1" s="1"/>
  <c r="V1435" i="1" s="1"/>
  <c r="L1435" i="1"/>
  <c r="M1435" i="1" s="1"/>
  <c r="T1434" i="1"/>
  <c r="L1434" i="1"/>
  <c r="M1434" i="1" s="1"/>
  <c r="T1433" i="1"/>
  <c r="U1433" i="1" s="1"/>
  <c r="L1433" i="1"/>
  <c r="M1433" i="1" s="1"/>
  <c r="T1432" i="1"/>
  <c r="U1432" i="1" s="1"/>
  <c r="L1432" i="1"/>
  <c r="M1432" i="1" s="1"/>
  <c r="O1432" i="1" s="1"/>
  <c r="T1431" i="1"/>
  <c r="U1431" i="1" s="1"/>
  <c r="V1431" i="1" s="1"/>
  <c r="W1431" i="1" s="1"/>
  <c r="L1431" i="1"/>
  <c r="M1431" i="1" s="1"/>
  <c r="O1431" i="1" s="1"/>
  <c r="P1431" i="1" s="1"/>
  <c r="T1430" i="1"/>
  <c r="L1430" i="1"/>
  <c r="M1430" i="1" s="1"/>
  <c r="T1429" i="1"/>
  <c r="U1429" i="1" s="1"/>
  <c r="L1429" i="1"/>
  <c r="M1429" i="1" s="1"/>
  <c r="T1428" i="1"/>
  <c r="U1428" i="1" s="1"/>
  <c r="V1428" i="1" s="1"/>
  <c r="L1428" i="1"/>
  <c r="M1428" i="1" s="1"/>
  <c r="T1427" i="1"/>
  <c r="U1427" i="1" s="1"/>
  <c r="V1427" i="1" s="1"/>
  <c r="W1427" i="1" s="1"/>
  <c r="L1427" i="1"/>
  <c r="M1427" i="1" s="1"/>
  <c r="T1426" i="1"/>
  <c r="L1426" i="1"/>
  <c r="M1426" i="1" s="1"/>
  <c r="T1425" i="1"/>
  <c r="U1425" i="1" s="1"/>
  <c r="L1425" i="1"/>
  <c r="M1425" i="1" s="1"/>
  <c r="T1424" i="1"/>
  <c r="L1424" i="1"/>
  <c r="M1424" i="1" s="1"/>
  <c r="O1424" i="1" s="1"/>
  <c r="T1423" i="1"/>
  <c r="U1423" i="1" s="1"/>
  <c r="V1423" i="1" s="1"/>
  <c r="W1423" i="1" s="1"/>
  <c r="L1423" i="1"/>
  <c r="M1423" i="1" s="1"/>
  <c r="O1423" i="1" s="1"/>
  <c r="P1423" i="1" s="1"/>
  <c r="T1422" i="1"/>
  <c r="L1422" i="1"/>
  <c r="M1422" i="1" s="1"/>
  <c r="T1421" i="1"/>
  <c r="U1421" i="1" s="1"/>
  <c r="L1421" i="1"/>
  <c r="M1421" i="1" s="1"/>
  <c r="T1420" i="1"/>
  <c r="U1420" i="1" s="1"/>
  <c r="V1420" i="1" s="1"/>
  <c r="L1420" i="1"/>
  <c r="M1420" i="1" s="1"/>
  <c r="O1420" i="1" s="1"/>
  <c r="T1419" i="1"/>
  <c r="U1419" i="1" s="1"/>
  <c r="V1419" i="1" s="1"/>
  <c r="L1419" i="1"/>
  <c r="M1419" i="1" s="1"/>
  <c r="T1418" i="1"/>
  <c r="L1418" i="1"/>
  <c r="M1418" i="1" s="1"/>
  <c r="T1417" i="1"/>
  <c r="U1417" i="1" s="1"/>
  <c r="L1417" i="1"/>
  <c r="M1417" i="1" s="1"/>
  <c r="T1416" i="1"/>
  <c r="U1416" i="1" s="1"/>
  <c r="L1416" i="1"/>
  <c r="M1416" i="1" s="1"/>
  <c r="O1416" i="1" s="1"/>
  <c r="T1415" i="1"/>
  <c r="U1415" i="1" s="1"/>
  <c r="V1415" i="1" s="1"/>
  <c r="W1415" i="1" s="1"/>
  <c r="L1415" i="1"/>
  <c r="M1415" i="1" s="1"/>
  <c r="O1415" i="1" s="1"/>
  <c r="P1415" i="1" s="1"/>
  <c r="T1414" i="1"/>
  <c r="L1414" i="1"/>
  <c r="M1414" i="1" s="1"/>
  <c r="T1413" i="1"/>
  <c r="U1413" i="1" s="1"/>
  <c r="L1413" i="1"/>
  <c r="M1413" i="1" s="1"/>
  <c r="T1412" i="1"/>
  <c r="U1412" i="1" s="1"/>
  <c r="V1412" i="1" s="1"/>
  <c r="L1412" i="1"/>
  <c r="M1412" i="1" s="1"/>
  <c r="T1411" i="1"/>
  <c r="U1411" i="1" s="1"/>
  <c r="V1411" i="1" s="1"/>
  <c r="L1411" i="1"/>
  <c r="M1411" i="1" s="1"/>
  <c r="T1410" i="1"/>
  <c r="L1410" i="1"/>
  <c r="M1410" i="1" s="1"/>
  <c r="T1409" i="1"/>
  <c r="U1409" i="1" s="1"/>
  <c r="L1409" i="1"/>
  <c r="M1409" i="1" s="1"/>
  <c r="T1408" i="1"/>
  <c r="L1408" i="1"/>
  <c r="M1408" i="1" s="1"/>
  <c r="O1408" i="1" s="1"/>
  <c r="T1407" i="1"/>
  <c r="U1407" i="1" s="1"/>
  <c r="V1407" i="1" s="1"/>
  <c r="W1407" i="1" s="1"/>
  <c r="L1407" i="1"/>
  <c r="M1407" i="1" s="1"/>
  <c r="O1407" i="1" s="1"/>
  <c r="P1407" i="1" s="1"/>
  <c r="T1406" i="1"/>
  <c r="L1406" i="1"/>
  <c r="M1406" i="1" s="1"/>
  <c r="T1405" i="1"/>
  <c r="U1405" i="1" s="1"/>
  <c r="L1405" i="1"/>
  <c r="M1405" i="1" s="1"/>
  <c r="T1404" i="1"/>
  <c r="U1404" i="1" s="1"/>
  <c r="V1404" i="1" s="1"/>
  <c r="L1404" i="1"/>
  <c r="M1404" i="1" s="1"/>
  <c r="O1404" i="1" s="1"/>
  <c r="T1403" i="1"/>
  <c r="U1403" i="1" s="1"/>
  <c r="V1403" i="1" s="1"/>
  <c r="L1403" i="1"/>
  <c r="M1403" i="1" s="1"/>
  <c r="T1402" i="1"/>
  <c r="L1402" i="1"/>
  <c r="M1402" i="1" s="1"/>
  <c r="T1401" i="1"/>
  <c r="U1401" i="1" s="1"/>
  <c r="L1401" i="1"/>
  <c r="M1401" i="1" s="1"/>
  <c r="T1400" i="1"/>
  <c r="U1400" i="1" s="1"/>
  <c r="L1400" i="1"/>
  <c r="M1400" i="1" s="1"/>
  <c r="O1400" i="1" s="1"/>
  <c r="T1399" i="1"/>
  <c r="U1399" i="1" s="1"/>
  <c r="V1399" i="1" s="1"/>
  <c r="W1399" i="1" s="1"/>
  <c r="L1399" i="1"/>
  <c r="M1399" i="1" s="1"/>
  <c r="O1399" i="1" s="1"/>
  <c r="P1399" i="1" s="1"/>
  <c r="T1398" i="1"/>
  <c r="L1398" i="1"/>
  <c r="M1398" i="1" s="1"/>
  <c r="T1397" i="1"/>
  <c r="U1397" i="1" s="1"/>
  <c r="L1397" i="1"/>
  <c r="M1397" i="1" s="1"/>
  <c r="T1396" i="1"/>
  <c r="U1396" i="1" s="1"/>
  <c r="V1396" i="1" s="1"/>
  <c r="L1396" i="1"/>
  <c r="M1396" i="1" s="1"/>
  <c r="T1395" i="1"/>
  <c r="U1395" i="1" s="1"/>
  <c r="V1395" i="1" s="1"/>
  <c r="W1395" i="1" s="1"/>
  <c r="L1395" i="1"/>
  <c r="M1395" i="1" s="1"/>
  <c r="T1394" i="1"/>
  <c r="L1394" i="1"/>
  <c r="M1394" i="1" s="1"/>
  <c r="T1393" i="1"/>
  <c r="U1393" i="1" s="1"/>
  <c r="L1393" i="1"/>
  <c r="M1393" i="1" s="1"/>
  <c r="T1392" i="1"/>
  <c r="L1392" i="1"/>
  <c r="M1392" i="1" s="1"/>
  <c r="O1392" i="1" s="1"/>
  <c r="T1391" i="1"/>
  <c r="U1391" i="1" s="1"/>
  <c r="V1391" i="1" s="1"/>
  <c r="W1391" i="1" s="1"/>
  <c r="L1391" i="1"/>
  <c r="M1391" i="1" s="1"/>
  <c r="O1391" i="1" s="1"/>
  <c r="P1391" i="1" s="1"/>
  <c r="T1390" i="1"/>
  <c r="L1390" i="1"/>
  <c r="M1390" i="1" s="1"/>
  <c r="T1389" i="1"/>
  <c r="U1389" i="1" s="1"/>
  <c r="L1389" i="1"/>
  <c r="M1389" i="1" s="1"/>
  <c r="T1388" i="1"/>
  <c r="U1388" i="1" s="1"/>
  <c r="V1388" i="1" s="1"/>
  <c r="L1388" i="1"/>
  <c r="M1388" i="1" s="1"/>
  <c r="O1388" i="1" s="1"/>
  <c r="T1387" i="1"/>
  <c r="U1387" i="1" s="1"/>
  <c r="V1387" i="1" s="1"/>
  <c r="L1387" i="1"/>
  <c r="M1387" i="1" s="1"/>
  <c r="T1386" i="1"/>
  <c r="L1386" i="1"/>
  <c r="M1386" i="1" s="1"/>
  <c r="T1385" i="1"/>
  <c r="U1385" i="1" s="1"/>
  <c r="L1385" i="1"/>
  <c r="M1385" i="1" s="1"/>
  <c r="T1384" i="1"/>
  <c r="U1384" i="1" s="1"/>
  <c r="L1384" i="1"/>
  <c r="M1384" i="1" s="1"/>
  <c r="O1384" i="1" s="1"/>
  <c r="T1383" i="1"/>
  <c r="U1383" i="1" s="1"/>
  <c r="V1383" i="1" s="1"/>
  <c r="W1383" i="1" s="1"/>
  <c r="L1383" i="1"/>
  <c r="M1383" i="1" s="1"/>
  <c r="O1383" i="1" s="1"/>
  <c r="P1383" i="1" s="1"/>
  <c r="T1382" i="1"/>
  <c r="L1382" i="1"/>
  <c r="M1382" i="1" s="1"/>
  <c r="T1381" i="1"/>
  <c r="U1381" i="1" s="1"/>
  <c r="L1381" i="1"/>
  <c r="M1381" i="1" s="1"/>
  <c r="T1380" i="1"/>
  <c r="U1380" i="1" s="1"/>
  <c r="V1380" i="1" s="1"/>
  <c r="L1380" i="1"/>
  <c r="M1380" i="1" s="1"/>
  <c r="T1379" i="1"/>
  <c r="U1379" i="1" s="1"/>
  <c r="V1379" i="1" s="1"/>
  <c r="W1379" i="1" s="1"/>
  <c r="L1379" i="1"/>
  <c r="M1379" i="1" s="1"/>
  <c r="T1378" i="1"/>
  <c r="L1378" i="1"/>
  <c r="M1378" i="1" s="1"/>
  <c r="T1377" i="1"/>
  <c r="U1377" i="1" s="1"/>
  <c r="L1377" i="1"/>
  <c r="M1377" i="1" s="1"/>
  <c r="T1376" i="1"/>
  <c r="U1376" i="1" s="1"/>
  <c r="L1376" i="1"/>
  <c r="M1376" i="1" s="1"/>
  <c r="O1376" i="1" s="1"/>
  <c r="T1375" i="1"/>
  <c r="U1375" i="1" s="1"/>
  <c r="V1375" i="1" s="1"/>
  <c r="W1375" i="1" s="1"/>
  <c r="L1375" i="1"/>
  <c r="M1375" i="1" s="1"/>
  <c r="O1375" i="1" s="1"/>
  <c r="P1375" i="1" s="1"/>
  <c r="T1374" i="1"/>
  <c r="L1374" i="1"/>
  <c r="M1374" i="1" s="1"/>
  <c r="T1373" i="1"/>
  <c r="U1373" i="1" s="1"/>
  <c r="L1373" i="1"/>
  <c r="M1373" i="1" s="1"/>
  <c r="T1372" i="1"/>
  <c r="U1372" i="1" s="1"/>
  <c r="V1372" i="1" s="1"/>
  <c r="L1372" i="1"/>
  <c r="M1372" i="1" s="1"/>
  <c r="O1372" i="1" s="1"/>
  <c r="T1371" i="1"/>
  <c r="U1371" i="1" s="1"/>
  <c r="V1371" i="1" s="1"/>
  <c r="L1371" i="1"/>
  <c r="M1371" i="1" s="1"/>
  <c r="O1371" i="1" s="1"/>
  <c r="T1370" i="1"/>
  <c r="L1370" i="1"/>
  <c r="M1370" i="1" s="1"/>
  <c r="T1369" i="1"/>
  <c r="U1369" i="1" s="1"/>
  <c r="V1369" i="1" s="1"/>
  <c r="L1369" i="1"/>
  <c r="M1369" i="1" s="1"/>
  <c r="T1368" i="1"/>
  <c r="L1368" i="1"/>
  <c r="M1368" i="1" s="1"/>
  <c r="O1368" i="1" s="1"/>
  <c r="T1367" i="1"/>
  <c r="U1367" i="1" s="1"/>
  <c r="L1367" i="1"/>
  <c r="M1367" i="1" s="1"/>
  <c r="O1367" i="1" s="1"/>
  <c r="P1367" i="1" s="1"/>
  <c r="T1366" i="1"/>
  <c r="L1366" i="1"/>
  <c r="M1366" i="1" s="1"/>
  <c r="T1365" i="1"/>
  <c r="U1365" i="1" s="1"/>
  <c r="V1365" i="1" s="1"/>
  <c r="L1365" i="1"/>
  <c r="M1365" i="1" s="1"/>
  <c r="T1364" i="1"/>
  <c r="U1364" i="1" s="1"/>
  <c r="V1364" i="1" s="1"/>
  <c r="L1364" i="1"/>
  <c r="M1364" i="1" s="1"/>
  <c r="T1363" i="1"/>
  <c r="L1363" i="1"/>
  <c r="M1363" i="1" s="1"/>
  <c r="T1362" i="1"/>
  <c r="L1362" i="1"/>
  <c r="M1362" i="1" s="1"/>
  <c r="T1361" i="1"/>
  <c r="U1361" i="1" s="1"/>
  <c r="V1361" i="1" s="1"/>
  <c r="L1361" i="1"/>
  <c r="M1361" i="1" s="1"/>
  <c r="T1360" i="1"/>
  <c r="L1360" i="1"/>
  <c r="M1360" i="1" s="1"/>
  <c r="O1360" i="1" s="1"/>
  <c r="T1359" i="1"/>
  <c r="L1359" i="1"/>
  <c r="M1359" i="1" s="1"/>
  <c r="O1359" i="1" s="1"/>
  <c r="P1359" i="1" s="1"/>
  <c r="T1358" i="1"/>
  <c r="L1358" i="1"/>
  <c r="M1358" i="1" s="1"/>
  <c r="T1357" i="1"/>
  <c r="U1357" i="1" s="1"/>
  <c r="V1357" i="1" s="1"/>
  <c r="L1357" i="1"/>
  <c r="M1357" i="1" s="1"/>
  <c r="T1356" i="1"/>
  <c r="U1356" i="1" s="1"/>
  <c r="V1356" i="1" s="1"/>
  <c r="L1356" i="1"/>
  <c r="M1356" i="1" s="1"/>
  <c r="O1356" i="1" s="1"/>
  <c r="T1355" i="1"/>
  <c r="L1355" i="1"/>
  <c r="M1355" i="1" s="1"/>
  <c r="O1355" i="1" s="1"/>
  <c r="T1354" i="1"/>
  <c r="L1354" i="1"/>
  <c r="M1354" i="1" s="1"/>
  <c r="T1353" i="1"/>
  <c r="U1353" i="1" s="1"/>
  <c r="V1353" i="1" s="1"/>
  <c r="L1353" i="1"/>
  <c r="M1353" i="1" s="1"/>
  <c r="T1352" i="1"/>
  <c r="U1352" i="1" s="1"/>
  <c r="L1352" i="1"/>
  <c r="M1352" i="1" s="1"/>
  <c r="O1352" i="1" s="1"/>
  <c r="T1351" i="1"/>
  <c r="U1351" i="1" s="1"/>
  <c r="L1351" i="1"/>
  <c r="M1351" i="1" s="1"/>
  <c r="O1351" i="1" s="1"/>
  <c r="P1351" i="1" s="1"/>
  <c r="T1350" i="1"/>
  <c r="L1350" i="1"/>
  <c r="M1350" i="1" s="1"/>
  <c r="T1349" i="1"/>
  <c r="U1349" i="1" s="1"/>
  <c r="V1349" i="1" s="1"/>
  <c r="L1349" i="1"/>
  <c r="M1349" i="1" s="1"/>
  <c r="T1348" i="1"/>
  <c r="U1348" i="1" s="1"/>
  <c r="V1348" i="1" s="1"/>
  <c r="L1348" i="1"/>
  <c r="M1348" i="1" s="1"/>
  <c r="T1347" i="1"/>
  <c r="L1347" i="1"/>
  <c r="M1347" i="1" s="1"/>
  <c r="T1346" i="1"/>
  <c r="L1346" i="1"/>
  <c r="M1346" i="1" s="1"/>
  <c r="T1345" i="1"/>
  <c r="U1345" i="1" s="1"/>
  <c r="V1345" i="1" s="1"/>
  <c r="L1345" i="1"/>
  <c r="M1345" i="1" s="1"/>
  <c r="T1344" i="1"/>
  <c r="U1344" i="1" s="1"/>
  <c r="L1344" i="1"/>
  <c r="M1344" i="1" s="1"/>
  <c r="O1344" i="1" s="1"/>
  <c r="T1343" i="1"/>
  <c r="L1343" i="1"/>
  <c r="M1343" i="1" s="1"/>
  <c r="O1343" i="1" s="1"/>
  <c r="P1343" i="1" s="1"/>
  <c r="T1342" i="1"/>
  <c r="L1342" i="1"/>
  <c r="M1342" i="1" s="1"/>
  <c r="T1341" i="1"/>
  <c r="U1341" i="1" s="1"/>
  <c r="V1341" i="1" s="1"/>
  <c r="L1341" i="1"/>
  <c r="M1341" i="1" s="1"/>
  <c r="T1340" i="1"/>
  <c r="U1340" i="1" s="1"/>
  <c r="V1340" i="1" s="1"/>
  <c r="L1340" i="1"/>
  <c r="M1340" i="1" s="1"/>
  <c r="O1340" i="1" s="1"/>
  <c r="T1339" i="1"/>
  <c r="L1339" i="1"/>
  <c r="M1339" i="1" s="1"/>
  <c r="O1339" i="1" s="1"/>
  <c r="T1338" i="1"/>
  <c r="L1338" i="1"/>
  <c r="M1338" i="1" s="1"/>
  <c r="T1337" i="1"/>
  <c r="U1337" i="1" s="1"/>
  <c r="V1337" i="1" s="1"/>
  <c r="L1337" i="1"/>
  <c r="M1337" i="1" s="1"/>
  <c r="T1336" i="1"/>
  <c r="L1336" i="1"/>
  <c r="M1336" i="1" s="1"/>
  <c r="O1336" i="1" s="1"/>
  <c r="T1335" i="1"/>
  <c r="U1335" i="1" s="1"/>
  <c r="L1335" i="1"/>
  <c r="M1335" i="1" s="1"/>
  <c r="O1335" i="1" s="1"/>
  <c r="P1335" i="1" s="1"/>
  <c r="T1334" i="1"/>
  <c r="L1334" i="1"/>
  <c r="M1334" i="1" s="1"/>
  <c r="T1333" i="1"/>
  <c r="U1333" i="1" s="1"/>
  <c r="V1333" i="1" s="1"/>
  <c r="L1333" i="1"/>
  <c r="M1333" i="1" s="1"/>
  <c r="T1332" i="1"/>
  <c r="U1332" i="1" s="1"/>
  <c r="V1332" i="1" s="1"/>
  <c r="L1332" i="1"/>
  <c r="M1332" i="1" s="1"/>
  <c r="T1331" i="1"/>
  <c r="L1331" i="1"/>
  <c r="M1331" i="1" s="1"/>
  <c r="T1330" i="1"/>
  <c r="L1330" i="1"/>
  <c r="M1330" i="1" s="1"/>
  <c r="T1329" i="1"/>
  <c r="U1329" i="1" s="1"/>
  <c r="V1329" i="1" s="1"/>
  <c r="L1329" i="1"/>
  <c r="M1329" i="1" s="1"/>
  <c r="T1328" i="1"/>
  <c r="U1328" i="1" s="1"/>
  <c r="L1328" i="1"/>
  <c r="M1328" i="1" s="1"/>
  <c r="O1328" i="1" s="1"/>
  <c r="T1327" i="1"/>
  <c r="U1327" i="1" s="1"/>
  <c r="L1327" i="1"/>
  <c r="M1327" i="1" s="1"/>
  <c r="O1327" i="1" s="1"/>
  <c r="P1327" i="1" s="1"/>
  <c r="T1326" i="1"/>
  <c r="L1326" i="1"/>
  <c r="M1326" i="1" s="1"/>
  <c r="T1325" i="1"/>
  <c r="U1325" i="1" s="1"/>
  <c r="V1325" i="1" s="1"/>
  <c r="L1325" i="1"/>
  <c r="M1325" i="1" s="1"/>
  <c r="T1324" i="1"/>
  <c r="U1324" i="1" s="1"/>
  <c r="V1324" i="1" s="1"/>
  <c r="L1324" i="1"/>
  <c r="M1324" i="1" s="1"/>
  <c r="T1323" i="1"/>
  <c r="U1323" i="1" s="1"/>
  <c r="L1323" i="1"/>
  <c r="M1323" i="1" s="1"/>
  <c r="T1322" i="1"/>
  <c r="L1322" i="1"/>
  <c r="M1322" i="1" s="1"/>
  <c r="T1321" i="1"/>
  <c r="U1321" i="1" s="1"/>
  <c r="V1321" i="1" s="1"/>
  <c r="L1321" i="1"/>
  <c r="M1321" i="1" s="1"/>
  <c r="T1320" i="1"/>
  <c r="U1320" i="1" s="1"/>
  <c r="L1320" i="1"/>
  <c r="M1320" i="1" s="1"/>
  <c r="O1320" i="1" s="1"/>
  <c r="T1319" i="1"/>
  <c r="L1319" i="1"/>
  <c r="M1319" i="1" s="1"/>
  <c r="O1319" i="1" s="1"/>
  <c r="P1319" i="1" s="1"/>
  <c r="T1318" i="1"/>
  <c r="L1318" i="1"/>
  <c r="M1318" i="1" s="1"/>
  <c r="T1317" i="1"/>
  <c r="U1317" i="1" s="1"/>
  <c r="V1317" i="1" s="1"/>
  <c r="L1317" i="1"/>
  <c r="M1317" i="1" s="1"/>
  <c r="T1316" i="1"/>
  <c r="U1316" i="1" s="1"/>
  <c r="V1316" i="1" s="1"/>
  <c r="L1316" i="1"/>
  <c r="M1316" i="1" s="1"/>
  <c r="T1315" i="1"/>
  <c r="U1315" i="1" s="1"/>
  <c r="L1315" i="1"/>
  <c r="M1315" i="1" s="1"/>
  <c r="T1314" i="1"/>
  <c r="L1314" i="1"/>
  <c r="M1314" i="1" s="1"/>
  <c r="T1313" i="1"/>
  <c r="U1313" i="1" s="1"/>
  <c r="V1313" i="1" s="1"/>
  <c r="L1313" i="1"/>
  <c r="M1313" i="1" s="1"/>
  <c r="T1312" i="1"/>
  <c r="U1312" i="1" s="1"/>
  <c r="L1312" i="1"/>
  <c r="M1312" i="1" s="1"/>
  <c r="O1312" i="1" s="1"/>
  <c r="T1311" i="1"/>
  <c r="U1311" i="1" s="1"/>
  <c r="L1311" i="1"/>
  <c r="M1311" i="1" s="1"/>
  <c r="O1311" i="1" s="1"/>
  <c r="P1311" i="1" s="1"/>
  <c r="T1310" i="1"/>
  <c r="L1310" i="1"/>
  <c r="M1310" i="1" s="1"/>
  <c r="T1309" i="1"/>
  <c r="U1309" i="1" s="1"/>
  <c r="V1309" i="1" s="1"/>
  <c r="L1309" i="1"/>
  <c r="M1309" i="1" s="1"/>
  <c r="T1308" i="1"/>
  <c r="U1308" i="1" s="1"/>
  <c r="V1308" i="1" s="1"/>
  <c r="L1308" i="1"/>
  <c r="M1308" i="1" s="1"/>
  <c r="O1308" i="1" s="1"/>
  <c r="T1307" i="1"/>
  <c r="U1307" i="1" s="1"/>
  <c r="L1307" i="1"/>
  <c r="M1307" i="1" s="1"/>
  <c r="T1306" i="1"/>
  <c r="L1306" i="1"/>
  <c r="M1306" i="1" s="1"/>
  <c r="T1305" i="1"/>
  <c r="U1305" i="1" s="1"/>
  <c r="V1305" i="1" s="1"/>
  <c r="L1305" i="1"/>
  <c r="M1305" i="1" s="1"/>
  <c r="T1304" i="1"/>
  <c r="U1304" i="1" s="1"/>
  <c r="L1304" i="1"/>
  <c r="M1304" i="1" s="1"/>
  <c r="O1304" i="1" s="1"/>
  <c r="T1303" i="1"/>
  <c r="U1303" i="1" s="1"/>
  <c r="L1303" i="1"/>
  <c r="M1303" i="1" s="1"/>
  <c r="O1303" i="1" s="1"/>
  <c r="P1303" i="1" s="1"/>
  <c r="T1302" i="1"/>
  <c r="L1302" i="1"/>
  <c r="M1302" i="1" s="1"/>
  <c r="T1301" i="1"/>
  <c r="U1301" i="1" s="1"/>
  <c r="V1301" i="1" s="1"/>
  <c r="L1301" i="1"/>
  <c r="M1301" i="1" s="1"/>
  <c r="T1300" i="1"/>
  <c r="U1300" i="1" s="1"/>
  <c r="V1300" i="1" s="1"/>
  <c r="L1300" i="1"/>
  <c r="M1300" i="1" s="1"/>
  <c r="T1299" i="1"/>
  <c r="U1299" i="1" s="1"/>
  <c r="L1299" i="1"/>
  <c r="M1299" i="1" s="1"/>
  <c r="T1298" i="1"/>
  <c r="L1298" i="1"/>
  <c r="M1298" i="1" s="1"/>
  <c r="T1297" i="1"/>
  <c r="U1297" i="1" s="1"/>
  <c r="V1297" i="1" s="1"/>
  <c r="L1297" i="1"/>
  <c r="M1297" i="1" s="1"/>
  <c r="T1296" i="1"/>
  <c r="U1296" i="1" s="1"/>
  <c r="L1296" i="1"/>
  <c r="M1296" i="1" s="1"/>
  <c r="O1296" i="1" s="1"/>
  <c r="T1295" i="1"/>
  <c r="U1295" i="1" s="1"/>
  <c r="L1295" i="1"/>
  <c r="M1295" i="1" s="1"/>
  <c r="O1295" i="1" s="1"/>
  <c r="P1295" i="1" s="1"/>
  <c r="T1294" i="1"/>
  <c r="L1294" i="1"/>
  <c r="M1294" i="1" s="1"/>
  <c r="T1293" i="1"/>
  <c r="U1293" i="1" s="1"/>
  <c r="V1293" i="1" s="1"/>
  <c r="L1293" i="1"/>
  <c r="M1293" i="1" s="1"/>
  <c r="T1292" i="1"/>
  <c r="U1292" i="1" s="1"/>
  <c r="V1292" i="1" s="1"/>
  <c r="L1292" i="1"/>
  <c r="M1292" i="1" s="1"/>
  <c r="T1291" i="1"/>
  <c r="U1291" i="1" s="1"/>
  <c r="L1291" i="1"/>
  <c r="M1291" i="1" s="1"/>
  <c r="T1290" i="1"/>
  <c r="L1290" i="1"/>
  <c r="M1290" i="1" s="1"/>
  <c r="T1289" i="1"/>
  <c r="U1289" i="1" s="1"/>
  <c r="V1289" i="1" s="1"/>
  <c r="L1289" i="1"/>
  <c r="M1289" i="1" s="1"/>
  <c r="T1288" i="1"/>
  <c r="U1288" i="1" s="1"/>
  <c r="L1288" i="1"/>
  <c r="M1288" i="1" s="1"/>
  <c r="O1288" i="1" s="1"/>
  <c r="T1287" i="1"/>
  <c r="L1287" i="1"/>
  <c r="M1287" i="1" s="1"/>
  <c r="O1287" i="1" s="1"/>
  <c r="P1287" i="1" s="1"/>
  <c r="T1286" i="1"/>
  <c r="L1286" i="1"/>
  <c r="M1286" i="1" s="1"/>
  <c r="T1285" i="1"/>
  <c r="U1285" i="1" s="1"/>
  <c r="V1285" i="1" s="1"/>
  <c r="L1285" i="1"/>
  <c r="M1285" i="1" s="1"/>
  <c r="T1284" i="1"/>
  <c r="U1284" i="1" s="1"/>
  <c r="V1284" i="1" s="1"/>
  <c r="L1284" i="1"/>
  <c r="M1284" i="1" s="1"/>
  <c r="T1283" i="1"/>
  <c r="U1283" i="1" s="1"/>
  <c r="L1283" i="1"/>
  <c r="M1283" i="1" s="1"/>
  <c r="T1282" i="1"/>
  <c r="L1282" i="1"/>
  <c r="M1282" i="1" s="1"/>
  <c r="T1281" i="1"/>
  <c r="U1281" i="1" s="1"/>
  <c r="V1281" i="1" s="1"/>
  <c r="L1281" i="1"/>
  <c r="M1281" i="1" s="1"/>
  <c r="T1280" i="1"/>
  <c r="U1280" i="1" s="1"/>
  <c r="L1280" i="1"/>
  <c r="M1280" i="1" s="1"/>
  <c r="O1280" i="1" s="1"/>
  <c r="T1279" i="1"/>
  <c r="U1279" i="1" s="1"/>
  <c r="L1279" i="1"/>
  <c r="M1279" i="1" s="1"/>
  <c r="O1279" i="1" s="1"/>
  <c r="P1279" i="1" s="1"/>
  <c r="T1278" i="1"/>
  <c r="L1278" i="1"/>
  <c r="M1278" i="1" s="1"/>
  <c r="T1277" i="1"/>
  <c r="U1277" i="1" s="1"/>
  <c r="V1277" i="1" s="1"/>
  <c r="L1277" i="1"/>
  <c r="M1277" i="1" s="1"/>
  <c r="T1276" i="1"/>
  <c r="U1276" i="1" s="1"/>
  <c r="V1276" i="1" s="1"/>
  <c r="L1276" i="1"/>
  <c r="M1276" i="1" s="1"/>
  <c r="O1276" i="1" s="1"/>
  <c r="T1275" i="1"/>
  <c r="U1275" i="1" s="1"/>
  <c r="L1275" i="1"/>
  <c r="M1275" i="1" s="1"/>
  <c r="T1274" i="1"/>
  <c r="L1274" i="1"/>
  <c r="M1274" i="1" s="1"/>
  <c r="T1273" i="1"/>
  <c r="U1273" i="1" s="1"/>
  <c r="V1273" i="1" s="1"/>
  <c r="L1273" i="1"/>
  <c r="M1273" i="1" s="1"/>
  <c r="T1272" i="1"/>
  <c r="U1272" i="1" s="1"/>
  <c r="L1272" i="1"/>
  <c r="M1272" i="1" s="1"/>
  <c r="O1272" i="1" s="1"/>
  <c r="T1271" i="1"/>
  <c r="U1271" i="1" s="1"/>
  <c r="L1271" i="1"/>
  <c r="M1271" i="1" s="1"/>
  <c r="O1271" i="1" s="1"/>
  <c r="P1271" i="1" s="1"/>
  <c r="T1270" i="1"/>
  <c r="L1270" i="1"/>
  <c r="M1270" i="1" s="1"/>
  <c r="T1269" i="1"/>
  <c r="U1269" i="1" s="1"/>
  <c r="V1269" i="1" s="1"/>
  <c r="L1269" i="1"/>
  <c r="M1269" i="1" s="1"/>
  <c r="T1268" i="1"/>
  <c r="U1268" i="1" s="1"/>
  <c r="V1268" i="1" s="1"/>
  <c r="L1268" i="1"/>
  <c r="M1268" i="1" s="1"/>
  <c r="T1267" i="1"/>
  <c r="U1267" i="1" s="1"/>
  <c r="L1267" i="1"/>
  <c r="M1267" i="1" s="1"/>
  <c r="T1266" i="1"/>
  <c r="L1266" i="1"/>
  <c r="M1266" i="1" s="1"/>
  <c r="T1265" i="1"/>
  <c r="U1265" i="1" s="1"/>
  <c r="V1265" i="1" s="1"/>
  <c r="L1265" i="1"/>
  <c r="M1265" i="1" s="1"/>
  <c r="T1264" i="1"/>
  <c r="U1264" i="1" s="1"/>
  <c r="L1264" i="1"/>
  <c r="M1264" i="1" s="1"/>
  <c r="O1264" i="1" s="1"/>
  <c r="T1263" i="1"/>
  <c r="U1263" i="1" s="1"/>
  <c r="L1263" i="1"/>
  <c r="M1263" i="1" s="1"/>
  <c r="O1263" i="1" s="1"/>
  <c r="P1263" i="1" s="1"/>
  <c r="T1262" i="1"/>
  <c r="L1262" i="1"/>
  <c r="M1262" i="1" s="1"/>
  <c r="T1261" i="1"/>
  <c r="U1261" i="1" s="1"/>
  <c r="V1261" i="1" s="1"/>
  <c r="L1261" i="1"/>
  <c r="M1261" i="1" s="1"/>
  <c r="T1260" i="1"/>
  <c r="U1260" i="1" s="1"/>
  <c r="V1260" i="1" s="1"/>
  <c r="L1260" i="1"/>
  <c r="M1260" i="1" s="1"/>
  <c r="O1260" i="1" s="1"/>
  <c r="T1259" i="1"/>
  <c r="U1259" i="1" s="1"/>
  <c r="L1259" i="1"/>
  <c r="M1259" i="1" s="1"/>
  <c r="T1258" i="1"/>
  <c r="L1258" i="1"/>
  <c r="M1258" i="1" s="1"/>
  <c r="T1257" i="1"/>
  <c r="U1257" i="1" s="1"/>
  <c r="V1257" i="1" s="1"/>
  <c r="L1257" i="1"/>
  <c r="M1257" i="1" s="1"/>
  <c r="T1256" i="1"/>
  <c r="U1256" i="1" s="1"/>
  <c r="L1256" i="1"/>
  <c r="M1256" i="1" s="1"/>
  <c r="O1256" i="1" s="1"/>
  <c r="T1255" i="1"/>
  <c r="L1255" i="1"/>
  <c r="M1255" i="1" s="1"/>
  <c r="O1255" i="1" s="1"/>
  <c r="P1255" i="1" s="1"/>
  <c r="T1254" i="1"/>
  <c r="L1254" i="1"/>
  <c r="M1254" i="1" s="1"/>
  <c r="T1253" i="1"/>
  <c r="U1253" i="1" s="1"/>
  <c r="V1253" i="1" s="1"/>
  <c r="L1253" i="1"/>
  <c r="M1253" i="1" s="1"/>
  <c r="T1252" i="1"/>
  <c r="U1252" i="1" s="1"/>
  <c r="V1252" i="1" s="1"/>
  <c r="L1252" i="1"/>
  <c r="M1252" i="1" s="1"/>
  <c r="T1251" i="1"/>
  <c r="U1251" i="1" s="1"/>
  <c r="L1251" i="1"/>
  <c r="M1251" i="1" s="1"/>
  <c r="T1250" i="1"/>
  <c r="L1250" i="1"/>
  <c r="M1250" i="1" s="1"/>
  <c r="T1249" i="1"/>
  <c r="U1249" i="1" s="1"/>
  <c r="V1249" i="1" s="1"/>
  <c r="L1249" i="1"/>
  <c r="M1249" i="1" s="1"/>
  <c r="T1248" i="1"/>
  <c r="U1248" i="1" s="1"/>
  <c r="L1248" i="1"/>
  <c r="M1248" i="1" s="1"/>
  <c r="O1248" i="1" s="1"/>
  <c r="T1247" i="1"/>
  <c r="U1247" i="1" s="1"/>
  <c r="L1247" i="1"/>
  <c r="M1247" i="1" s="1"/>
  <c r="O1247" i="1" s="1"/>
  <c r="P1247" i="1" s="1"/>
  <c r="T1246" i="1"/>
  <c r="L1246" i="1"/>
  <c r="M1246" i="1" s="1"/>
  <c r="T1245" i="1"/>
  <c r="U1245" i="1" s="1"/>
  <c r="V1245" i="1" s="1"/>
  <c r="L1245" i="1"/>
  <c r="M1245" i="1" s="1"/>
  <c r="T1244" i="1"/>
  <c r="U1244" i="1" s="1"/>
  <c r="V1244" i="1" s="1"/>
  <c r="L1244" i="1"/>
  <c r="M1244" i="1" s="1"/>
  <c r="O1244" i="1" s="1"/>
  <c r="T1243" i="1"/>
  <c r="U1243" i="1" s="1"/>
  <c r="L1243" i="1"/>
  <c r="M1243" i="1" s="1"/>
  <c r="T1242" i="1"/>
  <c r="L1242" i="1"/>
  <c r="M1242" i="1" s="1"/>
  <c r="T1241" i="1"/>
  <c r="U1241" i="1" s="1"/>
  <c r="V1241" i="1" s="1"/>
  <c r="L1241" i="1"/>
  <c r="M1241" i="1" s="1"/>
  <c r="T1240" i="1"/>
  <c r="U1240" i="1" s="1"/>
  <c r="L1240" i="1"/>
  <c r="M1240" i="1" s="1"/>
  <c r="O1240" i="1" s="1"/>
  <c r="T1239" i="1"/>
  <c r="U1239" i="1" s="1"/>
  <c r="L1239" i="1"/>
  <c r="M1239" i="1" s="1"/>
  <c r="O1239" i="1" s="1"/>
  <c r="P1239" i="1" s="1"/>
  <c r="T1238" i="1"/>
  <c r="L1238" i="1"/>
  <c r="M1238" i="1" s="1"/>
  <c r="T1237" i="1"/>
  <c r="U1237" i="1" s="1"/>
  <c r="V1237" i="1" s="1"/>
  <c r="L1237" i="1"/>
  <c r="M1237" i="1" s="1"/>
  <c r="T1236" i="1"/>
  <c r="U1236" i="1" s="1"/>
  <c r="V1236" i="1" s="1"/>
  <c r="L1236" i="1"/>
  <c r="M1236" i="1" s="1"/>
  <c r="T1235" i="1"/>
  <c r="U1235" i="1" s="1"/>
  <c r="L1235" i="1"/>
  <c r="M1235" i="1" s="1"/>
  <c r="T1234" i="1"/>
  <c r="L1234" i="1"/>
  <c r="M1234" i="1" s="1"/>
  <c r="T1233" i="1"/>
  <c r="U1233" i="1" s="1"/>
  <c r="V1233" i="1" s="1"/>
  <c r="L1233" i="1"/>
  <c r="M1233" i="1" s="1"/>
  <c r="T1232" i="1"/>
  <c r="U1232" i="1" s="1"/>
  <c r="L1232" i="1"/>
  <c r="M1232" i="1" s="1"/>
  <c r="O1232" i="1" s="1"/>
  <c r="T1231" i="1"/>
  <c r="U1231" i="1" s="1"/>
  <c r="L1231" i="1"/>
  <c r="M1231" i="1" s="1"/>
  <c r="O1231" i="1" s="1"/>
  <c r="P1231" i="1" s="1"/>
  <c r="T1230" i="1"/>
  <c r="L1230" i="1"/>
  <c r="M1230" i="1" s="1"/>
  <c r="T1229" i="1"/>
  <c r="U1229" i="1" s="1"/>
  <c r="V1229" i="1" s="1"/>
  <c r="L1229" i="1"/>
  <c r="M1229" i="1" s="1"/>
  <c r="T1228" i="1"/>
  <c r="U1228" i="1" s="1"/>
  <c r="V1228" i="1" s="1"/>
  <c r="L1228" i="1"/>
  <c r="M1228" i="1" s="1"/>
  <c r="O1228" i="1" s="1"/>
  <c r="T1227" i="1"/>
  <c r="U1227" i="1" s="1"/>
  <c r="L1227" i="1"/>
  <c r="M1227" i="1" s="1"/>
  <c r="T1226" i="1"/>
  <c r="L1226" i="1"/>
  <c r="M1226" i="1" s="1"/>
  <c r="T1225" i="1"/>
  <c r="U1225" i="1" s="1"/>
  <c r="V1225" i="1" s="1"/>
  <c r="L1225" i="1"/>
  <c r="M1225" i="1" s="1"/>
  <c r="T1224" i="1"/>
  <c r="U1224" i="1" s="1"/>
  <c r="L1224" i="1"/>
  <c r="M1224" i="1" s="1"/>
  <c r="O1224" i="1" s="1"/>
  <c r="T1223" i="1"/>
  <c r="L1223" i="1"/>
  <c r="M1223" i="1" s="1"/>
  <c r="O1223" i="1" s="1"/>
  <c r="P1223" i="1" s="1"/>
  <c r="T1222" i="1"/>
  <c r="L1222" i="1"/>
  <c r="M1222" i="1" s="1"/>
  <c r="T1221" i="1"/>
  <c r="U1221" i="1" s="1"/>
  <c r="V1221" i="1" s="1"/>
  <c r="L1221" i="1"/>
  <c r="M1221" i="1" s="1"/>
  <c r="T1220" i="1"/>
  <c r="U1220" i="1" s="1"/>
  <c r="V1220" i="1" s="1"/>
  <c r="L1220" i="1"/>
  <c r="M1220" i="1" s="1"/>
  <c r="T1219" i="1"/>
  <c r="U1219" i="1" s="1"/>
  <c r="L1219" i="1"/>
  <c r="M1219" i="1" s="1"/>
  <c r="T1218" i="1"/>
  <c r="L1218" i="1"/>
  <c r="M1218" i="1" s="1"/>
  <c r="T1217" i="1"/>
  <c r="U1217" i="1" s="1"/>
  <c r="V1217" i="1" s="1"/>
  <c r="L1217" i="1"/>
  <c r="M1217" i="1" s="1"/>
  <c r="T1216" i="1"/>
  <c r="U1216" i="1" s="1"/>
  <c r="L1216" i="1"/>
  <c r="M1216" i="1" s="1"/>
  <c r="O1216" i="1" s="1"/>
  <c r="T1215" i="1"/>
  <c r="U1215" i="1" s="1"/>
  <c r="L1215" i="1"/>
  <c r="M1215" i="1" s="1"/>
  <c r="O1215" i="1" s="1"/>
  <c r="P1215" i="1" s="1"/>
  <c r="T1214" i="1"/>
  <c r="L1214" i="1"/>
  <c r="M1214" i="1" s="1"/>
  <c r="T1213" i="1"/>
  <c r="U1213" i="1" s="1"/>
  <c r="V1213" i="1" s="1"/>
  <c r="L1213" i="1"/>
  <c r="M1213" i="1" s="1"/>
  <c r="T1212" i="1"/>
  <c r="U1212" i="1" s="1"/>
  <c r="V1212" i="1" s="1"/>
  <c r="L1212" i="1"/>
  <c r="M1212" i="1" s="1"/>
  <c r="T1211" i="1"/>
  <c r="U1211" i="1" s="1"/>
  <c r="L1211" i="1"/>
  <c r="M1211" i="1" s="1"/>
  <c r="T1210" i="1"/>
  <c r="L1210" i="1"/>
  <c r="M1210" i="1" s="1"/>
  <c r="T1209" i="1"/>
  <c r="U1209" i="1" s="1"/>
  <c r="L1209" i="1"/>
  <c r="M1209" i="1" s="1"/>
  <c r="T1208" i="1"/>
  <c r="U1208" i="1" s="1"/>
  <c r="L1208" i="1"/>
  <c r="M1208" i="1" s="1"/>
  <c r="O1208" i="1" s="1"/>
  <c r="T1207" i="1"/>
  <c r="U1207" i="1" s="1"/>
  <c r="V1207" i="1" s="1"/>
  <c r="W1207" i="1" s="1"/>
  <c r="L1207" i="1"/>
  <c r="M1207" i="1" s="1"/>
  <c r="O1207" i="1" s="1"/>
  <c r="P1207" i="1" s="1"/>
  <c r="T1206" i="1"/>
  <c r="L1206" i="1"/>
  <c r="M1206" i="1" s="1"/>
  <c r="T1205" i="1"/>
  <c r="U1205" i="1" s="1"/>
  <c r="L1205" i="1"/>
  <c r="M1205" i="1" s="1"/>
  <c r="T1204" i="1"/>
  <c r="U1204" i="1" s="1"/>
  <c r="V1204" i="1" s="1"/>
  <c r="L1204" i="1"/>
  <c r="M1204" i="1" s="1"/>
  <c r="T1203" i="1"/>
  <c r="L1203" i="1"/>
  <c r="M1203" i="1" s="1"/>
  <c r="O1203" i="1" s="1"/>
  <c r="T1202" i="1"/>
  <c r="L1202" i="1"/>
  <c r="M1202" i="1" s="1"/>
  <c r="T1201" i="1"/>
  <c r="U1201" i="1" s="1"/>
  <c r="V1201" i="1" s="1"/>
  <c r="L1201" i="1"/>
  <c r="M1201" i="1" s="1"/>
  <c r="T1200" i="1"/>
  <c r="L1200" i="1"/>
  <c r="M1200" i="1" s="1"/>
  <c r="O1200" i="1" s="1"/>
  <c r="T1199" i="1"/>
  <c r="L1199" i="1"/>
  <c r="M1199" i="1" s="1"/>
  <c r="O1199" i="1" s="1"/>
  <c r="P1199" i="1" s="1"/>
  <c r="T1198" i="1"/>
  <c r="L1198" i="1"/>
  <c r="M1198" i="1" s="1"/>
  <c r="T1197" i="1"/>
  <c r="U1197" i="1" s="1"/>
  <c r="L1197" i="1"/>
  <c r="M1197" i="1" s="1"/>
  <c r="T1196" i="1"/>
  <c r="U1196" i="1" s="1"/>
  <c r="V1196" i="1" s="1"/>
  <c r="L1196" i="1"/>
  <c r="M1196" i="1" s="1"/>
  <c r="O1196" i="1" s="1"/>
  <c r="T1195" i="1"/>
  <c r="U1195" i="1" s="1"/>
  <c r="L1195" i="1"/>
  <c r="M1195" i="1" s="1"/>
  <c r="T1194" i="1"/>
  <c r="L1194" i="1"/>
  <c r="M1194" i="1" s="1"/>
  <c r="T1193" i="1"/>
  <c r="U1193" i="1" s="1"/>
  <c r="L1193" i="1"/>
  <c r="M1193" i="1" s="1"/>
  <c r="T1192" i="1"/>
  <c r="U1192" i="1" s="1"/>
  <c r="L1192" i="1"/>
  <c r="M1192" i="1" s="1"/>
  <c r="O1192" i="1" s="1"/>
  <c r="T1191" i="1"/>
  <c r="L1191" i="1"/>
  <c r="M1191" i="1" s="1"/>
  <c r="O1191" i="1" s="1"/>
  <c r="P1191" i="1" s="1"/>
  <c r="T1190" i="1"/>
  <c r="L1190" i="1"/>
  <c r="M1190" i="1" s="1"/>
  <c r="T1189" i="1"/>
  <c r="U1189" i="1" s="1"/>
  <c r="L1189" i="1"/>
  <c r="M1189" i="1" s="1"/>
  <c r="O1189" i="1" s="1"/>
  <c r="T1188" i="1"/>
  <c r="U1188" i="1" s="1"/>
  <c r="L1188" i="1"/>
  <c r="M1188" i="1" s="1"/>
  <c r="O1188" i="1" s="1"/>
  <c r="T1187" i="1"/>
  <c r="U1187" i="1" s="1"/>
  <c r="L1187" i="1"/>
  <c r="M1187" i="1" s="1"/>
  <c r="T1186" i="1"/>
  <c r="L1186" i="1"/>
  <c r="M1186" i="1" s="1"/>
  <c r="O1186" i="1" s="1"/>
  <c r="T1185" i="1"/>
  <c r="L1185" i="1"/>
  <c r="M1185" i="1" s="1"/>
  <c r="O1185" i="1" s="1"/>
  <c r="T1184" i="1"/>
  <c r="U1184" i="1" s="1"/>
  <c r="L1184" i="1"/>
  <c r="M1184" i="1" s="1"/>
  <c r="T1183" i="1"/>
  <c r="U1183" i="1" s="1"/>
  <c r="L1183" i="1"/>
  <c r="M1183" i="1" s="1"/>
  <c r="T1182" i="1"/>
  <c r="U1182" i="1" s="1"/>
  <c r="L1182" i="1"/>
  <c r="M1182" i="1" s="1"/>
  <c r="O1182" i="1" s="1"/>
  <c r="T1181" i="1"/>
  <c r="U1181" i="1" s="1"/>
  <c r="V1181" i="1" s="1"/>
  <c r="W1181" i="1" s="1"/>
  <c r="L1181" i="1"/>
  <c r="M1181" i="1" s="1"/>
  <c r="O1181" i="1" s="1"/>
  <c r="T1180" i="1"/>
  <c r="U1180" i="1" s="1"/>
  <c r="L1180" i="1"/>
  <c r="M1180" i="1" s="1"/>
  <c r="O1180" i="1" s="1"/>
  <c r="T1179" i="1"/>
  <c r="U1179" i="1" s="1"/>
  <c r="L1179" i="1"/>
  <c r="M1179" i="1" s="1"/>
  <c r="T1178" i="1"/>
  <c r="U1178" i="1" s="1"/>
  <c r="L1178" i="1"/>
  <c r="M1178" i="1" s="1"/>
  <c r="O1178" i="1" s="1"/>
  <c r="T1177" i="1"/>
  <c r="U1177" i="1" s="1"/>
  <c r="V1177" i="1" s="1"/>
  <c r="W1177" i="1" s="1"/>
  <c r="L1177" i="1"/>
  <c r="M1177" i="1" s="1"/>
  <c r="O1177" i="1" s="1"/>
  <c r="T1176" i="1"/>
  <c r="U1176" i="1" s="1"/>
  <c r="L1176" i="1"/>
  <c r="M1176" i="1" s="1"/>
  <c r="T1175" i="1"/>
  <c r="U1175" i="1" s="1"/>
  <c r="L1175" i="1"/>
  <c r="M1175" i="1" s="1"/>
  <c r="O1175" i="1" s="1"/>
  <c r="T1174" i="1"/>
  <c r="U1174" i="1" s="1"/>
  <c r="V1174" i="1" s="1"/>
  <c r="W1174" i="1" s="1"/>
  <c r="X1174" i="1" s="1"/>
  <c r="L1174" i="1"/>
  <c r="M1174" i="1" s="1"/>
  <c r="O1174" i="1" s="1"/>
  <c r="P1174" i="1" s="1"/>
  <c r="T1173" i="1"/>
  <c r="U1173" i="1" s="1"/>
  <c r="V1173" i="1" s="1"/>
  <c r="W1173" i="1" s="1"/>
  <c r="X1173" i="1" s="1"/>
  <c r="L1173" i="1"/>
  <c r="M1173" i="1" s="1"/>
  <c r="O1173" i="1" s="1"/>
  <c r="P1173" i="1" s="1"/>
  <c r="T1172" i="1"/>
  <c r="U1172" i="1" s="1"/>
  <c r="V1172" i="1" s="1"/>
  <c r="W1172" i="1" s="1"/>
  <c r="X1172" i="1" s="1"/>
  <c r="L1172" i="1"/>
  <c r="M1172" i="1" s="1"/>
  <c r="O1172" i="1" s="1"/>
  <c r="P1172" i="1" s="1"/>
  <c r="T1171" i="1"/>
  <c r="U1171" i="1" s="1"/>
  <c r="V1171" i="1" s="1"/>
  <c r="W1171" i="1" s="1"/>
  <c r="X1171" i="1" s="1"/>
  <c r="L1171" i="1"/>
  <c r="M1171" i="1" s="1"/>
  <c r="O1171" i="1" s="1"/>
  <c r="P1171" i="1" s="1"/>
  <c r="T1170" i="1"/>
  <c r="U1170" i="1" s="1"/>
  <c r="L1170" i="1"/>
  <c r="M1170" i="1" s="1"/>
  <c r="O1170" i="1" s="1"/>
  <c r="T1169" i="1"/>
  <c r="U1169" i="1" s="1"/>
  <c r="L1169" i="1"/>
  <c r="M1169" i="1" s="1"/>
  <c r="O1169" i="1" s="1"/>
  <c r="T1168" i="1"/>
  <c r="U1168" i="1" s="1"/>
  <c r="V1168" i="1" s="1"/>
  <c r="L1168" i="1"/>
  <c r="M1168" i="1" s="1"/>
  <c r="O1168" i="1" s="1"/>
  <c r="P1168" i="1" s="1"/>
  <c r="T1167" i="1"/>
  <c r="U1167" i="1" s="1"/>
  <c r="L1167" i="1"/>
  <c r="M1167" i="1" s="1"/>
  <c r="T1166" i="1"/>
  <c r="U1166" i="1" s="1"/>
  <c r="L1166" i="1"/>
  <c r="M1166" i="1" s="1"/>
  <c r="O1166" i="1" s="1"/>
  <c r="P1166" i="1" s="1"/>
  <c r="T1165" i="1"/>
  <c r="U1165" i="1" s="1"/>
  <c r="V1165" i="1" s="1"/>
  <c r="W1165" i="1" s="1"/>
  <c r="L1165" i="1"/>
  <c r="M1165" i="1" s="1"/>
  <c r="O1165" i="1" s="1"/>
  <c r="P1165" i="1" s="1"/>
  <c r="T1164" i="1"/>
  <c r="U1164" i="1" s="1"/>
  <c r="V1164" i="1" s="1"/>
  <c r="L1164" i="1"/>
  <c r="M1164" i="1" s="1"/>
  <c r="O1164" i="1" s="1"/>
  <c r="P1164" i="1" s="1"/>
  <c r="T1163" i="1"/>
  <c r="U1163" i="1" s="1"/>
  <c r="L1163" i="1"/>
  <c r="M1163" i="1" s="1"/>
  <c r="O1163" i="1" s="1"/>
  <c r="P1163" i="1" s="1"/>
  <c r="T1162" i="1"/>
  <c r="U1162" i="1" s="1"/>
  <c r="V1162" i="1" s="1"/>
  <c r="W1162" i="1" s="1"/>
  <c r="L1162" i="1"/>
  <c r="M1162" i="1" s="1"/>
  <c r="O1162" i="1" s="1"/>
  <c r="P1162" i="1" s="1"/>
  <c r="T1161" i="1"/>
  <c r="U1161" i="1" s="1"/>
  <c r="V1161" i="1" s="1"/>
  <c r="W1161" i="1" s="1"/>
  <c r="X1161" i="1" s="1"/>
  <c r="L1161" i="1"/>
  <c r="M1161" i="1" s="1"/>
  <c r="O1161" i="1" s="1"/>
  <c r="P1161" i="1" s="1"/>
  <c r="T1160" i="1"/>
  <c r="L1160" i="1"/>
  <c r="M1160" i="1" s="1"/>
  <c r="T1159" i="1"/>
  <c r="U1159" i="1" s="1"/>
  <c r="V1159" i="1" s="1"/>
  <c r="W1159" i="1" s="1"/>
  <c r="L1159" i="1"/>
  <c r="M1159" i="1" s="1"/>
  <c r="T1158" i="1"/>
  <c r="U1158" i="1" s="1"/>
  <c r="L1158" i="1"/>
  <c r="M1158" i="1" s="1"/>
  <c r="O1158" i="1" s="1"/>
  <c r="P1158" i="1" s="1"/>
  <c r="T1157" i="1"/>
  <c r="U1157" i="1" s="1"/>
  <c r="V1157" i="1" s="1"/>
  <c r="W1157" i="1" s="1"/>
  <c r="X1157" i="1" s="1"/>
  <c r="L1157" i="1"/>
  <c r="M1157" i="1" s="1"/>
  <c r="T1156" i="1"/>
  <c r="L1156" i="1"/>
  <c r="M1156" i="1" s="1"/>
  <c r="T1155" i="1"/>
  <c r="U1155" i="1" s="1"/>
  <c r="V1155" i="1" s="1"/>
  <c r="W1155" i="1" s="1"/>
  <c r="L1155" i="1"/>
  <c r="M1155" i="1" s="1"/>
  <c r="O1155" i="1" s="1"/>
  <c r="T1154" i="1"/>
  <c r="L1154" i="1"/>
  <c r="M1154" i="1" s="1"/>
  <c r="O1154" i="1" s="1"/>
  <c r="P1154" i="1" s="1"/>
  <c r="T1153" i="1"/>
  <c r="U1153" i="1" s="1"/>
  <c r="L1153" i="1"/>
  <c r="M1153" i="1" s="1"/>
  <c r="O1153" i="1" s="1"/>
  <c r="P1153" i="1" s="1"/>
  <c r="T1152" i="1"/>
  <c r="U1152" i="1" s="1"/>
  <c r="V1152" i="1" s="1"/>
  <c r="W1152" i="1" s="1"/>
  <c r="L1152" i="1"/>
  <c r="M1152" i="1" s="1"/>
  <c r="O1152" i="1" s="1"/>
  <c r="T1151" i="1"/>
  <c r="U1151" i="1" s="1"/>
  <c r="V1151" i="1" s="1"/>
  <c r="L1151" i="1"/>
  <c r="M1151" i="1" s="1"/>
  <c r="O1151" i="1" s="1"/>
  <c r="P1151" i="1" s="1"/>
  <c r="T1150" i="1"/>
  <c r="L1150" i="1"/>
  <c r="M1150" i="1" s="1"/>
  <c r="O1150" i="1" s="1"/>
  <c r="P1150" i="1" s="1"/>
  <c r="T1149" i="1"/>
  <c r="L1149" i="1"/>
  <c r="M1149" i="1" s="1"/>
  <c r="O1149" i="1" s="1"/>
  <c r="T1148" i="1"/>
  <c r="U1148" i="1" s="1"/>
  <c r="V1148" i="1" s="1"/>
  <c r="W1148" i="1" s="1"/>
  <c r="L1148" i="1"/>
  <c r="M1148" i="1" s="1"/>
  <c r="O1148" i="1" s="1"/>
  <c r="P1148" i="1" s="1"/>
  <c r="T1147" i="1"/>
  <c r="U1147" i="1" s="1"/>
  <c r="V1147" i="1" s="1"/>
  <c r="L1147" i="1"/>
  <c r="M1147" i="1" s="1"/>
  <c r="O1147" i="1" s="1"/>
  <c r="P1147" i="1" s="1"/>
  <c r="T1146" i="1"/>
  <c r="L1146" i="1"/>
  <c r="M1146" i="1" s="1"/>
  <c r="O1146" i="1" s="1"/>
  <c r="P1146" i="1" s="1"/>
  <c r="T1145" i="1"/>
  <c r="U1145" i="1" s="1"/>
  <c r="L1145" i="1"/>
  <c r="M1145" i="1" s="1"/>
  <c r="O1145" i="1" s="1"/>
  <c r="P1145" i="1" s="1"/>
  <c r="T1144" i="1"/>
  <c r="L1144" i="1"/>
  <c r="M1144" i="1" s="1"/>
  <c r="O1144" i="1" s="1"/>
  <c r="P1144" i="1" s="1"/>
  <c r="T1143" i="1"/>
  <c r="U1143" i="1" s="1"/>
  <c r="L1143" i="1"/>
  <c r="M1143" i="1" s="1"/>
  <c r="T1142" i="1"/>
  <c r="U1142" i="1" s="1"/>
  <c r="V1142" i="1" s="1"/>
  <c r="L1142" i="1"/>
  <c r="M1142" i="1" s="1"/>
  <c r="T1141" i="1"/>
  <c r="U1141" i="1" s="1"/>
  <c r="V1141" i="1" s="1"/>
  <c r="W1141" i="1" s="1"/>
  <c r="L1141" i="1"/>
  <c r="M1141" i="1" s="1"/>
  <c r="T1140" i="1"/>
  <c r="U1140" i="1" s="1"/>
  <c r="V1140" i="1" s="1"/>
  <c r="W1140" i="1" s="1"/>
  <c r="L1140" i="1"/>
  <c r="M1140" i="1" s="1"/>
  <c r="T1139" i="1"/>
  <c r="L1139" i="1"/>
  <c r="M1139" i="1" s="1"/>
  <c r="O1139" i="1" s="1"/>
  <c r="P1139" i="1" s="1"/>
  <c r="T1138" i="1"/>
  <c r="L1138" i="1"/>
  <c r="M1138" i="1" s="1"/>
  <c r="T1137" i="1"/>
  <c r="U1137" i="1" s="1"/>
  <c r="L1137" i="1"/>
  <c r="M1137" i="1" s="1"/>
  <c r="T1136" i="1"/>
  <c r="U1136" i="1" s="1"/>
  <c r="V1136" i="1" s="1"/>
  <c r="W1136" i="1" s="1"/>
  <c r="X1136" i="1" s="1"/>
  <c r="L1136" i="1"/>
  <c r="M1136" i="1" s="1"/>
  <c r="T1135" i="1"/>
  <c r="U1135" i="1" s="1"/>
  <c r="V1135" i="1" s="1"/>
  <c r="L1135" i="1"/>
  <c r="M1135" i="1" s="1"/>
  <c r="O1135" i="1" s="1"/>
  <c r="P1135" i="1" s="1"/>
  <c r="T1134" i="1"/>
  <c r="U1134" i="1" s="1"/>
  <c r="V1134" i="1" s="1"/>
  <c r="W1134" i="1" s="1"/>
  <c r="L1134" i="1"/>
  <c r="M1134" i="1" s="1"/>
  <c r="O1134" i="1" s="1"/>
  <c r="P1134" i="1" s="1"/>
  <c r="T1133" i="1"/>
  <c r="U1133" i="1" s="1"/>
  <c r="L1133" i="1"/>
  <c r="M1133" i="1" s="1"/>
  <c r="T1132" i="1"/>
  <c r="U1132" i="1" s="1"/>
  <c r="V1132" i="1" s="1"/>
  <c r="W1132" i="1" s="1"/>
  <c r="L1132" i="1"/>
  <c r="M1132" i="1" s="1"/>
  <c r="O1132" i="1" s="1"/>
  <c r="P1132" i="1" s="1"/>
  <c r="T1131" i="1"/>
  <c r="U1131" i="1" s="1"/>
  <c r="V1131" i="1" s="1"/>
  <c r="W1131" i="1" s="1"/>
  <c r="X1131" i="1" s="1"/>
  <c r="L1131" i="1"/>
  <c r="M1131" i="1" s="1"/>
  <c r="T1130" i="1"/>
  <c r="L1130" i="1"/>
  <c r="M1130" i="1" s="1"/>
  <c r="O1130" i="1" s="1"/>
  <c r="P1130" i="1" s="1"/>
  <c r="T1129" i="1"/>
  <c r="U1129" i="1" s="1"/>
  <c r="V1129" i="1" s="1"/>
  <c r="W1129" i="1" s="1"/>
  <c r="L1129" i="1"/>
  <c r="M1129" i="1" s="1"/>
  <c r="O1129" i="1" s="1"/>
  <c r="P1129" i="1" s="1"/>
  <c r="T1128" i="1"/>
  <c r="U1128" i="1" s="1"/>
  <c r="V1128" i="1" s="1"/>
  <c r="L1128" i="1"/>
  <c r="M1128" i="1" s="1"/>
  <c r="O1128" i="1" s="1"/>
  <c r="P1128" i="1" s="1"/>
  <c r="T1127" i="1"/>
  <c r="U1127" i="1" s="1"/>
  <c r="L1127" i="1"/>
  <c r="M1127" i="1" s="1"/>
  <c r="T1126" i="1"/>
  <c r="L1126" i="1"/>
  <c r="M1126" i="1" s="1"/>
  <c r="T1125" i="1"/>
  <c r="U1125" i="1" s="1"/>
  <c r="V1125" i="1" s="1"/>
  <c r="W1125" i="1" s="1"/>
  <c r="L1125" i="1"/>
  <c r="M1125" i="1" s="1"/>
  <c r="O1125" i="1" s="1"/>
  <c r="P1125" i="1" s="1"/>
  <c r="T1124" i="1"/>
  <c r="L1124" i="1"/>
  <c r="M1124" i="1" s="1"/>
  <c r="O1124" i="1" s="1"/>
  <c r="T1123" i="1"/>
  <c r="U1123" i="1" s="1"/>
  <c r="L1123" i="1"/>
  <c r="M1123" i="1" s="1"/>
  <c r="O1123" i="1" s="1"/>
  <c r="P1123" i="1" s="1"/>
  <c r="T1122" i="1"/>
  <c r="L1122" i="1"/>
  <c r="M1122" i="1" s="1"/>
  <c r="T1121" i="1"/>
  <c r="U1121" i="1" s="1"/>
  <c r="L1121" i="1"/>
  <c r="M1121" i="1" s="1"/>
  <c r="O1121" i="1" s="1"/>
  <c r="P1121" i="1" s="1"/>
  <c r="T1120" i="1"/>
  <c r="U1120" i="1" s="1"/>
  <c r="V1120" i="1" s="1"/>
  <c r="L1120" i="1"/>
  <c r="M1120" i="1" s="1"/>
  <c r="O1120" i="1" s="1"/>
  <c r="T1119" i="1"/>
  <c r="U1119" i="1" s="1"/>
  <c r="V1119" i="1" s="1"/>
  <c r="W1119" i="1" s="1"/>
  <c r="X1119" i="1" s="1"/>
  <c r="L1119" i="1"/>
  <c r="M1119" i="1" s="1"/>
  <c r="T1118" i="1"/>
  <c r="U1118" i="1" s="1"/>
  <c r="V1118" i="1" s="1"/>
  <c r="W1118" i="1" s="1"/>
  <c r="L1118" i="1"/>
  <c r="M1118" i="1" s="1"/>
  <c r="O1118" i="1" s="1"/>
  <c r="T1117" i="1"/>
  <c r="U1117" i="1" s="1"/>
  <c r="V1117" i="1" s="1"/>
  <c r="L1117" i="1"/>
  <c r="M1117" i="1" s="1"/>
  <c r="O1117" i="1" s="1"/>
  <c r="P1117" i="1" s="1"/>
  <c r="T1116" i="1"/>
  <c r="U1116" i="1" s="1"/>
  <c r="V1116" i="1" s="1"/>
  <c r="W1116" i="1" s="1"/>
  <c r="X1116" i="1" s="1"/>
  <c r="L1116" i="1"/>
  <c r="M1116" i="1" s="1"/>
  <c r="O1116" i="1" s="1"/>
  <c r="T1115" i="1"/>
  <c r="U1115" i="1" s="1"/>
  <c r="V1115" i="1" s="1"/>
  <c r="L1115" i="1"/>
  <c r="M1115" i="1" s="1"/>
  <c r="O1115" i="1" s="1"/>
  <c r="P1115" i="1" s="1"/>
  <c r="T1114" i="1"/>
  <c r="U1114" i="1" s="1"/>
  <c r="V1114" i="1" s="1"/>
  <c r="W1114" i="1" s="1"/>
  <c r="X1114" i="1" s="1"/>
  <c r="L1114" i="1"/>
  <c r="M1114" i="1" s="1"/>
  <c r="O1114" i="1" s="1"/>
  <c r="P1114" i="1" s="1"/>
  <c r="T1113" i="1"/>
  <c r="U1113" i="1" s="1"/>
  <c r="V1113" i="1" s="1"/>
  <c r="W1113" i="1" s="1"/>
  <c r="L1113" i="1"/>
  <c r="M1113" i="1" s="1"/>
  <c r="O1113" i="1" s="1"/>
  <c r="P1113" i="1" s="1"/>
  <c r="T1112" i="1"/>
  <c r="U1112" i="1" s="1"/>
  <c r="V1112" i="1" s="1"/>
  <c r="W1112" i="1" s="1"/>
  <c r="L1112" i="1"/>
  <c r="M1112" i="1" s="1"/>
  <c r="T1111" i="1"/>
  <c r="U1111" i="1" s="1"/>
  <c r="L1111" i="1"/>
  <c r="M1111" i="1" s="1"/>
  <c r="O1111" i="1" s="1"/>
  <c r="P1111" i="1" s="1"/>
  <c r="T1110" i="1"/>
  <c r="U1110" i="1" s="1"/>
  <c r="V1110" i="1" s="1"/>
  <c r="L1110" i="1"/>
  <c r="M1110" i="1" s="1"/>
  <c r="O1110" i="1" s="1"/>
  <c r="P1110" i="1" s="1"/>
  <c r="T1109" i="1"/>
  <c r="U1109" i="1" s="1"/>
  <c r="V1109" i="1" s="1"/>
  <c r="W1109" i="1" s="1"/>
  <c r="L1109" i="1"/>
  <c r="M1109" i="1" s="1"/>
  <c r="O1109" i="1" s="1"/>
  <c r="P1109" i="1" s="1"/>
  <c r="T1108" i="1"/>
  <c r="U1108" i="1" s="1"/>
  <c r="V1108" i="1" s="1"/>
  <c r="W1108" i="1" s="1"/>
  <c r="X1108" i="1" s="1"/>
  <c r="L1108" i="1"/>
  <c r="M1108" i="1" s="1"/>
  <c r="O1108" i="1" s="1"/>
  <c r="P1108" i="1" s="1"/>
  <c r="T1107" i="1"/>
  <c r="U1107" i="1" s="1"/>
  <c r="V1107" i="1" s="1"/>
  <c r="W1107" i="1" s="1"/>
  <c r="X1107" i="1" s="1"/>
  <c r="L1107" i="1"/>
  <c r="M1107" i="1" s="1"/>
  <c r="T1106" i="1"/>
  <c r="U1106" i="1" s="1"/>
  <c r="L1106" i="1"/>
  <c r="M1106" i="1" s="1"/>
  <c r="O1106" i="1" s="1"/>
  <c r="P1106" i="1" s="1"/>
  <c r="T1105" i="1"/>
  <c r="U1105" i="1" s="1"/>
  <c r="L1105" i="1"/>
  <c r="M1105" i="1" s="1"/>
  <c r="O1105" i="1" s="1"/>
  <c r="P1105" i="1" s="1"/>
  <c r="T1104" i="1"/>
  <c r="L1104" i="1"/>
  <c r="M1104" i="1" s="1"/>
  <c r="O1104" i="1" s="1"/>
  <c r="P1104" i="1" s="1"/>
  <c r="T1103" i="1"/>
  <c r="U1103" i="1" s="1"/>
  <c r="V1103" i="1" s="1"/>
  <c r="W1103" i="1" s="1"/>
  <c r="X1103" i="1" s="1"/>
  <c r="L1103" i="1"/>
  <c r="M1103" i="1" s="1"/>
  <c r="O1103" i="1" s="1"/>
  <c r="P1103" i="1" s="1"/>
  <c r="T1102" i="1"/>
  <c r="U1102" i="1" s="1"/>
  <c r="L1102" i="1"/>
  <c r="M1102" i="1" s="1"/>
  <c r="T1101" i="1"/>
  <c r="L1101" i="1"/>
  <c r="M1101" i="1" s="1"/>
  <c r="O1101" i="1" s="1"/>
  <c r="P1101" i="1" s="1"/>
  <c r="T1100" i="1"/>
  <c r="L1100" i="1"/>
  <c r="M1100" i="1" s="1"/>
  <c r="O1100" i="1" s="1"/>
  <c r="P1100" i="1" s="1"/>
  <c r="T1099" i="1"/>
  <c r="U1099" i="1" s="1"/>
  <c r="V1099" i="1" s="1"/>
  <c r="W1099" i="1" s="1"/>
  <c r="L1099" i="1"/>
  <c r="M1099" i="1" s="1"/>
  <c r="O1099" i="1" s="1"/>
  <c r="T1098" i="1"/>
  <c r="L1098" i="1"/>
  <c r="M1098" i="1" s="1"/>
  <c r="O1098" i="1" s="1"/>
  <c r="P1098" i="1" s="1"/>
  <c r="T1097" i="1"/>
  <c r="U1097" i="1" s="1"/>
  <c r="V1097" i="1" s="1"/>
  <c r="W1097" i="1" s="1"/>
  <c r="L1097" i="1"/>
  <c r="M1097" i="1" s="1"/>
  <c r="T1096" i="1"/>
  <c r="U1096" i="1" s="1"/>
  <c r="L1096" i="1"/>
  <c r="M1096" i="1" s="1"/>
  <c r="T1095" i="1"/>
  <c r="U1095" i="1" s="1"/>
  <c r="V1095" i="1" s="1"/>
  <c r="W1095" i="1" s="1"/>
  <c r="X1095" i="1" s="1"/>
  <c r="L1095" i="1"/>
  <c r="M1095" i="1" s="1"/>
  <c r="O1095" i="1" s="1"/>
  <c r="P1095" i="1" s="1"/>
  <c r="T1094" i="1"/>
  <c r="U1094" i="1" s="1"/>
  <c r="V1094" i="1" s="1"/>
  <c r="W1094" i="1" s="1"/>
  <c r="L1094" i="1"/>
  <c r="M1094" i="1" s="1"/>
  <c r="O1094" i="1" s="1"/>
  <c r="P1094" i="1" s="1"/>
  <c r="T1093" i="1"/>
  <c r="U1093" i="1" s="1"/>
  <c r="V1093" i="1" s="1"/>
  <c r="W1093" i="1" s="1"/>
  <c r="L1093" i="1"/>
  <c r="M1093" i="1" s="1"/>
  <c r="O1093" i="1" s="1"/>
  <c r="P1093" i="1" s="1"/>
  <c r="T1092" i="1"/>
  <c r="U1092" i="1" s="1"/>
  <c r="V1092" i="1" s="1"/>
  <c r="L1092" i="1"/>
  <c r="M1092" i="1" s="1"/>
  <c r="O1092" i="1" s="1"/>
  <c r="P1092" i="1" s="1"/>
  <c r="T1091" i="1"/>
  <c r="U1091" i="1" s="1"/>
  <c r="V1091" i="1" s="1"/>
  <c r="W1091" i="1" s="1"/>
  <c r="L1091" i="1"/>
  <c r="M1091" i="1" s="1"/>
  <c r="O1091" i="1" s="1"/>
  <c r="P1091" i="1" s="1"/>
  <c r="T1090" i="1"/>
  <c r="U1090" i="1" s="1"/>
  <c r="V1090" i="1" s="1"/>
  <c r="L1090" i="1"/>
  <c r="M1090" i="1" s="1"/>
  <c r="O1090" i="1" s="1"/>
  <c r="P1090" i="1" s="1"/>
  <c r="T1089" i="1"/>
  <c r="L1089" i="1"/>
  <c r="M1089" i="1" s="1"/>
  <c r="O1089" i="1" s="1"/>
  <c r="P1089" i="1" s="1"/>
  <c r="T1088" i="1"/>
  <c r="U1088" i="1" s="1"/>
  <c r="L1088" i="1"/>
  <c r="M1088" i="1" s="1"/>
  <c r="O1088" i="1" s="1"/>
  <c r="T1087" i="1"/>
  <c r="U1087" i="1" s="1"/>
  <c r="V1087" i="1" s="1"/>
  <c r="W1087" i="1" s="1"/>
  <c r="X1087" i="1" s="1"/>
  <c r="L1087" i="1"/>
  <c r="M1087" i="1" s="1"/>
  <c r="O1087" i="1" s="1"/>
  <c r="P1087" i="1" s="1"/>
  <c r="T1086" i="1"/>
  <c r="U1086" i="1" s="1"/>
  <c r="V1086" i="1" s="1"/>
  <c r="W1086" i="1" s="1"/>
  <c r="X1086" i="1" s="1"/>
  <c r="L1086" i="1"/>
  <c r="M1086" i="1" s="1"/>
  <c r="O1086" i="1" s="1"/>
  <c r="P1086" i="1" s="1"/>
  <c r="T1085" i="1"/>
  <c r="U1085" i="1" s="1"/>
  <c r="V1085" i="1" s="1"/>
  <c r="L1085" i="1"/>
  <c r="M1085" i="1" s="1"/>
  <c r="O1085" i="1" s="1"/>
  <c r="P1085" i="1" s="1"/>
  <c r="T1084" i="1"/>
  <c r="L1084" i="1"/>
  <c r="M1084" i="1" s="1"/>
  <c r="T1083" i="1"/>
  <c r="U1083" i="1" s="1"/>
  <c r="L1083" i="1"/>
  <c r="M1083" i="1" s="1"/>
  <c r="O1083" i="1" s="1"/>
  <c r="P1083" i="1" s="1"/>
  <c r="T1082" i="1"/>
  <c r="U1082" i="1" s="1"/>
  <c r="L1082" i="1"/>
  <c r="M1082" i="1" s="1"/>
  <c r="O1082" i="1" s="1"/>
  <c r="P1082" i="1" s="1"/>
  <c r="T1081" i="1"/>
  <c r="U1081" i="1" s="1"/>
  <c r="V1081" i="1" s="1"/>
  <c r="L1081" i="1"/>
  <c r="M1081" i="1" s="1"/>
  <c r="T1080" i="1"/>
  <c r="U1080" i="1" s="1"/>
  <c r="V1080" i="1" s="1"/>
  <c r="W1080" i="1" s="1"/>
  <c r="X1080" i="1" s="1"/>
  <c r="L1080" i="1"/>
  <c r="M1080" i="1" s="1"/>
  <c r="O1080" i="1" s="1"/>
  <c r="P1080" i="1" s="1"/>
  <c r="T1079" i="1"/>
  <c r="U1079" i="1" s="1"/>
  <c r="V1079" i="1" s="1"/>
  <c r="L1079" i="1"/>
  <c r="M1079" i="1" s="1"/>
  <c r="O1079" i="1" s="1"/>
  <c r="P1079" i="1" s="1"/>
  <c r="T1078" i="1"/>
  <c r="L1078" i="1"/>
  <c r="M1078" i="1" s="1"/>
  <c r="O1078" i="1" s="1"/>
  <c r="T1077" i="1"/>
  <c r="U1077" i="1" s="1"/>
  <c r="L1077" i="1"/>
  <c r="M1077" i="1" s="1"/>
  <c r="O1077" i="1" s="1"/>
  <c r="P1077" i="1" s="1"/>
  <c r="T1076" i="1"/>
  <c r="L1076" i="1"/>
  <c r="M1076" i="1" s="1"/>
  <c r="O1076" i="1" s="1"/>
  <c r="P1076" i="1" s="1"/>
  <c r="T1075" i="1"/>
  <c r="U1075" i="1" s="1"/>
  <c r="V1075" i="1" s="1"/>
  <c r="W1075" i="1" s="1"/>
  <c r="X1075" i="1" s="1"/>
  <c r="L1075" i="1"/>
  <c r="M1075" i="1" s="1"/>
  <c r="O1075" i="1" s="1"/>
  <c r="P1075" i="1" s="1"/>
  <c r="T1074" i="1"/>
  <c r="U1074" i="1" s="1"/>
  <c r="V1074" i="1" s="1"/>
  <c r="W1074" i="1" s="1"/>
  <c r="X1074" i="1" s="1"/>
  <c r="L1074" i="1"/>
  <c r="M1074" i="1" s="1"/>
  <c r="O1074" i="1" s="1"/>
  <c r="P1074" i="1" s="1"/>
  <c r="T1073" i="1"/>
  <c r="U1073" i="1" s="1"/>
  <c r="L1073" i="1"/>
  <c r="M1073" i="1" s="1"/>
  <c r="O1073" i="1" s="1"/>
  <c r="P1073" i="1" s="1"/>
  <c r="T1072" i="1"/>
  <c r="L1072" i="1"/>
  <c r="M1072" i="1" s="1"/>
  <c r="T1071" i="1"/>
  <c r="U1071" i="1" s="1"/>
  <c r="V1071" i="1" s="1"/>
  <c r="L1071" i="1"/>
  <c r="M1071" i="1" s="1"/>
  <c r="O1071" i="1" s="1"/>
  <c r="T1070" i="1"/>
  <c r="U1070" i="1" s="1"/>
  <c r="L1070" i="1"/>
  <c r="M1070" i="1" s="1"/>
  <c r="O1070" i="1" s="1"/>
  <c r="P1070" i="1" s="1"/>
  <c r="T1069" i="1"/>
  <c r="U1069" i="1" s="1"/>
  <c r="V1069" i="1" s="1"/>
  <c r="L1069" i="1"/>
  <c r="M1069" i="1" s="1"/>
  <c r="O1069" i="1" s="1"/>
  <c r="P1069" i="1" s="1"/>
  <c r="T1068" i="1"/>
  <c r="U1068" i="1" s="1"/>
  <c r="V1068" i="1" s="1"/>
  <c r="W1068" i="1" s="1"/>
  <c r="X1068" i="1" s="1"/>
  <c r="L1068" i="1"/>
  <c r="M1068" i="1" s="1"/>
  <c r="T1067" i="1"/>
  <c r="U1067" i="1" s="1"/>
  <c r="V1067" i="1" s="1"/>
  <c r="L1067" i="1"/>
  <c r="M1067" i="1" s="1"/>
  <c r="O1067" i="1" s="1"/>
  <c r="T1066" i="1"/>
  <c r="U1066" i="1" s="1"/>
  <c r="V1066" i="1" s="1"/>
  <c r="W1066" i="1" s="1"/>
  <c r="L1066" i="1"/>
  <c r="M1066" i="1" s="1"/>
  <c r="O1066" i="1" s="1"/>
  <c r="P1066" i="1" s="1"/>
  <c r="T1065" i="1"/>
  <c r="U1065" i="1" s="1"/>
  <c r="V1065" i="1" s="1"/>
  <c r="W1065" i="1" s="1"/>
  <c r="X1065" i="1" s="1"/>
  <c r="L1065" i="1"/>
  <c r="M1065" i="1" s="1"/>
  <c r="O1065" i="1" s="1"/>
  <c r="P1065" i="1" s="1"/>
  <c r="T1064" i="1"/>
  <c r="L1064" i="1"/>
  <c r="M1064" i="1" s="1"/>
  <c r="T1063" i="1"/>
  <c r="U1063" i="1" s="1"/>
  <c r="V1063" i="1" s="1"/>
  <c r="L1063" i="1"/>
  <c r="M1063" i="1" s="1"/>
  <c r="O1063" i="1" s="1"/>
  <c r="P1063" i="1" s="1"/>
  <c r="T1062" i="1"/>
  <c r="U1062" i="1" s="1"/>
  <c r="V1062" i="1" s="1"/>
  <c r="W1062" i="1" s="1"/>
  <c r="L1062" i="1"/>
  <c r="M1062" i="1" s="1"/>
  <c r="O1062" i="1" s="1"/>
  <c r="P1062" i="1" s="1"/>
  <c r="T1061" i="1"/>
  <c r="U1061" i="1" s="1"/>
  <c r="V1061" i="1" s="1"/>
  <c r="L1061" i="1"/>
  <c r="M1061" i="1" s="1"/>
  <c r="O1061" i="1" s="1"/>
  <c r="T1060" i="1"/>
  <c r="U1060" i="1" s="1"/>
  <c r="V1060" i="1" s="1"/>
  <c r="W1060" i="1" s="1"/>
  <c r="X1060" i="1" s="1"/>
  <c r="L1060" i="1"/>
  <c r="M1060" i="1" s="1"/>
  <c r="O1060" i="1" s="1"/>
  <c r="P1060" i="1" s="1"/>
  <c r="T1059" i="1"/>
  <c r="L1059" i="1"/>
  <c r="M1059" i="1" s="1"/>
  <c r="O1059" i="1" s="1"/>
  <c r="P1059" i="1" s="1"/>
  <c r="T1058" i="1"/>
  <c r="U1058" i="1" s="1"/>
  <c r="V1058" i="1" s="1"/>
  <c r="L1058" i="1"/>
  <c r="M1058" i="1" s="1"/>
  <c r="O1058" i="1" s="1"/>
  <c r="P1058" i="1" s="1"/>
  <c r="T1057" i="1"/>
  <c r="L1057" i="1"/>
  <c r="M1057" i="1" s="1"/>
  <c r="O1057" i="1" s="1"/>
  <c r="P1057" i="1" s="1"/>
  <c r="T1056" i="1"/>
  <c r="L1056" i="1"/>
  <c r="M1056" i="1" s="1"/>
  <c r="O1056" i="1" s="1"/>
  <c r="P1056" i="1" s="1"/>
  <c r="T1055" i="1"/>
  <c r="U1055" i="1" s="1"/>
  <c r="V1055" i="1" s="1"/>
  <c r="W1055" i="1" s="1"/>
  <c r="L1055" i="1"/>
  <c r="M1055" i="1" s="1"/>
  <c r="O1055" i="1" s="1"/>
  <c r="P1055" i="1" s="1"/>
  <c r="T1054" i="1"/>
  <c r="U1054" i="1" s="1"/>
  <c r="V1054" i="1" s="1"/>
  <c r="W1054" i="1" s="1"/>
  <c r="L1054" i="1"/>
  <c r="M1054" i="1" s="1"/>
  <c r="O1054" i="1" s="1"/>
  <c r="T1053" i="1"/>
  <c r="L1053" i="1"/>
  <c r="M1053" i="1" s="1"/>
  <c r="T1052" i="1"/>
  <c r="U1052" i="1" s="1"/>
  <c r="L1052" i="1"/>
  <c r="M1052" i="1" s="1"/>
  <c r="O1052" i="1" s="1"/>
  <c r="P1052" i="1" s="1"/>
  <c r="T1051" i="1"/>
  <c r="U1051" i="1" s="1"/>
  <c r="L1051" i="1"/>
  <c r="M1051" i="1" s="1"/>
  <c r="O1051" i="1" s="1"/>
  <c r="P1051" i="1" s="1"/>
  <c r="T1050" i="1"/>
  <c r="U1050" i="1" s="1"/>
  <c r="V1050" i="1" s="1"/>
  <c r="W1050" i="1" s="1"/>
  <c r="L1050" i="1"/>
  <c r="M1050" i="1" s="1"/>
  <c r="O1050" i="1" s="1"/>
  <c r="P1050" i="1" s="1"/>
  <c r="T1049" i="1"/>
  <c r="U1049" i="1" s="1"/>
  <c r="V1049" i="1" s="1"/>
  <c r="L1049" i="1"/>
  <c r="M1049" i="1" s="1"/>
  <c r="O1049" i="1" s="1"/>
  <c r="P1049" i="1" s="1"/>
  <c r="T1048" i="1"/>
  <c r="U1048" i="1" s="1"/>
  <c r="V1048" i="1" s="1"/>
  <c r="L1048" i="1"/>
  <c r="M1048" i="1" s="1"/>
  <c r="O1048" i="1" s="1"/>
  <c r="P1048" i="1" s="1"/>
  <c r="T1047" i="1"/>
  <c r="L1047" i="1"/>
  <c r="M1047" i="1" s="1"/>
  <c r="O1047" i="1" s="1"/>
  <c r="P1047" i="1" s="1"/>
  <c r="T1046" i="1"/>
  <c r="U1046" i="1" s="1"/>
  <c r="V1046" i="1" s="1"/>
  <c r="L1046" i="1"/>
  <c r="M1046" i="1" s="1"/>
  <c r="T1045" i="1"/>
  <c r="U1045" i="1" s="1"/>
  <c r="V1045" i="1" s="1"/>
  <c r="W1045" i="1" s="1"/>
  <c r="X1045" i="1" s="1"/>
  <c r="L1045" i="1"/>
  <c r="M1045" i="1" s="1"/>
  <c r="O1045" i="1" s="1"/>
  <c r="P1045" i="1" s="1"/>
  <c r="T1044" i="1"/>
  <c r="U1044" i="1" s="1"/>
  <c r="V1044" i="1" s="1"/>
  <c r="W1044" i="1" s="1"/>
  <c r="L1044" i="1"/>
  <c r="M1044" i="1" s="1"/>
  <c r="T1043" i="1"/>
  <c r="L1043" i="1"/>
  <c r="M1043" i="1" s="1"/>
  <c r="O1043" i="1" s="1"/>
  <c r="T1042" i="1"/>
  <c r="U1042" i="1" s="1"/>
  <c r="V1042" i="1" s="1"/>
  <c r="W1042" i="1" s="1"/>
  <c r="X1042" i="1" s="1"/>
  <c r="L1042" i="1"/>
  <c r="M1042" i="1" s="1"/>
  <c r="O1042" i="1" s="1"/>
  <c r="T1041" i="1"/>
  <c r="U1041" i="1" s="1"/>
  <c r="V1041" i="1" s="1"/>
  <c r="L1041" i="1"/>
  <c r="M1041" i="1" s="1"/>
  <c r="O1041" i="1" s="1"/>
  <c r="P1041" i="1" s="1"/>
  <c r="T1040" i="1"/>
  <c r="U1040" i="1" s="1"/>
  <c r="V1040" i="1" s="1"/>
  <c r="L1040" i="1"/>
  <c r="M1040" i="1" s="1"/>
  <c r="O1040" i="1" s="1"/>
  <c r="P1040" i="1" s="1"/>
  <c r="T1039" i="1"/>
  <c r="L1039" i="1"/>
  <c r="M1039" i="1" s="1"/>
  <c r="O1039" i="1" s="1"/>
  <c r="P1039" i="1" s="1"/>
  <c r="T1038" i="1"/>
  <c r="U1038" i="1" s="1"/>
  <c r="V1038" i="1" s="1"/>
  <c r="L1038" i="1"/>
  <c r="M1038" i="1" s="1"/>
  <c r="O1038" i="1" s="1"/>
  <c r="T1037" i="1"/>
  <c r="L1037" i="1"/>
  <c r="M1037" i="1" s="1"/>
  <c r="O1037" i="1" s="1"/>
  <c r="T1036" i="1"/>
  <c r="L1036" i="1"/>
  <c r="M1036" i="1" s="1"/>
  <c r="O1036" i="1" s="1"/>
  <c r="T1035" i="1"/>
  <c r="U1035" i="1" s="1"/>
  <c r="L1035" i="1"/>
  <c r="M1035" i="1" s="1"/>
  <c r="T1034" i="1"/>
  <c r="U1034" i="1" s="1"/>
  <c r="V1034" i="1" s="1"/>
  <c r="W1034" i="1" s="1"/>
  <c r="L1034" i="1"/>
  <c r="M1034" i="1" s="1"/>
  <c r="O1034" i="1" s="1"/>
  <c r="P1034" i="1" s="1"/>
  <c r="T1033" i="1"/>
  <c r="U1033" i="1" s="1"/>
  <c r="V1033" i="1" s="1"/>
  <c r="W1033" i="1" s="1"/>
  <c r="X1033" i="1" s="1"/>
  <c r="L1033" i="1"/>
  <c r="M1033" i="1" s="1"/>
  <c r="O1033" i="1" s="1"/>
  <c r="P1033" i="1" s="1"/>
  <c r="T1032" i="1"/>
  <c r="U1032" i="1" s="1"/>
  <c r="V1032" i="1" s="1"/>
  <c r="W1032" i="1" s="1"/>
  <c r="X1032" i="1" s="1"/>
  <c r="L1032" i="1"/>
  <c r="M1032" i="1" s="1"/>
  <c r="O1032" i="1" s="1"/>
  <c r="P1032" i="1" s="1"/>
  <c r="T1031" i="1"/>
  <c r="L1031" i="1"/>
  <c r="M1031" i="1" s="1"/>
  <c r="O1031" i="1" s="1"/>
  <c r="P1031" i="1" s="1"/>
  <c r="T1030" i="1"/>
  <c r="L1030" i="1"/>
  <c r="M1030" i="1" s="1"/>
  <c r="O1030" i="1" s="1"/>
  <c r="P1030" i="1" s="1"/>
  <c r="T1029" i="1"/>
  <c r="U1029" i="1" s="1"/>
  <c r="L1029" i="1"/>
  <c r="M1029" i="1" s="1"/>
  <c r="O1029" i="1" s="1"/>
  <c r="P1029" i="1" s="1"/>
  <c r="T1028" i="1"/>
  <c r="U1028" i="1" s="1"/>
  <c r="V1028" i="1" s="1"/>
  <c r="W1028" i="1" s="1"/>
  <c r="X1028" i="1" s="1"/>
  <c r="L1028" i="1"/>
  <c r="M1028" i="1" s="1"/>
  <c r="O1028" i="1" s="1"/>
  <c r="P1028" i="1" s="1"/>
  <c r="T1027" i="1"/>
  <c r="U1027" i="1" s="1"/>
  <c r="V1027" i="1" s="1"/>
  <c r="W1027" i="1" s="1"/>
  <c r="X1027" i="1" s="1"/>
  <c r="L1027" i="1"/>
  <c r="M1027" i="1" s="1"/>
  <c r="O1027" i="1" s="1"/>
  <c r="P1027" i="1" s="1"/>
  <c r="T1026" i="1"/>
  <c r="U1026" i="1" s="1"/>
  <c r="L1026" i="1"/>
  <c r="M1026" i="1" s="1"/>
  <c r="O1026" i="1" s="1"/>
  <c r="T1025" i="1"/>
  <c r="U1025" i="1" s="1"/>
  <c r="V1025" i="1" s="1"/>
  <c r="L1025" i="1"/>
  <c r="M1025" i="1" s="1"/>
  <c r="O1025" i="1" s="1"/>
  <c r="P1025" i="1" s="1"/>
  <c r="T1024" i="1"/>
  <c r="L1024" i="1"/>
  <c r="M1024" i="1" s="1"/>
  <c r="O1024" i="1" s="1"/>
  <c r="P1024" i="1" s="1"/>
  <c r="T1023" i="1"/>
  <c r="L1023" i="1"/>
  <c r="M1023" i="1" s="1"/>
  <c r="O1023" i="1" s="1"/>
  <c r="P1023" i="1" s="1"/>
  <c r="T1022" i="1"/>
  <c r="U1022" i="1" s="1"/>
  <c r="V1022" i="1" s="1"/>
  <c r="W1022" i="1" s="1"/>
  <c r="L1022" i="1"/>
  <c r="M1022" i="1" s="1"/>
  <c r="O1022" i="1" s="1"/>
  <c r="P1022" i="1" s="1"/>
  <c r="T1021" i="1"/>
  <c r="L1021" i="1"/>
  <c r="M1021" i="1" s="1"/>
  <c r="O1021" i="1" s="1"/>
  <c r="P1021" i="1" s="1"/>
  <c r="T1020" i="1"/>
  <c r="U1020" i="1" s="1"/>
  <c r="V1020" i="1" s="1"/>
  <c r="W1020" i="1" s="1"/>
  <c r="X1020" i="1" s="1"/>
  <c r="L1020" i="1"/>
  <c r="M1020" i="1" s="1"/>
  <c r="O1020" i="1" s="1"/>
  <c r="P1020" i="1" s="1"/>
  <c r="T1019" i="1"/>
  <c r="U1019" i="1" s="1"/>
  <c r="V1019" i="1" s="1"/>
  <c r="L1019" i="1"/>
  <c r="M1019" i="1" s="1"/>
  <c r="O1019" i="1" s="1"/>
  <c r="P1019" i="1" s="1"/>
  <c r="T1018" i="1"/>
  <c r="U1018" i="1" s="1"/>
  <c r="L1018" i="1"/>
  <c r="M1018" i="1" s="1"/>
  <c r="O1018" i="1" s="1"/>
  <c r="P1018" i="1" s="1"/>
  <c r="T1017" i="1"/>
  <c r="L1017" i="1"/>
  <c r="M1017" i="1" s="1"/>
  <c r="T1016" i="1"/>
  <c r="U1016" i="1" s="1"/>
  <c r="L1016" i="1"/>
  <c r="M1016" i="1" s="1"/>
  <c r="O1016" i="1" s="1"/>
  <c r="T1015" i="1"/>
  <c r="U1015" i="1" s="1"/>
  <c r="V1015" i="1" s="1"/>
  <c r="L1015" i="1"/>
  <c r="M1015" i="1" s="1"/>
  <c r="O1015" i="1" s="1"/>
  <c r="P1015" i="1" s="1"/>
  <c r="T1014" i="1"/>
  <c r="U1014" i="1" s="1"/>
  <c r="V1014" i="1" s="1"/>
  <c r="L1014" i="1"/>
  <c r="M1014" i="1" s="1"/>
  <c r="T1013" i="1"/>
  <c r="L1013" i="1"/>
  <c r="M1013" i="1" s="1"/>
  <c r="T1012" i="1"/>
  <c r="U1012" i="1" s="1"/>
  <c r="V1012" i="1" s="1"/>
  <c r="W1012" i="1" s="1"/>
  <c r="L1012" i="1"/>
  <c r="M1012" i="1" s="1"/>
  <c r="O1012" i="1" s="1"/>
  <c r="P1012" i="1" s="1"/>
  <c r="T1011" i="1"/>
  <c r="L1011" i="1"/>
  <c r="M1011" i="1" s="1"/>
  <c r="T1010" i="1"/>
  <c r="L1010" i="1"/>
  <c r="M1010" i="1" s="1"/>
  <c r="O1010" i="1" s="1"/>
  <c r="T1009" i="1"/>
  <c r="U1009" i="1" s="1"/>
  <c r="V1009" i="1" s="1"/>
  <c r="W1009" i="1" s="1"/>
  <c r="X1009" i="1" s="1"/>
  <c r="L1009" i="1"/>
  <c r="M1009" i="1" s="1"/>
  <c r="O1009" i="1" s="1"/>
  <c r="T1008" i="1"/>
  <c r="L1008" i="1"/>
  <c r="M1008" i="1" s="1"/>
  <c r="T1007" i="1"/>
  <c r="U1007" i="1" s="1"/>
  <c r="V1007" i="1" s="1"/>
  <c r="W1007" i="1" s="1"/>
  <c r="X1007" i="1" s="1"/>
  <c r="L1007" i="1"/>
  <c r="M1007" i="1" s="1"/>
  <c r="O1007" i="1" s="1"/>
  <c r="P1007" i="1" s="1"/>
  <c r="T1006" i="1"/>
  <c r="L1006" i="1"/>
  <c r="M1006" i="1" s="1"/>
  <c r="T1005" i="1"/>
  <c r="U1005" i="1" s="1"/>
  <c r="V1005" i="1" s="1"/>
  <c r="W1005" i="1" s="1"/>
  <c r="L1005" i="1"/>
  <c r="M1005" i="1" s="1"/>
  <c r="O1005" i="1" s="1"/>
  <c r="P1005" i="1" s="1"/>
  <c r="T1004" i="1"/>
  <c r="L1004" i="1"/>
  <c r="M1004" i="1" s="1"/>
  <c r="O1004" i="1" s="1"/>
  <c r="P1004" i="1" s="1"/>
  <c r="T1003" i="1"/>
  <c r="U1003" i="1" s="1"/>
  <c r="V1003" i="1" s="1"/>
  <c r="W1003" i="1" s="1"/>
  <c r="L1003" i="1"/>
  <c r="M1003" i="1" s="1"/>
  <c r="O1003" i="1" s="1"/>
  <c r="T1002" i="1"/>
  <c r="U1002" i="1" s="1"/>
  <c r="L1002" i="1"/>
  <c r="M1002" i="1" s="1"/>
  <c r="O1002" i="1" s="1"/>
  <c r="T1001" i="1"/>
  <c r="U1001" i="1" s="1"/>
  <c r="V1001" i="1" s="1"/>
  <c r="W1001" i="1" s="1"/>
  <c r="X1001" i="1" s="1"/>
  <c r="L1001" i="1"/>
  <c r="M1001" i="1" s="1"/>
  <c r="T1000" i="1"/>
  <c r="U1000" i="1" s="1"/>
  <c r="V1000" i="1" s="1"/>
  <c r="W1000" i="1" s="1"/>
  <c r="X1000" i="1" s="1"/>
  <c r="L1000" i="1"/>
  <c r="M1000" i="1" s="1"/>
  <c r="O1000" i="1" s="1"/>
  <c r="T999" i="1"/>
  <c r="U999" i="1" s="1"/>
  <c r="V999" i="1" s="1"/>
  <c r="L999" i="1"/>
  <c r="M999" i="1" s="1"/>
  <c r="O999" i="1" s="1"/>
  <c r="T998" i="1"/>
  <c r="U998" i="1" s="1"/>
  <c r="L998" i="1"/>
  <c r="M998" i="1" s="1"/>
  <c r="T997" i="1"/>
  <c r="U997" i="1" s="1"/>
  <c r="V997" i="1" s="1"/>
  <c r="W997" i="1" s="1"/>
  <c r="L997" i="1"/>
  <c r="M997" i="1" s="1"/>
  <c r="O997" i="1" s="1"/>
  <c r="P997" i="1" s="1"/>
  <c r="T996" i="1"/>
  <c r="U996" i="1" s="1"/>
  <c r="L996" i="1"/>
  <c r="M996" i="1" s="1"/>
  <c r="T995" i="1"/>
  <c r="U995" i="1" s="1"/>
  <c r="V995" i="1" s="1"/>
  <c r="W995" i="1" s="1"/>
  <c r="L995" i="1"/>
  <c r="M995" i="1" s="1"/>
  <c r="O995" i="1" s="1"/>
  <c r="T994" i="1"/>
  <c r="U994" i="1" s="1"/>
  <c r="V994" i="1" s="1"/>
  <c r="W994" i="1" s="1"/>
  <c r="L994" i="1"/>
  <c r="M994" i="1" s="1"/>
  <c r="O994" i="1" s="1"/>
  <c r="T993" i="1"/>
  <c r="L993" i="1"/>
  <c r="M993" i="1" s="1"/>
  <c r="O993" i="1" s="1"/>
  <c r="P993" i="1" s="1"/>
  <c r="T992" i="1"/>
  <c r="U992" i="1" s="1"/>
  <c r="V992" i="1" s="1"/>
  <c r="W992" i="1" s="1"/>
  <c r="L992" i="1"/>
  <c r="M992" i="1" s="1"/>
  <c r="O992" i="1" s="1"/>
  <c r="P992" i="1" s="1"/>
  <c r="T991" i="1"/>
  <c r="L991" i="1"/>
  <c r="M991" i="1" s="1"/>
  <c r="O991" i="1" s="1"/>
  <c r="T990" i="1"/>
  <c r="L990" i="1"/>
  <c r="M990" i="1" s="1"/>
  <c r="O990" i="1" s="1"/>
  <c r="T989" i="1"/>
  <c r="U989" i="1" s="1"/>
  <c r="L989" i="1"/>
  <c r="M989" i="1" s="1"/>
  <c r="O989" i="1" s="1"/>
  <c r="P989" i="1" s="1"/>
  <c r="T988" i="1"/>
  <c r="U988" i="1" s="1"/>
  <c r="V988" i="1" s="1"/>
  <c r="W988" i="1" s="1"/>
  <c r="L988" i="1"/>
  <c r="M988" i="1" s="1"/>
  <c r="O988" i="1" s="1"/>
  <c r="P988" i="1" s="1"/>
  <c r="T987" i="1"/>
  <c r="U987" i="1" s="1"/>
  <c r="L987" i="1"/>
  <c r="M987" i="1" s="1"/>
  <c r="O987" i="1" s="1"/>
  <c r="P987" i="1" s="1"/>
  <c r="T986" i="1"/>
  <c r="U986" i="1" s="1"/>
  <c r="V986" i="1" s="1"/>
  <c r="W986" i="1" s="1"/>
  <c r="X986" i="1" s="1"/>
  <c r="L986" i="1"/>
  <c r="M986" i="1" s="1"/>
  <c r="T985" i="1"/>
  <c r="U985" i="1" s="1"/>
  <c r="L985" i="1"/>
  <c r="M985" i="1" s="1"/>
  <c r="O985" i="1" s="1"/>
  <c r="P985" i="1" s="1"/>
  <c r="T984" i="1"/>
  <c r="U984" i="1" s="1"/>
  <c r="V984" i="1" s="1"/>
  <c r="L984" i="1"/>
  <c r="M984" i="1" s="1"/>
  <c r="O984" i="1" s="1"/>
  <c r="T983" i="1"/>
  <c r="L983" i="1"/>
  <c r="M983" i="1" s="1"/>
  <c r="O983" i="1" s="1"/>
  <c r="P983" i="1" s="1"/>
  <c r="T982" i="1"/>
  <c r="U982" i="1" s="1"/>
  <c r="V982" i="1" s="1"/>
  <c r="L982" i="1"/>
  <c r="M982" i="1" s="1"/>
  <c r="O982" i="1" s="1"/>
  <c r="T981" i="1"/>
  <c r="U981" i="1" s="1"/>
  <c r="L981" i="1"/>
  <c r="M981" i="1" s="1"/>
  <c r="O981" i="1" s="1"/>
  <c r="P981" i="1" s="1"/>
  <c r="T980" i="1"/>
  <c r="U980" i="1" s="1"/>
  <c r="V980" i="1" s="1"/>
  <c r="W980" i="1" s="1"/>
  <c r="X980" i="1" s="1"/>
  <c r="L980" i="1"/>
  <c r="M980" i="1" s="1"/>
  <c r="O980" i="1" s="1"/>
  <c r="T979" i="1"/>
  <c r="U979" i="1" s="1"/>
  <c r="L979" i="1"/>
  <c r="M979" i="1" s="1"/>
  <c r="T978" i="1"/>
  <c r="U978" i="1" s="1"/>
  <c r="L978" i="1"/>
  <c r="M978" i="1" s="1"/>
  <c r="O978" i="1" s="1"/>
  <c r="T977" i="1"/>
  <c r="U977" i="1" s="1"/>
  <c r="L977" i="1"/>
  <c r="M977" i="1" s="1"/>
  <c r="T976" i="1"/>
  <c r="U976" i="1" s="1"/>
  <c r="V976" i="1" s="1"/>
  <c r="L976" i="1"/>
  <c r="M976" i="1" s="1"/>
  <c r="O976" i="1" s="1"/>
  <c r="P976" i="1" s="1"/>
  <c r="T975" i="1"/>
  <c r="L975" i="1"/>
  <c r="M975" i="1" s="1"/>
  <c r="O975" i="1" s="1"/>
  <c r="P975" i="1" s="1"/>
  <c r="T974" i="1"/>
  <c r="U974" i="1" s="1"/>
  <c r="V974" i="1" s="1"/>
  <c r="L974" i="1"/>
  <c r="M974" i="1" s="1"/>
  <c r="O974" i="1" s="1"/>
  <c r="P974" i="1" s="1"/>
  <c r="T973" i="1"/>
  <c r="U973" i="1" s="1"/>
  <c r="V973" i="1" s="1"/>
  <c r="W973" i="1" s="1"/>
  <c r="X973" i="1" s="1"/>
  <c r="L973" i="1"/>
  <c r="M973" i="1" s="1"/>
  <c r="O973" i="1" s="1"/>
  <c r="P973" i="1" s="1"/>
  <c r="T972" i="1"/>
  <c r="U972" i="1" s="1"/>
  <c r="V972" i="1" s="1"/>
  <c r="L972" i="1"/>
  <c r="M972" i="1" s="1"/>
  <c r="T971" i="1"/>
  <c r="U971" i="1" s="1"/>
  <c r="V971" i="1" s="1"/>
  <c r="L971" i="1"/>
  <c r="M971" i="1" s="1"/>
  <c r="O971" i="1" s="1"/>
  <c r="T970" i="1"/>
  <c r="U970" i="1" s="1"/>
  <c r="L970" i="1"/>
  <c r="M970" i="1" s="1"/>
  <c r="T969" i="1"/>
  <c r="U969" i="1" s="1"/>
  <c r="V969" i="1" s="1"/>
  <c r="W969" i="1" s="1"/>
  <c r="X969" i="1" s="1"/>
  <c r="L969" i="1"/>
  <c r="M969" i="1" s="1"/>
  <c r="O969" i="1" s="1"/>
  <c r="T968" i="1"/>
  <c r="L968" i="1"/>
  <c r="M968" i="1" s="1"/>
  <c r="O968" i="1" s="1"/>
  <c r="P968" i="1" s="1"/>
  <c r="T967" i="1"/>
  <c r="U967" i="1" s="1"/>
  <c r="V967" i="1" s="1"/>
  <c r="W967" i="1" s="1"/>
  <c r="X967" i="1" s="1"/>
  <c r="L967" i="1"/>
  <c r="M967" i="1" s="1"/>
  <c r="O967" i="1" s="1"/>
  <c r="P967" i="1" s="1"/>
  <c r="T966" i="1"/>
  <c r="U966" i="1" s="1"/>
  <c r="V966" i="1" s="1"/>
  <c r="W966" i="1" s="1"/>
  <c r="L966" i="1"/>
  <c r="M966" i="1" s="1"/>
  <c r="O966" i="1" s="1"/>
  <c r="P966" i="1" s="1"/>
  <c r="T965" i="1"/>
  <c r="U965" i="1" s="1"/>
  <c r="V965" i="1" s="1"/>
  <c r="W965" i="1" s="1"/>
  <c r="X965" i="1" s="1"/>
  <c r="L965" i="1"/>
  <c r="M965" i="1" s="1"/>
  <c r="O965" i="1" s="1"/>
  <c r="T964" i="1"/>
  <c r="U964" i="1" s="1"/>
  <c r="L964" i="1"/>
  <c r="M964" i="1" s="1"/>
  <c r="O964" i="1" s="1"/>
  <c r="P964" i="1" s="1"/>
  <c r="T963" i="1"/>
  <c r="U963" i="1" s="1"/>
  <c r="L963" i="1"/>
  <c r="M963" i="1" s="1"/>
  <c r="O963" i="1" s="1"/>
  <c r="P963" i="1" s="1"/>
  <c r="T962" i="1"/>
  <c r="U962" i="1" s="1"/>
  <c r="L962" i="1"/>
  <c r="M962" i="1" s="1"/>
  <c r="O962" i="1" s="1"/>
  <c r="P962" i="1" s="1"/>
  <c r="T961" i="1"/>
  <c r="U961" i="1" s="1"/>
  <c r="V961" i="1" s="1"/>
  <c r="L961" i="1"/>
  <c r="M961" i="1" s="1"/>
  <c r="O961" i="1" s="1"/>
  <c r="P961" i="1" s="1"/>
  <c r="T960" i="1"/>
  <c r="U960" i="1" s="1"/>
  <c r="V960" i="1" s="1"/>
  <c r="L960" i="1"/>
  <c r="M960" i="1" s="1"/>
  <c r="O960" i="1" s="1"/>
  <c r="P960" i="1" s="1"/>
  <c r="T959" i="1"/>
  <c r="U959" i="1" s="1"/>
  <c r="V959" i="1" s="1"/>
  <c r="L959" i="1"/>
  <c r="M959" i="1" s="1"/>
  <c r="O959" i="1" s="1"/>
  <c r="P959" i="1" s="1"/>
  <c r="T958" i="1"/>
  <c r="U958" i="1" s="1"/>
  <c r="V958" i="1" s="1"/>
  <c r="L958" i="1"/>
  <c r="M958" i="1" s="1"/>
  <c r="O958" i="1" s="1"/>
  <c r="T957" i="1"/>
  <c r="U957" i="1" s="1"/>
  <c r="V957" i="1" s="1"/>
  <c r="W957" i="1" s="1"/>
  <c r="L957" i="1"/>
  <c r="M957" i="1" s="1"/>
  <c r="O957" i="1" s="1"/>
  <c r="T956" i="1"/>
  <c r="U956" i="1" s="1"/>
  <c r="V956" i="1" s="1"/>
  <c r="W956" i="1" s="1"/>
  <c r="X956" i="1" s="1"/>
  <c r="L956" i="1"/>
  <c r="M956" i="1" s="1"/>
  <c r="T955" i="1"/>
  <c r="U955" i="1" s="1"/>
  <c r="L955" i="1"/>
  <c r="M955" i="1" s="1"/>
  <c r="O955" i="1" s="1"/>
  <c r="P955" i="1" s="1"/>
  <c r="T954" i="1"/>
  <c r="U954" i="1" s="1"/>
  <c r="L954" i="1"/>
  <c r="M954" i="1" s="1"/>
  <c r="O954" i="1" s="1"/>
  <c r="T953" i="1"/>
  <c r="U953" i="1" s="1"/>
  <c r="V953" i="1" s="1"/>
  <c r="W953" i="1" s="1"/>
  <c r="X953" i="1" s="1"/>
  <c r="L953" i="1"/>
  <c r="M953" i="1" s="1"/>
  <c r="T952" i="1"/>
  <c r="U952" i="1" s="1"/>
  <c r="V952" i="1" s="1"/>
  <c r="W952" i="1" s="1"/>
  <c r="L952" i="1"/>
  <c r="M952" i="1" s="1"/>
  <c r="O952" i="1" s="1"/>
  <c r="P952" i="1" s="1"/>
  <c r="T951" i="1"/>
  <c r="U951" i="1" s="1"/>
  <c r="V951" i="1" s="1"/>
  <c r="L951" i="1"/>
  <c r="M951" i="1" s="1"/>
  <c r="O951" i="1" s="1"/>
  <c r="P951" i="1" s="1"/>
  <c r="T950" i="1"/>
  <c r="U950" i="1" s="1"/>
  <c r="V950" i="1" s="1"/>
  <c r="L950" i="1"/>
  <c r="M950" i="1" s="1"/>
  <c r="T949" i="1"/>
  <c r="L949" i="1"/>
  <c r="M949" i="1" s="1"/>
  <c r="T948" i="1"/>
  <c r="U948" i="1" s="1"/>
  <c r="L948" i="1"/>
  <c r="M948" i="1" s="1"/>
  <c r="T947" i="1"/>
  <c r="U947" i="1" s="1"/>
  <c r="V947" i="1" s="1"/>
  <c r="W947" i="1" s="1"/>
  <c r="X947" i="1" s="1"/>
  <c r="L947" i="1"/>
  <c r="M947" i="1" s="1"/>
  <c r="O947" i="1" s="1"/>
  <c r="P947" i="1" s="1"/>
  <c r="T946" i="1"/>
  <c r="U946" i="1" s="1"/>
  <c r="L946" i="1"/>
  <c r="M946" i="1" s="1"/>
  <c r="T945" i="1"/>
  <c r="U945" i="1" s="1"/>
  <c r="V945" i="1" s="1"/>
  <c r="W945" i="1" s="1"/>
  <c r="L945" i="1"/>
  <c r="M945" i="1" s="1"/>
  <c r="O945" i="1" s="1"/>
  <c r="P945" i="1" s="1"/>
  <c r="T944" i="1"/>
  <c r="L944" i="1"/>
  <c r="M944" i="1" s="1"/>
  <c r="O944" i="1" s="1"/>
  <c r="T943" i="1"/>
  <c r="L943" i="1"/>
  <c r="M943" i="1" s="1"/>
  <c r="O943" i="1" s="1"/>
  <c r="P943" i="1" s="1"/>
  <c r="T942" i="1"/>
  <c r="U942" i="1" s="1"/>
  <c r="V942" i="1" s="1"/>
  <c r="W942" i="1" s="1"/>
  <c r="X942" i="1" s="1"/>
  <c r="L942" i="1"/>
  <c r="M942" i="1" s="1"/>
  <c r="O942" i="1" s="1"/>
  <c r="P942" i="1" s="1"/>
  <c r="T941" i="1"/>
  <c r="U941" i="1" s="1"/>
  <c r="L941" i="1"/>
  <c r="M941" i="1" s="1"/>
  <c r="O941" i="1" s="1"/>
  <c r="T940" i="1"/>
  <c r="L940" i="1"/>
  <c r="M940" i="1" s="1"/>
  <c r="O940" i="1" s="1"/>
  <c r="P940" i="1" s="1"/>
  <c r="T939" i="1"/>
  <c r="L939" i="1"/>
  <c r="M939" i="1" s="1"/>
  <c r="O939" i="1" s="1"/>
  <c r="P939" i="1" s="1"/>
  <c r="T938" i="1"/>
  <c r="U938" i="1" s="1"/>
  <c r="L938" i="1"/>
  <c r="M938" i="1" s="1"/>
  <c r="T937" i="1"/>
  <c r="U937" i="1" s="1"/>
  <c r="V937" i="1" s="1"/>
  <c r="L937" i="1"/>
  <c r="M937" i="1" s="1"/>
  <c r="O937" i="1" s="1"/>
  <c r="P937" i="1" s="1"/>
  <c r="T936" i="1"/>
  <c r="U936" i="1" s="1"/>
  <c r="V936" i="1" s="1"/>
  <c r="W936" i="1" s="1"/>
  <c r="L936" i="1"/>
  <c r="M936" i="1" s="1"/>
  <c r="O936" i="1" s="1"/>
  <c r="P936" i="1" s="1"/>
  <c r="T935" i="1"/>
  <c r="L935" i="1"/>
  <c r="M935" i="1" s="1"/>
  <c r="O935" i="1" s="1"/>
  <c r="T934" i="1"/>
  <c r="U934" i="1" s="1"/>
  <c r="L934" i="1"/>
  <c r="M934" i="1" s="1"/>
  <c r="T933" i="1"/>
  <c r="L933" i="1"/>
  <c r="M933" i="1" s="1"/>
  <c r="O933" i="1" s="1"/>
  <c r="P933" i="1" s="1"/>
  <c r="T932" i="1"/>
  <c r="U932" i="1" s="1"/>
  <c r="L932" i="1"/>
  <c r="M932" i="1" s="1"/>
  <c r="O932" i="1" s="1"/>
  <c r="P932" i="1" s="1"/>
  <c r="T931" i="1"/>
  <c r="U931" i="1" s="1"/>
  <c r="L931" i="1"/>
  <c r="M931" i="1" s="1"/>
  <c r="T930" i="1"/>
  <c r="U930" i="1" s="1"/>
  <c r="L930" i="1"/>
  <c r="M930" i="1" s="1"/>
  <c r="O930" i="1" s="1"/>
  <c r="T929" i="1"/>
  <c r="L929" i="1"/>
  <c r="M929" i="1" s="1"/>
  <c r="O929" i="1" s="1"/>
  <c r="P929" i="1" s="1"/>
  <c r="T928" i="1"/>
  <c r="U928" i="1" s="1"/>
  <c r="V928" i="1" s="1"/>
  <c r="L928" i="1"/>
  <c r="M928" i="1" s="1"/>
  <c r="O928" i="1" s="1"/>
  <c r="T927" i="1"/>
  <c r="U927" i="1" s="1"/>
  <c r="L927" i="1"/>
  <c r="M927" i="1" s="1"/>
  <c r="T926" i="1"/>
  <c r="L926" i="1"/>
  <c r="M926" i="1" s="1"/>
  <c r="O926" i="1" s="1"/>
  <c r="P926" i="1" s="1"/>
  <c r="T925" i="1"/>
  <c r="U925" i="1" s="1"/>
  <c r="L925" i="1"/>
  <c r="M925" i="1" s="1"/>
  <c r="O925" i="1" s="1"/>
  <c r="P925" i="1" s="1"/>
  <c r="T924" i="1"/>
  <c r="L924" i="1"/>
  <c r="M924" i="1" s="1"/>
  <c r="O924" i="1" s="1"/>
  <c r="T923" i="1"/>
  <c r="U923" i="1" s="1"/>
  <c r="V923" i="1" s="1"/>
  <c r="L923" i="1"/>
  <c r="M923" i="1" s="1"/>
  <c r="O923" i="1" s="1"/>
  <c r="P923" i="1" s="1"/>
  <c r="T922" i="1"/>
  <c r="U922" i="1" s="1"/>
  <c r="L922" i="1"/>
  <c r="M922" i="1" s="1"/>
  <c r="O922" i="1" s="1"/>
  <c r="T921" i="1"/>
  <c r="U921" i="1" s="1"/>
  <c r="V921" i="1" s="1"/>
  <c r="W921" i="1" s="1"/>
  <c r="X921" i="1" s="1"/>
  <c r="L921" i="1"/>
  <c r="M921" i="1" s="1"/>
  <c r="O921" i="1" s="1"/>
  <c r="P921" i="1" s="1"/>
  <c r="T920" i="1"/>
  <c r="U920" i="1" s="1"/>
  <c r="L920" i="1"/>
  <c r="M920" i="1" s="1"/>
  <c r="O920" i="1" s="1"/>
  <c r="T919" i="1"/>
  <c r="U919" i="1" s="1"/>
  <c r="V919" i="1" s="1"/>
  <c r="W919" i="1" s="1"/>
  <c r="X919" i="1" s="1"/>
  <c r="L919" i="1"/>
  <c r="M919" i="1" s="1"/>
  <c r="O919" i="1" s="1"/>
  <c r="P919" i="1" s="1"/>
  <c r="T918" i="1"/>
  <c r="U918" i="1" s="1"/>
  <c r="V918" i="1" s="1"/>
  <c r="W918" i="1" s="1"/>
  <c r="L918" i="1"/>
  <c r="M918" i="1" s="1"/>
  <c r="O918" i="1" s="1"/>
  <c r="T917" i="1"/>
  <c r="U917" i="1" s="1"/>
  <c r="V917" i="1" s="1"/>
  <c r="W917" i="1" s="1"/>
  <c r="X917" i="1" s="1"/>
  <c r="L917" i="1"/>
  <c r="M917" i="1" s="1"/>
  <c r="O917" i="1" s="1"/>
  <c r="T916" i="1"/>
  <c r="U916" i="1" s="1"/>
  <c r="V916" i="1" s="1"/>
  <c r="W916" i="1" s="1"/>
  <c r="L916" i="1"/>
  <c r="M916" i="1" s="1"/>
  <c r="O916" i="1" s="1"/>
  <c r="P916" i="1" s="1"/>
  <c r="T915" i="1"/>
  <c r="U915" i="1" s="1"/>
  <c r="V915" i="1" s="1"/>
  <c r="W915" i="1" s="1"/>
  <c r="L915" i="1"/>
  <c r="M915" i="1" s="1"/>
  <c r="O915" i="1" s="1"/>
  <c r="T914" i="1"/>
  <c r="L914" i="1"/>
  <c r="M914" i="1" s="1"/>
  <c r="O914" i="1" s="1"/>
  <c r="P914" i="1" s="1"/>
  <c r="T913" i="1"/>
  <c r="L913" i="1"/>
  <c r="M913" i="1" s="1"/>
  <c r="T912" i="1"/>
  <c r="L912" i="1"/>
  <c r="M912" i="1" s="1"/>
  <c r="O912" i="1" s="1"/>
  <c r="P912" i="1" s="1"/>
  <c r="T911" i="1"/>
  <c r="U911" i="1" s="1"/>
  <c r="L911" i="1"/>
  <c r="M911" i="1" s="1"/>
  <c r="O911" i="1" s="1"/>
  <c r="T910" i="1"/>
  <c r="U910" i="1" s="1"/>
  <c r="V910" i="1" s="1"/>
  <c r="W910" i="1" s="1"/>
  <c r="X910" i="1" s="1"/>
  <c r="L910" i="1"/>
  <c r="M910" i="1" s="1"/>
  <c r="O910" i="1" s="1"/>
  <c r="T909" i="1"/>
  <c r="L909" i="1"/>
  <c r="M909" i="1" s="1"/>
  <c r="O909" i="1" s="1"/>
  <c r="P909" i="1" s="1"/>
  <c r="T908" i="1"/>
  <c r="U908" i="1" s="1"/>
  <c r="V908" i="1" s="1"/>
  <c r="W908" i="1" s="1"/>
  <c r="L908" i="1"/>
  <c r="M908" i="1" s="1"/>
  <c r="T907" i="1"/>
  <c r="U907" i="1" s="1"/>
  <c r="L907" i="1"/>
  <c r="M907" i="1" s="1"/>
  <c r="O907" i="1" s="1"/>
  <c r="T906" i="1"/>
  <c r="U906" i="1" s="1"/>
  <c r="V906" i="1" s="1"/>
  <c r="W906" i="1" s="1"/>
  <c r="X906" i="1" s="1"/>
  <c r="L906" i="1"/>
  <c r="M906" i="1" s="1"/>
  <c r="O906" i="1" s="1"/>
  <c r="P906" i="1" s="1"/>
  <c r="T905" i="1"/>
  <c r="U905" i="1" s="1"/>
  <c r="V905" i="1" s="1"/>
  <c r="W905" i="1" s="1"/>
  <c r="X905" i="1" s="1"/>
  <c r="L905" i="1"/>
  <c r="M905" i="1" s="1"/>
  <c r="O905" i="1" s="1"/>
  <c r="T904" i="1"/>
  <c r="U904" i="1" s="1"/>
  <c r="V904" i="1" s="1"/>
  <c r="W904" i="1" s="1"/>
  <c r="L904" i="1"/>
  <c r="M904" i="1" s="1"/>
  <c r="T903" i="1"/>
  <c r="U903" i="1" s="1"/>
  <c r="L903" i="1"/>
  <c r="M903" i="1" s="1"/>
  <c r="O903" i="1" s="1"/>
  <c r="P903" i="1" s="1"/>
  <c r="T902" i="1"/>
  <c r="U902" i="1" s="1"/>
  <c r="V902" i="1" s="1"/>
  <c r="L902" i="1"/>
  <c r="M902" i="1" s="1"/>
  <c r="O902" i="1" s="1"/>
  <c r="P902" i="1" s="1"/>
  <c r="T901" i="1"/>
  <c r="U901" i="1" s="1"/>
  <c r="V901" i="1" s="1"/>
  <c r="W901" i="1" s="1"/>
  <c r="X901" i="1" s="1"/>
  <c r="L901" i="1"/>
  <c r="M901" i="1" s="1"/>
  <c r="O901" i="1" s="1"/>
  <c r="P901" i="1" s="1"/>
  <c r="T900" i="1"/>
  <c r="L900" i="1"/>
  <c r="M900" i="1" s="1"/>
  <c r="O900" i="1" s="1"/>
  <c r="P900" i="1" s="1"/>
  <c r="T899" i="1"/>
  <c r="U899" i="1" s="1"/>
  <c r="V899" i="1" s="1"/>
  <c r="W899" i="1" s="1"/>
  <c r="L899" i="1"/>
  <c r="M899" i="1" s="1"/>
  <c r="T898" i="1"/>
  <c r="U898" i="1" s="1"/>
  <c r="L898" i="1"/>
  <c r="M898" i="1" s="1"/>
  <c r="O898" i="1" s="1"/>
  <c r="P898" i="1" s="1"/>
  <c r="T897" i="1"/>
  <c r="U897" i="1" s="1"/>
  <c r="V897" i="1" s="1"/>
  <c r="W897" i="1" s="1"/>
  <c r="X897" i="1" s="1"/>
  <c r="L897" i="1"/>
  <c r="M897" i="1" s="1"/>
  <c r="O897" i="1" s="1"/>
  <c r="P897" i="1" s="1"/>
  <c r="T896" i="1"/>
  <c r="U896" i="1" s="1"/>
  <c r="V896" i="1" s="1"/>
  <c r="L896" i="1"/>
  <c r="M896" i="1" s="1"/>
  <c r="O896" i="1" s="1"/>
  <c r="P896" i="1" s="1"/>
  <c r="T895" i="1"/>
  <c r="U895" i="1" s="1"/>
  <c r="V895" i="1" s="1"/>
  <c r="L895" i="1"/>
  <c r="M895" i="1" s="1"/>
  <c r="O895" i="1" s="1"/>
  <c r="T894" i="1"/>
  <c r="U894" i="1" s="1"/>
  <c r="V894" i="1" s="1"/>
  <c r="W894" i="1" s="1"/>
  <c r="X894" i="1" s="1"/>
  <c r="L894" i="1"/>
  <c r="M894" i="1" s="1"/>
  <c r="O894" i="1" s="1"/>
  <c r="P894" i="1" s="1"/>
  <c r="T893" i="1"/>
  <c r="U893" i="1" s="1"/>
  <c r="V893" i="1" s="1"/>
  <c r="L893" i="1"/>
  <c r="M893" i="1" s="1"/>
  <c r="O893" i="1" s="1"/>
  <c r="P893" i="1" s="1"/>
  <c r="T892" i="1"/>
  <c r="U892" i="1" s="1"/>
  <c r="L892" i="1"/>
  <c r="M892" i="1" s="1"/>
  <c r="O892" i="1" s="1"/>
  <c r="P892" i="1" s="1"/>
  <c r="T891" i="1"/>
  <c r="U891" i="1" s="1"/>
  <c r="V891" i="1" s="1"/>
  <c r="W891" i="1" s="1"/>
  <c r="X891" i="1" s="1"/>
  <c r="L891" i="1"/>
  <c r="M891" i="1" s="1"/>
  <c r="T890" i="1"/>
  <c r="L890" i="1"/>
  <c r="M890" i="1" s="1"/>
  <c r="O890" i="1" s="1"/>
  <c r="T889" i="1"/>
  <c r="U889" i="1" s="1"/>
  <c r="V889" i="1" s="1"/>
  <c r="W889" i="1" s="1"/>
  <c r="L889" i="1"/>
  <c r="M889" i="1" s="1"/>
  <c r="O889" i="1" s="1"/>
  <c r="P889" i="1" s="1"/>
  <c r="T888" i="1"/>
  <c r="U888" i="1" s="1"/>
  <c r="V888" i="1" s="1"/>
  <c r="W888" i="1" s="1"/>
  <c r="L888" i="1"/>
  <c r="M888" i="1" s="1"/>
  <c r="O888" i="1" s="1"/>
  <c r="T887" i="1"/>
  <c r="U887" i="1" s="1"/>
  <c r="V887" i="1" s="1"/>
  <c r="W887" i="1" s="1"/>
  <c r="X887" i="1" s="1"/>
  <c r="L887" i="1"/>
  <c r="M887" i="1" s="1"/>
  <c r="O887" i="1" s="1"/>
  <c r="P887" i="1" s="1"/>
  <c r="T886" i="1"/>
  <c r="L886" i="1"/>
  <c r="M886" i="1" s="1"/>
  <c r="T885" i="1"/>
  <c r="L885" i="1"/>
  <c r="M885" i="1" s="1"/>
  <c r="O885" i="1" s="1"/>
  <c r="P885" i="1" s="1"/>
  <c r="T884" i="1"/>
  <c r="U884" i="1" s="1"/>
  <c r="V884" i="1" s="1"/>
  <c r="W884" i="1" s="1"/>
  <c r="L884" i="1"/>
  <c r="M884" i="1" s="1"/>
  <c r="O884" i="1" s="1"/>
  <c r="P884" i="1" s="1"/>
  <c r="T883" i="1"/>
  <c r="U883" i="1" s="1"/>
  <c r="V883" i="1" s="1"/>
  <c r="W883" i="1" s="1"/>
  <c r="X883" i="1" s="1"/>
  <c r="L883" i="1"/>
  <c r="M883" i="1" s="1"/>
  <c r="O883" i="1" s="1"/>
  <c r="P883" i="1" s="1"/>
  <c r="T882" i="1"/>
  <c r="U882" i="1" s="1"/>
  <c r="L882" i="1"/>
  <c r="M882" i="1" s="1"/>
  <c r="O882" i="1" s="1"/>
  <c r="P882" i="1" s="1"/>
  <c r="T881" i="1"/>
  <c r="U881" i="1" s="1"/>
  <c r="V881" i="1" s="1"/>
  <c r="L881" i="1"/>
  <c r="M881" i="1" s="1"/>
  <c r="O881" i="1" s="1"/>
  <c r="T880" i="1"/>
  <c r="U880" i="1" s="1"/>
  <c r="V880" i="1" s="1"/>
  <c r="W880" i="1" s="1"/>
  <c r="L880" i="1"/>
  <c r="M880" i="1" s="1"/>
  <c r="O880" i="1" s="1"/>
  <c r="P880" i="1" s="1"/>
  <c r="T879" i="1"/>
  <c r="L879" i="1"/>
  <c r="M879" i="1" s="1"/>
  <c r="O879" i="1" s="1"/>
  <c r="T878" i="1"/>
  <c r="U878" i="1" s="1"/>
  <c r="V878" i="1" s="1"/>
  <c r="W878" i="1" s="1"/>
  <c r="X878" i="1" s="1"/>
  <c r="L878" i="1"/>
  <c r="M878" i="1" s="1"/>
  <c r="O878" i="1" s="1"/>
  <c r="P878" i="1" s="1"/>
  <c r="T877" i="1"/>
  <c r="U877" i="1" s="1"/>
  <c r="L877" i="1"/>
  <c r="M877" i="1" s="1"/>
  <c r="O877" i="1" s="1"/>
  <c r="P877" i="1" s="1"/>
  <c r="T876" i="1"/>
  <c r="L876" i="1"/>
  <c r="M876" i="1" s="1"/>
  <c r="O876" i="1" s="1"/>
  <c r="P876" i="1" s="1"/>
  <c r="T875" i="1"/>
  <c r="U875" i="1" s="1"/>
  <c r="V875" i="1" s="1"/>
  <c r="W875" i="1" s="1"/>
  <c r="L875" i="1"/>
  <c r="M875" i="1" s="1"/>
  <c r="O875" i="1" s="1"/>
  <c r="P875" i="1" s="1"/>
  <c r="T874" i="1"/>
  <c r="U874" i="1" s="1"/>
  <c r="V874" i="1" s="1"/>
  <c r="W874" i="1" s="1"/>
  <c r="X874" i="1" s="1"/>
  <c r="L874" i="1"/>
  <c r="M874" i="1" s="1"/>
  <c r="O874" i="1" s="1"/>
  <c r="P874" i="1" s="1"/>
  <c r="T873" i="1"/>
  <c r="U873" i="1" s="1"/>
  <c r="V873" i="1" s="1"/>
  <c r="W873" i="1" s="1"/>
  <c r="X873" i="1" s="1"/>
  <c r="L873" i="1"/>
  <c r="M873" i="1" s="1"/>
  <c r="T872" i="1"/>
  <c r="L872" i="1"/>
  <c r="M872" i="1" s="1"/>
  <c r="O872" i="1" s="1"/>
  <c r="P872" i="1" s="1"/>
  <c r="T871" i="1"/>
  <c r="U871" i="1" s="1"/>
  <c r="V871" i="1" s="1"/>
  <c r="L871" i="1"/>
  <c r="M871" i="1" s="1"/>
  <c r="O871" i="1" s="1"/>
  <c r="P871" i="1" s="1"/>
  <c r="T870" i="1"/>
  <c r="U870" i="1" s="1"/>
  <c r="V870" i="1" s="1"/>
  <c r="W870" i="1" s="1"/>
  <c r="X870" i="1" s="1"/>
  <c r="L870" i="1"/>
  <c r="M870" i="1" s="1"/>
  <c r="O870" i="1" s="1"/>
  <c r="P870" i="1" s="1"/>
  <c r="T869" i="1"/>
  <c r="U869" i="1" s="1"/>
  <c r="L869" i="1"/>
  <c r="M869" i="1" s="1"/>
  <c r="O869" i="1" s="1"/>
  <c r="P869" i="1" s="1"/>
  <c r="T868" i="1"/>
  <c r="U868" i="1" s="1"/>
  <c r="L868" i="1"/>
  <c r="M868" i="1" s="1"/>
  <c r="O868" i="1" s="1"/>
  <c r="P868" i="1" s="1"/>
  <c r="T867" i="1"/>
  <c r="L867" i="1"/>
  <c r="M867" i="1" s="1"/>
  <c r="O867" i="1" s="1"/>
  <c r="P867" i="1" s="1"/>
  <c r="T866" i="1"/>
  <c r="L866" i="1"/>
  <c r="M866" i="1" s="1"/>
  <c r="T865" i="1"/>
  <c r="U865" i="1" s="1"/>
  <c r="V865" i="1" s="1"/>
  <c r="W865" i="1" s="1"/>
  <c r="X865" i="1" s="1"/>
  <c r="L865" i="1"/>
  <c r="M865" i="1" s="1"/>
  <c r="O865" i="1" s="1"/>
  <c r="P865" i="1" s="1"/>
  <c r="T864" i="1"/>
  <c r="U864" i="1" s="1"/>
  <c r="L864" i="1"/>
  <c r="M864" i="1" s="1"/>
  <c r="O864" i="1" s="1"/>
  <c r="T863" i="1"/>
  <c r="U863" i="1" s="1"/>
  <c r="V863" i="1" s="1"/>
  <c r="L863" i="1"/>
  <c r="M863" i="1" s="1"/>
  <c r="T862" i="1"/>
  <c r="L862" i="1"/>
  <c r="M862" i="1" s="1"/>
  <c r="O862" i="1" s="1"/>
  <c r="P862" i="1" s="1"/>
  <c r="T861" i="1"/>
  <c r="U861" i="1" s="1"/>
  <c r="V861" i="1" s="1"/>
  <c r="L861" i="1"/>
  <c r="M861" i="1" s="1"/>
  <c r="O861" i="1" s="1"/>
  <c r="T860" i="1"/>
  <c r="U860" i="1" s="1"/>
  <c r="V860" i="1" s="1"/>
  <c r="W860" i="1" s="1"/>
  <c r="L860" i="1"/>
  <c r="M860" i="1" s="1"/>
  <c r="O860" i="1" s="1"/>
  <c r="P860" i="1" s="1"/>
  <c r="T859" i="1"/>
  <c r="U859" i="1" s="1"/>
  <c r="V859" i="1" s="1"/>
  <c r="L859" i="1"/>
  <c r="M859" i="1" s="1"/>
  <c r="T858" i="1"/>
  <c r="U858" i="1" s="1"/>
  <c r="V858" i="1" s="1"/>
  <c r="W858" i="1" s="1"/>
  <c r="X858" i="1" s="1"/>
  <c r="L858" i="1"/>
  <c r="M858" i="1" s="1"/>
  <c r="O858" i="1" s="1"/>
  <c r="T857" i="1"/>
  <c r="L857" i="1"/>
  <c r="M857" i="1" s="1"/>
  <c r="T856" i="1"/>
  <c r="L856" i="1"/>
  <c r="M856" i="1" s="1"/>
  <c r="O856" i="1" s="1"/>
  <c r="T855" i="1"/>
  <c r="U855" i="1" s="1"/>
  <c r="V855" i="1" s="1"/>
  <c r="W855" i="1" s="1"/>
  <c r="X855" i="1" s="1"/>
  <c r="L855" i="1"/>
  <c r="M855" i="1" s="1"/>
  <c r="O855" i="1" s="1"/>
  <c r="P855" i="1" s="1"/>
  <c r="T854" i="1"/>
  <c r="U854" i="1" s="1"/>
  <c r="L854" i="1"/>
  <c r="M854" i="1" s="1"/>
  <c r="O854" i="1" s="1"/>
  <c r="P854" i="1" s="1"/>
  <c r="T853" i="1"/>
  <c r="U853" i="1" s="1"/>
  <c r="V853" i="1" s="1"/>
  <c r="W853" i="1" s="1"/>
  <c r="X853" i="1" s="1"/>
  <c r="L853" i="1"/>
  <c r="M853" i="1" s="1"/>
  <c r="O853" i="1" s="1"/>
  <c r="P853" i="1" s="1"/>
  <c r="T852" i="1"/>
  <c r="U852" i="1" s="1"/>
  <c r="L852" i="1"/>
  <c r="M852" i="1" s="1"/>
  <c r="O852" i="1" s="1"/>
  <c r="P852" i="1" s="1"/>
  <c r="T851" i="1"/>
  <c r="U851" i="1" s="1"/>
  <c r="V851" i="1" s="1"/>
  <c r="W851" i="1" s="1"/>
  <c r="X851" i="1" s="1"/>
  <c r="L851" i="1"/>
  <c r="M851" i="1" s="1"/>
  <c r="T850" i="1"/>
  <c r="U850" i="1" s="1"/>
  <c r="L850" i="1"/>
  <c r="M850" i="1" s="1"/>
  <c r="O850" i="1" s="1"/>
  <c r="P850" i="1" s="1"/>
  <c r="T849" i="1"/>
  <c r="U849" i="1" s="1"/>
  <c r="V849" i="1" s="1"/>
  <c r="L849" i="1"/>
  <c r="M849" i="1" s="1"/>
  <c r="O849" i="1" s="1"/>
  <c r="T848" i="1"/>
  <c r="U848" i="1" s="1"/>
  <c r="V848" i="1" s="1"/>
  <c r="L848" i="1"/>
  <c r="M848" i="1" s="1"/>
  <c r="O848" i="1" s="1"/>
  <c r="P848" i="1" s="1"/>
  <c r="T847" i="1"/>
  <c r="U847" i="1" s="1"/>
  <c r="V847" i="1" s="1"/>
  <c r="W847" i="1" s="1"/>
  <c r="X847" i="1" s="1"/>
  <c r="L847" i="1"/>
  <c r="M847" i="1" s="1"/>
  <c r="O847" i="1" s="1"/>
  <c r="T846" i="1"/>
  <c r="U846" i="1" s="1"/>
  <c r="V846" i="1" s="1"/>
  <c r="W846" i="1" s="1"/>
  <c r="L846" i="1"/>
  <c r="M846" i="1" s="1"/>
  <c r="O846" i="1" s="1"/>
  <c r="P846" i="1" s="1"/>
  <c r="T845" i="1"/>
  <c r="U845" i="1" s="1"/>
  <c r="V845" i="1" s="1"/>
  <c r="L845" i="1"/>
  <c r="M845" i="1" s="1"/>
  <c r="O845" i="1" s="1"/>
  <c r="T844" i="1"/>
  <c r="L844" i="1"/>
  <c r="M844" i="1" s="1"/>
  <c r="T843" i="1"/>
  <c r="U843" i="1" s="1"/>
  <c r="L843" i="1"/>
  <c r="M843" i="1" s="1"/>
  <c r="O843" i="1" s="1"/>
  <c r="P843" i="1" s="1"/>
  <c r="T842" i="1"/>
  <c r="U842" i="1" s="1"/>
  <c r="V842" i="1" s="1"/>
  <c r="W842" i="1" s="1"/>
  <c r="L842" i="1"/>
  <c r="M842" i="1" s="1"/>
  <c r="T841" i="1"/>
  <c r="U841" i="1" s="1"/>
  <c r="V841" i="1" s="1"/>
  <c r="W841" i="1" s="1"/>
  <c r="X841" i="1" s="1"/>
  <c r="L841" i="1"/>
  <c r="M841" i="1" s="1"/>
  <c r="O841" i="1" s="1"/>
  <c r="P841" i="1" s="1"/>
  <c r="T840" i="1"/>
  <c r="U840" i="1" s="1"/>
  <c r="V840" i="1" s="1"/>
  <c r="W840" i="1" s="1"/>
  <c r="X840" i="1" s="1"/>
  <c r="L840" i="1"/>
  <c r="M840" i="1" s="1"/>
  <c r="O840" i="1" s="1"/>
  <c r="T839" i="1"/>
  <c r="U839" i="1" s="1"/>
  <c r="V839" i="1" s="1"/>
  <c r="L839" i="1"/>
  <c r="M839" i="1" s="1"/>
  <c r="O839" i="1" s="1"/>
  <c r="P839" i="1" s="1"/>
  <c r="T838" i="1"/>
  <c r="U838" i="1" s="1"/>
  <c r="V838" i="1" s="1"/>
  <c r="W838" i="1" s="1"/>
  <c r="L838" i="1"/>
  <c r="M838" i="1" s="1"/>
  <c r="T837" i="1"/>
  <c r="U837" i="1" s="1"/>
  <c r="V837" i="1" s="1"/>
  <c r="W837" i="1" s="1"/>
  <c r="L837" i="1"/>
  <c r="M837" i="1" s="1"/>
  <c r="O837" i="1" s="1"/>
  <c r="P837" i="1" s="1"/>
  <c r="T836" i="1"/>
  <c r="U836" i="1" s="1"/>
  <c r="V836" i="1" s="1"/>
  <c r="W836" i="1" s="1"/>
  <c r="L836" i="1"/>
  <c r="M836" i="1" s="1"/>
  <c r="O836" i="1" s="1"/>
  <c r="P836" i="1" s="1"/>
  <c r="T835" i="1"/>
  <c r="L835" i="1"/>
  <c r="M835" i="1" s="1"/>
  <c r="T834" i="1"/>
  <c r="U834" i="1" s="1"/>
  <c r="V834" i="1" s="1"/>
  <c r="W834" i="1" s="1"/>
  <c r="X834" i="1" s="1"/>
  <c r="L834" i="1"/>
  <c r="M834" i="1" s="1"/>
  <c r="O834" i="1" s="1"/>
  <c r="T833" i="1"/>
  <c r="U833" i="1" s="1"/>
  <c r="V833" i="1" s="1"/>
  <c r="W833" i="1" s="1"/>
  <c r="L833" i="1"/>
  <c r="M833" i="1" s="1"/>
  <c r="O833" i="1" s="1"/>
  <c r="P833" i="1" s="1"/>
  <c r="T832" i="1"/>
  <c r="L832" i="1"/>
  <c r="M832" i="1" s="1"/>
  <c r="T831" i="1"/>
  <c r="U831" i="1" s="1"/>
  <c r="L831" i="1"/>
  <c r="M831" i="1" s="1"/>
  <c r="O831" i="1" s="1"/>
  <c r="T830" i="1"/>
  <c r="U830" i="1" s="1"/>
  <c r="V830" i="1" s="1"/>
  <c r="L830" i="1"/>
  <c r="M830" i="1" s="1"/>
  <c r="O830" i="1" s="1"/>
  <c r="T829" i="1"/>
  <c r="U829" i="1" s="1"/>
  <c r="V829" i="1" s="1"/>
  <c r="W829" i="1" s="1"/>
  <c r="X829" i="1" s="1"/>
  <c r="L829" i="1"/>
  <c r="M829" i="1" s="1"/>
  <c r="O829" i="1" s="1"/>
  <c r="T828" i="1"/>
  <c r="U828" i="1" s="1"/>
  <c r="V828" i="1" s="1"/>
  <c r="W828" i="1" s="1"/>
  <c r="L828" i="1"/>
  <c r="M828" i="1" s="1"/>
  <c r="O828" i="1" s="1"/>
  <c r="P828" i="1" s="1"/>
  <c r="T827" i="1"/>
  <c r="U827" i="1" s="1"/>
  <c r="V827" i="1" s="1"/>
  <c r="L827" i="1"/>
  <c r="M827" i="1" s="1"/>
  <c r="T826" i="1"/>
  <c r="L826" i="1"/>
  <c r="M826" i="1" s="1"/>
  <c r="O826" i="1" s="1"/>
  <c r="P826" i="1" s="1"/>
  <c r="T825" i="1"/>
  <c r="U825" i="1" s="1"/>
  <c r="L825" i="1"/>
  <c r="M825" i="1" s="1"/>
  <c r="O825" i="1" s="1"/>
  <c r="T824" i="1"/>
  <c r="U824" i="1" s="1"/>
  <c r="V824" i="1" s="1"/>
  <c r="W824" i="1" s="1"/>
  <c r="L824" i="1"/>
  <c r="M824" i="1" s="1"/>
  <c r="O824" i="1" s="1"/>
  <c r="P824" i="1" s="1"/>
  <c r="T823" i="1"/>
  <c r="U823" i="1" s="1"/>
  <c r="V823" i="1" s="1"/>
  <c r="L823" i="1"/>
  <c r="M823" i="1" s="1"/>
  <c r="O823" i="1" s="1"/>
  <c r="P823" i="1" s="1"/>
  <c r="T822" i="1"/>
  <c r="U822" i="1" s="1"/>
  <c r="L822" i="1"/>
  <c r="M822" i="1" s="1"/>
  <c r="O822" i="1" s="1"/>
  <c r="P822" i="1" s="1"/>
  <c r="T821" i="1"/>
  <c r="U821" i="1" s="1"/>
  <c r="L821" i="1"/>
  <c r="M821" i="1" s="1"/>
  <c r="T820" i="1"/>
  <c r="U820" i="1" s="1"/>
  <c r="V820" i="1" s="1"/>
  <c r="W820" i="1" s="1"/>
  <c r="X820" i="1" s="1"/>
  <c r="L820" i="1"/>
  <c r="M820" i="1" s="1"/>
  <c r="O820" i="1" s="1"/>
  <c r="T819" i="1"/>
  <c r="U819" i="1" s="1"/>
  <c r="V819" i="1" s="1"/>
  <c r="W819" i="1" s="1"/>
  <c r="L819" i="1"/>
  <c r="M819" i="1" s="1"/>
  <c r="O819" i="1" s="1"/>
  <c r="T818" i="1"/>
  <c r="U818" i="1" s="1"/>
  <c r="L818" i="1"/>
  <c r="M818" i="1" s="1"/>
  <c r="T817" i="1"/>
  <c r="U817" i="1" s="1"/>
  <c r="V817" i="1" s="1"/>
  <c r="L817" i="1"/>
  <c r="M817" i="1" s="1"/>
  <c r="T816" i="1"/>
  <c r="U816" i="1" s="1"/>
  <c r="V816" i="1" s="1"/>
  <c r="L816" i="1"/>
  <c r="M816" i="1" s="1"/>
  <c r="O816" i="1" s="1"/>
  <c r="T815" i="1"/>
  <c r="U815" i="1" s="1"/>
  <c r="V815" i="1" s="1"/>
  <c r="W815" i="1" s="1"/>
  <c r="L815" i="1"/>
  <c r="M815" i="1" s="1"/>
  <c r="O815" i="1" s="1"/>
  <c r="P815" i="1" s="1"/>
  <c r="T814" i="1"/>
  <c r="U814" i="1" s="1"/>
  <c r="V814" i="1" s="1"/>
  <c r="L814" i="1"/>
  <c r="M814" i="1" s="1"/>
  <c r="T813" i="1"/>
  <c r="U813" i="1" s="1"/>
  <c r="V813" i="1" s="1"/>
  <c r="L813" i="1"/>
  <c r="M813" i="1" s="1"/>
  <c r="O813" i="1" s="1"/>
  <c r="P813" i="1" s="1"/>
  <c r="T812" i="1"/>
  <c r="U812" i="1" s="1"/>
  <c r="V812" i="1" s="1"/>
  <c r="L812" i="1"/>
  <c r="M812" i="1" s="1"/>
  <c r="O812" i="1" s="1"/>
  <c r="P812" i="1" s="1"/>
  <c r="T811" i="1"/>
  <c r="U811" i="1" s="1"/>
  <c r="L811" i="1"/>
  <c r="M811" i="1" s="1"/>
  <c r="O811" i="1" s="1"/>
  <c r="P811" i="1" s="1"/>
  <c r="T810" i="1"/>
  <c r="U810" i="1" s="1"/>
  <c r="L810" i="1"/>
  <c r="M810" i="1" s="1"/>
  <c r="O810" i="1" s="1"/>
  <c r="P810" i="1" s="1"/>
  <c r="T809" i="1"/>
  <c r="U809" i="1" s="1"/>
  <c r="V809" i="1" s="1"/>
  <c r="L809" i="1"/>
  <c r="M809" i="1" s="1"/>
  <c r="O809" i="1" s="1"/>
  <c r="T808" i="1"/>
  <c r="U808" i="1" s="1"/>
  <c r="V808" i="1" s="1"/>
  <c r="W808" i="1" s="1"/>
  <c r="L808" i="1"/>
  <c r="M808" i="1" s="1"/>
  <c r="O808" i="1" s="1"/>
  <c r="P808" i="1" s="1"/>
  <c r="T807" i="1"/>
  <c r="U807" i="1" s="1"/>
  <c r="L807" i="1"/>
  <c r="M807" i="1" s="1"/>
  <c r="T806" i="1"/>
  <c r="U806" i="1" s="1"/>
  <c r="L806" i="1"/>
  <c r="M806" i="1" s="1"/>
  <c r="O806" i="1" s="1"/>
  <c r="T805" i="1"/>
  <c r="U805" i="1" s="1"/>
  <c r="L805" i="1"/>
  <c r="M805" i="1" s="1"/>
  <c r="O805" i="1" s="1"/>
  <c r="T804" i="1"/>
  <c r="U804" i="1" s="1"/>
  <c r="V804" i="1" s="1"/>
  <c r="L804" i="1"/>
  <c r="M804" i="1" s="1"/>
  <c r="O804" i="1" s="1"/>
  <c r="P804" i="1" s="1"/>
  <c r="T803" i="1"/>
  <c r="U803" i="1" s="1"/>
  <c r="V803" i="1" s="1"/>
  <c r="W803" i="1" s="1"/>
  <c r="L803" i="1"/>
  <c r="M803" i="1" s="1"/>
  <c r="O803" i="1" s="1"/>
  <c r="T802" i="1"/>
  <c r="U802" i="1" s="1"/>
  <c r="L802" i="1"/>
  <c r="M802" i="1" s="1"/>
  <c r="O802" i="1" s="1"/>
  <c r="P802" i="1" s="1"/>
  <c r="T801" i="1"/>
  <c r="U801" i="1" s="1"/>
  <c r="V801" i="1" s="1"/>
  <c r="L801" i="1"/>
  <c r="M801" i="1" s="1"/>
  <c r="T800" i="1"/>
  <c r="U800" i="1" s="1"/>
  <c r="L800" i="1"/>
  <c r="M800" i="1" s="1"/>
  <c r="T799" i="1"/>
  <c r="U799" i="1" s="1"/>
  <c r="L799" i="1"/>
  <c r="M799" i="1" s="1"/>
  <c r="O799" i="1" s="1"/>
  <c r="T798" i="1"/>
  <c r="L798" i="1"/>
  <c r="M798" i="1" s="1"/>
  <c r="T797" i="1"/>
  <c r="U797" i="1" s="1"/>
  <c r="L797" i="1"/>
  <c r="M797" i="1" s="1"/>
  <c r="O797" i="1" s="1"/>
  <c r="P797" i="1" s="1"/>
  <c r="T796" i="1"/>
  <c r="U796" i="1" s="1"/>
  <c r="L796" i="1"/>
  <c r="M796" i="1" s="1"/>
  <c r="O796" i="1" s="1"/>
  <c r="P796" i="1" s="1"/>
  <c r="T795" i="1"/>
  <c r="U795" i="1" s="1"/>
  <c r="V795" i="1" s="1"/>
  <c r="L795" i="1"/>
  <c r="M795" i="1" s="1"/>
  <c r="O795" i="1" s="1"/>
  <c r="P795" i="1" s="1"/>
  <c r="T794" i="1"/>
  <c r="U794" i="1" s="1"/>
  <c r="V794" i="1" s="1"/>
  <c r="W794" i="1" s="1"/>
  <c r="L794" i="1"/>
  <c r="M794" i="1" s="1"/>
  <c r="O794" i="1" s="1"/>
  <c r="P794" i="1" s="1"/>
  <c r="T793" i="1"/>
  <c r="U793" i="1" s="1"/>
  <c r="L793" i="1"/>
  <c r="M793" i="1" s="1"/>
  <c r="O793" i="1" s="1"/>
  <c r="P793" i="1" s="1"/>
  <c r="T792" i="1"/>
  <c r="L792" i="1"/>
  <c r="M792" i="1" s="1"/>
  <c r="T791" i="1"/>
  <c r="U791" i="1" s="1"/>
  <c r="V791" i="1" s="1"/>
  <c r="W791" i="1" s="1"/>
  <c r="X791" i="1" s="1"/>
  <c r="L791" i="1"/>
  <c r="M791" i="1" s="1"/>
  <c r="O791" i="1" s="1"/>
  <c r="P791" i="1" s="1"/>
  <c r="T790" i="1"/>
  <c r="L790" i="1"/>
  <c r="M790" i="1" s="1"/>
  <c r="T789" i="1"/>
  <c r="U789" i="1" s="1"/>
  <c r="V789" i="1" s="1"/>
  <c r="W789" i="1" s="1"/>
  <c r="L789" i="1"/>
  <c r="M789" i="1" s="1"/>
  <c r="O789" i="1" s="1"/>
  <c r="P789" i="1" s="1"/>
  <c r="T788" i="1"/>
  <c r="U788" i="1" s="1"/>
  <c r="V788" i="1" s="1"/>
  <c r="L788" i="1"/>
  <c r="M788" i="1" s="1"/>
  <c r="O788" i="1" s="1"/>
  <c r="T787" i="1"/>
  <c r="U787" i="1" s="1"/>
  <c r="V787" i="1" s="1"/>
  <c r="L787" i="1"/>
  <c r="M787" i="1" s="1"/>
  <c r="O787" i="1" s="1"/>
  <c r="P787" i="1" s="1"/>
  <c r="T786" i="1"/>
  <c r="U786" i="1" s="1"/>
  <c r="V786" i="1" s="1"/>
  <c r="W786" i="1" s="1"/>
  <c r="L786" i="1"/>
  <c r="M786" i="1" s="1"/>
  <c r="O786" i="1" s="1"/>
  <c r="P786" i="1" s="1"/>
  <c r="T785" i="1"/>
  <c r="U785" i="1" s="1"/>
  <c r="L785" i="1"/>
  <c r="M785" i="1" s="1"/>
  <c r="O785" i="1" s="1"/>
  <c r="P785" i="1" s="1"/>
  <c r="T784" i="1"/>
  <c r="U784" i="1" s="1"/>
  <c r="L784" i="1"/>
  <c r="M784" i="1" s="1"/>
  <c r="T783" i="1"/>
  <c r="U783" i="1" s="1"/>
  <c r="V783" i="1" s="1"/>
  <c r="L783" i="1"/>
  <c r="M783" i="1" s="1"/>
  <c r="O783" i="1" s="1"/>
  <c r="P783" i="1" s="1"/>
  <c r="T782" i="1"/>
  <c r="U782" i="1" s="1"/>
  <c r="L782" i="1"/>
  <c r="M782" i="1" s="1"/>
  <c r="O782" i="1" s="1"/>
  <c r="T781" i="1"/>
  <c r="U781" i="1" s="1"/>
  <c r="V781" i="1" s="1"/>
  <c r="W781" i="1" s="1"/>
  <c r="L781" i="1"/>
  <c r="M781" i="1" s="1"/>
  <c r="O781" i="1" s="1"/>
  <c r="P781" i="1" s="1"/>
  <c r="T780" i="1"/>
  <c r="U780" i="1" s="1"/>
  <c r="V780" i="1" s="1"/>
  <c r="W780" i="1" s="1"/>
  <c r="X780" i="1" s="1"/>
  <c r="L780" i="1"/>
  <c r="M780" i="1" s="1"/>
  <c r="O780" i="1" s="1"/>
  <c r="T779" i="1"/>
  <c r="U779" i="1" s="1"/>
  <c r="V779" i="1" s="1"/>
  <c r="W779" i="1" s="1"/>
  <c r="X779" i="1" s="1"/>
  <c r="L779" i="1"/>
  <c r="M779" i="1" s="1"/>
  <c r="O779" i="1" s="1"/>
  <c r="P779" i="1" s="1"/>
  <c r="T778" i="1"/>
  <c r="U778" i="1" s="1"/>
  <c r="V778" i="1" s="1"/>
  <c r="W778" i="1" s="1"/>
  <c r="X778" i="1" s="1"/>
  <c r="L778" i="1"/>
  <c r="M778" i="1" s="1"/>
  <c r="O778" i="1" s="1"/>
  <c r="T777" i="1"/>
  <c r="U777" i="1" s="1"/>
  <c r="L777" i="1"/>
  <c r="M777" i="1" s="1"/>
  <c r="O777" i="1" s="1"/>
  <c r="P777" i="1" s="1"/>
  <c r="T776" i="1"/>
  <c r="U776" i="1" s="1"/>
  <c r="V776" i="1" s="1"/>
  <c r="W776" i="1" s="1"/>
  <c r="X776" i="1" s="1"/>
  <c r="L776" i="1"/>
  <c r="M776" i="1" s="1"/>
  <c r="O776" i="1" s="1"/>
  <c r="P776" i="1" s="1"/>
  <c r="T775" i="1"/>
  <c r="U775" i="1" s="1"/>
  <c r="V775" i="1" s="1"/>
  <c r="W775" i="1" s="1"/>
  <c r="L775" i="1"/>
  <c r="M775" i="1" s="1"/>
  <c r="O775" i="1" s="1"/>
  <c r="P775" i="1" s="1"/>
  <c r="T774" i="1"/>
  <c r="U774" i="1" s="1"/>
  <c r="L774" i="1"/>
  <c r="M774" i="1" s="1"/>
  <c r="T773" i="1"/>
  <c r="U773" i="1" s="1"/>
  <c r="V773" i="1" s="1"/>
  <c r="W773" i="1" s="1"/>
  <c r="X773" i="1" s="1"/>
  <c r="L773" i="1"/>
  <c r="M773" i="1" s="1"/>
  <c r="O773" i="1" s="1"/>
  <c r="T772" i="1"/>
  <c r="U772" i="1" s="1"/>
  <c r="V772" i="1" s="1"/>
  <c r="W772" i="1" s="1"/>
  <c r="X772" i="1" s="1"/>
  <c r="L772" i="1"/>
  <c r="M772" i="1" s="1"/>
  <c r="O772" i="1" s="1"/>
  <c r="T771" i="1"/>
  <c r="U771" i="1" s="1"/>
  <c r="V771" i="1" s="1"/>
  <c r="L771" i="1"/>
  <c r="M771" i="1" s="1"/>
  <c r="T770" i="1"/>
  <c r="U770" i="1" s="1"/>
  <c r="L770" i="1"/>
  <c r="M770" i="1" s="1"/>
  <c r="O770" i="1" s="1"/>
  <c r="P770" i="1" s="1"/>
  <c r="T769" i="1"/>
  <c r="U769" i="1" s="1"/>
  <c r="V769" i="1" s="1"/>
  <c r="W769" i="1" s="1"/>
  <c r="X769" i="1" s="1"/>
  <c r="L769" i="1"/>
  <c r="M769" i="1" s="1"/>
  <c r="O769" i="1" s="1"/>
  <c r="P769" i="1" s="1"/>
  <c r="T768" i="1"/>
  <c r="U768" i="1" s="1"/>
  <c r="V768" i="1" s="1"/>
  <c r="L768" i="1"/>
  <c r="M768" i="1" s="1"/>
  <c r="O768" i="1" s="1"/>
  <c r="P768" i="1" s="1"/>
  <c r="T767" i="1"/>
  <c r="U767" i="1" s="1"/>
  <c r="V767" i="1" s="1"/>
  <c r="W767" i="1" s="1"/>
  <c r="L767" i="1"/>
  <c r="M767" i="1" s="1"/>
  <c r="O767" i="1" s="1"/>
  <c r="P767" i="1" s="1"/>
  <c r="T766" i="1"/>
  <c r="U766" i="1" s="1"/>
  <c r="L766" i="1"/>
  <c r="M766" i="1" s="1"/>
  <c r="O766" i="1" s="1"/>
  <c r="P766" i="1" s="1"/>
  <c r="T765" i="1"/>
  <c r="L765" i="1"/>
  <c r="M765" i="1" s="1"/>
  <c r="O765" i="1" s="1"/>
  <c r="P765" i="1" s="1"/>
  <c r="T764" i="1"/>
  <c r="L764" i="1"/>
  <c r="M764" i="1" s="1"/>
  <c r="O764" i="1" s="1"/>
  <c r="P764" i="1" s="1"/>
  <c r="T763" i="1"/>
  <c r="U763" i="1" s="1"/>
  <c r="V763" i="1" s="1"/>
  <c r="W763" i="1" s="1"/>
  <c r="L763" i="1"/>
  <c r="M763" i="1" s="1"/>
  <c r="O763" i="1" s="1"/>
  <c r="P763" i="1" s="1"/>
  <c r="T762" i="1"/>
  <c r="U762" i="1" s="1"/>
  <c r="L762" i="1"/>
  <c r="M762" i="1" s="1"/>
  <c r="O762" i="1" s="1"/>
  <c r="T761" i="1"/>
  <c r="U761" i="1" s="1"/>
  <c r="V761" i="1" s="1"/>
  <c r="L761" i="1"/>
  <c r="M761" i="1" s="1"/>
  <c r="T760" i="1"/>
  <c r="U760" i="1" s="1"/>
  <c r="L760" i="1"/>
  <c r="M760" i="1" s="1"/>
  <c r="O760" i="1" s="1"/>
  <c r="P760" i="1" s="1"/>
  <c r="T759" i="1"/>
  <c r="U759" i="1" s="1"/>
  <c r="V759" i="1" s="1"/>
  <c r="W759" i="1" s="1"/>
  <c r="L759" i="1"/>
  <c r="M759" i="1" s="1"/>
  <c r="O759" i="1" s="1"/>
  <c r="P759" i="1" s="1"/>
  <c r="T758" i="1"/>
  <c r="U758" i="1" s="1"/>
  <c r="V758" i="1" s="1"/>
  <c r="L758" i="1"/>
  <c r="M758" i="1" s="1"/>
  <c r="T757" i="1"/>
  <c r="U757" i="1" s="1"/>
  <c r="V757" i="1" s="1"/>
  <c r="W757" i="1" s="1"/>
  <c r="L757" i="1"/>
  <c r="M757" i="1" s="1"/>
  <c r="O757" i="1" s="1"/>
  <c r="T756" i="1"/>
  <c r="U756" i="1" s="1"/>
  <c r="V756" i="1" s="1"/>
  <c r="W756" i="1" s="1"/>
  <c r="L756" i="1"/>
  <c r="M756" i="1" s="1"/>
  <c r="O756" i="1" s="1"/>
  <c r="P756" i="1" s="1"/>
  <c r="T755" i="1"/>
  <c r="U755" i="1" s="1"/>
  <c r="V755" i="1" s="1"/>
  <c r="W755" i="1" s="1"/>
  <c r="L755" i="1"/>
  <c r="M755" i="1" s="1"/>
  <c r="O755" i="1" s="1"/>
  <c r="P755" i="1" s="1"/>
  <c r="T754" i="1"/>
  <c r="L754" i="1"/>
  <c r="M754" i="1" s="1"/>
  <c r="T753" i="1"/>
  <c r="U753" i="1" s="1"/>
  <c r="V753" i="1" s="1"/>
  <c r="W753" i="1" s="1"/>
  <c r="X753" i="1" s="1"/>
  <c r="L753" i="1"/>
  <c r="M753" i="1" s="1"/>
  <c r="O753" i="1" s="1"/>
  <c r="T752" i="1"/>
  <c r="U752" i="1" s="1"/>
  <c r="L752" i="1"/>
  <c r="M752" i="1" s="1"/>
  <c r="O752" i="1" s="1"/>
  <c r="T751" i="1"/>
  <c r="U751" i="1" s="1"/>
  <c r="L751" i="1"/>
  <c r="M751" i="1" s="1"/>
  <c r="O751" i="1" s="1"/>
  <c r="P751" i="1" s="1"/>
  <c r="T750" i="1"/>
  <c r="U750" i="1" s="1"/>
  <c r="L750" i="1"/>
  <c r="M750" i="1" s="1"/>
  <c r="O750" i="1" s="1"/>
  <c r="T749" i="1"/>
  <c r="U749" i="1" s="1"/>
  <c r="L749" i="1"/>
  <c r="M749" i="1" s="1"/>
  <c r="O749" i="1" s="1"/>
  <c r="P749" i="1" s="1"/>
  <c r="T748" i="1"/>
  <c r="U748" i="1" s="1"/>
  <c r="V748" i="1" s="1"/>
  <c r="W748" i="1" s="1"/>
  <c r="X748" i="1" s="1"/>
  <c r="L748" i="1"/>
  <c r="M748" i="1" s="1"/>
  <c r="O748" i="1" s="1"/>
  <c r="P748" i="1" s="1"/>
  <c r="T747" i="1"/>
  <c r="U747" i="1" s="1"/>
  <c r="L747" i="1"/>
  <c r="M747" i="1" s="1"/>
  <c r="T746" i="1"/>
  <c r="L746" i="1"/>
  <c r="M746" i="1" s="1"/>
  <c r="O746" i="1" s="1"/>
  <c r="T745" i="1"/>
  <c r="U745" i="1" s="1"/>
  <c r="V745" i="1" s="1"/>
  <c r="W745" i="1" s="1"/>
  <c r="L745" i="1"/>
  <c r="M745" i="1" s="1"/>
  <c r="O745" i="1" s="1"/>
  <c r="T744" i="1"/>
  <c r="U744" i="1" s="1"/>
  <c r="V744" i="1" s="1"/>
  <c r="L744" i="1"/>
  <c r="M744" i="1" s="1"/>
  <c r="O744" i="1" s="1"/>
  <c r="P744" i="1" s="1"/>
  <c r="T743" i="1"/>
  <c r="U743" i="1" s="1"/>
  <c r="V743" i="1" s="1"/>
  <c r="L743" i="1"/>
  <c r="M743" i="1" s="1"/>
  <c r="O743" i="1" s="1"/>
  <c r="T742" i="1"/>
  <c r="U742" i="1" s="1"/>
  <c r="V742" i="1" s="1"/>
  <c r="W742" i="1" s="1"/>
  <c r="X742" i="1" s="1"/>
  <c r="L742" i="1"/>
  <c r="M742" i="1" s="1"/>
  <c r="O742" i="1" s="1"/>
  <c r="P742" i="1" s="1"/>
  <c r="T741" i="1"/>
  <c r="U741" i="1" s="1"/>
  <c r="V741" i="1" s="1"/>
  <c r="W741" i="1" s="1"/>
  <c r="X741" i="1" s="1"/>
  <c r="L741" i="1"/>
  <c r="M741" i="1" s="1"/>
  <c r="O741" i="1" s="1"/>
  <c r="P741" i="1" s="1"/>
  <c r="T740" i="1"/>
  <c r="L740" i="1"/>
  <c r="M740" i="1" s="1"/>
  <c r="O740" i="1" s="1"/>
  <c r="P740" i="1" s="1"/>
  <c r="T739" i="1"/>
  <c r="U739" i="1" s="1"/>
  <c r="V739" i="1" s="1"/>
  <c r="W739" i="1" s="1"/>
  <c r="X739" i="1" s="1"/>
  <c r="L739" i="1"/>
  <c r="M739" i="1" s="1"/>
  <c r="O739" i="1" s="1"/>
  <c r="P739" i="1" s="1"/>
  <c r="T738" i="1"/>
  <c r="U738" i="1" s="1"/>
  <c r="L738" i="1"/>
  <c r="M738" i="1" s="1"/>
  <c r="O738" i="1" s="1"/>
  <c r="P738" i="1" s="1"/>
  <c r="T737" i="1"/>
  <c r="U737" i="1" s="1"/>
  <c r="V737" i="1" s="1"/>
  <c r="L737" i="1"/>
  <c r="M737" i="1" s="1"/>
  <c r="O737" i="1" s="1"/>
  <c r="P737" i="1" s="1"/>
  <c r="T736" i="1"/>
  <c r="L736" i="1"/>
  <c r="M736" i="1" s="1"/>
  <c r="O736" i="1" s="1"/>
  <c r="T735" i="1"/>
  <c r="U735" i="1" s="1"/>
  <c r="L735" i="1"/>
  <c r="M735" i="1" s="1"/>
  <c r="O735" i="1" s="1"/>
  <c r="T734" i="1"/>
  <c r="U734" i="1" s="1"/>
  <c r="L734" i="1"/>
  <c r="M734" i="1" s="1"/>
  <c r="O734" i="1" s="1"/>
  <c r="P734" i="1" s="1"/>
  <c r="T733" i="1"/>
  <c r="U733" i="1" s="1"/>
  <c r="L733" i="1"/>
  <c r="M733" i="1" s="1"/>
  <c r="O733" i="1" s="1"/>
  <c r="P733" i="1" s="1"/>
  <c r="T732" i="1"/>
  <c r="U732" i="1" s="1"/>
  <c r="V732" i="1" s="1"/>
  <c r="L732" i="1"/>
  <c r="M732" i="1" s="1"/>
  <c r="O732" i="1" s="1"/>
  <c r="T731" i="1"/>
  <c r="U731" i="1" s="1"/>
  <c r="V731" i="1" s="1"/>
  <c r="W731" i="1" s="1"/>
  <c r="X731" i="1" s="1"/>
  <c r="L731" i="1"/>
  <c r="M731" i="1" s="1"/>
  <c r="O731" i="1" s="1"/>
  <c r="P731" i="1" s="1"/>
  <c r="T730" i="1"/>
  <c r="L730" i="1"/>
  <c r="M730" i="1" s="1"/>
  <c r="O730" i="1" s="1"/>
  <c r="P730" i="1" s="1"/>
  <c r="T729" i="1"/>
  <c r="U729" i="1" s="1"/>
  <c r="V729" i="1" s="1"/>
  <c r="L729" i="1"/>
  <c r="M729" i="1" s="1"/>
  <c r="O729" i="1" s="1"/>
  <c r="T728" i="1"/>
  <c r="L728" i="1"/>
  <c r="M728" i="1" s="1"/>
  <c r="O728" i="1" s="1"/>
  <c r="T727" i="1"/>
  <c r="L727" i="1"/>
  <c r="M727" i="1" s="1"/>
  <c r="O727" i="1" s="1"/>
  <c r="P727" i="1" s="1"/>
  <c r="T726" i="1"/>
  <c r="U726" i="1" s="1"/>
  <c r="V726" i="1" s="1"/>
  <c r="W726" i="1" s="1"/>
  <c r="X726" i="1" s="1"/>
  <c r="L726" i="1"/>
  <c r="M726" i="1" s="1"/>
  <c r="T725" i="1"/>
  <c r="U725" i="1" s="1"/>
  <c r="L725" i="1"/>
  <c r="M725" i="1" s="1"/>
  <c r="T724" i="1"/>
  <c r="L724" i="1"/>
  <c r="M724" i="1" s="1"/>
  <c r="T723" i="1"/>
  <c r="U723" i="1" s="1"/>
  <c r="V723" i="1" s="1"/>
  <c r="L723" i="1"/>
  <c r="M723" i="1" s="1"/>
  <c r="O723" i="1" s="1"/>
  <c r="P723" i="1" s="1"/>
  <c r="T722" i="1"/>
  <c r="L722" i="1"/>
  <c r="M722" i="1" s="1"/>
  <c r="O722" i="1" s="1"/>
  <c r="P722" i="1" s="1"/>
  <c r="T721" i="1"/>
  <c r="U721" i="1" s="1"/>
  <c r="L721" i="1"/>
  <c r="M721" i="1" s="1"/>
  <c r="T720" i="1"/>
  <c r="U720" i="1" s="1"/>
  <c r="V720" i="1" s="1"/>
  <c r="W720" i="1" s="1"/>
  <c r="L720" i="1"/>
  <c r="M720" i="1" s="1"/>
  <c r="O720" i="1" s="1"/>
  <c r="P720" i="1" s="1"/>
  <c r="T719" i="1"/>
  <c r="U719" i="1" s="1"/>
  <c r="V719" i="1" s="1"/>
  <c r="W719" i="1" s="1"/>
  <c r="L719" i="1"/>
  <c r="M719" i="1" s="1"/>
  <c r="O719" i="1" s="1"/>
  <c r="T718" i="1"/>
  <c r="U718" i="1" s="1"/>
  <c r="V718" i="1" s="1"/>
  <c r="L718" i="1"/>
  <c r="M718" i="1" s="1"/>
  <c r="O718" i="1" s="1"/>
  <c r="P718" i="1" s="1"/>
  <c r="T717" i="1"/>
  <c r="U717" i="1" s="1"/>
  <c r="V717" i="1" s="1"/>
  <c r="W717" i="1" s="1"/>
  <c r="X717" i="1" s="1"/>
  <c r="L717" i="1"/>
  <c r="M717" i="1" s="1"/>
  <c r="O717" i="1" s="1"/>
  <c r="T716" i="1"/>
  <c r="U716" i="1" s="1"/>
  <c r="V716" i="1" s="1"/>
  <c r="L716" i="1"/>
  <c r="M716" i="1" s="1"/>
  <c r="O716" i="1" s="1"/>
  <c r="P716" i="1" s="1"/>
  <c r="T715" i="1"/>
  <c r="U715" i="1" s="1"/>
  <c r="V715" i="1" s="1"/>
  <c r="W715" i="1" s="1"/>
  <c r="X715" i="1" s="1"/>
  <c r="L715" i="1"/>
  <c r="M715" i="1" s="1"/>
  <c r="T714" i="1"/>
  <c r="L714" i="1"/>
  <c r="M714" i="1" s="1"/>
  <c r="T713" i="1"/>
  <c r="U713" i="1" s="1"/>
  <c r="V713" i="1" s="1"/>
  <c r="W713" i="1" s="1"/>
  <c r="X713" i="1" s="1"/>
  <c r="L713" i="1"/>
  <c r="M713" i="1" s="1"/>
  <c r="O713" i="1" s="1"/>
  <c r="P713" i="1" s="1"/>
  <c r="T712" i="1"/>
  <c r="U712" i="1" s="1"/>
  <c r="V712" i="1" s="1"/>
  <c r="W712" i="1" s="1"/>
  <c r="X712" i="1" s="1"/>
  <c r="L712" i="1"/>
  <c r="M712" i="1" s="1"/>
  <c r="O712" i="1" s="1"/>
  <c r="P712" i="1" s="1"/>
  <c r="T711" i="1"/>
  <c r="U711" i="1" s="1"/>
  <c r="V711" i="1" s="1"/>
  <c r="W711" i="1" s="1"/>
  <c r="X711" i="1" s="1"/>
  <c r="L711" i="1"/>
  <c r="M711" i="1" s="1"/>
  <c r="O711" i="1" s="1"/>
  <c r="T710" i="1"/>
  <c r="U710" i="1" s="1"/>
  <c r="L710" i="1"/>
  <c r="M710" i="1" s="1"/>
  <c r="O710" i="1" s="1"/>
  <c r="P710" i="1" s="1"/>
  <c r="T709" i="1"/>
  <c r="U709" i="1" s="1"/>
  <c r="V709" i="1" s="1"/>
  <c r="W709" i="1" s="1"/>
  <c r="X709" i="1" s="1"/>
  <c r="L709" i="1"/>
  <c r="M709" i="1" s="1"/>
  <c r="O709" i="1" s="1"/>
  <c r="P709" i="1" s="1"/>
  <c r="T708" i="1"/>
  <c r="U708" i="1" s="1"/>
  <c r="V708" i="1" s="1"/>
  <c r="L708" i="1"/>
  <c r="M708" i="1" s="1"/>
  <c r="T707" i="1"/>
  <c r="U707" i="1" s="1"/>
  <c r="V707" i="1" s="1"/>
  <c r="W707" i="1" s="1"/>
  <c r="L707" i="1"/>
  <c r="M707" i="1" s="1"/>
  <c r="O707" i="1" s="1"/>
  <c r="T706" i="1"/>
  <c r="L706" i="1"/>
  <c r="M706" i="1" s="1"/>
  <c r="O706" i="1" s="1"/>
  <c r="P706" i="1" s="1"/>
  <c r="T705" i="1"/>
  <c r="U705" i="1" s="1"/>
  <c r="L705" i="1"/>
  <c r="M705" i="1" s="1"/>
  <c r="O705" i="1" s="1"/>
  <c r="P705" i="1" s="1"/>
  <c r="T704" i="1"/>
  <c r="U704" i="1" s="1"/>
  <c r="V704" i="1" s="1"/>
  <c r="W704" i="1" s="1"/>
  <c r="X704" i="1" s="1"/>
  <c r="L704" i="1"/>
  <c r="M704" i="1" s="1"/>
  <c r="O704" i="1" s="1"/>
  <c r="T703" i="1"/>
  <c r="U703" i="1" s="1"/>
  <c r="V703" i="1" s="1"/>
  <c r="W703" i="1" s="1"/>
  <c r="L703" i="1"/>
  <c r="M703" i="1" s="1"/>
  <c r="O703" i="1" s="1"/>
  <c r="P703" i="1" s="1"/>
  <c r="T702" i="1"/>
  <c r="U702" i="1" s="1"/>
  <c r="V702" i="1" s="1"/>
  <c r="L702" i="1"/>
  <c r="M702" i="1" s="1"/>
  <c r="O702" i="1" s="1"/>
  <c r="P702" i="1" s="1"/>
  <c r="T701" i="1"/>
  <c r="U701" i="1" s="1"/>
  <c r="V701" i="1" s="1"/>
  <c r="W701" i="1" s="1"/>
  <c r="X701" i="1" s="1"/>
  <c r="L701" i="1"/>
  <c r="M701" i="1" s="1"/>
  <c r="O701" i="1" s="1"/>
  <c r="P701" i="1" s="1"/>
  <c r="T700" i="1"/>
  <c r="U700" i="1" s="1"/>
  <c r="L700" i="1"/>
  <c r="M700" i="1" s="1"/>
  <c r="O700" i="1" s="1"/>
  <c r="T699" i="1"/>
  <c r="U699" i="1" s="1"/>
  <c r="L699" i="1"/>
  <c r="M699" i="1" s="1"/>
  <c r="T698" i="1"/>
  <c r="L698" i="1"/>
  <c r="M698" i="1" s="1"/>
  <c r="O698" i="1" s="1"/>
  <c r="T697" i="1"/>
  <c r="U697" i="1" s="1"/>
  <c r="V697" i="1" s="1"/>
  <c r="L697" i="1"/>
  <c r="M697" i="1" s="1"/>
  <c r="T696" i="1"/>
  <c r="U696" i="1" s="1"/>
  <c r="L696" i="1"/>
  <c r="M696" i="1" s="1"/>
  <c r="O696" i="1" s="1"/>
  <c r="P696" i="1" s="1"/>
  <c r="T695" i="1"/>
  <c r="U695" i="1" s="1"/>
  <c r="V695" i="1" s="1"/>
  <c r="L695" i="1"/>
  <c r="M695" i="1" s="1"/>
  <c r="O695" i="1" s="1"/>
  <c r="P695" i="1" s="1"/>
  <c r="T694" i="1"/>
  <c r="L694" i="1"/>
  <c r="M694" i="1" s="1"/>
  <c r="O694" i="1" s="1"/>
  <c r="P694" i="1" s="1"/>
  <c r="T693" i="1"/>
  <c r="U693" i="1" s="1"/>
  <c r="L693" i="1"/>
  <c r="M693" i="1" s="1"/>
  <c r="O693" i="1" s="1"/>
  <c r="P693" i="1" s="1"/>
  <c r="T692" i="1"/>
  <c r="U692" i="1" s="1"/>
  <c r="V692" i="1" s="1"/>
  <c r="W692" i="1" s="1"/>
  <c r="L692" i="1"/>
  <c r="M692" i="1" s="1"/>
  <c r="O692" i="1" s="1"/>
  <c r="T691" i="1"/>
  <c r="U691" i="1" s="1"/>
  <c r="V691" i="1" s="1"/>
  <c r="W691" i="1" s="1"/>
  <c r="X691" i="1" s="1"/>
  <c r="L691" i="1"/>
  <c r="M691" i="1" s="1"/>
  <c r="O691" i="1" s="1"/>
  <c r="P691" i="1" s="1"/>
  <c r="T690" i="1"/>
  <c r="L690" i="1"/>
  <c r="M690" i="1" s="1"/>
  <c r="O690" i="1" s="1"/>
  <c r="T689" i="1"/>
  <c r="U689" i="1" s="1"/>
  <c r="V689" i="1" s="1"/>
  <c r="W689" i="1" s="1"/>
  <c r="L689" i="1"/>
  <c r="M689" i="1" s="1"/>
  <c r="O689" i="1" s="1"/>
  <c r="T688" i="1"/>
  <c r="U688" i="1" s="1"/>
  <c r="L688" i="1"/>
  <c r="M688" i="1" s="1"/>
  <c r="O688" i="1" s="1"/>
  <c r="T687" i="1"/>
  <c r="U687" i="1" s="1"/>
  <c r="V687" i="1" s="1"/>
  <c r="W687" i="1" s="1"/>
  <c r="L687" i="1"/>
  <c r="M687" i="1" s="1"/>
  <c r="T686" i="1"/>
  <c r="U686" i="1" s="1"/>
  <c r="V686" i="1" s="1"/>
  <c r="W686" i="1" s="1"/>
  <c r="X686" i="1" s="1"/>
  <c r="L686" i="1"/>
  <c r="M686" i="1" s="1"/>
  <c r="O686" i="1" s="1"/>
  <c r="P686" i="1" s="1"/>
  <c r="T685" i="1"/>
  <c r="U685" i="1" s="1"/>
  <c r="V685" i="1" s="1"/>
  <c r="L685" i="1"/>
  <c r="M685" i="1" s="1"/>
  <c r="O685" i="1" s="1"/>
  <c r="P685" i="1" s="1"/>
  <c r="T684" i="1"/>
  <c r="L684" i="1"/>
  <c r="M684" i="1" s="1"/>
  <c r="O684" i="1" s="1"/>
  <c r="P684" i="1" s="1"/>
  <c r="T683" i="1"/>
  <c r="U683" i="1" s="1"/>
  <c r="V683" i="1" s="1"/>
  <c r="W683" i="1" s="1"/>
  <c r="X683" i="1" s="1"/>
  <c r="L683" i="1"/>
  <c r="M683" i="1" s="1"/>
  <c r="O683" i="1" s="1"/>
  <c r="P683" i="1" s="1"/>
  <c r="T682" i="1"/>
  <c r="U682" i="1" s="1"/>
  <c r="V682" i="1" s="1"/>
  <c r="W682" i="1" s="1"/>
  <c r="X682" i="1" s="1"/>
  <c r="L682" i="1"/>
  <c r="M682" i="1" s="1"/>
  <c r="O682" i="1" s="1"/>
  <c r="P682" i="1" s="1"/>
  <c r="T681" i="1"/>
  <c r="L681" i="1"/>
  <c r="M681" i="1" s="1"/>
  <c r="O681" i="1" s="1"/>
  <c r="P681" i="1" s="1"/>
  <c r="T680" i="1"/>
  <c r="U680" i="1" s="1"/>
  <c r="V680" i="1" s="1"/>
  <c r="W680" i="1" s="1"/>
  <c r="X680" i="1" s="1"/>
  <c r="L680" i="1"/>
  <c r="M680" i="1" s="1"/>
  <c r="O680" i="1" s="1"/>
  <c r="T679" i="1"/>
  <c r="L679" i="1"/>
  <c r="M679" i="1" s="1"/>
  <c r="O679" i="1" s="1"/>
  <c r="P679" i="1" s="1"/>
  <c r="T678" i="1"/>
  <c r="U678" i="1" s="1"/>
  <c r="L678" i="1"/>
  <c r="M678" i="1" s="1"/>
  <c r="O678" i="1" s="1"/>
  <c r="P678" i="1" s="1"/>
  <c r="T677" i="1"/>
  <c r="L677" i="1"/>
  <c r="M677" i="1" s="1"/>
  <c r="O677" i="1" s="1"/>
  <c r="P677" i="1" s="1"/>
  <c r="T676" i="1"/>
  <c r="U676" i="1" s="1"/>
  <c r="V676" i="1" s="1"/>
  <c r="L676" i="1"/>
  <c r="M676" i="1" s="1"/>
  <c r="O676" i="1" s="1"/>
  <c r="T675" i="1"/>
  <c r="U675" i="1" s="1"/>
  <c r="L675" i="1"/>
  <c r="M675" i="1" s="1"/>
  <c r="T674" i="1"/>
  <c r="U674" i="1" s="1"/>
  <c r="V674" i="1" s="1"/>
  <c r="L674" i="1"/>
  <c r="M674" i="1" s="1"/>
  <c r="O674" i="1" s="1"/>
  <c r="T673" i="1"/>
  <c r="U673" i="1" s="1"/>
  <c r="V673" i="1" s="1"/>
  <c r="W673" i="1" s="1"/>
  <c r="X673" i="1" s="1"/>
  <c r="L673" i="1"/>
  <c r="M673" i="1" s="1"/>
  <c r="O673" i="1" s="1"/>
  <c r="P673" i="1" s="1"/>
  <c r="T672" i="1"/>
  <c r="U672" i="1" s="1"/>
  <c r="V672" i="1" s="1"/>
  <c r="W672" i="1" s="1"/>
  <c r="X672" i="1" s="1"/>
  <c r="L672" i="1"/>
  <c r="M672" i="1" s="1"/>
  <c r="O672" i="1" s="1"/>
  <c r="P672" i="1" s="1"/>
  <c r="T671" i="1"/>
  <c r="L671" i="1"/>
  <c r="M671" i="1" s="1"/>
  <c r="O671" i="1" s="1"/>
  <c r="T670" i="1"/>
  <c r="U670" i="1" s="1"/>
  <c r="V670" i="1" s="1"/>
  <c r="W670" i="1" s="1"/>
  <c r="X670" i="1" s="1"/>
  <c r="L670" i="1"/>
  <c r="M670" i="1" s="1"/>
  <c r="O670" i="1" s="1"/>
  <c r="P670" i="1" s="1"/>
  <c r="T669" i="1"/>
  <c r="U669" i="1" s="1"/>
  <c r="V669" i="1" s="1"/>
  <c r="W669" i="1" s="1"/>
  <c r="X669" i="1" s="1"/>
  <c r="L669" i="1"/>
  <c r="M669" i="1" s="1"/>
  <c r="O669" i="1" s="1"/>
  <c r="P669" i="1" s="1"/>
  <c r="T668" i="1"/>
  <c r="U668" i="1" s="1"/>
  <c r="V668" i="1" s="1"/>
  <c r="L668" i="1"/>
  <c r="M668" i="1" s="1"/>
  <c r="T667" i="1"/>
  <c r="L667" i="1"/>
  <c r="M667" i="1" s="1"/>
  <c r="O667" i="1" s="1"/>
  <c r="T666" i="1"/>
  <c r="U666" i="1" s="1"/>
  <c r="V666" i="1" s="1"/>
  <c r="W666" i="1" s="1"/>
  <c r="L666" i="1"/>
  <c r="M666" i="1" s="1"/>
  <c r="T665" i="1"/>
  <c r="U665" i="1" s="1"/>
  <c r="V665" i="1" s="1"/>
  <c r="L665" i="1"/>
  <c r="M665" i="1" s="1"/>
  <c r="T664" i="1"/>
  <c r="U664" i="1" s="1"/>
  <c r="V664" i="1" s="1"/>
  <c r="L664" i="1"/>
  <c r="M664" i="1" s="1"/>
  <c r="O664" i="1" s="1"/>
  <c r="T663" i="1"/>
  <c r="U663" i="1" s="1"/>
  <c r="V663" i="1" s="1"/>
  <c r="W663" i="1" s="1"/>
  <c r="L663" i="1"/>
  <c r="M663" i="1" s="1"/>
  <c r="O663" i="1" s="1"/>
  <c r="P663" i="1" s="1"/>
  <c r="T662" i="1"/>
  <c r="U662" i="1" s="1"/>
  <c r="V662" i="1" s="1"/>
  <c r="W662" i="1" s="1"/>
  <c r="L662" i="1"/>
  <c r="M662" i="1" s="1"/>
  <c r="O662" i="1" s="1"/>
  <c r="P662" i="1" s="1"/>
  <c r="T661" i="1"/>
  <c r="L661" i="1"/>
  <c r="M661" i="1" s="1"/>
  <c r="O661" i="1" s="1"/>
  <c r="P661" i="1" s="1"/>
  <c r="T660" i="1"/>
  <c r="U660" i="1" s="1"/>
  <c r="L660" i="1"/>
  <c r="M660" i="1" s="1"/>
  <c r="O660" i="1" s="1"/>
  <c r="P660" i="1" s="1"/>
  <c r="T659" i="1"/>
  <c r="U659" i="1" s="1"/>
  <c r="L659" i="1"/>
  <c r="M659" i="1" s="1"/>
  <c r="T658" i="1"/>
  <c r="U658" i="1" s="1"/>
  <c r="V658" i="1" s="1"/>
  <c r="W658" i="1" s="1"/>
  <c r="L658" i="1"/>
  <c r="M658" i="1" s="1"/>
  <c r="O658" i="1" s="1"/>
  <c r="P658" i="1" s="1"/>
  <c r="T657" i="1"/>
  <c r="L657" i="1"/>
  <c r="M657" i="1" s="1"/>
  <c r="O657" i="1" s="1"/>
  <c r="P657" i="1" s="1"/>
  <c r="T656" i="1"/>
  <c r="U656" i="1" s="1"/>
  <c r="V656" i="1" s="1"/>
  <c r="L656" i="1"/>
  <c r="M656" i="1" s="1"/>
  <c r="O656" i="1" s="1"/>
  <c r="P656" i="1" s="1"/>
  <c r="T655" i="1"/>
  <c r="U655" i="1" s="1"/>
  <c r="L655" i="1"/>
  <c r="M655" i="1" s="1"/>
  <c r="T654" i="1"/>
  <c r="U654" i="1" s="1"/>
  <c r="L654" i="1"/>
  <c r="M654" i="1" s="1"/>
  <c r="O654" i="1" s="1"/>
  <c r="P654" i="1" s="1"/>
  <c r="T653" i="1"/>
  <c r="U653" i="1" s="1"/>
  <c r="V653" i="1" s="1"/>
  <c r="W653" i="1" s="1"/>
  <c r="L653" i="1"/>
  <c r="M653" i="1" s="1"/>
  <c r="T652" i="1"/>
  <c r="U652" i="1" s="1"/>
  <c r="L652" i="1"/>
  <c r="M652" i="1" s="1"/>
  <c r="O652" i="1" s="1"/>
  <c r="T651" i="1"/>
  <c r="L651" i="1"/>
  <c r="M651" i="1" s="1"/>
  <c r="O651" i="1" s="1"/>
  <c r="T650" i="1"/>
  <c r="U650" i="1" s="1"/>
  <c r="V650" i="1" s="1"/>
  <c r="W650" i="1" s="1"/>
  <c r="X650" i="1" s="1"/>
  <c r="L650" i="1"/>
  <c r="M650" i="1" s="1"/>
  <c r="O650" i="1" s="1"/>
  <c r="P650" i="1" s="1"/>
  <c r="T649" i="1"/>
  <c r="U649" i="1" s="1"/>
  <c r="V649" i="1" s="1"/>
  <c r="W649" i="1" s="1"/>
  <c r="L649" i="1"/>
  <c r="M649" i="1" s="1"/>
  <c r="O649" i="1" s="1"/>
  <c r="P649" i="1" s="1"/>
  <c r="T648" i="1"/>
  <c r="U648" i="1" s="1"/>
  <c r="V648" i="1" s="1"/>
  <c r="W648" i="1" s="1"/>
  <c r="L648" i="1"/>
  <c r="M648" i="1" s="1"/>
  <c r="O648" i="1" s="1"/>
  <c r="T647" i="1"/>
  <c r="U647" i="1" s="1"/>
  <c r="V647" i="1" s="1"/>
  <c r="W647" i="1" s="1"/>
  <c r="L647" i="1"/>
  <c r="M647" i="1" s="1"/>
  <c r="T646" i="1"/>
  <c r="U646" i="1" s="1"/>
  <c r="V646" i="1" s="1"/>
  <c r="L646" i="1"/>
  <c r="M646" i="1" s="1"/>
  <c r="O646" i="1" s="1"/>
  <c r="P646" i="1" s="1"/>
  <c r="T645" i="1"/>
  <c r="L645" i="1"/>
  <c r="M645" i="1" s="1"/>
  <c r="O645" i="1" s="1"/>
  <c r="P645" i="1" s="1"/>
  <c r="T644" i="1"/>
  <c r="U644" i="1" s="1"/>
  <c r="V644" i="1" s="1"/>
  <c r="W644" i="1" s="1"/>
  <c r="L644" i="1"/>
  <c r="M644" i="1" s="1"/>
  <c r="O644" i="1" s="1"/>
  <c r="P644" i="1" s="1"/>
  <c r="T643" i="1"/>
  <c r="U643" i="1" s="1"/>
  <c r="V643" i="1" s="1"/>
  <c r="L643" i="1"/>
  <c r="M643" i="1" s="1"/>
  <c r="O643" i="1" s="1"/>
  <c r="P643" i="1" s="1"/>
  <c r="T642" i="1"/>
  <c r="U642" i="1" s="1"/>
  <c r="V642" i="1" s="1"/>
  <c r="W642" i="1" s="1"/>
  <c r="X642" i="1" s="1"/>
  <c r="L642" i="1"/>
  <c r="M642" i="1" s="1"/>
  <c r="O642" i="1" s="1"/>
  <c r="P642" i="1" s="1"/>
  <c r="T641" i="1"/>
  <c r="U641" i="1" s="1"/>
  <c r="L641" i="1"/>
  <c r="M641" i="1" s="1"/>
  <c r="O641" i="1" s="1"/>
  <c r="P641" i="1" s="1"/>
  <c r="T640" i="1"/>
  <c r="U640" i="1" s="1"/>
  <c r="V640" i="1" s="1"/>
  <c r="W640" i="1" s="1"/>
  <c r="X640" i="1" s="1"/>
  <c r="L640" i="1"/>
  <c r="M640" i="1" s="1"/>
  <c r="T639" i="1"/>
  <c r="U639" i="1" s="1"/>
  <c r="V639" i="1" s="1"/>
  <c r="W639" i="1" s="1"/>
  <c r="L639" i="1"/>
  <c r="M639" i="1" s="1"/>
  <c r="O639" i="1" s="1"/>
  <c r="P639" i="1" s="1"/>
  <c r="T638" i="1"/>
  <c r="L638" i="1"/>
  <c r="M638" i="1" s="1"/>
  <c r="O638" i="1" s="1"/>
  <c r="P638" i="1" s="1"/>
  <c r="T637" i="1"/>
  <c r="L637" i="1"/>
  <c r="M637" i="1" s="1"/>
  <c r="T636" i="1"/>
  <c r="U636" i="1" s="1"/>
  <c r="L636" i="1"/>
  <c r="M636" i="1" s="1"/>
  <c r="O636" i="1" s="1"/>
  <c r="P636" i="1" s="1"/>
  <c r="T635" i="1"/>
  <c r="U635" i="1" s="1"/>
  <c r="V635" i="1" s="1"/>
  <c r="L635" i="1"/>
  <c r="M635" i="1" s="1"/>
  <c r="O635" i="1" s="1"/>
  <c r="P635" i="1" s="1"/>
  <c r="T634" i="1"/>
  <c r="L634" i="1"/>
  <c r="M634" i="1" s="1"/>
  <c r="O634" i="1" s="1"/>
  <c r="T633" i="1"/>
  <c r="U633" i="1" s="1"/>
  <c r="L633" i="1"/>
  <c r="M633" i="1" s="1"/>
  <c r="O633" i="1" s="1"/>
  <c r="P633" i="1" s="1"/>
  <c r="T632" i="1"/>
  <c r="U632" i="1" s="1"/>
  <c r="L632" i="1"/>
  <c r="M632" i="1" s="1"/>
  <c r="O632" i="1" s="1"/>
  <c r="T631" i="1"/>
  <c r="U631" i="1" s="1"/>
  <c r="V631" i="1" s="1"/>
  <c r="W631" i="1" s="1"/>
  <c r="L631" i="1"/>
  <c r="M631" i="1" s="1"/>
  <c r="O631" i="1" s="1"/>
  <c r="P631" i="1" s="1"/>
  <c r="T630" i="1"/>
  <c r="U630" i="1" s="1"/>
  <c r="L630" i="1"/>
  <c r="M630" i="1" s="1"/>
  <c r="O630" i="1" s="1"/>
  <c r="P630" i="1" s="1"/>
  <c r="T629" i="1"/>
  <c r="L629" i="1"/>
  <c r="M629" i="1" s="1"/>
  <c r="T628" i="1"/>
  <c r="U628" i="1" s="1"/>
  <c r="L628" i="1"/>
  <c r="M628" i="1" s="1"/>
  <c r="O628" i="1" s="1"/>
  <c r="P628" i="1" s="1"/>
  <c r="T627" i="1"/>
  <c r="U627" i="1" s="1"/>
  <c r="V627" i="1" s="1"/>
  <c r="W627" i="1" s="1"/>
  <c r="L627" i="1"/>
  <c r="M627" i="1" s="1"/>
  <c r="O627" i="1" s="1"/>
  <c r="P627" i="1" s="1"/>
  <c r="T626" i="1"/>
  <c r="L626" i="1"/>
  <c r="M626" i="1" s="1"/>
  <c r="O626" i="1" s="1"/>
  <c r="P626" i="1" s="1"/>
  <c r="T625" i="1"/>
  <c r="U625" i="1" s="1"/>
  <c r="V625" i="1" s="1"/>
  <c r="W625" i="1" s="1"/>
  <c r="L625" i="1"/>
  <c r="M625" i="1" s="1"/>
  <c r="O625" i="1" s="1"/>
  <c r="T624" i="1"/>
  <c r="U624" i="1" s="1"/>
  <c r="L624" i="1"/>
  <c r="M624" i="1" s="1"/>
  <c r="O624" i="1" s="1"/>
  <c r="P624" i="1" s="1"/>
  <c r="T623" i="1"/>
  <c r="U623" i="1" s="1"/>
  <c r="V623" i="1" s="1"/>
  <c r="W623" i="1" s="1"/>
  <c r="L623" i="1"/>
  <c r="M623" i="1" s="1"/>
  <c r="O623" i="1" s="1"/>
  <c r="P623" i="1" s="1"/>
  <c r="T622" i="1"/>
  <c r="L622" i="1"/>
  <c r="M622" i="1" s="1"/>
  <c r="O622" i="1" s="1"/>
  <c r="P622" i="1" s="1"/>
  <c r="T621" i="1"/>
  <c r="U621" i="1" s="1"/>
  <c r="V621" i="1" s="1"/>
  <c r="W621" i="1" s="1"/>
  <c r="L621" i="1"/>
  <c r="M621" i="1" s="1"/>
  <c r="O621" i="1" s="1"/>
  <c r="P621" i="1" s="1"/>
  <c r="T620" i="1"/>
  <c r="U620" i="1" s="1"/>
  <c r="V620" i="1" s="1"/>
  <c r="W620" i="1" s="1"/>
  <c r="X620" i="1" s="1"/>
  <c r="L620" i="1"/>
  <c r="M620" i="1" s="1"/>
  <c r="O620" i="1" s="1"/>
  <c r="P620" i="1" s="1"/>
  <c r="T619" i="1"/>
  <c r="U619" i="1" s="1"/>
  <c r="V619" i="1" s="1"/>
  <c r="W619" i="1" s="1"/>
  <c r="L619" i="1"/>
  <c r="M619" i="1" s="1"/>
  <c r="O619" i="1" s="1"/>
  <c r="T618" i="1"/>
  <c r="U618" i="1" s="1"/>
  <c r="V618" i="1" s="1"/>
  <c r="L618" i="1"/>
  <c r="M618" i="1" s="1"/>
  <c r="O618" i="1" s="1"/>
  <c r="P618" i="1" s="1"/>
  <c r="T617" i="1"/>
  <c r="L617" i="1"/>
  <c r="M617" i="1" s="1"/>
  <c r="O617" i="1" s="1"/>
  <c r="P617" i="1" s="1"/>
  <c r="T616" i="1"/>
  <c r="U616" i="1" s="1"/>
  <c r="L616" i="1"/>
  <c r="M616" i="1" s="1"/>
  <c r="T615" i="1"/>
  <c r="U615" i="1" s="1"/>
  <c r="L615" i="1"/>
  <c r="M615" i="1" s="1"/>
  <c r="O615" i="1" s="1"/>
  <c r="P615" i="1" s="1"/>
  <c r="T614" i="1"/>
  <c r="U614" i="1" s="1"/>
  <c r="V614" i="1" s="1"/>
  <c r="L614" i="1"/>
  <c r="M614" i="1" s="1"/>
  <c r="O614" i="1" s="1"/>
  <c r="T613" i="1"/>
  <c r="U613" i="1" s="1"/>
  <c r="V613" i="1" s="1"/>
  <c r="W613" i="1" s="1"/>
  <c r="X613" i="1" s="1"/>
  <c r="L613" i="1"/>
  <c r="M613" i="1" s="1"/>
  <c r="T612" i="1"/>
  <c r="U612" i="1" s="1"/>
  <c r="L612" i="1"/>
  <c r="M612" i="1" s="1"/>
  <c r="O612" i="1" s="1"/>
  <c r="T611" i="1"/>
  <c r="U611" i="1" s="1"/>
  <c r="V611" i="1" s="1"/>
  <c r="W611" i="1" s="1"/>
  <c r="X611" i="1" s="1"/>
  <c r="L611" i="1"/>
  <c r="M611" i="1" s="1"/>
  <c r="T610" i="1"/>
  <c r="U610" i="1" s="1"/>
  <c r="L610" i="1"/>
  <c r="M610" i="1" s="1"/>
  <c r="O610" i="1" s="1"/>
  <c r="T609" i="1"/>
  <c r="U609" i="1" s="1"/>
  <c r="L609" i="1"/>
  <c r="M609" i="1" s="1"/>
  <c r="O609" i="1" s="1"/>
  <c r="P609" i="1" s="1"/>
  <c r="T608" i="1"/>
  <c r="L608" i="1"/>
  <c r="M608" i="1" s="1"/>
  <c r="O608" i="1" s="1"/>
  <c r="T607" i="1"/>
  <c r="U607" i="1" s="1"/>
  <c r="V607" i="1" s="1"/>
  <c r="W607" i="1" s="1"/>
  <c r="X607" i="1" s="1"/>
  <c r="L607" i="1"/>
  <c r="M607" i="1" s="1"/>
  <c r="O607" i="1" s="1"/>
  <c r="P607" i="1" s="1"/>
  <c r="T606" i="1"/>
  <c r="U606" i="1" s="1"/>
  <c r="V606" i="1" s="1"/>
  <c r="L606" i="1"/>
  <c r="M606" i="1" s="1"/>
  <c r="O606" i="1" s="1"/>
  <c r="T605" i="1"/>
  <c r="U605" i="1" s="1"/>
  <c r="L605" i="1"/>
  <c r="M605" i="1" s="1"/>
  <c r="O605" i="1" s="1"/>
  <c r="P605" i="1" s="1"/>
  <c r="T604" i="1"/>
  <c r="U604" i="1" s="1"/>
  <c r="L604" i="1"/>
  <c r="M604" i="1" s="1"/>
  <c r="O604" i="1" s="1"/>
  <c r="P604" i="1" s="1"/>
  <c r="T603" i="1"/>
  <c r="L603" i="1"/>
  <c r="M603" i="1" s="1"/>
  <c r="O603" i="1" s="1"/>
  <c r="P603" i="1" s="1"/>
  <c r="T602" i="1"/>
  <c r="L602" i="1"/>
  <c r="M602" i="1" s="1"/>
  <c r="T601" i="1"/>
  <c r="U601" i="1" s="1"/>
  <c r="V601" i="1" s="1"/>
  <c r="L601" i="1"/>
  <c r="M601" i="1" s="1"/>
  <c r="O601" i="1" s="1"/>
  <c r="P601" i="1" s="1"/>
  <c r="T600" i="1"/>
  <c r="U600" i="1" s="1"/>
  <c r="V600" i="1" s="1"/>
  <c r="L600" i="1"/>
  <c r="M600" i="1" s="1"/>
  <c r="O600" i="1" s="1"/>
  <c r="P600" i="1" s="1"/>
  <c r="T599" i="1"/>
  <c r="U599" i="1" s="1"/>
  <c r="V599" i="1" s="1"/>
  <c r="L599" i="1"/>
  <c r="M599" i="1" s="1"/>
  <c r="O599" i="1" s="1"/>
  <c r="P599" i="1" s="1"/>
  <c r="T598" i="1"/>
  <c r="U598" i="1" s="1"/>
  <c r="V598" i="1" s="1"/>
  <c r="W598" i="1" s="1"/>
  <c r="L598" i="1"/>
  <c r="M598" i="1" s="1"/>
  <c r="O598" i="1" s="1"/>
  <c r="P598" i="1" s="1"/>
  <c r="T597" i="1"/>
  <c r="U597" i="1" s="1"/>
  <c r="V597" i="1" s="1"/>
  <c r="L597" i="1"/>
  <c r="M597" i="1" s="1"/>
  <c r="T596" i="1"/>
  <c r="L596" i="1"/>
  <c r="M596" i="1" s="1"/>
  <c r="O596" i="1" s="1"/>
  <c r="T595" i="1"/>
  <c r="U595" i="1" s="1"/>
  <c r="L595" i="1"/>
  <c r="M595" i="1" s="1"/>
  <c r="T594" i="1"/>
  <c r="L594" i="1"/>
  <c r="M594" i="1" s="1"/>
  <c r="O594" i="1" s="1"/>
  <c r="P594" i="1" s="1"/>
  <c r="T593" i="1"/>
  <c r="L593" i="1"/>
  <c r="M593" i="1" s="1"/>
  <c r="T592" i="1"/>
  <c r="L592" i="1"/>
  <c r="M592" i="1" s="1"/>
  <c r="O592" i="1" s="1"/>
  <c r="P592" i="1" s="1"/>
  <c r="T591" i="1"/>
  <c r="U591" i="1" s="1"/>
  <c r="V591" i="1" s="1"/>
  <c r="W591" i="1" s="1"/>
  <c r="L591" i="1"/>
  <c r="M591" i="1" s="1"/>
  <c r="T590" i="1"/>
  <c r="U590" i="1" s="1"/>
  <c r="V590" i="1" s="1"/>
  <c r="W590" i="1" s="1"/>
  <c r="L590" i="1"/>
  <c r="M590" i="1" s="1"/>
  <c r="O590" i="1" s="1"/>
  <c r="P590" i="1" s="1"/>
  <c r="T589" i="1"/>
  <c r="U589" i="1" s="1"/>
  <c r="L589" i="1"/>
  <c r="M589" i="1" s="1"/>
  <c r="T588" i="1"/>
  <c r="U588" i="1" s="1"/>
  <c r="V588" i="1" s="1"/>
  <c r="L588" i="1"/>
  <c r="M588" i="1" s="1"/>
  <c r="O588" i="1" s="1"/>
  <c r="T587" i="1"/>
  <c r="U587" i="1" s="1"/>
  <c r="L587" i="1"/>
  <c r="M587" i="1" s="1"/>
  <c r="O587" i="1" s="1"/>
  <c r="P587" i="1" s="1"/>
  <c r="T586" i="1"/>
  <c r="L586" i="1"/>
  <c r="M586" i="1" s="1"/>
  <c r="O586" i="1" s="1"/>
  <c r="P586" i="1" s="1"/>
  <c r="T585" i="1"/>
  <c r="U585" i="1" s="1"/>
  <c r="L585" i="1"/>
  <c r="M585" i="1" s="1"/>
  <c r="T584" i="1"/>
  <c r="U584" i="1" s="1"/>
  <c r="V584" i="1" s="1"/>
  <c r="W584" i="1" s="1"/>
  <c r="L584" i="1"/>
  <c r="M584" i="1" s="1"/>
  <c r="O584" i="1" s="1"/>
  <c r="P584" i="1" s="1"/>
  <c r="T583" i="1"/>
  <c r="U583" i="1" s="1"/>
  <c r="V583" i="1" s="1"/>
  <c r="W583" i="1" s="1"/>
  <c r="X583" i="1" s="1"/>
  <c r="L583" i="1"/>
  <c r="M583" i="1" s="1"/>
  <c r="T582" i="1"/>
  <c r="U582" i="1" s="1"/>
  <c r="L582" i="1"/>
  <c r="M582" i="1" s="1"/>
  <c r="O582" i="1" s="1"/>
  <c r="P582" i="1" s="1"/>
  <c r="T581" i="1"/>
  <c r="U581" i="1" s="1"/>
  <c r="L581" i="1"/>
  <c r="M581" i="1" s="1"/>
  <c r="O581" i="1" s="1"/>
  <c r="P581" i="1" s="1"/>
  <c r="T580" i="1"/>
  <c r="L580" i="1"/>
  <c r="M580" i="1" s="1"/>
  <c r="T579" i="1"/>
  <c r="L579" i="1"/>
  <c r="M579" i="1" s="1"/>
  <c r="O579" i="1" s="1"/>
  <c r="P579" i="1" s="1"/>
  <c r="T578" i="1"/>
  <c r="U578" i="1" s="1"/>
  <c r="V578" i="1" s="1"/>
  <c r="W578" i="1" s="1"/>
  <c r="X578" i="1" s="1"/>
  <c r="L578" i="1"/>
  <c r="M578" i="1" s="1"/>
  <c r="T577" i="1"/>
  <c r="U577" i="1" s="1"/>
  <c r="V577" i="1" s="1"/>
  <c r="W577" i="1" s="1"/>
  <c r="L577" i="1"/>
  <c r="M577" i="1" s="1"/>
  <c r="O577" i="1" s="1"/>
  <c r="T576" i="1"/>
  <c r="U576" i="1" s="1"/>
  <c r="V576" i="1" s="1"/>
  <c r="W576" i="1" s="1"/>
  <c r="X576" i="1" s="1"/>
  <c r="L576" i="1"/>
  <c r="M576" i="1" s="1"/>
  <c r="O576" i="1" s="1"/>
  <c r="P576" i="1" s="1"/>
  <c r="T575" i="1"/>
  <c r="U575" i="1" s="1"/>
  <c r="L575" i="1"/>
  <c r="M575" i="1" s="1"/>
  <c r="T574" i="1"/>
  <c r="U574" i="1" s="1"/>
  <c r="L574" i="1"/>
  <c r="M574" i="1" s="1"/>
  <c r="O574" i="1" s="1"/>
  <c r="T573" i="1"/>
  <c r="L573" i="1"/>
  <c r="M573" i="1" s="1"/>
  <c r="O573" i="1" s="1"/>
  <c r="P573" i="1" s="1"/>
  <c r="T572" i="1"/>
  <c r="L572" i="1"/>
  <c r="M572" i="1" s="1"/>
  <c r="O572" i="1" s="1"/>
  <c r="P572" i="1" s="1"/>
  <c r="T571" i="1"/>
  <c r="L571" i="1"/>
  <c r="M571" i="1" s="1"/>
  <c r="T570" i="1"/>
  <c r="U570" i="1" s="1"/>
  <c r="V570" i="1" s="1"/>
  <c r="W570" i="1" s="1"/>
  <c r="L570" i="1"/>
  <c r="M570" i="1" s="1"/>
  <c r="O570" i="1" s="1"/>
  <c r="P570" i="1" s="1"/>
  <c r="T569" i="1"/>
  <c r="L569" i="1"/>
  <c r="M569" i="1" s="1"/>
  <c r="O569" i="1" s="1"/>
  <c r="T568" i="1"/>
  <c r="U568" i="1" s="1"/>
  <c r="V568" i="1" s="1"/>
  <c r="W568" i="1" s="1"/>
  <c r="L568" i="1"/>
  <c r="M568" i="1" s="1"/>
  <c r="O568" i="1" s="1"/>
  <c r="T567" i="1"/>
  <c r="U567" i="1" s="1"/>
  <c r="V567" i="1" s="1"/>
  <c r="L567" i="1"/>
  <c r="M567" i="1" s="1"/>
  <c r="O567" i="1" s="1"/>
  <c r="P567" i="1" s="1"/>
  <c r="T566" i="1"/>
  <c r="U566" i="1" s="1"/>
  <c r="V566" i="1" s="1"/>
  <c r="L566" i="1"/>
  <c r="M566" i="1" s="1"/>
  <c r="O566" i="1" s="1"/>
  <c r="T565" i="1"/>
  <c r="U565" i="1" s="1"/>
  <c r="V565" i="1" s="1"/>
  <c r="W565" i="1" s="1"/>
  <c r="L565" i="1"/>
  <c r="M565" i="1" s="1"/>
  <c r="O565" i="1" s="1"/>
  <c r="T564" i="1"/>
  <c r="U564" i="1" s="1"/>
  <c r="L564" i="1"/>
  <c r="M564" i="1" s="1"/>
  <c r="O564" i="1" s="1"/>
  <c r="P564" i="1" s="1"/>
  <c r="T563" i="1"/>
  <c r="L563" i="1"/>
  <c r="M563" i="1" s="1"/>
  <c r="T562" i="1"/>
  <c r="U562" i="1" s="1"/>
  <c r="V562" i="1" s="1"/>
  <c r="W562" i="1" s="1"/>
  <c r="L562" i="1"/>
  <c r="M562" i="1" s="1"/>
  <c r="O562" i="1" s="1"/>
  <c r="P562" i="1" s="1"/>
  <c r="T561" i="1"/>
  <c r="U561" i="1" s="1"/>
  <c r="L561" i="1"/>
  <c r="M561" i="1" s="1"/>
  <c r="T560" i="1"/>
  <c r="L560" i="1"/>
  <c r="M560" i="1" s="1"/>
  <c r="T559" i="1"/>
  <c r="U559" i="1" s="1"/>
  <c r="V559" i="1" s="1"/>
  <c r="W559" i="1" s="1"/>
  <c r="L559" i="1"/>
  <c r="M559" i="1" s="1"/>
  <c r="O559" i="1" s="1"/>
  <c r="P559" i="1" s="1"/>
  <c r="T558" i="1"/>
  <c r="U558" i="1" s="1"/>
  <c r="V558" i="1" s="1"/>
  <c r="L558" i="1"/>
  <c r="M558" i="1" s="1"/>
  <c r="O558" i="1" s="1"/>
  <c r="T557" i="1"/>
  <c r="L557" i="1"/>
  <c r="M557" i="1" s="1"/>
  <c r="O557" i="1" s="1"/>
  <c r="P557" i="1" s="1"/>
  <c r="T556" i="1"/>
  <c r="L556" i="1"/>
  <c r="M556" i="1" s="1"/>
  <c r="O556" i="1" s="1"/>
  <c r="T555" i="1"/>
  <c r="U555" i="1" s="1"/>
  <c r="V555" i="1" s="1"/>
  <c r="W555" i="1" s="1"/>
  <c r="X555" i="1" s="1"/>
  <c r="L555" i="1"/>
  <c r="M555" i="1" s="1"/>
  <c r="O555" i="1" s="1"/>
  <c r="T554" i="1"/>
  <c r="U554" i="1" s="1"/>
  <c r="L554" i="1"/>
  <c r="M554" i="1" s="1"/>
  <c r="O554" i="1" s="1"/>
  <c r="P554" i="1" s="1"/>
  <c r="T553" i="1"/>
  <c r="U553" i="1" s="1"/>
  <c r="L553" i="1"/>
  <c r="M553" i="1" s="1"/>
  <c r="O553" i="1" s="1"/>
  <c r="P553" i="1" s="1"/>
  <c r="T552" i="1"/>
  <c r="U552" i="1" s="1"/>
  <c r="V552" i="1" s="1"/>
  <c r="L552" i="1"/>
  <c r="M552" i="1" s="1"/>
  <c r="T551" i="1"/>
  <c r="L551" i="1"/>
  <c r="M551" i="1" s="1"/>
  <c r="T550" i="1"/>
  <c r="U550" i="1" s="1"/>
  <c r="V550" i="1" s="1"/>
  <c r="L550" i="1"/>
  <c r="M550" i="1" s="1"/>
  <c r="T549" i="1"/>
  <c r="U549" i="1" s="1"/>
  <c r="V549" i="1" s="1"/>
  <c r="W549" i="1" s="1"/>
  <c r="L549" i="1"/>
  <c r="M549" i="1" s="1"/>
  <c r="O549" i="1" s="1"/>
  <c r="P549" i="1" s="1"/>
  <c r="T548" i="1"/>
  <c r="U548" i="1" s="1"/>
  <c r="V548" i="1" s="1"/>
  <c r="W548" i="1" s="1"/>
  <c r="L548" i="1"/>
  <c r="M548" i="1" s="1"/>
  <c r="O548" i="1" s="1"/>
  <c r="P548" i="1" s="1"/>
  <c r="T547" i="1"/>
  <c r="U547" i="1" s="1"/>
  <c r="V547" i="1" s="1"/>
  <c r="W547" i="1" s="1"/>
  <c r="L547" i="1"/>
  <c r="M547" i="1" s="1"/>
  <c r="O547" i="1" s="1"/>
  <c r="T546" i="1"/>
  <c r="U546" i="1" s="1"/>
  <c r="V546" i="1" s="1"/>
  <c r="L546" i="1"/>
  <c r="M546" i="1" s="1"/>
  <c r="O546" i="1" s="1"/>
  <c r="P546" i="1" s="1"/>
  <c r="T545" i="1"/>
  <c r="U545" i="1" s="1"/>
  <c r="V545" i="1" s="1"/>
  <c r="W545" i="1" s="1"/>
  <c r="X545" i="1" s="1"/>
  <c r="L545" i="1"/>
  <c r="M545" i="1" s="1"/>
  <c r="O545" i="1" s="1"/>
  <c r="P545" i="1" s="1"/>
  <c r="T544" i="1"/>
  <c r="U544" i="1" s="1"/>
  <c r="V544" i="1" s="1"/>
  <c r="W544" i="1" s="1"/>
  <c r="L544" i="1"/>
  <c r="M544" i="1" s="1"/>
  <c r="O544" i="1" s="1"/>
  <c r="P544" i="1" s="1"/>
  <c r="T543" i="1"/>
  <c r="U543" i="1" s="1"/>
  <c r="V543" i="1" s="1"/>
  <c r="W543" i="1" s="1"/>
  <c r="X543" i="1" s="1"/>
  <c r="L543" i="1"/>
  <c r="M543" i="1" s="1"/>
  <c r="O543" i="1" s="1"/>
  <c r="P543" i="1" s="1"/>
  <c r="T542" i="1"/>
  <c r="U542" i="1" s="1"/>
  <c r="V542" i="1" s="1"/>
  <c r="W542" i="1" s="1"/>
  <c r="X542" i="1" s="1"/>
  <c r="L542" i="1"/>
  <c r="M542" i="1" s="1"/>
  <c r="T541" i="1"/>
  <c r="U541" i="1" s="1"/>
  <c r="V541" i="1" s="1"/>
  <c r="W541" i="1" s="1"/>
  <c r="X541" i="1" s="1"/>
  <c r="L541" i="1"/>
  <c r="M541" i="1" s="1"/>
  <c r="T540" i="1"/>
  <c r="U540" i="1" s="1"/>
  <c r="V540" i="1" s="1"/>
  <c r="W540" i="1" s="1"/>
  <c r="X540" i="1" s="1"/>
  <c r="L540" i="1"/>
  <c r="M540" i="1" s="1"/>
  <c r="T539" i="1"/>
  <c r="L539" i="1"/>
  <c r="M539" i="1" s="1"/>
  <c r="O539" i="1" s="1"/>
  <c r="P539" i="1" s="1"/>
  <c r="T538" i="1"/>
  <c r="U538" i="1" s="1"/>
  <c r="V538" i="1" s="1"/>
  <c r="W538" i="1" s="1"/>
  <c r="L538" i="1"/>
  <c r="M538" i="1" s="1"/>
  <c r="O538" i="1" s="1"/>
  <c r="P538" i="1" s="1"/>
  <c r="T537" i="1"/>
  <c r="U537" i="1" s="1"/>
  <c r="V537" i="1" s="1"/>
  <c r="L537" i="1"/>
  <c r="M537" i="1" s="1"/>
  <c r="T536" i="1"/>
  <c r="U536" i="1" s="1"/>
  <c r="L536" i="1"/>
  <c r="M536" i="1" s="1"/>
  <c r="O536" i="1" s="1"/>
  <c r="T535" i="1"/>
  <c r="U535" i="1" s="1"/>
  <c r="V535" i="1" s="1"/>
  <c r="L535" i="1"/>
  <c r="M535" i="1" s="1"/>
  <c r="T534" i="1"/>
  <c r="U534" i="1" s="1"/>
  <c r="V534" i="1" s="1"/>
  <c r="W534" i="1" s="1"/>
  <c r="L534" i="1"/>
  <c r="M534" i="1" s="1"/>
  <c r="O534" i="1" s="1"/>
  <c r="P534" i="1" s="1"/>
  <c r="T533" i="1"/>
  <c r="U533" i="1" s="1"/>
  <c r="V533" i="1" s="1"/>
  <c r="W533" i="1" s="1"/>
  <c r="L533" i="1"/>
  <c r="M533" i="1" s="1"/>
  <c r="O533" i="1" s="1"/>
  <c r="T532" i="1"/>
  <c r="U532" i="1" s="1"/>
  <c r="V532" i="1" s="1"/>
  <c r="W532" i="1" s="1"/>
  <c r="X532" i="1" s="1"/>
  <c r="L532" i="1"/>
  <c r="M532" i="1" s="1"/>
  <c r="O532" i="1" s="1"/>
  <c r="T531" i="1"/>
  <c r="L531" i="1"/>
  <c r="M531" i="1" s="1"/>
  <c r="O531" i="1" s="1"/>
  <c r="T530" i="1"/>
  <c r="U530" i="1" s="1"/>
  <c r="V530" i="1" s="1"/>
  <c r="W530" i="1" s="1"/>
  <c r="X530" i="1" s="1"/>
  <c r="L530" i="1"/>
  <c r="M530" i="1" s="1"/>
  <c r="O530" i="1" s="1"/>
  <c r="P530" i="1" s="1"/>
  <c r="T529" i="1"/>
  <c r="U529" i="1" s="1"/>
  <c r="V529" i="1" s="1"/>
  <c r="W529" i="1" s="1"/>
  <c r="X529" i="1" s="1"/>
  <c r="L529" i="1"/>
  <c r="M529" i="1" s="1"/>
  <c r="O529" i="1" s="1"/>
  <c r="P529" i="1" s="1"/>
  <c r="T528" i="1"/>
  <c r="U528" i="1" s="1"/>
  <c r="L528" i="1"/>
  <c r="M528" i="1" s="1"/>
  <c r="O528" i="1" s="1"/>
  <c r="P528" i="1" s="1"/>
  <c r="T527" i="1"/>
  <c r="U527" i="1" s="1"/>
  <c r="L527" i="1"/>
  <c r="M527" i="1" s="1"/>
  <c r="O527" i="1" s="1"/>
  <c r="T526" i="1"/>
  <c r="L526" i="1"/>
  <c r="M526" i="1" s="1"/>
  <c r="O526" i="1" s="1"/>
  <c r="T525" i="1"/>
  <c r="L525" i="1"/>
  <c r="M525" i="1" s="1"/>
  <c r="O525" i="1" s="1"/>
  <c r="P525" i="1" s="1"/>
  <c r="T524" i="1"/>
  <c r="L524" i="1"/>
  <c r="M524" i="1" s="1"/>
  <c r="O524" i="1" s="1"/>
  <c r="P524" i="1" s="1"/>
  <c r="T523" i="1"/>
  <c r="U523" i="1" s="1"/>
  <c r="V523" i="1" s="1"/>
  <c r="W523" i="1" s="1"/>
  <c r="L523" i="1"/>
  <c r="M523" i="1" s="1"/>
  <c r="T522" i="1"/>
  <c r="U522" i="1" s="1"/>
  <c r="V522" i="1" s="1"/>
  <c r="W522" i="1" s="1"/>
  <c r="L522" i="1"/>
  <c r="M522" i="1" s="1"/>
  <c r="T521" i="1"/>
  <c r="L521" i="1"/>
  <c r="M521" i="1" s="1"/>
  <c r="O521" i="1" s="1"/>
  <c r="P521" i="1" s="1"/>
  <c r="T520" i="1"/>
  <c r="U520" i="1" s="1"/>
  <c r="V520" i="1" s="1"/>
  <c r="L520" i="1"/>
  <c r="M520" i="1" s="1"/>
  <c r="O520" i="1" s="1"/>
  <c r="T519" i="1"/>
  <c r="L519" i="1"/>
  <c r="M519" i="1" s="1"/>
  <c r="O519" i="1" s="1"/>
  <c r="P519" i="1" s="1"/>
  <c r="T518" i="1"/>
  <c r="U518" i="1" s="1"/>
  <c r="V518" i="1" s="1"/>
  <c r="W518" i="1" s="1"/>
  <c r="L518" i="1"/>
  <c r="M518" i="1" s="1"/>
  <c r="O518" i="1" s="1"/>
  <c r="P518" i="1" s="1"/>
  <c r="T517" i="1"/>
  <c r="U517" i="1" s="1"/>
  <c r="V517" i="1" s="1"/>
  <c r="L517" i="1"/>
  <c r="M517" i="1" s="1"/>
  <c r="O517" i="1" s="1"/>
  <c r="T516" i="1"/>
  <c r="U516" i="1" s="1"/>
  <c r="L516" i="1"/>
  <c r="M516" i="1" s="1"/>
  <c r="O516" i="1" s="1"/>
  <c r="P516" i="1" s="1"/>
  <c r="T515" i="1"/>
  <c r="U515" i="1" s="1"/>
  <c r="V515" i="1" s="1"/>
  <c r="L515" i="1"/>
  <c r="M515" i="1" s="1"/>
  <c r="O515" i="1" s="1"/>
  <c r="P515" i="1" s="1"/>
  <c r="T514" i="1"/>
  <c r="U514" i="1" s="1"/>
  <c r="V514" i="1" s="1"/>
  <c r="L514" i="1"/>
  <c r="M514" i="1" s="1"/>
  <c r="O514" i="1" s="1"/>
  <c r="P514" i="1" s="1"/>
  <c r="T513" i="1"/>
  <c r="L513" i="1"/>
  <c r="M513" i="1" s="1"/>
  <c r="O513" i="1" s="1"/>
  <c r="P513" i="1" s="1"/>
  <c r="T512" i="1"/>
  <c r="U512" i="1" s="1"/>
  <c r="V512" i="1" s="1"/>
  <c r="W512" i="1" s="1"/>
  <c r="X512" i="1" s="1"/>
  <c r="L512" i="1"/>
  <c r="M512" i="1" s="1"/>
  <c r="O512" i="1" s="1"/>
  <c r="P512" i="1" s="1"/>
  <c r="T511" i="1"/>
  <c r="U511" i="1" s="1"/>
  <c r="V511" i="1" s="1"/>
  <c r="W511" i="1" s="1"/>
  <c r="X511" i="1" s="1"/>
  <c r="L511" i="1"/>
  <c r="M511" i="1" s="1"/>
  <c r="O511" i="1" s="1"/>
  <c r="T510" i="1"/>
  <c r="U510" i="1" s="1"/>
  <c r="V510" i="1" s="1"/>
  <c r="W510" i="1" s="1"/>
  <c r="L510" i="1"/>
  <c r="M510" i="1" s="1"/>
  <c r="T509" i="1"/>
  <c r="U509" i="1" s="1"/>
  <c r="V509" i="1" s="1"/>
  <c r="L509" i="1"/>
  <c r="M509" i="1" s="1"/>
  <c r="T508" i="1"/>
  <c r="U508" i="1" s="1"/>
  <c r="V508" i="1" s="1"/>
  <c r="L508" i="1"/>
  <c r="M508" i="1" s="1"/>
  <c r="O508" i="1" s="1"/>
  <c r="T507" i="1"/>
  <c r="U507" i="1" s="1"/>
  <c r="V507" i="1" s="1"/>
  <c r="L507" i="1"/>
  <c r="M507" i="1" s="1"/>
  <c r="O507" i="1" s="1"/>
  <c r="P507" i="1" s="1"/>
  <c r="T506" i="1"/>
  <c r="U506" i="1" s="1"/>
  <c r="V506" i="1" s="1"/>
  <c r="L506" i="1"/>
  <c r="M506" i="1" s="1"/>
  <c r="T505" i="1"/>
  <c r="U505" i="1" s="1"/>
  <c r="V505" i="1" s="1"/>
  <c r="W505" i="1" s="1"/>
  <c r="L505" i="1"/>
  <c r="M505" i="1" s="1"/>
  <c r="O505" i="1" s="1"/>
  <c r="P505" i="1" s="1"/>
  <c r="T504" i="1"/>
  <c r="U504" i="1" s="1"/>
  <c r="L504" i="1"/>
  <c r="M504" i="1" s="1"/>
  <c r="O504" i="1" s="1"/>
  <c r="T503" i="1"/>
  <c r="L503" i="1"/>
  <c r="M503" i="1" s="1"/>
  <c r="O503" i="1" s="1"/>
  <c r="P503" i="1" s="1"/>
  <c r="T502" i="1"/>
  <c r="U502" i="1" s="1"/>
  <c r="L502" i="1"/>
  <c r="M502" i="1" s="1"/>
  <c r="O502" i="1" s="1"/>
  <c r="P502" i="1" s="1"/>
  <c r="T501" i="1"/>
  <c r="U501" i="1" s="1"/>
  <c r="V501" i="1" s="1"/>
  <c r="L501" i="1"/>
  <c r="M501" i="1" s="1"/>
  <c r="O501" i="1" s="1"/>
  <c r="T500" i="1"/>
  <c r="U500" i="1" s="1"/>
  <c r="V500" i="1" s="1"/>
  <c r="W500" i="1" s="1"/>
  <c r="L500" i="1"/>
  <c r="M500" i="1" s="1"/>
  <c r="O500" i="1" s="1"/>
  <c r="P500" i="1" s="1"/>
  <c r="T499" i="1"/>
  <c r="L499" i="1"/>
  <c r="M499" i="1" s="1"/>
  <c r="O499" i="1" s="1"/>
  <c r="P499" i="1" s="1"/>
  <c r="T498" i="1"/>
  <c r="U498" i="1" s="1"/>
  <c r="V498" i="1" s="1"/>
  <c r="W498" i="1" s="1"/>
  <c r="L498" i="1"/>
  <c r="M498" i="1" s="1"/>
  <c r="O498" i="1" s="1"/>
  <c r="T497" i="1"/>
  <c r="U497" i="1" s="1"/>
  <c r="V497" i="1" s="1"/>
  <c r="L497" i="1"/>
  <c r="M497" i="1" s="1"/>
  <c r="T496" i="1"/>
  <c r="U496" i="1" s="1"/>
  <c r="V496" i="1" s="1"/>
  <c r="W496" i="1" s="1"/>
  <c r="X496" i="1" s="1"/>
  <c r="L496" i="1"/>
  <c r="M496" i="1" s="1"/>
  <c r="O496" i="1" s="1"/>
  <c r="P496" i="1" s="1"/>
  <c r="T495" i="1"/>
  <c r="U495" i="1" s="1"/>
  <c r="V495" i="1" s="1"/>
  <c r="W495" i="1" s="1"/>
  <c r="X495" i="1" s="1"/>
  <c r="L495" i="1"/>
  <c r="M495" i="1" s="1"/>
  <c r="O495" i="1" s="1"/>
  <c r="T494" i="1"/>
  <c r="U494" i="1" s="1"/>
  <c r="V494" i="1" s="1"/>
  <c r="W494" i="1" s="1"/>
  <c r="X494" i="1" s="1"/>
  <c r="L494" i="1"/>
  <c r="M494" i="1" s="1"/>
  <c r="O494" i="1" s="1"/>
  <c r="P494" i="1" s="1"/>
  <c r="T493" i="1"/>
  <c r="U493" i="1" s="1"/>
  <c r="V493" i="1" s="1"/>
  <c r="W493" i="1" s="1"/>
  <c r="X493" i="1" s="1"/>
  <c r="L493" i="1"/>
  <c r="M493" i="1" s="1"/>
  <c r="O493" i="1" s="1"/>
  <c r="T492" i="1"/>
  <c r="U492" i="1" s="1"/>
  <c r="L492" i="1"/>
  <c r="M492" i="1" s="1"/>
  <c r="O492" i="1" s="1"/>
  <c r="P492" i="1" s="1"/>
  <c r="T491" i="1"/>
  <c r="U491" i="1" s="1"/>
  <c r="V491" i="1" s="1"/>
  <c r="W491" i="1" s="1"/>
  <c r="X491" i="1" s="1"/>
  <c r="L491" i="1"/>
  <c r="M491" i="1" s="1"/>
  <c r="O491" i="1" s="1"/>
  <c r="P491" i="1" s="1"/>
  <c r="T490" i="1"/>
  <c r="U490" i="1" s="1"/>
  <c r="V490" i="1" s="1"/>
  <c r="W490" i="1" s="1"/>
  <c r="X490" i="1" s="1"/>
  <c r="L490" i="1"/>
  <c r="M490" i="1" s="1"/>
  <c r="T489" i="1"/>
  <c r="U489" i="1" s="1"/>
  <c r="V489" i="1" s="1"/>
  <c r="W489" i="1" s="1"/>
  <c r="X489" i="1" s="1"/>
  <c r="L489" i="1"/>
  <c r="M489" i="1" s="1"/>
  <c r="O489" i="1" s="1"/>
  <c r="T488" i="1"/>
  <c r="L488" i="1"/>
  <c r="M488" i="1" s="1"/>
  <c r="O488" i="1" s="1"/>
  <c r="T487" i="1"/>
  <c r="U487" i="1" s="1"/>
  <c r="L487" i="1"/>
  <c r="M487" i="1" s="1"/>
  <c r="T486" i="1"/>
  <c r="U486" i="1" s="1"/>
  <c r="V486" i="1" s="1"/>
  <c r="W486" i="1" s="1"/>
  <c r="X486" i="1" s="1"/>
  <c r="L486" i="1"/>
  <c r="M486" i="1" s="1"/>
  <c r="O486" i="1" s="1"/>
  <c r="P486" i="1" s="1"/>
  <c r="T485" i="1"/>
  <c r="U485" i="1" s="1"/>
  <c r="V485" i="1" s="1"/>
  <c r="L485" i="1"/>
  <c r="M485" i="1" s="1"/>
  <c r="T484" i="1"/>
  <c r="U484" i="1" s="1"/>
  <c r="V484" i="1" s="1"/>
  <c r="W484" i="1" s="1"/>
  <c r="L484" i="1"/>
  <c r="M484" i="1" s="1"/>
  <c r="O484" i="1" s="1"/>
  <c r="T483" i="1"/>
  <c r="L483" i="1"/>
  <c r="M483" i="1" s="1"/>
  <c r="T482" i="1"/>
  <c r="U482" i="1" s="1"/>
  <c r="V482" i="1" s="1"/>
  <c r="L482" i="1"/>
  <c r="M482" i="1" s="1"/>
  <c r="T481" i="1"/>
  <c r="L481" i="1"/>
  <c r="M481" i="1" s="1"/>
  <c r="T480" i="1"/>
  <c r="U480" i="1" s="1"/>
  <c r="L480" i="1"/>
  <c r="M480" i="1" s="1"/>
  <c r="O480" i="1" s="1"/>
  <c r="P480" i="1" s="1"/>
  <c r="T479" i="1"/>
  <c r="L479" i="1"/>
  <c r="M479" i="1" s="1"/>
  <c r="T478" i="1"/>
  <c r="U478" i="1" s="1"/>
  <c r="V478" i="1" s="1"/>
  <c r="L478" i="1"/>
  <c r="M478" i="1" s="1"/>
  <c r="T477" i="1"/>
  <c r="U477" i="1" s="1"/>
  <c r="V477" i="1" s="1"/>
  <c r="W477" i="1" s="1"/>
  <c r="X477" i="1" s="1"/>
  <c r="L477" i="1"/>
  <c r="M477" i="1" s="1"/>
  <c r="O477" i="1" s="1"/>
  <c r="T476" i="1"/>
  <c r="U476" i="1" s="1"/>
  <c r="L476" i="1"/>
  <c r="M476" i="1" s="1"/>
  <c r="T475" i="1"/>
  <c r="U475" i="1" s="1"/>
  <c r="V475" i="1" s="1"/>
  <c r="W475" i="1" s="1"/>
  <c r="X475" i="1" s="1"/>
  <c r="L475" i="1"/>
  <c r="M475" i="1" s="1"/>
  <c r="O475" i="1" s="1"/>
  <c r="T474" i="1"/>
  <c r="U474" i="1" s="1"/>
  <c r="V474" i="1" s="1"/>
  <c r="W474" i="1" s="1"/>
  <c r="X474" i="1" s="1"/>
  <c r="L474" i="1"/>
  <c r="M474" i="1" s="1"/>
  <c r="O474" i="1" s="1"/>
  <c r="P474" i="1" s="1"/>
  <c r="T473" i="1"/>
  <c r="U473" i="1" s="1"/>
  <c r="L473" i="1"/>
  <c r="M473" i="1" s="1"/>
  <c r="T472" i="1"/>
  <c r="L472" i="1"/>
  <c r="M472" i="1" s="1"/>
  <c r="O472" i="1" s="1"/>
  <c r="P472" i="1" s="1"/>
  <c r="T471" i="1"/>
  <c r="U471" i="1" s="1"/>
  <c r="V471" i="1" s="1"/>
  <c r="W471" i="1" s="1"/>
  <c r="L471" i="1"/>
  <c r="M471" i="1" s="1"/>
  <c r="O471" i="1" s="1"/>
  <c r="P471" i="1" s="1"/>
  <c r="T470" i="1"/>
  <c r="U470" i="1" s="1"/>
  <c r="V470" i="1" s="1"/>
  <c r="L470" i="1"/>
  <c r="M470" i="1" s="1"/>
  <c r="T469" i="1"/>
  <c r="U469" i="1" s="1"/>
  <c r="V469" i="1" s="1"/>
  <c r="W469" i="1" s="1"/>
  <c r="L469" i="1"/>
  <c r="M469" i="1" s="1"/>
  <c r="O469" i="1" s="1"/>
  <c r="P469" i="1" s="1"/>
  <c r="T468" i="1"/>
  <c r="L468" i="1"/>
  <c r="M468" i="1" s="1"/>
  <c r="O468" i="1" s="1"/>
  <c r="T467" i="1"/>
  <c r="U467" i="1" s="1"/>
  <c r="V467" i="1" s="1"/>
  <c r="W467" i="1" s="1"/>
  <c r="X467" i="1" s="1"/>
  <c r="L467" i="1"/>
  <c r="M467" i="1" s="1"/>
  <c r="O467" i="1" s="1"/>
  <c r="T466" i="1"/>
  <c r="U466" i="1" s="1"/>
  <c r="V466" i="1" s="1"/>
  <c r="W466" i="1" s="1"/>
  <c r="X466" i="1" s="1"/>
  <c r="L466" i="1"/>
  <c r="M466" i="1" s="1"/>
  <c r="O466" i="1" s="1"/>
  <c r="P466" i="1" s="1"/>
  <c r="T465" i="1"/>
  <c r="U465" i="1" s="1"/>
  <c r="V465" i="1" s="1"/>
  <c r="L465" i="1"/>
  <c r="M465" i="1" s="1"/>
  <c r="O465" i="1" s="1"/>
  <c r="P465" i="1" s="1"/>
  <c r="T464" i="1"/>
  <c r="U464" i="1" s="1"/>
  <c r="L464" i="1"/>
  <c r="M464" i="1" s="1"/>
  <c r="T463" i="1"/>
  <c r="U463" i="1" s="1"/>
  <c r="V463" i="1" s="1"/>
  <c r="W463" i="1" s="1"/>
  <c r="X463" i="1" s="1"/>
  <c r="L463" i="1"/>
  <c r="M463" i="1" s="1"/>
  <c r="O463" i="1" s="1"/>
  <c r="P463" i="1" s="1"/>
  <c r="T462" i="1"/>
  <c r="L462" i="1"/>
  <c r="M462" i="1" s="1"/>
  <c r="O462" i="1" s="1"/>
  <c r="P462" i="1" s="1"/>
  <c r="T461" i="1"/>
  <c r="L461" i="1"/>
  <c r="M461" i="1" s="1"/>
  <c r="T460" i="1"/>
  <c r="L460" i="1"/>
  <c r="M460" i="1" s="1"/>
  <c r="O460" i="1" s="1"/>
  <c r="T459" i="1"/>
  <c r="U459" i="1" s="1"/>
  <c r="V459" i="1" s="1"/>
  <c r="L459" i="1"/>
  <c r="M459" i="1" s="1"/>
  <c r="O459" i="1" s="1"/>
  <c r="P459" i="1" s="1"/>
  <c r="T458" i="1"/>
  <c r="U458" i="1" s="1"/>
  <c r="V458" i="1" s="1"/>
  <c r="W458" i="1" s="1"/>
  <c r="X458" i="1" s="1"/>
  <c r="L458" i="1"/>
  <c r="M458" i="1" s="1"/>
  <c r="O458" i="1" s="1"/>
  <c r="P458" i="1" s="1"/>
  <c r="T457" i="1"/>
  <c r="U457" i="1" s="1"/>
  <c r="V457" i="1" s="1"/>
  <c r="L457" i="1"/>
  <c r="M457" i="1" s="1"/>
  <c r="O457" i="1" s="1"/>
  <c r="P457" i="1" s="1"/>
  <c r="T456" i="1"/>
  <c r="L456" i="1"/>
  <c r="M456" i="1" s="1"/>
  <c r="O456" i="1" s="1"/>
  <c r="T455" i="1"/>
  <c r="L455" i="1"/>
  <c r="M455" i="1" s="1"/>
  <c r="O455" i="1" s="1"/>
  <c r="T454" i="1"/>
  <c r="U454" i="1" s="1"/>
  <c r="V454" i="1" s="1"/>
  <c r="L454" i="1"/>
  <c r="M454" i="1" s="1"/>
  <c r="O454" i="1" s="1"/>
  <c r="T453" i="1"/>
  <c r="U453" i="1" s="1"/>
  <c r="V453" i="1" s="1"/>
  <c r="W453" i="1" s="1"/>
  <c r="X453" i="1" s="1"/>
  <c r="L453" i="1"/>
  <c r="M453" i="1" s="1"/>
  <c r="O453" i="1" s="1"/>
  <c r="P453" i="1" s="1"/>
  <c r="T452" i="1"/>
  <c r="U452" i="1" s="1"/>
  <c r="L452" i="1"/>
  <c r="M452" i="1" s="1"/>
  <c r="T451" i="1"/>
  <c r="U451" i="1" s="1"/>
  <c r="V451" i="1" s="1"/>
  <c r="W451" i="1" s="1"/>
  <c r="L451" i="1"/>
  <c r="M451" i="1" s="1"/>
  <c r="T450" i="1"/>
  <c r="U450" i="1" s="1"/>
  <c r="V450" i="1" s="1"/>
  <c r="W450" i="1" s="1"/>
  <c r="X450" i="1" s="1"/>
  <c r="L450" i="1"/>
  <c r="M450" i="1" s="1"/>
  <c r="O450" i="1" s="1"/>
  <c r="P450" i="1" s="1"/>
  <c r="T449" i="1"/>
  <c r="L449" i="1"/>
  <c r="M449" i="1" s="1"/>
  <c r="O449" i="1" s="1"/>
  <c r="T448" i="1"/>
  <c r="U448" i="1" s="1"/>
  <c r="L448" i="1"/>
  <c r="M448" i="1" s="1"/>
  <c r="O448" i="1" s="1"/>
  <c r="P448" i="1" s="1"/>
  <c r="T447" i="1"/>
  <c r="U447" i="1" s="1"/>
  <c r="V447" i="1" s="1"/>
  <c r="W447" i="1" s="1"/>
  <c r="X447" i="1" s="1"/>
  <c r="L447" i="1"/>
  <c r="M447" i="1" s="1"/>
  <c r="O447" i="1" s="1"/>
  <c r="P447" i="1" s="1"/>
  <c r="T446" i="1"/>
  <c r="U446" i="1" s="1"/>
  <c r="L446" i="1"/>
  <c r="M446" i="1" s="1"/>
  <c r="O446" i="1" s="1"/>
  <c r="P446" i="1" s="1"/>
  <c r="T445" i="1"/>
  <c r="U445" i="1" s="1"/>
  <c r="V445" i="1" s="1"/>
  <c r="W445" i="1" s="1"/>
  <c r="X445" i="1" s="1"/>
  <c r="L445" i="1"/>
  <c r="M445" i="1" s="1"/>
  <c r="T444" i="1"/>
  <c r="U444" i="1" s="1"/>
  <c r="V444" i="1" s="1"/>
  <c r="W444" i="1" s="1"/>
  <c r="L444" i="1"/>
  <c r="M444" i="1" s="1"/>
  <c r="O444" i="1" s="1"/>
  <c r="T443" i="1"/>
  <c r="U443" i="1" s="1"/>
  <c r="L443" i="1"/>
  <c r="M443" i="1" s="1"/>
  <c r="O443" i="1" s="1"/>
  <c r="P443" i="1" s="1"/>
  <c r="T442" i="1"/>
  <c r="U442" i="1" s="1"/>
  <c r="V442" i="1" s="1"/>
  <c r="W442" i="1" s="1"/>
  <c r="L442" i="1"/>
  <c r="M442" i="1" s="1"/>
  <c r="O442" i="1" s="1"/>
  <c r="T441" i="1"/>
  <c r="U441" i="1" s="1"/>
  <c r="V441" i="1" s="1"/>
  <c r="L441" i="1"/>
  <c r="M441" i="1" s="1"/>
  <c r="O441" i="1" s="1"/>
  <c r="P441" i="1" s="1"/>
  <c r="T440" i="1"/>
  <c r="U440" i="1" s="1"/>
  <c r="V440" i="1" s="1"/>
  <c r="W440" i="1" s="1"/>
  <c r="X440" i="1" s="1"/>
  <c r="L440" i="1"/>
  <c r="M440" i="1" s="1"/>
  <c r="T439" i="1"/>
  <c r="U439" i="1" s="1"/>
  <c r="V439" i="1" s="1"/>
  <c r="W439" i="1" s="1"/>
  <c r="X439" i="1" s="1"/>
  <c r="L439" i="1"/>
  <c r="M439" i="1" s="1"/>
  <c r="O439" i="1" s="1"/>
  <c r="P439" i="1" s="1"/>
  <c r="T438" i="1"/>
  <c r="U438" i="1" s="1"/>
  <c r="V438" i="1" s="1"/>
  <c r="L438" i="1"/>
  <c r="M438" i="1" s="1"/>
  <c r="T437" i="1"/>
  <c r="U437" i="1" s="1"/>
  <c r="V437" i="1" s="1"/>
  <c r="W437" i="1" s="1"/>
  <c r="L437" i="1"/>
  <c r="M437" i="1" s="1"/>
  <c r="T436" i="1"/>
  <c r="L436" i="1"/>
  <c r="M436" i="1" s="1"/>
  <c r="O436" i="1" s="1"/>
  <c r="P436" i="1" s="1"/>
  <c r="T435" i="1"/>
  <c r="L435" i="1"/>
  <c r="M435" i="1" s="1"/>
  <c r="O435" i="1" s="1"/>
  <c r="T434" i="1"/>
  <c r="L434" i="1"/>
  <c r="M434" i="1" s="1"/>
  <c r="O434" i="1" s="1"/>
  <c r="P434" i="1" s="1"/>
  <c r="T433" i="1"/>
  <c r="U433" i="1" s="1"/>
  <c r="V433" i="1" s="1"/>
  <c r="W433" i="1" s="1"/>
  <c r="L433" i="1"/>
  <c r="M433" i="1" s="1"/>
  <c r="O433" i="1" s="1"/>
  <c r="P433" i="1" s="1"/>
  <c r="T432" i="1"/>
  <c r="U432" i="1" s="1"/>
  <c r="L432" i="1"/>
  <c r="M432" i="1" s="1"/>
  <c r="O432" i="1" s="1"/>
  <c r="P432" i="1" s="1"/>
  <c r="T431" i="1"/>
  <c r="L431" i="1"/>
  <c r="M431" i="1" s="1"/>
  <c r="O431" i="1" s="1"/>
  <c r="T430" i="1"/>
  <c r="L430" i="1"/>
  <c r="M430" i="1" s="1"/>
  <c r="O430" i="1" s="1"/>
  <c r="T429" i="1"/>
  <c r="U429" i="1" s="1"/>
  <c r="V429" i="1" s="1"/>
  <c r="L429" i="1"/>
  <c r="M429" i="1" s="1"/>
  <c r="T428" i="1"/>
  <c r="U428" i="1" s="1"/>
  <c r="V428" i="1" s="1"/>
  <c r="L428" i="1"/>
  <c r="M428" i="1" s="1"/>
  <c r="O428" i="1" s="1"/>
  <c r="P428" i="1" s="1"/>
  <c r="T427" i="1"/>
  <c r="U427" i="1" s="1"/>
  <c r="V427" i="1" s="1"/>
  <c r="L427" i="1"/>
  <c r="M427" i="1" s="1"/>
  <c r="O427" i="1" s="1"/>
  <c r="P427" i="1" s="1"/>
  <c r="T426" i="1"/>
  <c r="L426" i="1"/>
  <c r="M426" i="1" s="1"/>
  <c r="T425" i="1"/>
  <c r="L425" i="1"/>
  <c r="M425" i="1" s="1"/>
  <c r="O425" i="1" s="1"/>
  <c r="T424" i="1"/>
  <c r="U424" i="1" s="1"/>
  <c r="V424" i="1" s="1"/>
  <c r="L424" i="1"/>
  <c r="M424" i="1" s="1"/>
  <c r="T423" i="1"/>
  <c r="U423" i="1" s="1"/>
  <c r="L423" i="1"/>
  <c r="M423" i="1" s="1"/>
  <c r="O423" i="1" s="1"/>
  <c r="P423" i="1" s="1"/>
  <c r="T422" i="1"/>
  <c r="U422" i="1" s="1"/>
  <c r="L422" i="1"/>
  <c r="M422" i="1" s="1"/>
  <c r="O422" i="1" s="1"/>
  <c r="T421" i="1"/>
  <c r="U421" i="1" s="1"/>
  <c r="V421" i="1" s="1"/>
  <c r="W421" i="1" s="1"/>
  <c r="L421" i="1"/>
  <c r="M421" i="1" s="1"/>
  <c r="T420" i="1"/>
  <c r="L420" i="1"/>
  <c r="M420" i="1" s="1"/>
  <c r="O420" i="1" s="1"/>
  <c r="P420" i="1" s="1"/>
  <c r="T419" i="1"/>
  <c r="U419" i="1" s="1"/>
  <c r="L419" i="1"/>
  <c r="M419" i="1" s="1"/>
  <c r="O419" i="1" s="1"/>
  <c r="P419" i="1" s="1"/>
  <c r="T418" i="1"/>
  <c r="U418" i="1" s="1"/>
  <c r="V418" i="1" s="1"/>
  <c r="L418" i="1"/>
  <c r="M418" i="1" s="1"/>
  <c r="O418" i="1" s="1"/>
  <c r="P418" i="1" s="1"/>
  <c r="T417" i="1"/>
  <c r="U417" i="1" s="1"/>
  <c r="L417" i="1"/>
  <c r="M417" i="1" s="1"/>
  <c r="O417" i="1" s="1"/>
  <c r="P417" i="1" s="1"/>
  <c r="T416" i="1"/>
  <c r="U416" i="1" s="1"/>
  <c r="L416" i="1"/>
  <c r="M416" i="1" s="1"/>
  <c r="T415" i="1"/>
  <c r="U415" i="1" s="1"/>
  <c r="V415" i="1" s="1"/>
  <c r="W415" i="1" s="1"/>
  <c r="X415" i="1" s="1"/>
  <c r="L415" i="1"/>
  <c r="M415" i="1" s="1"/>
  <c r="O415" i="1" s="1"/>
  <c r="P415" i="1" s="1"/>
  <c r="T414" i="1"/>
  <c r="U414" i="1" s="1"/>
  <c r="V414" i="1" s="1"/>
  <c r="L414" i="1"/>
  <c r="M414" i="1" s="1"/>
  <c r="O414" i="1" s="1"/>
  <c r="T413" i="1"/>
  <c r="U413" i="1" s="1"/>
  <c r="V413" i="1" s="1"/>
  <c r="W413" i="1" s="1"/>
  <c r="L413" i="1"/>
  <c r="M413" i="1" s="1"/>
  <c r="T412" i="1"/>
  <c r="L412" i="1"/>
  <c r="M412" i="1" s="1"/>
  <c r="O412" i="1" s="1"/>
  <c r="P412" i="1" s="1"/>
  <c r="T411" i="1"/>
  <c r="U411" i="1" s="1"/>
  <c r="V411" i="1" s="1"/>
  <c r="W411" i="1" s="1"/>
  <c r="L411" i="1"/>
  <c r="M411" i="1" s="1"/>
  <c r="T410" i="1"/>
  <c r="L410" i="1"/>
  <c r="M410" i="1" s="1"/>
  <c r="O410" i="1" s="1"/>
  <c r="P410" i="1" s="1"/>
  <c r="T409" i="1"/>
  <c r="U409" i="1" s="1"/>
  <c r="L409" i="1"/>
  <c r="M409" i="1" s="1"/>
  <c r="O409" i="1" s="1"/>
  <c r="P409" i="1" s="1"/>
  <c r="T408" i="1"/>
  <c r="U408" i="1" s="1"/>
  <c r="V408" i="1" s="1"/>
  <c r="W408" i="1" s="1"/>
  <c r="X408" i="1" s="1"/>
  <c r="L408" i="1"/>
  <c r="M408" i="1" s="1"/>
  <c r="O408" i="1" s="1"/>
  <c r="P408" i="1" s="1"/>
  <c r="T407" i="1"/>
  <c r="U407" i="1" s="1"/>
  <c r="V407" i="1" s="1"/>
  <c r="W407" i="1" s="1"/>
  <c r="L407" i="1"/>
  <c r="M407" i="1" s="1"/>
  <c r="O407" i="1" s="1"/>
  <c r="T406" i="1"/>
  <c r="U406" i="1" s="1"/>
  <c r="V406" i="1" s="1"/>
  <c r="L406" i="1"/>
  <c r="M406" i="1" s="1"/>
  <c r="O406" i="1" s="1"/>
  <c r="P406" i="1" s="1"/>
  <c r="T405" i="1"/>
  <c r="U405" i="1" s="1"/>
  <c r="V405" i="1" s="1"/>
  <c r="W405" i="1" s="1"/>
  <c r="L405" i="1"/>
  <c r="M405" i="1" s="1"/>
  <c r="T404" i="1"/>
  <c r="L404" i="1"/>
  <c r="M404" i="1" s="1"/>
  <c r="O404" i="1" s="1"/>
  <c r="P404" i="1" s="1"/>
  <c r="T403" i="1"/>
  <c r="U403" i="1" s="1"/>
  <c r="V403" i="1" s="1"/>
  <c r="W403" i="1" s="1"/>
  <c r="X403" i="1" s="1"/>
  <c r="L403" i="1"/>
  <c r="M403" i="1" s="1"/>
  <c r="O403" i="1" s="1"/>
  <c r="P403" i="1" s="1"/>
  <c r="T402" i="1"/>
  <c r="U402" i="1" s="1"/>
  <c r="V402" i="1" s="1"/>
  <c r="W402" i="1" s="1"/>
  <c r="X402" i="1" s="1"/>
  <c r="L402" i="1"/>
  <c r="M402" i="1" s="1"/>
  <c r="O402" i="1" s="1"/>
  <c r="P402" i="1" s="1"/>
  <c r="T401" i="1"/>
  <c r="U401" i="1" s="1"/>
  <c r="L401" i="1"/>
  <c r="M401" i="1" s="1"/>
  <c r="O401" i="1" s="1"/>
  <c r="P401" i="1" s="1"/>
  <c r="T400" i="1"/>
  <c r="U400" i="1" s="1"/>
  <c r="V400" i="1" s="1"/>
  <c r="L400" i="1"/>
  <c r="M400" i="1" s="1"/>
  <c r="O400" i="1" s="1"/>
  <c r="P400" i="1" s="1"/>
  <c r="T399" i="1"/>
  <c r="U399" i="1" s="1"/>
  <c r="L399" i="1"/>
  <c r="M399" i="1" s="1"/>
  <c r="T398" i="1"/>
  <c r="U398" i="1" s="1"/>
  <c r="V398" i="1" s="1"/>
  <c r="L398" i="1"/>
  <c r="M398" i="1" s="1"/>
  <c r="O398" i="1" s="1"/>
  <c r="P398" i="1" s="1"/>
  <c r="T397" i="1"/>
  <c r="U397" i="1" s="1"/>
  <c r="V397" i="1" s="1"/>
  <c r="L397" i="1"/>
  <c r="M397" i="1" s="1"/>
  <c r="O397" i="1" s="1"/>
  <c r="P397" i="1" s="1"/>
  <c r="T396" i="1"/>
  <c r="U396" i="1" s="1"/>
  <c r="L396" i="1"/>
  <c r="M396" i="1" s="1"/>
  <c r="O396" i="1" s="1"/>
  <c r="T395" i="1"/>
  <c r="U395" i="1" s="1"/>
  <c r="L395" i="1"/>
  <c r="M395" i="1" s="1"/>
  <c r="O395" i="1" s="1"/>
  <c r="P395" i="1" s="1"/>
  <c r="T394" i="1"/>
  <c r="L394" i="1"/>
  <c r="M394" i="1" s="1"/>
  <c r="O394" i="1" s="1"/>
  <c r="T393" i="1"/>
  <c r="U393" i="1" s="1"/>
  <c r="V393" i="1" s="1"/>
  <c r="W393" i="1" s="1"/>
  <c r="X393" i="1" s="1"/>
  <c r="L393" i="1"/>
  <c r="M393" i="1" s="1"/>
  <c r="O393" i="1" s="1"/>
  <c r="P393" i="1" s="1"/>
  <c r="T392" i="1"/>
  <c r="U392" i="1" s="1"/>
  <c r="V392" i="1" s="1"/>
  <c r="W392" i="1" s="1"/>
  <c r="L392" i="1"/>
  <c r="M392" i="1" s="1"/>
  <c r="T391" i="1"/>
  <c r="U391" i="1" s="1"/>
  <c r="V391" i="1" s="1"/>
  <c r="L391" i="1"/>
  <c r="M391" i="1" s="1"/>
  <c r="O391" i="1" s="1"/>
  <c r="P391" i="1" s="1"/>
  <c r="T390" i="1"/>
  <c r="U390" i="1" s="1"/>
  <c r="V390" i="1" s="1"/>
  <c r="L390" i="1"/>
  <c r="M390" i="1" s="1"/>
  <c r="T389" i="1"/>
  <c r="U389" i="1" s="1"/>
  <c r="L389" i="1"/>
  <c r="M389" i="1" s="1"/>
  <c r="O389" i="1" s="1"/>
  <c r="P389" i="1" s="1"/>
  <c r="T388" i="1"/>
  <c r="U388" i="1" s="1"/>
  <c r="L388" i="1"/>
  <c r="M388" i="1" s="1"/>
  <c r="O388" i="1" s="1"/>
  <c r="P388" i="1" s="1"/>
  <c r="T387" i="1"/>
  <c r="U387" i="1" s="1"/>
  <c r="L387" i="1"/>
  <c r="M387" i="1" s="1"/>
  <c r="O387" i="1" s="1"/>
  <c r="P387" i="1" s="1"/>
  <c r="T386" i="1"/>
  <c r="U386" i="1" s="1"/>
  <c r="L386" i="1"/>
  <c r="M386" i="1" s="1"/>
  <c r="O386" i="1" s="1"/>
  <c r="P386" i="1" s="1"/>
  <c r="T385" i="1"/>
  <c r="U385" i="1" s="1"/>
  <c r="L385" i="1"/>
  <c r="M385" i="1" s="1"/>
  <c r="T384" i="1"/>
  <c r="U384" i="1" s="1"/>
  <c r="V384" i="1" s="1"/>
  <c r="W384" i="1" s="1"/>
  <c r="X384" i="1" s="1"/>
  <c r="L384" i="1"/>
  <c r="M384" i="1" s="1"/>
  <c r="O384" i="1" s="1"/>
  <c r="T383" i="1"/>
  <c r="U383" i="1" s="1"/>
  <c r="V383" i="1" s="1"/>
  <c r="L383" i="1"/>
  <c r="M383" i="1" s="1"/>
  <c r="O383" i="1" s="1"/>
  <c r="P383" i="1" s="1"/>
  <c r="T382" i="1"/>
  <c r="U382" i="1" s="1"/>
  <c r="V382" i="1" s="1"/>
  <c r="L382" i="1"/>
  <c r="M382" i="1" s="1"/>
  <c r="O382" i="1" s="1"/>
  <c r="P382" i="1" s="1"/>
  <c r="T381" i="1"/>
  <c r="U381" i="1" s="1"/>
  <c r="L381" i="1"/>
  <c r="M381" i="1" s="1"/>
  <c r="O381" i="1" s="1"/>
  <c r="P381" i="1" s="1"/>
  <c r="T380" i="1"/>
  <c r="U380" i="1" s="1"/>
  <c r="V380" i="1" s="1"/>
  <c r="W380" i="1" s="1"/>
  <c r="X380" i="1" s="1"/>
  <c r="L380" i="1"/>
  <c r="M380" i="1" s="1"/>
  <c r="T379" i="1"/>
  <c r="U379" i="1" s="1"/>
  <c r="L379" i="1"/>
  <c r="M379" i="1" s="1"/>
  <c r="O379" i="1" s="1"/>
  <c r="T378" i="1"/>
  <c r="L378" i="1"/>
  <c r="M378" i="1" s="1"/>
  <c r="O378" i="1" s="1"/>
  <c r="P378" i="1" s="1"/>
  <c r="T377" i="1"/>
  <c r="L377" i="1"/>
  <c r="M377" i="1" s="1"/>
  <c r="O377" i="1" s="1"/>
  <c r="P377" i="1" s="1"/>
  <c r="T376" i="1"/>
  <c r="U376" i="1" s="1"/>
  <c r="V376" i="1" s="1"/>
  <c r="W376" i="1" s="1"/>
  <c r="L376" i="1"/>
  <c r="M376" i="1" s="1"/>
  <c r="O376" i="1" s="1"/>
  <c r="P376" i="1" s="1"/>
  <c r="T375" i="1"/>
  <c r="U375" i="1" s="1"/>
  <c r="L375" i="1"/>
  <c r="M375" i="1" s="1"/>
  <c r="T374" i="1"/>
  <c r="U374" i="1" s="1"/>
  <c r="L374" i="1"/>
  <c r="M374" i="1" s="1"/>
  <c r="O374" i="1" s="1"/>
  <c r="T373" i="1"/>
  <c r="U373" i="1" s="1"/>
  <c r="V373" i="1" s="1"/>
  <c r="W373" i="1" s="1"/>
  <c r="L373" i="1"/>
  <c r="M373" i="1" s="1"/>
  <c r="O373" i="1" s="1"/>
  <c r="P373" i="1" s="1"/>
  <c r="T372" i="1"/>
  <c r="U372" i="1" s="1"/>
  <c r="V372" i="1" s="1"/>
  <c r="W372" i="1" s="1"/>
  <c r="L372" i="1"/>
  <c r="M372" i="1" s="1"/>
  <c r="O372" i="1" s="1"/>
  <c r="P372" i="1" s="1"/>
  <c r="T371" i="1"/>
  <c r="U371" i="1" s="1"/>
  <c r="L371" i="1"/>
  <c r="M371" i="1" s="1"/>
  <c r="T370" i="1"/>
  <c r="U370" i="1" s="1"/>
  <c r="V370" i="1" s="1"/>
  <c r="W370" i="1" s="1"/>
  <c r="X370" i="1" s="1"/>
  <c r="L370" i="1"/>
  <c r="M370" i="1" s="1"/>
  <c r="O370" i="1" s="1"/>
  <c r="T369" i="1"/>
  <c r="U369" i="1" s="1"/>
  <c r="V369" i="1" s="1"/>
  <c r="L369" i="1"/>
  <c r="M369" i="1" s="1"/>
  <c r="O369" i="1" s="1"/>
  <c r="P369" i="1" s="1"/>
  <c r="T368" i="1"/>
  <c r="U368" i="1" s="1"/>
  <c r="V368" i="1" s="1"/>
  <c r="W368" i="1" s="1"/>
  <c r="L368" i="1"/>
  <c r="M368" i="1" s="1"/>
  <c r="T367" i="1"/>
  <c r="U367" i="1" s="1"/>
  <c r="V367" i="1" s="1"/>
  <c r="W367" i="1" s="1"/>
  <c r="L367" i="1"/>
  <c r="M367" i="1" s="1"/>
  <c r="O367" i="1" s="1"/>
  <c r="P367" i="1" s="1"/>
  <c r="T366" i="1"/>
  <c r="U366" i="1" s="1"/>
  <c r="L366" i="1"/>
  <c r="M366" i="1" s="1"/>
  <c r="T365" i="1"/>
  <c r="L365" i="1"/>
  <c r="M365" i="1" s="1"/>
  <c r="O365" i="1" s="1"/>
  <c r="P365" i="1" s="1"/>
  <c r="T364" i="1"/>
  <c r="U364" i="1" s="1"/>
  <c r="L364" i="1"/>
  <c r="M364" i="1" s="1"/>
  <c r="O364" i="1" s="1"/>
  <c r="P364" i="1" s="1"/>
  <c r="T363" i="1"/>
  <c r="U363" i="1" s="1"/>
  <c r="L363" i="1"/>
  <c r="M363" i="1" s="1"/>
  <c r="O363" i="1" s="1"/>
  <c r="P363" i="1" s="1"/>
  <c r="T362" i="1"/>
  <c r="U362" i="1" s="1"/>
  <c r="V362" i="1" s="1"/>
  <c r="W362" i="1" s="1"/>
  <c r="L362" i="1"/>
  <c r="M362" i="1" s="1"/>
  <c r="O362" i="1" s="1"/>
  <c r="T361" i="1"/>
  <c r="U361" i="1" s="1"/>
  <c r="V361" i="1" s="1"/>
  <c r="L361" i="1"/>
  <c r="M361" i="1" s="1"/>
  <c r="O361" i="1" s="1"/>
  <c r="T360" i="1"/>
  <c r="U360" i="1" s="1"/>
  <c r="V360" i="1" s="1"/>
  <c r="L360" i="1"/>
  <c r="M360" i="1" s="1"/>
  <c r="O360" i="1" s="1"/>
  <c r="P360" i="1" s="1"/>
  <c r="T359" i="1"/>
  <c r="U359" i="1" s="1"/>
  <c r="V359" i="1" s="1"/>
  <c r="W359" i="1" s="1"/>
  <c r="X359" i="1" s="1"/>
  <c r="L359" i="1"/>
  <c r="M359" i="1" s="1"/>
  <c r="O359" i="1" s="1"/>
  <c r="T358" i="1"/>
  <c r="U358" i="1" s="1"/>
  <c r="V358" i="1" s="1"/>
  <c r="L358" i="1"/>
  <c r="M358" i="1" s="1"/>
  <c r="O358" i="1" s="1"/>
  <c r="P358" i="1" s="1"/>
  <c r="T357" i="1"/>
  <c r="U357" i="1" s="1"/>
  <c r="L357" i="1"/>
  <c r="M357" i="1" s="1"/>
  <c r="O357" i="1" s="1"/>
  <c r="T356" i="1"/>
  <c r="U356" i="1" s="1"/>
  <c r="V356" i="1" s="1"/>
  <c r="W356" i="1" s="1"/>
  <c r="X356" i="1" s="1"/>
  <c r="L356" i="1"/>
  <c r="M356" i="1" s="1"/>
  <c r="T355" i="1"/>
  <c r="U355" i="1" s="1"/>
  <c r="V355" i="1" s="1"/>
  <c r="L355" i="1"/>
  <c r="M355" i="1" s="1"/>
  <c r="O355" i="1" s="1"/>
  <c r="P355" i="1" s="1"/>
  <c r="T354" i="1"/>
  <c r="L354" i="1"/>
  <c r="M354" i="1" s="1"/>
  <c r="O354" i="1" s="1"/>
  <c r="P354" i="1" s="1"/>
  <c r="T353" i="1"/>
  <c r="U353" i="1" s="1"/>
  <c r="V353" i="1" s="1"/>
  <c r="L353" i="1"/>
  <c r="M353" i="1" s="1"/>
  <c r="O353" i="1" s="1"/>
  <c r="T352" i="1"/>
  <c r="L352" i="1"/>
  <c r="M352" i="1" s="1"/>
  <c r="O352" i="1" s="1"/>
  <c r="T351" i="1"/>
  <c r="U351" i="1" s="1"/>
  <c r="L351" i="1"/>
  <c r="M351" i="1" s="1"/>
  <c r="O351" i="1" s="1"/>
  <c r="T350" i="1"/>
  <c r="L350" i="1"/>
  <c r="M350" i="1" s="1"/>
  <c r="O350" i="1" s="1"/>
  <c r="P350" i="1" s="1"/>
  <c r="T349" i="1"/>
  <c r="L349" i="1"/>
  <c r="M349" i="1" s="1"/>
  <c r="T348" i="1"/>
  <c r="U348" i="1" s="1"/>
  <c r="L348" i="1"/>
  <c r="M348" i="1" s="1"/>
  <c r="T347" i="1"/>
  <c r="U347" i="1" s="1"/>
  <c r="V347" i="1" s="1"/>
  <c r="L347" i="1"/>
  <c r="M347" i="1" s="1"/>
  <c r="T346" i="1"/>
  <c r="U346" i="1" s="1"/>
  <c r="V346" i="1" s="1"/>
  <c r="W346" i="1" s="1"/>
  <c r="X346" i="1" s="1"/>
  <c r="L346" i="1"/>
  <c r="M346" i="1" s="1"/>
  <c r="O346" i="1" s="1"/>
  <c r="P346" i="1" s="1"/>
  <c r="T345" i="1"/>
  <c r="U345" i="1" s="1"/>
  <c r="V345" i="1" s="1"/>
  <c r="W345" i="1" s="1"/>
  <c r="X345" i="1" s="1"/>
  <c r="L345" i="1"/>
  <c r="M345" i="1" s="1"/>
  <c r="O345" i="1" s="1"/>
  <c r="T344" i="1"/>
  <c r="U344" i="1" s="1"/>
  <c r="L344" i="1"/>
  <c r="M344" i="1" s="1"/>
  <c r="O344" i="1" s="1"/>
  <c r="P344" i="1" s="1"/>
  <c r="T343" i="1"/>
  <c r="U343" i="1" s="1"/>
  <c r="L343" i="1"/>
  <c r="M343" i="1" s="1"/>
  <c r="O343" i="1" s="1"/>
  <c r="P343" i="1" s="1"/>
  <c r="T342" i="1"/>
  <c r="L342" i="1"/>
  <c r="M342" i="1" s="1"/>
  <c r="O342" i="1" s="1"/>
  <c r="P342" i="1" s="1"/>
  <c r="T341" i="1"/>
  <c r="U341" i="1" s="1"/>
  <c r="V341" i="1" s="1"/>
  <c r="L341" i="1"/>
  <c r="M341" i="1" s="1"/>
  <c r="O341" i="1" s="1"/>
  <c r="P341" i="1" s="1"/>
  <c r="T340" i="1"/>
  <c r="U340" i="1" s="1"/>
  <c r="V340" i="1" s="1"/>
  <c r="W340" i="1" s="1"/>
  <c r="X340" i="1" s="1"/>
  <c r="L340" i="1"/>
  <c r="M340" i="1" s="1"/>
  <c r="O340" i="1" s="1"/>
  <c r="P340" i="1" s="1"/>
  <c r="T339" i="1"/>
  <c r="U339" i="1" s="1"/>
  <c r="V339" i="1" s="1"/>
  <c r="W339" i="1" s="1"/>
  <c r="X339" i="1" s="1"/>
  <c r="L339" i="1"/>
  <c r="M339" i="1" s="1"/>
  <c r="O339" i="1" s="1"/>
  <c r="T338" i="1"/>
  <c r="U338" i="1" s="1"/>
  <c r="V338" i="1" s="1"/>
  <c r="L338" i="1"/>
  <c r="M338" i="1" s="1"/>
  <c r="O338" i="1" s="1"/>
  <c r="T337" i="1"/>
  <c r="U337" i="1" s="1"/>
  <c r="V337" i="1" s="1"/>
  <c r="W337" i="1" s="1"/>
  <c r="X337" i="1" s="1"/>
  <c r="L337" i="1"/>
  <c r="M337" i="1" s="1"/>
  <c r="T336" i="1"/>
  <c r="U336" i="1" s="1"/>
  <c r="V336" i="1" s="1"/>
  <c r="L336" i="1"/>
  <c r="M336" i="1" s="1"/>
  <c r="O336" i="1" s="1"/>
  <c r="P336" i="1" s="1"/>
  <c r="T335" i="1"/>
  <c r="U335" i="1" s="1"/>
  <c r="V335" i="1" s="1"/>
  <c r="W335" i="1" s="1"/>
  <c r="L335" i="1"/>
  <c r="M335" i="1" s="1"/>
  <c r="O335" i="1" s="1"/>
  <c r="T334" i="1"/>
  <c r="L334" i="1"/>
  <c r="M334" i="1" s="1"/>
  <c r="O334" i="1" s="1"/>
  <c r="T333" i="1"/>
  <c r="U333" i="1" s="1"/>
  <c r="V333" i="1" s="1"/>
  <c r="W333" i="1" s="1"/>
  <c r="L333" i="1"/>
  <c r="M333" i="1" s="1"/>
  <c r="T332" i="1"/>
  <c r="U332" i="1" s="1"/>
  <c r="V332" i="1" s="1"/>
  <c r="L332" i="1"/>
  <c r="M332" i="1" s="1"/>
  <c r="T331" i="1"/>
  <c r="U331" i="1" s="1"/>
  <c r="V331" i="1" s="1"/>
  <c r="W331" i="1" s="1"/>
  <c r="X331" i="1" s="1"/>
  <c r="L331" i="1"/>
  <c r="M331" i="1" s="1"/>
  <c r="T330" i="1"/>
  <c r="U330" i="1" s="1"/>
  <c r="V330" i="1" s="1"/>
  <c r="W330" i="1" s="1"/>
  <c r="L330" i="1"/>
  <c r="M330" i="1" s="1"/>
  <c r="T329" i="1"/>
  <c r="U329" i="1" s="1"/>
  <c r="V329" i="1" s="1"/>
  <c r="L329" i="1"/>
  <c r="M329" i="1" s="1"/>
  <c r="O329" i="1" s="1"/>
  <c r="T328" i="1"/>
  <c r="U328" i="1" s="1"/>
  <c r="L328" i="1"/>
  <c r="M328" i="1" s="1"/>
  <c r="O328" i="1" s="1"/>
  <c r="P328" i="1" s="1"/>
  <c r="T327" i="1"/>
  <c r="U327" i="1" s="1"/>
  <c r="L327" i="1"/>
  <c r="M327" i="1" s="1"/>
  <c r="T326" i="1"/>
  <c r="L326" i="1"/>
  <c r="M326" i="1" s="1"/>
  <c r="O326" i="1" s="1"/>
  <c r="P326" i="1" s="1"/>
  <c r="T325" i="1"/>
  <c r="U325" i="1" s="1"/>
  <c r="L325" i="1"/>
  <c r="M325" i="1" s="1"/>
  <c r="T324" i="1"/>
  <c r="U324" i="1" s="1"/>
  <c r="V324" i="1" s="1"/>
  <c r="W324" i="1" s="1"/>
  <c r="X324" i="1" s="1"/>
  <c r="L324" i="1"/>
  <c r="M324" i="1" s="1"/>
  <c r="O324" i="1" s="1"/>
  <c r="P324" i="1" s="1"/>
  <c r="T323" i="1"/>
  <c r="L323" i="1"/>
  <c r="M323" i="1" s="1"/>
  <c r="T322" i="1"/>
  <c r="L322" i="1"/>
  <c r="M322" i="1" s="1"/>
  <c r="O322" i="1" s="1"/>
  <c r="P322" i="1" s="1"/>
  <c r="T321" i="1"/>
  <c r="U321" i="1" s="1"/>
  <c r="V321" i="1" s="1"/>
  <c r="L321" i="1"/>
  <c r="M321" i="1" s="1"/>
  <c r="O321" i="1" s="1"/>
  <c r="P321" i="1" s="1"/>
  <c r="T320" i="1"/>
  <c r="U320" i="1" s="1"/>
  <c r="V320" i="1" s="1"/>
  <c r="W320" i="1" s="1"/>
  <c r="L320" i="1"/>
  <c r="M320" i="1" s="1"/>
  <c r="O320" i="1" s="1"/>
  <c r="T319" i="1"/>
  <c r="U319" i="1" s="1"/>
  <c r="V319" i="1" s="1"/>
  <c r="L319" i="1"/>
  <c r="M319" i="1" s="1"/>
  <c r="O319" i="1" s="1"/>
  <c r="P319" i="1" s="1"/>
  <c r="T318" i="1"/>
  <c r="L318" i="1"/>
  <c r="M318" i="1" s="1"/>
  <c r="O318" i="1" s="1"/>
  <c r="P318" i="1" s="1"/>
  <c r="T317" i="1"/>
  <c r="L317" i="1"/>
  <c r="M317" i="1" s="1"/>
  <c r="O317" i="1" s="1"/>
  <c r="P317" i="1" s="1"/>
  <c r="T316" i="1"/>
  <c r="L316" i="1"/>
  <c r="M316" i="1" s="1"/>
  <c r="T315" i="1"/>
  <c r="U315" i="1" s="1"/>
  <c r="V315" i="1" s="1"/>
  <c r="L315" i="1"/>
  <c r="M315" i="1" s="1"/>
  <c r="T314" i="1"/>
  <c r="L314" i="1"/>
  <c r="M314" i="1" s="1"/>
  <c r="T313" i="1"/>
  <c r="U313" i="1" s="1"/>
  <c r="V313" i="1" s="1"/>
  <c r="L313" i="1"/>
  <c r="M313" i="1" s="1"/>
  <c r="O313" i="1" s="1"/>
  <c r="T312" i="1"/>
  <c r="U312" i="1" s="1"/>
  <c r="L312" i="1"/>
  <c r="M312" i="1" s="1"/>
  <c r="O312" i="1" s="1"/>
  <c r="T311" i="1"/>
  <c r="U311" i="1" s="1"/>
  <c r="V311" i="1" s="1"/>
  <c r="W311" i="1" s="1"/>
  <c r="X311" i="1" s="1"/>
  <c r="L311" i="1"/>
  <c r="M311" i="1" s="1"/>
  <c r="T310" i="1"/>
  <c r="L310" i="1"/>
  <c r="M310" i="1" s="1"/>
  <c r="T309" i="1"/>
  <c r="U309" i="1" s="1"/>
  <c r="L309" i="1"/>
  <c r="M309" i="1" s="1"/>
  <c r="O309" i="1" s="1"/>
  <c r="P309" i="1" s="1"/>
  <c r="T308" i="1"/>
  <c r="L308" i="1"/>
  <c r="M308" i="1" s="1"/>
  <c r="T307" i="1"/>
  <c r="L307" i="1"/>
  <c r="M307" i="1" s="1"/>
  <c r="O307" i="1" s="1"/>
  <c r="T306" i="1"/>
  <c r="L306" i="1"/>
  <c r="M306" i="1" s="1"/>
  <c r="T305" i="1"/>
  <c r="U305" i="1" s="1"/>
  <c r="V305" i="1" s="1"/>
  <c r="L305" i="1"/>
  <c r="M305" i="1" s="1"/>
  <c r="O305" i="1" s="1"/>
  <c r="T304" i="1"/>
  <c r="U304" i="1" s="1"/>
  <c r="V304" i="1" s="1"/>
  <c r="L304" i="1"/>
  <c r="M304" i="1" s="1"/>
  <c r="O304" i="1" s="1"/>
  <c r="P304" i="1" s="1"/>
  <c r="T303" i="1"/>
  <c r="U303" i="1" s="1"/>
  <c r="V303" i="1" s="1"/>
  <c r="L303" i="1"/>
  <c r="M303" i="1" s="1"/>
  <c r="T302" i="1"/>
  <c r="L302" i="1"/>
  <c r="M302" i="1" s="1"/>
  <c r="O302" i="1" s="1"/>
  <c r="P302" i="1" s="1"/>
  <c r="T301" i="1"/>
  <c r="L301" i="1"/>
  <c r="M301" i="1" s="1"/>
  <c r="O301" i="1" s="1"/>
  <c r="T300" i="1"/>
  <c r="U300" i="1" s="1"/>
  <c r="V300" i="1" s="1"/>
  <c r="W300" i="1" s="1"/>
  <c r="L300" i="1"/>
  <c r="M300" i="1" s="1"/>
  <c r="T299" i="1"/>
  <c r="U299" i="1" s="1"/>
  <c r="L299" i="1"/>
  <c r="M299" i="1" s="1"/>
  <c r="T298" i="1"/>
  <c r="U298" i="1" s="1"/>
  <c r="V298" i="1" s="1"/>
  <c r="L298" i="1"/>
  <c r="M298" i="1" s="1"/>
  <c r="O298" i="1" s="1"/>
  <c r="P298" i="1" s="1"/>
  <c r="T297" i="1"/>
  <c r="L297" i="1"/>
  <c r="M297" i="1" s="1"/>
  <c r="T296" i="1"/>
  <c r="U296" i="1" s="1"/>
  <c r="V296" i="1" s="1"/>
  <c r="L296" i="1"/>
  <c r="M296" i="1" s="1"/>
  <c r="T295" i="1"/>
  <c r="U295" i="1" s="1"/>
  <c r="V295" i="1" s="1"/>
  <c r="W295" i="1" s="1"/>
  <c r="L295" i="1"/>
  <c r="M295" i="1" s="1"/>
  <c r="O295" i="1" s="1"/>
  <c r="P295" i="1" s="1"/>
  <c r="T294" i="1"/>
  <c r="L294" i="1"/>
  <c r="M294" i="1" s="1"/>
  <c r="O294" i="1" s="1"/>
  <c r="P294" i="1" s="1"/>
  <c r="T293" i="1"/>
  <c r="U293" i="1" s="1"/>
  <c r="V293" i="1" s="1"/>
  <c r="W293" i="1" s="1"/>
  <c r="X293" i="1" s="1"/>
  <c r="L293" i="1"/>
  <c r="M293" i="1" s="1"/>
  <c r="O293" i="1" s="1"/>
  <c r="P293" i="1" s="1"/>
  <c r="T292" i="1"/>
  <c r="U292" i="1" s="1"/>
  <c r="V292" i="1" s="1"/>
  <c r="W292" i="1" s="1"/>
  <c r="L292" i="1"/>
  <c r="M292" i="1" s="1"/>
  <c r="O292" i="1" s="1"/>
  <c r="T291" i="1"/>
  <c r="L291" i="1"/>
  <c r="M291" i="1" s="1"/>
  <c r="O291" i="1" s="1"/>
  <c r="P291" i="1" s="1"/>
  <c r="T290" i="1"/>
  <c r="L290" i="1"/>
  <c r="M290" i="1" s="1"/>
  <c r="O290" i="1" s="1"/>
  <c r="P290" i="1" s="1"/>
  <c r="T289" i="1"/>
  <c r="U289" i="1" s="1"/>
  <c r="L289" i="1"/>
  <c r="M289" i="1" s="1"/>
  <c r="O289" i="1" s="1"/>
  <c r="P289" i="1" s="1"/>
  <c r="T288" i="1"/>
  <c r="U288" i="1" s="1"/>
  <c r="L288" i="1"/>
  <c r="M288" i="1" s="1"/>
  <c r="O288" i="1" s="1"/>
  <c r="T287" i="1"/>
  <c r="U287" i="1" s="1"/>
  <c r="V287" i="1" s="1"/>
  <c r="L287" i="1"/>
  <c r="M287" i="1" s="1"/>
  <c r="O287" i="1" s="1"/>
  <c r="T286" i="1"/>
  <c r="U286" i="1" s="1"/>
  <c r="V286" i="1" s="1"/>
  <c r="L286" i="1"/>
  <c r="M286" i="1" s="1"/>
  <c r="O286" i="1" s="1"/>
  <c r="P286" i="1" s="1"/>
  <c r="T285" i="1"/>
  <c r="U285" i="1" s="1"/>
  <c r="V285" i="1" s="1"/>
  <c r="W285" i="1" s="1"/>
  <c r="X285" i="1" s="1"/>
  <c r="L285" i="1"/>
  <c r="M285" i="1" s="1"/>
  <c r="T284" i="1"/>
  <c r="U284" i="1" s="1"/>
  <c r="V284" i="1" s="1"/>
  <c r="W284" i="1" s="1"/>
  <c r="L284" i="1"/>
  <c r="M284" i="1" s="1"/>
  <c r="O284" i="1" s="1"/>
  <c r="P284" i="1" s="1"/>
  <c r="T283" i="1"/>
  <c r="U283" i="1" s="1"/>
  <c r="V283" i="1" s="1"/>
  <c r="L283" i="1"/>
  <c r="M283" i="1" s="1"/>
  <c r="O283" i="1" s="1"/>
  <c r="P283" i="1" s="1"/>
  <c r="T282" i="1"/>
  <c r="L282" i="1"/>
  <c r="M282" i="1" s="1"/>
  <c r="O282" i="1" s="1"/>
  <c r="P282" i="1" s="1"/>
  <c r="T281" i="1"/>
  <c r="L281" i="1"/>
  <c r="M281" i="1" s="1"/>
  <c r="T280" i="1"/>
  <c r="U280" i="1" s="1"/>
  <c r="L280" i="1"/>
  <c r="M280" i="1" s="1"/>
  <c r="O280" i="1" s="1"/>
  <c r="T279" i="1"/>
  <c r="U279" i="1" s="1"/>
  <c r="V279" i="1" s="1"/>
  <c r="W279" i="1" s="1"/>
  <c r="L279" i="1"/>
  <c r="M279" i="1" s="1"/>
  <c r="O279" i="1" s="1"/>
  <c r="P279" i="1" s="1"/>
  <c r="T278" i="1"/>
  <c r="U278" i="1" s="1"/>
  <c r="L278" i="1"/>
  <c r="M278" i="1" s="1"/>
  <c r="O278" i="1" s="1"/>
  <c r="P278" i="1" s="1"/>
  <c r="T277" i="1"/>
  <c r="U277" i="1" s="1"/>
  <c r="V277" i="1" s="1"/>
  <c r="L277" i="1"/>
  <c r="M277" i="1" s="1"/>
  <c r="T276" i="1"/>
  <c r="U276" i="1" s="1"/>
  <c r="L276" i="1"/>
  <c r="M276" i="1" s="1"/>
  <c r="O276" i="1" s="1"/>
  <c r="P276" i="1" s="1"/>
  <c r="T275" i="1"/>
  <c r="U275" i="1" s="1"/>
  <c r="V275" i="1" s="1"/>
  <c r="L275" i="1"/>
  <c r="M275" i="1" s="1"/>
  <c r="T274" i="1"/>
  <c r="U274" i="1" s="1"/>
  <c r="V274" i="1" s="1"/>
  <c r="L274" i="1"/>
  <c r="M274" i="1" s="1"/>
  <c r="O274" i="1" s="1"/>
  <c r="P274" i="1" s="1"/>
  <c r="T273" i="1"/>
  <c r="U273" i="1" s="1"/>
  <c r="V273" i="1" s="1"/>
  <c r="W273" i="1" s="1"/>
  <c r="L273" i="1"/>
  <c r="M273" i="1" s="1"/>
  <c r="O273" i="1" s="1"/>
  <c r="P273" i="1" s="1"/>
  <c r="T272" i="1"/>
  <c r="U272" i="1" s="1"/>
  <c r="V272" i="1" s="1"/>
  <c r="W272" i="1" s="1"/>
  <c r="L272" i="1"/>
  <c r="M272" i="1" s="1"/>
  <c r="O272" i="1" s="1"/>
  <c r="P272" i="1" s="1"/>
  <c r="T271" i="1"/>
  <c r="U271" i="1" s="1"/>
  <c r="V271" i="1" s="1"/>
  <c r="W271" i="1" s="1"/>
  <c r="L271" i="1"/>
  <c r="M271" i="1" s="1"/>
  <c r="O271" i="1" s="1"/>
  <c r="P271" i="1" s="1"/>
  <c r="T270" i="1"/>
  <c r="U270" i="1" s="1"/>
  <c r="L270" i="1"/>
  <c r="M270" i="1" s="1"/>
  <c r="O270" i="1" s="1"/>
  <c r="P270" i="1" s="1"/>
  <c r="T269" i="1"/>
  <c r="U269" i="1" s="1"/>
  <c r="V269" i="1" s="1"/>
  <c r="W269" i="1" s="1"/>
  <c r="L269" i="1"/>
  <c r="M269" i="1" s="1"/>
  <c r="O269" i="1" s="1"/>
  <c r="P269" i="1" s="1"/>
  <c r="T268" i="1"/>
  <c r="L268" i="1"/>
  <c r="M268" i="1" s="1"/>
  <c r="O268" i="1" s="1"/>
  <c r="T267" i="1"/>
  <c r="U267" i="1" s="1"/>
  <c r="V267" i="1" s="1"/>
  <c r="W267" i="1" s="1"/>
  <c r="L267" i="1"/>
  <c r="M267" i="1" s="1"/>
  <c r="O267" i="1" s="1"/>
  <c r="P267" i="1" s="1"/>
  <c r="T266" i="1"/>
  <c r="L266" i="1"/>
  <c r="M266" i="1" s="1"/>
  <c r="O266" i="1" s="1"/>
  <c r="P266" i="1" s="1"/>
  <c r="T265" i="1"/>
  <c r="U265" i="1" s="1"/>
  <c r="V265" i="1" s="1"/>
  <c r="W265" i="1" s="1"/>
  <c r="L265" i="1"/>
  <c r="M265" i="1" s="1"/>
  <c r="O265" i="1" s="1"/>
  <c r="T264" i="1"/>
  <c r="U264" i="1" s="1"/>
  <c r="V264" i="1" s="1"/>
  <c r="W264" i="1" s="1"/>
  <c r="L264" i="1"/>
  <c r="M264" i="1" s="1"/>
  <c r="O264" i="1" s="1"/>
  <c r="P264" i="1" s="1"/>
  <c r="T263" i="1"/>
  <c r="U263" i="1" s="1"/>
  <c r="L263" i="1"/>
  <c r="M263" i="1" s="1"/>
  <c r="O263" i="1" s="1"/>
  <c r="P263" i="1" s="1"/>
  <c r="T262" i="1"/>
  <c r="U262" i="1" s="1"/>
  <c r="V262" i="1" s="1"/>
  <c r="L262" i="1"/>
  <c r="M262" i="1" s="1"/>
  <c r="T261" i="1"/>
  <c r="L261" i="1"/>
  <c r="M261" i="1" s="1"/>
  <c r="T260" i="1"/>
  <c r="L260" i="1"/>
  <c r="M260" i="1" s="1"/>
  <c r="O260" i="1" s="1"/>
  <c r="T259" i="1"/>
  <c r="U259" i="1" s="1"/>
  <c r="V259" i="1" s="1"/>
  <c r="W259" i="1" s="1"/>
  <c r="X259" i="1" s="1"/>
  <c r="L259" i="1"/>
  <c r="M259" i="1" s="1"/>
  <c r="O259" i="1" s="1"/>
  <c r="P259" i="1" s="1"/>
  <c r="T258" i="1"/>
  <c r="U258" i="1" s="1"/>
  <c r="V258" i="1" s="1"/>
  <c r="L258" i="1"/>
  <c r="M258" i="1" s="1"/>
  <c r="O258" i="1" s="1"/>
  <c r="T257" i="1"/>
  <c r="U257" i="1" s="1"/>
  <c r="V257" i="1" s="1"/>
  <c r="W257" i="1" s="1"/>
  <c r="L257" i="1"/>
  <c r="M257" i="1" s="1"/>
  <c r="O257" i="1" s="1"/>
  <c r="T256" i="1"/>
  <c r="L256" i="1"/>
  <c r="M256" i="1" s="1"/>
  <c r="T255" i="1"/>
  <c r="L255" i="1"/>
  <c r="M255" i="1" s="1"/>
  <c r="O255" i="1" s="1"/>
  <c r="T254" i="1"/>
  <c r="U254" i="1" s="1"/>
  <c r="V254" i="1" s="1"/>
  <c r="W254" i="1" s="1"/>
  <c r="L254" i="1"/>
  <c r="M254" i="1" s="1"/>
  <c r="T253" i="1"/>
  <c r="L253" i="1"/>
  <c r="M253" i="1" s="1"/>
  <c r="T252" i="1"/>
  <c r="U252" i="1" s="1"/>
  <c r="L252" i="1"/>
  <c r="M252" i="1" s="1"/>
  <c r="O252" i="1" s="1"/>
  <c r="T251" i="1"/>
  <c r="U251" i="1" s="1"/>
  <c r="V251" i="1" s="1"/>
  <c r="W251" i="1" s="1"/>
  <c r="L251" i="1"/>
  <c r="M251" i="1" s="1"/>
  <c r="O251" i="1" s="1"/>
  <c r="P251" i="1" s="1"/>
  <c r="T250" i="1"/>
  <c r="L250" i="1"/>
  <c r="M250" i="1" s="1"/>
  <c r="O250" i="1" s="1"/>
  <c r="P250" i="1" s="1"/>
  <c r="T249" i="1"/>
  <c r="U249" i="1" s="1"/>
  <c r="V249" i="1" s="1"/>
  <c r="W249" i="1" s="1"/>
  <c r="X249" i="1" s="1"/>
  <c r="L249" i="1"/>
  <c r="M249" i="1" s="1"/>
  <c r="O249" i="1" s="1"/>
  <c r="P249" i="1" s="1"/>
  <c r="T248" i="1"/>
  <c r="L248" i="1"/>
  <c r="M248" i="1" s="1"/>
  <c r="O248" i="1" s="1"/>
  <c r="P248" i="1" s="1"/>
  <c r="T247" i="1"/>
  <c r="L247" i="1"/>
  <c r="M247" i="1" s="1"/>
  <c r="O247" i="1" s="1"/>
  <c r="P247" i="1" s="1"/>
  <c r="T246" i="1"/>
  <c r="L246" i="1"/>
  <c r="M246" i="1" s="1"/>
  <c r="O246" i="1" s="1"/>
  <c r="P246" i="1" s="1"/>
  <c r="T245" i="1"/>
  <c r="L245" i="1"/>
  <c r="M245" i="1" s="1"/>
  <c r="O245" i="1" s="1"/>
  <c r="T244" i="1"/>
  <c r="L244" i="1"/>
  <c r="M244" i="1" s="1"/>
  <c r="O244" i="1" s="1"/>
  <c r="P244" i="1" s="1"/>
  <c r="T243" i="1"/>
  <c r="U243" i="1" s="1"/>
  <c r="V243" i="1" s="1"/>
  <c r="L243" i="1"/>
  <c r="M243" i="1" s="1"/>
  <c r="O243" i="1" s="1"/>
  <c r="P243" i="1" s="1"/>
  <c r="T242" i="1"/>
  <c r="U242" i="1" s="1"/>
  <c r="V242" i="1" s="1"/>
  <c r="L242" i="1"/>
  <c r="M242" i="1" s="1"/>
  <c r="O242" i="1" s="1"/>
  <c r="T241" i="1"/>
  <c r="U241" i="1" s="1"/>
  <c r="V241" i="1" s="1"/>
  <c r="L241" i="1"/>
  <c r="M241" i="1" s="1"/>
  <c r="T240" i="1"/>
  <c r="U240" i="1" s="1"/>
  <c r="V240" i="1" s="1"/>
  <c r="L240" i="1"/>
  <c r="M240" i="1" s="1"/>
  <c r="O240" i="1" s="1"/>
  <c r="T239" i="1"/>
  <c r="U239" i="1" s="1"/>
  <c r="V239" i="1" s="1"/>
  <c r="L239" i="1"/>
  <c r="M239" i="1" s="1"/>
  <c r="T238" i="1"/>
  <c r="L238" i="1"/>
  <c r="M238" i="1" s="1"/>
  <c r="O238" i="1" s="1"/>
  <c r="T237" i="1"/>
  <c r="U237" i="1" s="1"/>
  <c r="V237" i="1" s="1"/>
  <c r="W237" i="1" s="1"/>
  <c r="X237" i="1" s="1"/>
  <c r="L237" i="1"/>
  <c r="M237" i="1" s="1"/>
  <c r="T236" i="1"/>
  <c r="U236" i="1" s="1"/>
  <c r="L236" i="1"/>
  <c r="M236" i="1" s="1"/>
  <c r="T235" i="1"/>
  <c r="U235" i="1" s="1"/>
  <c r="V235" i="1" s="1"/>
  <c r="L235" i="1"/>
  <c r="M235" i="1" s="1"/>
  <c r="O235" i="1" s="1"/>
  <c r="T234" i="1"/>
  <c r="U234" i="1" s="1"/>
  <c r="V234" i="1" s="1"/>
  <c r="L234" i="1"/>
  <c r="M234" i="1" s="1"/>
  <c r="T233" i="1"/>
  <c r="U233" i="1" s="1"/>
  <c r="L233" i="1"/>
  <c r="M233" i="1" s="1"/>
  <c r="O233" i="1" s="1"/>
  <c r="P233" i="1" s="1"/>
  <c r="T232" i="1"/>
  <c r="L232" i="1"/>
  <c r="M232" i="1" s="1"/>
  <c r="O232" i="1" s="1"/>
  <c r="T231" i="1"/>
  <c r="U231" i="1" s="1"/>
  <c r="V231" i="1" s="1"/>
  <c r="W231" i="1" s="1"/>
  <c r="X231" i="1" s="1"/>
  <c r="L231" i="1"/>
  <c r="M231" i="1" s="1"/>
  <c r="T230" i="1"/>
  <c r="U230" i="1" s="1"/>
  <c r="V230" i="1" s="1"/>
  <c r="L230" i="1"/>
  <c r="M230" i="1" s="1"/>
  <c r="O230" i="1" s="1"/>
  <c r="P230" i="1" s="1"/>
  <c r="T229" i="1"/>
  <c r="U229" i="1" s="1"/>
  <c r="V229" i="1" s="1"/>
  <c r="W229" i="1" s="1"/>
  <c r="L229" i="1"/>
  <c r="M229" i="1" s="1"/>
  <c r="O229" i="1" s="1"/>
  <c r="P229" i="1" s="1"/>
  <c r="T228" i="1"/>
  <c r="L228" i="1"/>
  <c r="M228" i="1" s="1"/>
  <c r="O228" i="1" s="1"/>
  <c r="P228" i="1" s="1"/>
  <c r="T227" i="1"/>
  <c r="U227" i="1" s="1"/>
  <c r="L227" i="1"/>
  <c r="M227" i="1" s="1"/>
  <c r="O227" i="1" s="1"/>
  <c r="T226" i="1"/>
  <c r="U226" i="1" s="1"/>
  <c r="L226" i="1"/>
  <c r="M226" i="1" s="1"/>
  <c r="T225" i="1"/>
  <c r="U225" i="1" s="1"/>
  <c r="V225" i="1" s="1"/>
  <c r="L225" i="1"/>
  <c r="M225" i="1" s="1"/>
  <c r="O225" i="1" s="1"/>
  <c r="P225" i="1" s="1"/>
  <c r="T224" i="1"/>
  <c r="U224" i="1" s="1"/>
  <c r="V224" i="1" s="1"/>
  <c r="W224" i="1" s="1"/>
  <c r="X224" i="1" s="1"/>
  <c r="L224" i="1"/>
  <c r="M224" i="1" s="1"/>
  <c r="O224" i="1" s="1"/>
  <c r="P224" i="1" s="1"/>
  <c r="T223" i="1"/>
  <c r="U223" i="1" s="1"/>
  <c r="V223" i="1" s="1"/>
  <c r="L223" i="1"/>
  <c r="M223" i="1" s="1"/>
  <c r="T222" i="1"/>
  <c r="L222" i="1"/>
  <c r="M222" i="1" s="1"/>
  <c r="O222" i="1" s="1"/>
  <c r="T221" i="1"/>
  <c r="U221" i="1" s="1"/>
  <c r="V221" i="1" s="1"/>
  <c r="L221" i="1"/>
  <c r="M221" i="1" s="1"/>
  <c r="O221" i="1" s="1"/>
  <c r="T220" i="1"/>
  <c r="U220" i="1" s="1"/>
  <c r="V220" i="1" s="1"/>
  <c r="L220" i="1"/>
  <c r="M220" i="1" s="1"/>
  <c r="O220" i="1" s="1"/>
  <c r="T219" i="1"/>
  <c r="U219" i="1" s="1"/>
  <c r="L219" i="1"/>
  <c r="M219" i="1" s="1"/>
  <c r="O219" i="1" s="1"/>
  <c r="T218" i="1"/>
  <c r="U218" i="1" s="1"/>
  <c r="V218" i="1" s="1"/>
  <c r="W218" i="1" s="1"/>
  <c r="X218" i="1" s="1"/>
  <c r="L218" i="1"/>
  <c r="M218" i="1" s="1"/>
  <c r="O218" i="1" s="1"/>
  <c r="T217" i="1"/>
  <c r="U217" i="1" s="1"/>
  <c r="V217" i="1" s="1"/>
  <c r="L217" i="1"/>
  <c r="M217" i="1" s="1"/>
  <c r="O217" i="1" s="1"/>
  <c r="P217" i="1" s="1"/>
  <c r="T216" i="1"/>
  <c r="U216" i="1" s="1"/>
  <c r="V216" i="1" s="1"/>
  <c r="L216" i="1"/>
  <c r="M216" i="1" s="1"/>
  <c r="O216" i="1" s="1"/>
  <c r="P216" i="1" s="1"/>
  <c r="T215" i="1"/>
  <c r="U215" i="1" s="1"/>
  <c r="L215" i="1"/>
  <c r="M215" i="1" s="1"/>
  <c r="O215" i="1" s="1"/>
  <c r="P215" i="1" s="1"/>
  <c r="T214" i="1"/>
  <c r="U214" i="1" s="1"/>
  <c r="V214" i="1" s="1"/>
  <c r="W214" i="1" s="1"/>
  <c r="X214" i="1" s="1"/>
  <c r="L214" i="1"/>
  <c r="M214" i="1" s="1"/>
  <c r="O214" i="1" s="1"/>
  <c r="P214" i="1" s="1"/>
  <c r="T213" i="1"/>
  <c r="U213" i="1" s="1"/>
  <c r="V213" i="1" s="1"/>
  <c r="W213" i="1" s="1"/>
  <c r="L213" i="1"/>
  <c r="M213" i="1" s="1"/>
  <c r="O213" i="1" s="1"/>
  <c r="P213" i="1" s="1"/>
  <c r="T212" i="1"/>
  <c r="L212" i="1"/>
  <c r="M212" i="1" s="1"/>
  <c r="O212" i="1" s="1"/>
  <c r="P212" i="1" s="1"/>
  <c r="T211" i="1"/>
  <c r="L211" i="1"/>
  <c r="M211" i="1" s="1"/>
  <c r="O211" i="1" s="1"/>
  <c r="T210" i="1"/>
  <c r="U210" i="1" s="1"/>
  <c r="V210" i="1" s="1"/>
  <c r="W210" i="1" s="1"/>
  <c r="L210" i="1"/>
  <c r="M210" i="1" s="1"/>
  <c r="O210" i="1" s="1"/>
  <c r="P210" i="1" s="1"/>
  <c r="T209" i="1"/>
  <c r="U209" i="1" s="1"/>
  <c r="L209" i="1"/>
  <c r="M209" i="1" s="1"/>
  <c r="O209" i="1" s="1"/>
  <c r="P209" i="1" s="1"/>
  <c r="T208" i="1"/>
  <c r="L208" i="1"/>
  <c r="M208" i="1" s="1"/>
  <c r="O208" i="1" s="1"/>
  <c r="P208" i="1" s="1"/>
  <c r="T207" i="1"/>
  <c r="L207" i="1"/>
  <c r="M207" i="1" s="1"/>
  <c r="T206" i="1"/>
  <c r="L206" i="1"/>
  <c r="M206" i="1" s="1"/>
  <c r="T205" i="1"/>
  <c r="U205" i="1" s="1"/>
  <c r="V205" i="1" s="1"/>
  <c r="L205" i="1"/>
  <c r="M205" i="1" s="1"/>
  <c r="O205" i="1" s="1"/>
  <c r="P205" i="1" s="1"/>
  <c r="T204" i="1"/>
  <c r="U204" i="1" s="1"/>
  <c r="V204" i="1" s="1"/>
  <c r="W204" i="1" s="1"/>
  <c r="L204" i="1"/>
  <c r="M204" i="1" s="1"/>
  <c r="O204" i="1" s="1"/>
  <c r="P204" i="1" s="1"/>
  <c r="T203" i="1"/>
  <c r="U203" i="1" s="1"/>
  <c r="V203" i="1" s="1"/>
  <c r="L203" i="1"/>
  <c r="M203" i="1" s="1"/>
  <c r="T202" i="1"/>
  <c r="U202" i="1" s="1"/>
  <c r="V202" i="1" s="1"/>
  <c r="W202" i="1" s="1"/>
  <c r="L202" i="1"/>
  <c r="M202" i="1" s="1"/>
  <c r="O202" i="1" s="1"/>
  <c r="P202" i="1" s="1"/>
  <c r="T201" i="1"/>
  <c r="U201" i="1" s="1"/>
  <c r="V201" i="1" s="1"/>
  <c r="W201" i="1" s="1"/>
  <c r="L201" i="1"/>
  <c r="M201" i="1" s="1"/>
  <c r="O201" i="1" s="1"/>
  <c r="T200" i="1"/>
  <c r="U200" i="1" s="1"/>
  <c r="L200" i="1"/>
  <c r="M200" i="1" s="1"/>
  <c r="T199" i="1"/>
  <c r="U199" i="1" s="1"/>
  <c r="L199" i="1"/>
  <c r="M199" i="1" s="1"/>
  <c r="O199" i="1" s="1"/>
  <c r="T198" i="1"/>
  <c r="L198" i="1"/>
  <c r="M198" i="1" s="1"/>
  <c r="O198" i="1" s="1"/>
  <c r="T197" i="1"/>
  <c r="U197" i="1" s="1"/>
  <c r="V197" i="1" s="1"/>
  <c r="L197" i="1"/>
  <c r="M197" i="1" s="1"/>
  <c r="O197" i="1" s="1"/>
  <c r="P197" i="1" s="1"/>
  <c r="T196" i="1"/>
  <c r="U196" i="1" s="1"/>
  <c r="L196" i="1"/>
  <c r="M196" i="1" s="1"/>
  <c r="T195" i="1"/>
  <c r="U195" i="1" s="1"/>
  <c r="L195" i="1"/>
  <c r="M195" i="1" s="1"/>
  <c r="O195" i="1" s="1"/>
  <c r="P195" i="1" s="1"/>
  <c r="T194" i="1"/>
  <c r="U194" i="1" s="1"/>
  <c r="V194" i="1" s="1"/>
  <c r="W194" i="1" s="1"/>
  <c r="L194" i="1"/>
  <c r="M194" i="1" s="1"/>
  <c r="T193" i="1"/>
  <c r="U193" i="1" s="1"/>
  <c r="V193" i="1" s="1"/>
  <c r="W193" i="1" s="1"/>
  <c r="X193" i="1" s="1"/>
  <c r="L193" i="1"/>
  <c r="M193" i="1" s="1"/>
  <c r="T192" i="1"/>
  <c r="U192" i="1" s="1"/>
  <c r="V192" i="1" s="1"/>
  <c r="W192" i="1" s="1"/>
  <c r="X192" i="1" s="1"/>
  <c r="L192" i="1"/>
  <c r="M192" i="1" s="1"/>
  <c r="O192" i="1" s="1"/>
  <c r="T191" i="1"/>
  <c r="U191" i="1" s="1"/>
  <c r="L191" i="1"/>
  <c r="M191" i="1" s="1"/>
  <c r="O191" i="1" s="1"/>
  <c r="P191" i="1" s="1"/>
  <c r="T190" i="1"/>
  <c r="U190" i="1" s="1"/>
  <c r="V190" i="1" s="1"/>
  <c r="L190" i="1"/>
  <c r="M190" i="1" s="1"/>
  <c r="O190" i="1" s="1"/>
  <c r="T189" i="1"/>
  <c r="U189" i="1" s="1"/>
  <c r="V189" i="1" s="1"/>
  <c r="L189" i="1"/>
  <c r="M189" i="1" s="1"/>
  <c r="O189" i="1" s="1"/>
  <c r="P189" i="1" s="1"/>
  <c r="T188" i="1"/>
  <c r="U188" i="1" s="1"/>
  <c r="V188" i="1" s="1"/>
  <c r="W188" i="1" s="1"/>
  <c r="X188" i="1" s="1"/>
  <c r="L188" i="1"/>
  <c r="M188" i="1" s="1"/>
  <c r="O188" i="1" s="1"/>
  <c r="P188" i="1" s="1"/>
  <c r="T187" i="1"/>
  <c r="L187" i="1"/>
  <c r="M187" i="1" s="1"/>
  <c r="O187" i="1" s="1"/>
  <c r="P187" i="1" s="1"/>
  <c r="T186" i="1"/>
  <c r="U186" i="1" s="1"/>
  <c r="V186" i="1" s="1"/>
  <c r="W186" i="1" s="1"/>
  <c r="L186" i="1"/>
  <c r="M186" i="1" s="1"/>
  <c r="O186" i="1" s="1"/>
  <c r="T185" i="1"/>
  <c r="L185" i="1"/>
  <c r="M185" i="1" s="1"/>
  <c r="O185" i="1" s="1"/>
  <c r="P185" i="1" s="1"/>
  <c r="T184" i="1"/>
  <c r="L184" i="1"/>
  <c r="M184" i="1" s="1"/>
  <c r="O184" i="1" s="1"/>
  <c r="P184" i="1" s="1"/>
  <c r="T183" i="1"/>
  <c r="U183" i="1" s="1"/>
  <c r="V183" i="1" s="1"/>
  <c r="W183" i="1" s="1"/>
  <c r="L183" i="1"/>
  <c r="M183" i="1" s="1"/>
  <c r="O183" i="1" s="1"/>
  <c r="T182" i="1"/>
  <c r="U182" i="1" s="1"/>
  <c r="V182" i="1" s="1"/>
  <c r="W182" i="1" s="1"/>
  <c r="L182" i="1"/>
  <c r="M182" i="1" s="1"/>
  <c r="O182" i="1" s="1"/>
  <c r="P182" i="1" s="1"/>
  <c r="T181" i="1"/>
  <c r="U181" i="1" s="1"/>
  <c r="L181" i="1"/>
  <c r="M181" i="1" s="1"/>
  <c r="O181" i="1" s="1"/>
  <c r="P181" i="1" s="1"/>
  <c r="T180" i="1"/>
  <c r="U180" i="1" s="1"/>
  <c r="L180" i="1"/>
  <c r="M180" i="1" s="1"/>
  <c r="T179" i="1"/>
  <c r="U179" i="1" s="1"/>
  <c r="V179" i="1" s="1"/>
  <c r="L179" i="1"/>
  <c r="M179" i="1" s="1"/>
  <c r="O179" i="1" s="1"/>
  <c r="P179" i="1" s="1"/>
  <c r="T178" i="1"/>
  <c r="U178" i="1" s="1"/>
  <c r="V178" i="1" s="1"/>
  <c r="W178" i="1" s="1"/>
  <c r="L178" i="1"/>
  <c r="M178" i="1" s="1"/>
  <c r="O178" i="1" s="1"/>
  <c r="P178" i="1" s="1"/>
  <c r="T177" i="1"/>
  <c r="U177" i="1" s="1"/>
  <c r="V177" i="1" s="1"/>
  <c r="L177" i="1"/>
  <c r="M177" i="1" s="1"/>
  <c r="T176" i="1"/>
  <c r="U176" i="1" s="1"/>
  <c r="V176" i="1" s="1"/>
  <c r="W176" i="1" s="1"/>
  <c r="X176" i="1" s="1"/>
  <c r="L176" i="1"/>
  <c r="M176" i="1" s="1"/>
  <c r="O176" i="1" s="1"/>
  <c r="T175" i="1"/>
  <c r="L175" i="1"/>
  <c r="M175" i="1" s="1"/>
  <c r="O175" i="1" s="1"/>
  <c r="P175" i="1" s="1"/>
  <c r="T174" i="1"/>
  <c r="L174" i="1"/>
  <c r="M174" i="1" s="1"/>
  <c r="O174" i="1" s="1"/>
  <c r="T173" i="1"/>
  <c r="U173" i="1" s="1"/>
  <c r="V173" i="1" s="1"/>
  <c r="L173" i="1"/>
  <c r="M173" i="1" s="1"/>
  <c r="T172" i="1"/>
  <c r="U172" i="1" s="1"/>
  <c r="V172" i="1" s="1"/>
  <c r="W172" i="1" s="1"/>
  <c r="L172" i="1"/>
  <c r="M172" i="1" s="1"/>
  <c r="O172" i="1" s="1"/>
  <c r="T171" i="1"/>
  <c r="L171" i="1"/>
  <c r="M171" i="1" s="1"/>
  <c r="O171" i="1" s="1"/>
  <c r="T170" i="1"/>
  <c r="U170" i="1" s="1"/>
  <c r="V170" i="1" s="1"/>
  <c r="W170" i="1" s="1"/>
  <c r="L170" i="1"/>
  <c r="M170" i="1" s="1"/>
  <c r="O170" i="1" s="1"/>
  <c r="P170" i="1" s="1"/>
  <c r="T169" i="1"/>
  <c r="L169" i="1"/>
  <c r="M169" i="1" s="1"/>
  <c r="O169" i="1" s="1"/>
  <c r="P169" i="1" s="1"/>
  <c r="T168" i="1"/>
  <c r="U168" i="1" s="1"/>
  <c r="L168" i="1"/>
  <c r="M168" i="1" s="1"/>
  <c r="O168" i="1" s="1"/>
  <c r="T167" i="1"/>
  <c r="U167" i="1" s="1"/>
  <c r="V167" i="1" s="1"/>
  <c r="W167" i="1" s="1"/>
  <c r="L167" i="1"/>
  <c r="M167" i="1" s="1"/>
  <c r="T166" i="1"/>
  <c r="L166" i="1"/>
  <c r="M166" i="1" s="1"/>
  <c r="O166" i="1" s="1"/>
  <c r="P166" i="1" s="1"/>
  <c r="T165" i="1"/>
  <c r="U165" i="1" s="1"/>
  <c r="L165" i="1"/>
  <c r="M165" i="1" s="1"/>
  <c r="T164" i="1"/>
  <c r="U164" i="1" s="1"/>
  <c r="L164" i="1"/>
  <c r="M164" i="1" s="1"/>
  <c r="O164" i="1" s="1"/>
  <c r="T163" i="1"/>
  <c r="L163" i="1"/>
  <c r="M163" i="1" s="1"/>
  <c r="T162" i="1"/>
  <c r="U162" i="1" s="1"/>
  <c r="L162" i="1"/>
  <c r="M162" i="1" s="1"/>
  <c r="O162" i="1" s="1"/>
  <c r="T161" i="1"/>
  <c r="L161" i="1"/>
  <c r="M161" i="1" s="1"/>
  <c r="O161" i="1" s="1"/>
  <c r="P161" i="1" s="1"/>
  <c r="T160" i="1"/>
  <c r="U160" i="1" s="1"/>
  <c r="V160" i="1" s="1"/>
  <c r="W160" i="1" s="1"/>
  <c r="X160" i="1" s="1"/>
  <c r="L160" i="1"/>
  <c r="M160" i="1" s="1"/>
  <c r="O160" i="1" s="1"/>
  <c r="T159" i="1"/>
  <c r="U159" i="1" s="1"/>
  <c r="L159" i="1"/>
  <c r="M159" i="1" s="1"/>
  <c r="T158" i="1"/>
  <c r="L158" i="1"/>
  <c r="M158" i="1" s="1"/>
  <c r="O158" i="1" s="1"/>
  <c r="P158" i="1" s="1"/>
  <c r="T157" i="1"/>
  <c r="U157" i="1" s="1"/>
  <c r="V157" i="1" s="1"/>
  <c r="W157" i="1" s="1"/>
  <c r="X157" i="1" s="1"/>
  <c r="L157" i="1"/>
  <c r="M157" i="1" s="1"/>
  <c r="O157" i="1" s="1"/>
  <c r="P157" i="1" s="1"/>
  <c r="T156" i="1"/>
  <c r="U156" i="1" s="1"/>
  <c r="V156" i="1" s="1"/>
  <c r="W156" i="1" s="1"/>
  <c r="X156" i="1" s="1"/>
  <c r="L156" i="1"/>
  <c r="M156" i="1" s="1"/>
  <c r="O156" i="1" s="1"/>
  <c r="P156" i="1" s="1"/>
  <c r="T155" i="1"/>
  <c r="L155" i="1"/>
  <c r="M155" i="1" s="1"/>
  <c r="O155" i="1" s="1"/>
  <c r="P155" i="1" s="1"/>
  <c r="T154" i="1"/>
  <c r="L154" i="1"/>
  <c r="M154" i="1" s="1"/>
  <c r="O154" i="1" s="1"/>
  <c r="T153" i="1"/>
  <c r="L153" i="1"/>
  <c r="M153" i="1" s="1"/>
  <c r="T152" i="1"/>
  <c r="U152" i="1" s="1"/>
  <c r="V152" i="1" s="1"/>
  <c r="W152" i="1" s="1"/>
  <c r="X152" i="1" s="1"/>
  <c r="L152" i="1"/>
  <c r="M152" i="1" s="1"/>
  <c r="T151" i="1"/>
  <c r="U151" i="1" s="1"/>
  <c r="V151" i="1" s="1"/>
  <c r="W151" i="1" s="1"/>
  <c r="X151" i="1" s="1"/>
  <c r="L151" i="1"/>
  <c r="M151" i="1" s="1"/>
  <c r="O151" i="1" s="1"/>
  <c r="P151" i="1" s="1"/>
  <c r="T150" i="1"/>
  <c r="U150" i="1" s="1"/>
  <c r="L150" i="1"/>
  <c r="M150" i="1" s="1"/>
  <c r="O150" i="1" s="1"/>
  <c r="T149" i="1"/>
  <c r="U149" i="1" s="1"/>
  <c r="L149" i="1"/>
  <c r="M149" i="1" s="1"/>
  <c r="O149" i="1" s="1"/>
  <c r="P149" i="1" s="1"/>
  <c r="T148" i="1"/>
  <c r="U148" i="1" s="1"/>
  <c r="V148" i="1" s="1"/>
  <c r="L148" i="1"/>
  <c r="M148" i="1" s="1"/>
  <c r="O148" i="1" s="1"/>
  <c r="T147" i="1"/>
  <c r="L147" i="1"/>
  <c r="M147" i="1" s="1"/>
  <c r="O147" i="1" s="1"/>
  <c r="P147" i="1" s="1"/>
  <c r="T146" i="1"/>
  <c r="U146" i="1" s="1"/>
  <c r="V146" i="1" s="1"/>
  <c r="L146" i="1"/>
  <c r="M146" i="1" s="1"/>
  <c r="T145" i="1"/>
  <c r="U145" i="1" s="1"/>
  <c r="V145" i="1" s="1"/>
  <c r="L145" i="1"/>
  <c r="M145" i="1" s="1"/>
  <c r="O145" i="1" s="1"/>
  <c r="P145" i="1" s="1"/>
  <c r="T144" i="1"/>
  <c r="U144" i="1" s="1"/>
  <c r="V144" i="1" s="1"/>
  <c r="L144" i="1"/>
  <c r="M144" i="1" s="1"/>
  <c r="O144" i="1" s="1"/>
  <c r="P144" i="1" s="1"/>
  <c r="T143" i="1"/>
  <c r="L143" i="1"/>
  <c r="M143" i="1" s="1"/>
  <c r="O143" i="1" s="1"/>
  <c r="P143" i="1" s="1"/>
  <c r="T142" i="1"/>
  <c r="U142" i="1" s="1"/>
  <c r="L142" i="1"/>
  <c r="M142" i="1" s="1"/>
  <c r="O142" i="1" s="1"/>
  <c r="P142" i="1" s="1"/>
  <c r="T141" i="1"/>
  <c r="L141" i="1"/>
  <c r="M141" i="1" s="1"/>
  <c r="O141" i="1" s="1"/>
  <c r="P141" i="1" s="1"/>
  <c r="T140" i="1"/>
  <c r="U140" i="1" s="1"/>
  <c r="V140" i="1" s="1"/>
  <c r="L140" i="1"/>
  <c r="M140" i="1" s="1"/>
  <c r="O140" i="1" s="1"/>
  <c r="T139" i="1"/>
  <c r="L139" i="1"/>
  <c r="M139" i="1" s="1"/>
  <c r="T138" i="1"/>
  <c r="L138" i="1"/>
  <c r="M138" i="1" s="1"/>
  <c r="T137" i="1"/>
  <c r="U137" i="1" s="1"/>
  <c r="V137" i="1" s="1"/>
  <c r="L137" i="1"/>
  <c r="M137" i="1" s="1"/>
  <c r="O137" i="1" s="1"/>
  <c r="P137" i="1" s="1"/>
  <c r="T136" i="1"/>
  <c r="L136" i="1"/>
  <c r="M136" i="1" s="1"/>
  <c r="O136" i="1" s="1"/>
  <c r="T135" i="1"/>
  <c r="U135" i="1" s="1"/>
  <c r="V135" i="1" s="1"/>
  <c r="W135" i="1" s="1"/>
  <c r="L135" i="1"/>
  <c r="M135" i="1" s="1"/>
  <c r="O135" i="1" s="1"/>
  <c r="P135" i="1" s="1"/>
  <c r="T134" i="1"/>
  <c r="U134" i="1" s="1"/>
  <c r="L134" i="1"/>
  <c r="M134" i="1" s="1"/>
  <c r="O134" i="1" s="1"/>
  <c r="T133" i="1"/>
  <c r="L133" i="1"/>
  <c r="M133" i="1" s="1"/>
  <c r="O133" i="1" s="1"/>
  <c r="T132" i="1"/>
  <c r="U132" i="1" s="1"/>
  <c r="L132" i="1"/>
  <c r="M132" i="1" s="1"/>
  <c r="O132" i="1" s="1"/>
  <c r="T131" i="1"/>
  <c r="U131" i="1" s="1"/>
  <c r="L131" i="1"/>
  <c r="M131" i="1" s="1"/>
  <c r="O131" i="1" s="1"/>
  <c r="P131" i="1" s="1"/>
  <c r="T130" i="1"/>
  <c r="U130" i="1" s="1"/>
  <c r="L130" i="1"/>
  <c r="M130" i="1" s="1"/>
  <c r="O130" i="1" s="1"/>
  <c r="P130" i="1" s="1"/>
  <c r="T129" i="1"/>
  <c r="U129" i="1" s="1"/>
  <c r="V129" i="1" s="1"/>
  <c r="L129" i="1"/>
  <c r="M129" i="1" s="1"/>
  <c r="T128" i="1"/>
  <c r="U128" i="1" s="1"/>
  <c r="V128" i="1" s="1"/>
  <c r="W128" i="1" s="1"/>
  <c r="L128" i="1"/>
  <c r="M128" i="1" s="1"/>
  <c r="T127" i="1"/>
  <c r="U127" i="1" s="1"/>
  <c r="L127" i="1"/>
  <c r="M127" i="1" s="1"/>
  <c r="O127" i="1" s="1"/>
  <c r="P127" i="1" s="1"/>
  <c r="T126" i="1"/>
  <c r="U126" i="1" s="1"/>
  <c r="V126" i="1" s="1"/>
  <c r="W126" i="1" s="1"/>
  <c r="X126" i="1" s="1"/>
  <c r="L126" i="1"/>
  <c r="M126" i="1" s="1"/>
  <c r="O126" i="1" s="1"/>
  <c r="P126" i="1" s="1"/>
  <c r="T125" i="1"/>
  <c r="U125" i="1" s="1"/>
  <c r="L125" i="1"/>
  <c r="M125" i="1" s="1"/>
  <c r="T124" i="1"/>
  <c r="L124" i="1"/>
  <c r="M124" i="1" s="1"/>
  <c r="O124" i="1" s="1"/>
  <c r="T123" i="1"/>
  <c r="U123" i="1" s="1"/>
  <c r="L123" i="1"/>
  <c r="M123" i="1" s="1"/>
  <c r="O123" i="1" s="1"/>
  <c r="P123" i="1" s="1"/>
  <c r="T122" i="1"/>
  <c r="U122" i="1" s="1"/>
  <c r="V122" i="1" s="1"/>
  <c r="L122" i="1"/>
  <c r="M122" i="1" s="1"/>
  <c r="O122" i="1" s="1"/>
  <c r="P122" i="1" s="1"/>
  <c r="T121" i="1"/>
  <c r="U121" i="1" s="1"/>
  <c r="L121" i="1"/>
  <c r="M121" i="1" s="1"/>
  <c r="O121" i="1" s="1"/>
  <c r="T120" i="1"/>
  <c r="U120" i="1" s="1"/>
  <c r="V120" i="1" s="1"/>
  <c r="L120" i="1"/>
  <c r="M120" i="1" s="1"/>
  <c r="O120" i="1" s="1"/>
  <c r="P120" i="1" s="1"/>
  <c r="T119" i="1"/>
  <c r="U119" i="1" s="1"/>
  <c r="V119" i="1" s="1"/>
  <c r="W119" i="1" s="1"/>
  <c r="X119" i="1" s="1"/>
  <c r="L119" i="1"/>
  <c r="M119" i="1" s="1"/>
  <c r="O119" i="1" s="1"/>
  <c r="P119" i="1" s="1"/>
  <c r="T118" i="1"/>
  <c r="L118" i="1"/>
  <c r="M118" i="1" s="1"/>
  <c r="O118" i="1" s="1"/>
  <c r="T117" i="1"/>
  <c r="U117" i="1" s="1"/>
  <c r="V117" i="1" s="1"/>
  <c r="W117" i="1" s="1"/>
  <c r="X117" i="1" s="1"/>
  <c r="L117" i="1"/>
  <c r="M117" i="1" s="1"/>
  <c r="T116" i="1"/>
  <c r="U116" i="1" s="1"/>
  <c r="V116" i="1" s="1"/>
  <c r="L116" i="1"/>
  <c r="M116" i="1" s="1"/>
  <c r="O116" i="1" s="1"/>
  <c r="T115" i="1"/>
  <c r="L115" i="1"/>
  <c r="M115" i="1" s="1"/>
  <c r="O115" i="1" s="1"/>
  <c r="T114" i="1"/>
  <c r="U114" i="1" s="1"/>
  <c r="V114" i="1" s="1"/>
  <c r="L114" i="1"/>
  <c r="M114" i="1" s="1"/>
  <c r="O114" i="1" s="1"/>
  <c r="P114" i="1" s="1"/>
  <c r="T113" i="1"/>
  <c r="L113" i="1"/>
  <c r="M113" i="1" s="1"/>
  <c r="T112" i="1"/>
  <c r="U112" i="1" s="1"/>
  <c r="V112" i="1" s="1"/>
  <c r="W112" i="1" s="1"/>
  <c r="L112" i="1"/>
  <c r="M112" i="1" s="1"/>
  <c r="T111" i="1"/>
  <c r="U111" i="1" s="1"/>
  <c r="L111" i="1"/>
  <c r="M111" i="1" s="1"/>
  <c r="O111" i="1" s="1"/>
  <c r="P111" i="1" s="1"/>
  <c r="T110" i="1"/>
  <c r="U110" i="1" s="1"/>
  <c r="L110" i="1"/>
  <c r="M110" i="1" s="1"/>
  <c r="T109" i="1"/>
  <c r="U109" i="1" s="1"/>
  <c r="V109" i="1" s="1"/>
  <c r="W109" i="1" s="1"/>
  <c r="X109" i="1" s="1"/>
  <c r="L109" i="1"/>
  <c r="M109" i="1" s="1"/>
  <c r="O109" i="1" s="1"/>
  <c r="T108" i="1"/>
  <c r="U108" i="1" s="1"/>
  <c r="V108" i="1" s="1"/>
  <c r="W108" i="1" s="1"/>
  <c r="L108" i="1"/>
  <c r="M108" i="1" s="1"/>
  <c r="T107" i="1"/>
  <c r="L107" i="1"/>
  <c r="M107" i="1" s="1"/>
  <c r="O107" i="1" s="1"/>
  <c r="T106" i="1"/>
  <c r="U106" i="1" s="1"/>
  <c r="V106" i="1" s="1"/>
  <c r="W106" i="1" s="1"/>
  <c r="X106" i="1" s="1"/>
  <c r="L106" i="1"/>
  <c r="M106" i="1" s="1"/>
  <c r="O106" i="1" s="1"/>
  <c r="P106" i="1" s="1"/>
  <c r="T105" i="1"/>
  <c r="U105" i="1" s="1"/>
  <c r="V105" i="1" s="1"/>
  <c r="W105" i="1" s="1"/>
  <c r="L105" i="1"/>
  <c r="M105" i="1" s="1"/>
  <c r="O105" i="1" s="1"/>
  <c r="P105" i="1" s="1"/>
  <c r="T104" i="1"/>
  <c r="U104" i="1" s="1"/>
  <c r="V104" i="1" s="1"/>
  <c r="W104" i="1" s="1"/>
  <c r="L104" i="1"/>
  <c r="M104" i="1" s="1"/>
  <c r="T103" i="1"/>
  <c r="L103" i="1"/>
  <c r="M103" i="1" s="1"/>
  <c r="O103" i="1" s="1"/>
  <c r="P103" i="1" s="1"/>
  <c r="T102" i="1"/>
  <c r="U102" i="1" s="1"/>
  <c r="V102" i="1" s="1"/>
  <c r="W102" i="1" s="1"/>
  <c r="X102" i="1" s="1"/>
  <c r="L102" i="1"/>
  <c r="M102" i="1" s="1"/>
  <c r="T101" i="1"/>
  <c r="L101" i="1"/>
  <c r="M101" i="1" s="1"/>
  <c r="O101" i="1" s="1"/>
  <c r="P101" i="1" s="1"/>
  <c r="T100" i="1"/>
  <c r="U100" i="1" s="1"/>
  <c r="V100" i="1" s="1"/>
  <c r="W100" i="1" s="1"/>
  <c r="L100" i="1"/>
  <c r="M100" i="1" s="1"/>
  <c r="T99" i="1"/>
  <c r="U99" i="1" s="1"/>
  <c r="L99" i="1"/>
  <c r="M99" i="1" s="1"/>
  <c r="O99" i="1" s="1"/>
  <c r="T98" i="1"/>
  <c r="U98" i="1" s="1"/>
  <c r="V98" i="1" s="1"/>
  <c r="L98" i="1"/>
  <c r="M98" i="1" s="1"/>
  <c r="O98" i="1" s="1"/>
  <c r="P98" i="1" s="1"/>
  <c r="T97" i="1"/>
  <c r="U97" i="1" s="1"/>
  <c r="V97" i="1" s="1"/>
  <c r="W97" i="1" s="1"/>
  <c r="L97" i="1"/>
  <c r="M97" i="1" s="1"/>
  <c r="O97" i="1" s="1"/>
  <c r="P97" i="1" s="1"/>
  <c r="T96" i="1"/>
  <c r="U96" i="1" s="1"/>
  <c r="L96" i="1"/>
  <c r="M96" i="1" s="1"/>
  <c r="O96" i="1" s="1"/>
  <c r="P96" i="1" s="1"/>
  <c r="T95" i="1"/>
  <c r="L95" i="1"/>
  <c r="M95" i="1" s="1"/>
  <c r="O95" i="1" s="1"/>
  <c r="T94" i="1"/>
  <c r="L94" i="1"/>
  <c r="M94" i="1" s="1"/>
  <c r="O94" i="1" s="1"/>
  <c r="T93" i="1"/>
  <c r="U93" i="1" s="1"/>
  <c r="L93" i="1"/>
  <c r="M93" i="1" s="1"/>
  <c r="O93" i="1" s="1"/>
  <c r="P93" i="1" s="1"/>
  <c r="T92" i="1"/>
  <c r="L92" i="1"/>
  <c r="M92" i="1" s="1"/>
  <c r="O92" i="1" s="1"/>
  <c r="P92" i="1" s="1"/>
  <c r="T91" i="1"/>
  <c r="L91" i="1"/>
  <c r="M91" i="1" s="1"/>
  <c r="O91" i="1" s="1"/>
  <c r="P91" i="1" s="1"/>
  <c r="T90" i="1"/>
  <c r="U90" i="1" s="1"/>
  <c r="V90" i="1" s="1"/>
  <c r="L90" i="1"/>
  <c r="M90" i="1" s="1"/>
  <c r="O90" i="1" s="1"/>
  <c r="T89" i="1"/>
  <c r="L89" i="1"/>
  <c r="M89" i="1" s="1"/>
  <c r="O89" i="1" s="1"/>
  <c r="P89" i="1" s="1"/>
  <c r="T88" i="1"/>
  <c r="U88" i="1" s="1"/>
  <c r="V88" i="1" s="1"/>
  <c r="W88" i="1" s="1"/>
  <c r="L88" i="1"/>
  <c r="M88" i="1" s="1"/>
  <c r="O88" i="1" s="1"/>
  <c r="P88" i="1" s="1"/>
  <c r="T87" i="1"/>
  <c r="U87" i="1" s="1"/>
  <c r="V87" i="1" s="1"/>
  <c r="L87" i="1"/>
  <c r="M87" i="1" s="1"/>
  <c r="O87" i="1" s="1"/>
  <c r="P87" i="1" s="1"/>
  <c r="T86" i="1"/>
  <c r="U86" i="1" s="1"/>
  <c r="V86" i="1" s="1"/>
  <c r="W86" i="1" s="1"/>
  <c r="L86" i="1"/>
  <c r="M86" i="1" s="1"/>
  <c r="T85" i="1"/>
  <c r="L85" i="1"/>
  <c r="M85" i="1" s="1"/>
  <c r="T84" i="1"/>
  <c r="U84" i="1" s="1"/>
  <c r="L84" i="1"/>
  <c r="M84" i="1" s="1"/>
  <c r="O84" i="1" s="1"/>
  <c r="P84" i="1" s="1"/>
  <c r="T83" i="1"/>
  <c r="L83" i="1"/>
  <c r="M83" i="1" s="1"/>
  <c r="T82" i="1"/>
  <c r="L82" i="1"/>
  <c r="M82" i="1" s="1"/>
  <c r="O82" i="1" s="1"/>
  <c r="P82" i="1" s="1"/>
  <c r="T81" i="1"/>
  <c r="U81" i="1" s="1"/>
  <c r="L81" i="1"/>
  <c r="M81" i="1" s="1"/>
  <c r="T80" i="1"/>
  <c r="L80" i="1"/>
  <c r="M80" i="1" s="1"/>
  <c r="O80" i="1" s="1"/>
  <c r="P80" i="1" s="1"/>
  <c r="T79" i="1"/>
  <c r="U79" i="1" s="1"/>
  <c r="V79" i="1" s="1"/>
  <c r="W79" i="1" s="1"/>
  <c r="X79" i="1" s="1"/>
  <c r="L79" i="1"/>
  <c r="M79" i="1" s="1"/>
  <c r="O79" i="1" s="1"/>
  <c r="T78" i="1"/>
  <c r="U78" i="1" s="1"/>
  <c r="L78" i="1"/>
  <c r="M78" i="1" s="1"/>
  <c r="O78" i="1" s="1"/>
  <c r="T77" i="1"/>
  <c r="U77" i="1" s="1"/>
  <c r="V77" i="1" s="1"/>
  <c r="W77" i="1" s="1"/>
  <c r="X77" i="1" s="1"/>
  <c r="L77" i="1"/>
  <c r="M77" i="1" s="1"/>
  <c r="O77" i="1" s="1"/>
  <c r="P77" i="1" s="1"/>
  <c r="T76" i="1"/>
  <c r="U76" i="1" s="1"/>
  <c r="L76" i="1"/>
  <c r="M76" i="1" s="1"/>
  <c r="T75" i="1"/>
  <c r="L75" i="1"/>
  <c r="M75" i="1" s="1"/>
  <c r="O75" i="1" s="1"/>
  <c r="P75" i="1" s="1"/>
  <c r="T74" i="1"/>
  <c r="U74" i="1" s="1"/>
  <c r="V74" i="1" s="1"/>
  <c r="L74" i="1"/>
  <c r="M74" i="1" s="1"/>
  <c r="O74" i="1" s="1"/>
  <c r="P74" i="1" s="1"/>
  <c r="T73" i="1"/>
  <c r="U73" i="1" s="1"/>
  <c r="L73" i="1"/>
  <c r="M73" i="1" s="1"/>
  <c r="O73" i="1" s="1"/>
  <c r="P73" i="1" s="1"/>
  <c r="T72" i="1"/>
  <c r="U72" i="1" s="1"/>
  <c r="V72" i="1" s="1"/>
  <c r="W72" i="1" s="1"/>
  <c r="L72" i="1"/>
  <c r="M72" i="1" s="1"/>
  <c r="T71" i="1"/>
  <c r="U71" i="1" s="1"/>
  <c r="V71" i="1" s="1"/>
  <c r="W71" i="1" s="1"/>
  <c r="L71" i="1"/>
  <c r="M71" i="1" s="1"/>
  <c r="O71" i="1" s="1"/>
  <c r="T70" i="1"/>
  <c r="U70" i="1" s="1"/>
  <c r="V70" i="1" s="1"/>
  <c r="W70" i="1" s="1"/>
  <c r="X70" i="1" s="1"/>
  <c r="L70" i="1"/>
  <c r="M70" i="1" s="1"/>
  <c r="O70" i="1" s="1"/>
  <c r="P70" i="1" s="1"/>
  <c r="T69" i="1"/>
  <c r="U69" i="1" s="1"/>
  <c r="L69" i="1"/>
  <c r="M69" i="1" s="1"/>
  <c r="O69" i="1" s="1"/>
  <c r="P69" i="1" s="1"/>
  <c r="T68" i="1"/>
  <c r="U68" i="1" s="1"/>
  <c r="V68" i="1" s="1"/>
  <c r="W68" i="1" s="1"/>
  <c r="L68" i="1"/>
  <c r="M68" i="1" s="1"/>
  <c r="T67" i="1"/>
  <c r="U67" i="1" s="1"/>
  <c r="L67" i="1"/>
  <c r="M67" i="1" s="1"/>
  <c r="O67" i="1" s="1"/>
  <c r="T66" i="1"/>
  <c r="U66" i="1" s="1"/>
  <c r="V66" i="1" s="1"/>
  <c r="L66" i="1"/>
  <c r="M66" i="1" s="1"/>
  <c r="O66" i="1" s="1"/>
  <c r="P66" i="1" s="1"/>
  <c r="T65" i="1"/>
  <c r="U65" i="1" s="1"/>
  <c r="L65" i="1"/>
  <c r="M65" i="1" s="1"/>
  <c r="O65" i="1" s="1"/>
  <c r="T64" i="1"/>
  <c r="U64" i="1" s="1"/>
  <c r="L64" i="1"/>
  <c r="M64" i="1" s="1"/>
  <c r="T63" i="1"/>
  <c r="U63" i="1" s="1"/>
  <c r="L63" i="1"/>
  <c r="M63" i="1" s="1"/>
  <c r="O63" i="1" s="1"/>
  <c r="P63" i="1" s="1"/>
  <c r="T62" i="1"/>
  <c r="U62" i="1" s="1"/>
  <c r="V62" i="1" s="1"/>
  <c r="W62" i="1" s="1"/>
  <c r="L62" i="1"/>
  <c r="M62" i="1" s="1"/>
  <c r="T61" i="1"/>
  <c r="L61" i="1"/>
  <c r="M61" i="1" s="1"/>
  <c r="T60" i="1"/>
  <c r="U60" i="1" s="1"/>
  <c r="L60" i="1"/>
  <c r="M60" i="1" s="1"/>
  <c r="O60" i="1" s="1"/>
  <c r="P60" i="1" s="1"/>
  <c r="T59" i="1"/>
  <c r="U59" i="1" s="1"/>
  <c r="V59" i="1" s="1"/>
  <c r="W59" i="1" s="1"/>
  <c r="L59" i="1"/>
  <c r="M59" i="1" s="1"/>
  <c r="T58" i="1"/>
  <c r="U58" i="1" s="1"/>
  <c r="V58" i="1" s="1"/>
  <c r="L58" i="1"/>
  <c r="M58" i="1" s="1"/>
  <c r="O58" i="1" s="1"/>
  <c r="P58" i="1" s="1"/>
  <c r="T57" i="1"/>
  <c r="U57" i="1" s="1"/>
  <c r="V57" i="1" s="1"/>
  <c r="W57" i="1" s="1"/>
  <c r="L57" i="1"/>
  <c r="M57" i="1" s="1"/>
  <c r="O57" i="1" s="1"/>
  <c r="T56" i="1"/>
  <c r="U56" i="1" s="1"/>
  <c r="L56" i="1"/>
  <c r="M56" i="1" s="1"/>
  <c r="O56" i="1" s="1"/>
  <c r="P56" i="1" s="1"/>
  <c r="T55" i="1"/>
  <c r="U55" i="1" s="1"/>
  <c r="V55" i="1" s="1"/>
  <c r="W55" i="1" s="1"/>
  <c r="L55" i="1"/>
  <c r="M55" i="1" s="1"/>
  <c r="T54" i="1"/>
  <c r="U54" i="1" s="1"/>
  <c r="V54" i="1" s="1"/>
  <c r="W54" i="1" s="1"/>
  <c r="X54" i="1" s="1"/>
  <c r="L54" i="1"/>
  <c r="M54" i="1" s="1"/>
  <c r="O54" i="1" s="1"/>
  <c r="P54" i="1" s="1"/>
  <c r="T53" i="1"/>
  <c r="U53" i="1" s="1"/>
  <c r="V53" i="1" s="1"/>
  <c r="W53" i="1" s="1"/>
  <c r="L53" i="1"/>
  <c r="M53" i="1" s="1"/>
  <c r="T52" i="1"/>
  <c r="U52" i="1" s="1"/>
  <c r="V52" i="1" s="1"/>
  <c r="W52" i="1" s="1"/>
  <c r="X52" i="1" s="1"/>
  <c r="L52" i="1"/>
  <c r="M52" i="1" s="1"/>
  <c r="O52" i="1" s="1"/>
  <c r="P52" i="1" s="1"/>
  <c r="T51" i="1"/>
  <c r="L51" i="1"/>
  <c r="M51" i="1" s="1"/>
  <c r="O51" i="1" s="1"/>
  <c r="T50" i="1"/>
  <c r="U50" i="1" s="1"/>
  <c r="L50" i="1"/>
  <c r="M50" i="1" s="1"/>
  <c r="T49" i="1"/>
  <c r="U49" i="1" s="1"/>
  <c r="L49" i="1"/>
  <c r="M49" i="1" s="1"/>
  <c r="O49" i="1" s="1"/>
  <c r="P49" i="1" s="1"/>
  <c r="T48" i="1"/>
  <c r="U48" i="1" s="1"/>
  <c r="V48" i="1" s="1"/>
  <c r="L48" i="1"/>
  <c r="M48" i="1" s="1"/>
  <c r="O48" i="1" s="1"/>
  <c r="P48" i="1" s="1"/>
  <c r="T47" i="1"/>
  <c r="U47" i="1" s="1"/>
  <c r="L47" i="1"/>
  <c r="M47" i="1" s="1"/>
  <c r="O47" i="1" s="1"/>
  <c r="T46" i="1"/>
  <c r="U46" i="1" s="1"/>
  <c r="V46" i="1" s="1"/>
  <c r="W46" i="1" s="1"/>
  <c r="X46" i="1" s="1"/>
  <c r="L46" i="1"/>
  <c r="M46" i="1" s="1"/>
  <c r="O46" i="1" s="1"/>
  <c r="P46" i="1" s="1"/>
  <c r="T45" i="1"/>
  <c r="L45" i="1"/>
  <c r="M45" i="1" s="1"/>
  <c r="O45" i="1" s="1"/>
  <c r="T44" i="1"/>
  <c r="U44" i="1" s="1"/>
  <c r="L44" i="1"/>
  <c r="M44" i="1" s="1"/>
  <c r="O44" i="1" s="1"/>
  <c r="T43" i="1"/>
  <c r="L43" i="1"/>
  <c r="M43" i="1" s="1"/>
  <c r="T42" i="1"/>
  <c r="U42" i="1" s="1"/>
  <c r="L42" i="1"/>
  <c r="M42" i="1" s="1"/>
  <c r="O42" i="1" s="1"/>
  <c r="T41" i="1"/>
  <c r="U41" i="1" s="1"/>
  <c r="L41" i="1"/>
  <c r="M41" i="1" s="1"/>
  <c r="T40" i="1"/>
  <c r="U40" i="1" s="1"/>
  <c r="V40" i="1" s="1"/>
  <c r="W40" i="1" s="1"/>
  <c r="L40" i="1"/>
  <c r="M40" i="1" s="1"/>
  <c r="O40" i="1" s="1"/>
  <c r="P40" i="1" s="1"/>
  <c r="T39" i="1"/>
  <c r="U39" i="1" s="1"/>
  <c r="L39" i="1"/>
  <c r="M39" i="1" s="1"/>
  <c r="O39" i="1" s="1"/>
  <c r="P39" i="1" s="1"/>
  <c r="T38" i="1"/>
  <c r="U38" i="1" s="1"/>
  <c r="V38" i="1" s="1"/>
  <c r="W38" i="1" s="1"/>
  <c r="X38" i="1" s="1"/>
  <c r="L38" i="1"/>
  <c r="M38" i="1" s="1"/>
  <c r="T37" i="1"/>
  <c r="U37" i="1" s="1"/>
  <c r="L37" i="1"/>
  <c r="M37" i="1" s="1"/>
  <c r="O37" i="1" s="1"/>
  <c r="P37" i="1" s="1"/>
  <c r="T36" i="1"/>
  <c r="U36" i="1" s="1"/>
  <c r="L36" i="1"/>
  <c r="M36" i="1" s="1"/>
  <c r="O36" i="1" s="1"/>
  <c r="P36" i="1" s="1"/>
  <c r="T35" i="1"/>
  <c r="L35" i="1"/>
  <c r="M35" i="1" s="1"/>
  <c r="O35" i="1" s="1"/>
  <c r="T34" i="1"/>
  <c r="U34" i="1" s="1"/>
  <c r="V34" i="1" s="1"/>
  <c r="W34" i="1" s="1"/>
  <c r="L34" i="1"/>
  <c r="M34" i="1" s="1"/>
  <c r="O34" i="1" s="1"/>
  <c r="T33" i="1"/>
  <c r="L33" i="1"/>
  <c r="M33" i="1" s="1"/>
  <c r="T32" i="1"/>
  <c r="U32" i="1" s="1"/>
  <c r="V32" i="1" s="1"/>
  <c r="L32" i="1"/>
  <c r="M32" i="1" s="1"/>
  <c r="O32" i="1" s="1"/>
  <c r="T31" i="1"/>
  <c r="U31" i="1" s="1"/>
  <c r="V31" i="1" s="1"/>
  <c r="W31" i="1" s="1"/>
  <c r="L31" i="1"/>
  <c r="M31" i="1" s="1"/>
  <c r="O31" i="1" s="1"/>
  <c r="P31" i="1" s="1"/>
  <c r="T30" i="1"/>
  <c r="U30" i="1" s="1"/>
  <c r="V30" i="1" s="1"/>
  <c r="W30" i="1" s="1"/>
  <c r="X30" i="1" s="1"/>
  <c r="L30" i="1"/>
  <c r="M30" i="1" s="1"/>
  <c r="O30" i="1" s="1"/>
  <c r="P30" i="1" s="1"/>
  <c r="T29" i="1"/>
  <c r="L29" i="1"/>
  <c r="M29" i="1" s="1"/>
  <c r="O29" i="1" s="1"/>
  <c r="P29" i="1" s="1"/>
  <c r="T28" i="1"/>
  <c r="U28" i="1" s="1"/>
  <c r="L28" i="1"/>
  <c r="M28" i="1" s="1"/>
  <c r="O28" i="1" s="1"/>
  <c r="P28" i="1" s="1"/>
  <c r="T27" i="1"/>
  <c r="U27" i="1" s="1"/>
  <c r="V27" i="1" s="1"/>
  <c r="W27" i="1" s="1"/>
  <c r="X27" i="1" s="1"/>
  <c r="L27" i="1"/>
  <c r="M27" i="1" s="1"/>
  <c r="O27" i="1" s="1"/>
  <c r="T26" i="1"/>
  <c r="L26" i="1"/>
  <c r="M26" i="1" s="1"/>
  <c r="O26" i="1" s="1"/>
  <c r="T25" i="1"/>
  <c r="U25" i="1" s="1"/>
  <c r="V25" i="1" s="1"/>
  <c r="W25" i="1" s="1"/>
  <c r="L25" i="1"/>
  <c r="M25" i="1" s="1"/>
  <c r="O25" i="1" s="1"/>
  <c r="T24" i="1"/>
  <c r="U24" i="1" s="1"/>
  <c r="V24" i="1" s="1"/>
  <c r="W24" i="1" s="1"/>
  <c r="L24" i="1"/>
  <c r="M24" i="1" s="1"/>
  <c r="O24" i="1" s="1"/>
  <c r="T23" i="1"/>
  <c r="L23" i="1"/>
  <c r="M23" i="1" s="1"/>
  <c r="O23" i="1" s="1"/>
  <c r="P23" i="1" s="1"/>
  <c r="T22" i="1"/>
  <c r="U22" i="1" s="1"/>
  <c r="V22" i="1" s="1"/>
  <c r="W22" i="1" s="1"/>
  <c r="X22" i="1" s="1"/>
  <c r="L22" i="1"/>
  <c r="M22" i="1" s="1"/>
  <c r="O22" i="1" s="1"/>
  <c r="T21" i="1"/>
  <c r="L21" i="1"/>
  <c r="M21" i="1" s="1"/>
  <c r="O21" i="1" s="1"/>
  <c r="P21" i="1" s="1"/>
  <c r="T20" i="1"/>
  <c r="L20" i="1"/>
  <c r="M20" i="1" s="1"/>
  <c r="O20" i="1" s="1"/>
  <c r="P20" i="1" s="1"/>
  <c r="T19" i="1"/>
  <c r="U19" i="1" s="1"/>
  <c r="V19" i="1" s="1"/>
  <c r="W19" i="1" s="1"/>
  <c r="L19" i="1"/>
  <c r="M19" i="1" s="1"/>
  <c r="O19" i="1" s="1"/>
  <c r="P19" i="1" s="1"/>
  <c r="T18" i="1"/>
  <c r="U18" i="1" s="1"/>
  <c r="V18" i="1" s="1"/>
  <c r="W18" i="1" s="1"/>
  <c r="X18" i="1" s="1"/>
  <c r="L18" i="1"/>
  <c r="M18" i="1" s="1"/>
  <c r="O18" i="1" s="1"/>
  <c r="T17" i="1"/>
  <c r="L17" i="1"/>
  <c r="M17" i="1" s="1"/>
  <c r="O17" i="1" s="1"/>
  <c r="P17" i="1" s="1"/>
  <c r="T16" i="1"/>
  <c r="U16" i="1" s="1"/>
  <c r="V16" i="1" s="1"/>
  <c r="L16" i="1"/>
  <c r="M16" i="1" s="1"/>
  <c r="T15" i="1"/>
  <c r="L15" i="1"/>
  <c r="M15" i="1" s="1"/>
  <c r="O15" i="1" s="1"/>
  <c r="P15" i="1" s="1"/>
  <c r="T10" i="1"/>
  <c r="L10" i="1"/>
  <c r="M10" i="1" s="1"/>
  <c r="O10" i="1" s="1"/>
  <c r="P10" i="1" s="1"/>
  <c r="T5" i="1" l="1"/>
  <c r="P109" i="1"/>
  <c r="V705" i="1"/>
  <c r="W705" i="1" s="1"/>
  <c r="X705" i="1" s="1"/>
  <c r="V747" i="1"/>
  <c r="W747" i="1" s="1"/>
  <c r="X747" i="1" s="1"/>
  <c r="P752" i="1"/>
  <c r="X833" i="1"/>
  <c r="V777" i="1"/>
  <c r="W777" i="1" s="1"/>
  <c r="X777" i="1" s="1"/>
  <c r="V825" i="1"/>
  <c r="W825" i="1" s="1"/>
  <c r="X825" i="1" s="1"/>
  <c r="P334" i="1"/>
  <c r="V1105" i="1"/>
  <c r="W1105" i="1" s="1"/>
  <c r="X1105" i="1" s="1"/>
  <c r="P732" i="1"/>
  <c r="V877" i="1"/>
  <c r="W877" i="1" s="1"/>
  <c r="X877" i="1" s="1"/>
  <c r="V831" i="1"/>
  <c r="W831" i="1" s="1"/>
  <c r="X831" i="1" s="1"/>
  <c r="P698" i="1"/>
  <c r="P680" i="1"/>
  <c r="P788" i="1"/>
  <c r="P606" i="1"/>
  <c r="P728" i="1"/>
  <c r="P1016" i="1"/>
  <c r="V1143" i="1"/>
  <c r="W1143" i="1" s="1"/>
  <c r="X1143" i="1" s="1"/>
  <c r="P990" i="1"/>
  <c r="P688" i="1"/>
  <c r="P858" i="1"/>
  <c r="P690" i="1"/>
  <c r="P920" i="1"/>
  <c r="P674" i="1"/>
  <c r="P588" i="1"/>
  <c r="P1042" i="1"/>
  <c r="P1002" i="1"/>
  <c r="V1167" i="1"/>
  <c r="W1167" i="1" s="1"/>
  <c r="X1167" i="1" s="1"/>
  <c r="P978" i="1"/>
  <c r="V821" i="1"/>
  <c r="W821" i="1" s="1"/>
  <c r="X821" i="1" s="1"/>
  <c r="P922" i="1"/>
  <c r="P864" i="1"/>
  <c r="P1010" i="1"/>
  <c r="P856" i="1"/>
  <c r="V749" i="1"/>
  <c r="W749" i="1" s="1"/>
  <c r="V1111" i="1"/>
  <c r="W1111" i="1" s="1"/>
  <c r="X1111" i="1" s="1"/>
  <c r="P700" i="1"/>
  <c r="P1088" i="1"/>
  <c r="P218" i="1"/>
  <c r="V396" i="1"/>
  <c r="W396" i="1" s="1"/>
  <c r="X396" i="1" s="1"/>
  <c r="P634" i="1"/>
  <c r="P750" i="1"/>
  <c r="P692" i="1"/>
  <c r="P460" i="1"/>
  <c r="P422" i="1"/>
  <c r="P676" i="1"/>
  <c r="P632" i="1"/>
  <c r="P268" i="1"/>
  <c r="P312" i="1"/>
  <c r="X444" i="1"/>
  <c r="P547" i="1"/>
  <c r="V492" i="1"/>
  <c r="W492" i="1" s="1"/>
  <c r="P121" i="1"/>
  <c r="P201" i="1"/>
  <c r="V1016" i="1"/>
  <c r="W1016" i="1" s="1"/>
  <c r="X1062" i="1"/>
  <c r="P533" i="1"/>
  <c r="O11" i="1"/>
  <c r="P11" i="1" s="1"/>
  <c r="W13" i="1"/>
  <c r="X13" i="1" s="1"/>
  <c r="W12" i="1"/>
  <c r="X12" i="1" s="1"/>
  <c r="O14" i="1"/>
  <c r="P14" i="1" s="1"/>
  <c r="O12" i="1"/>
  <c r="P12" i="1" s="1"/>
  <c r="P99" i="1"/>
  <c r="P57" i="1"/>
  <c r="V11" i="1"/>
  <c r="V14" i="1"/>
  <c r="P13" i="1"/>
  <c r="V162" i="1"/>
  <c r="W162" i="1" s="1"/>
  <c r="X648" i="1"/>
  <c r="V574" i="1"/>
  <c r="W574" i="1" s="1"/>
  <c r="X574" i="1" s="1"/>
  <c r="V196" i="1"/>
  <c r="W196" i="1" s="1"/>
  <c r="V630" i="1"/>
  <c r="W630" i="1" s="1"/>
  <c r="X1022" i="1"/>
  <c r="V164" i="1"/>
  <c r="W164" i="1" s="1"/>
  <c r="X164" i="1" s="1"/>
  <c r="V516" i="1"/>
  <c r="W516" i="1" s="1"/>
  <c r="V978" i="1"/>
  <c r="W978" i="1" s="1"/>
  <c r="P1124" i="1"/>
  <c r="V612" i="1"/>
  <c r="W612" i="1" s="1"/>
  <c r="X612" i="1" s="1"/>
  <c r="V700" i="1"/>
  <c r="W700" i="1" s="1"/>
  <c r="V564" i="1"/>
  <c r="W564" i="1" s="1"/>
  <c r="X292" i="1"/>
  <c r="V624" i="1"/>
  <c r="W624" i="1" s="1"/>
  <c r="V200" i="1"/>
  <c r="W200" i="1" s="1"/>
  <c r="X200" i="1" s="1"/>
  <c r="V806" i="1"/>
  <c r="W806" i="1" s="1"/>
  <c r="X806" i="1" s="1"/>
  <c r="O2967" i="1"/>
  <c r="P2967" i="1" s="1"/>
  <c r="V64" i="1"/>
  <c r="W64" i="1" s="1"/>
  <c r="P45" i="1"/>
  <c r="V2967" i="1"/>
  <c r="X367" i="1"/>
  <c r="V343" i="1"/>
  <c r="W343" i="1" s="1"/>
  <c r="X343" i="1" s="1"/>
  <c r="V581" i="1"/>
  <c r="W581" i="1" s="1"/>
  <c r="X581" i="1" s="1"/>
  <c r="P183" i="1"/>
  <c r="V379" i="1"/>
  <c r="W379" i="1" s="1"/>
  <c r="X379" i="1" s="1"/>
  <c r="W535" i="1"/>
  <c r="X535" i="1" s="1"/>
  <c r="W1128" i="1"/>
  <c r="X1128" i="1" s="1"/>
  <c r="V351" i="1"/>
  <c r="W351" i="1" s="1"/>
  <c r="V263" i="1"/>
  <c r="W263" i="1" s="1"/>
  <c r="X263" i="1" s="1"/>
  <c r="V375" i="1"/>
  <c r="W375" i="1" s="1"/>
  <c r="P1067" i="1"/>
  <c r="V371" i="1"/>
  <c r="W371" i="1" s="1"/>
  <c r="X371" i="1" s="1"/>
  <c r="P957" i="1"/>
  <c r="V2991" i="1"/>
  <c r="W2991" i="1" s="1"/>
  <c r="X2991" i="1" s="1"/>
  <c r="P803" i="1"/>
  <c r="P1009" i="1"/>
  <c r="P488" i="1"/>
  <c r="X707" i="1"/>
  <c r="P799" i="1"/>
  <c r="P260" i="1"/>
  <c r="V41" i="1"/>
  <c r="W41" i="1" s="1"/>
  <c r="X1162" i="1"/>
  <c r="P671" i="1"/>
  <c r="P394" i="1"/>
  <c r="X547" i="1"/>
  <c r="P414" i="1"/>
  <c r="P999" i="1"/>
  <c r="X267" i="1"/>
  <c r="V977" i="1"/>
  <c r="W977" i="1" s="1"/>
  <c r="V610" i="1"/>
  <c r="W610" i="1" s="1"/>
  <c r="P1169" i="1"/>
  <c r="P150" i="1"/>
  <c r="V678" i="1"/>
  <c r="W678" i="1" s="1"/>
  <c r="X678" i="1" s="1"/>
  <c r="V1158" i="1"/>
  <c r="W1158" i="1" s="1"/>
  <c r="V696" i="1"/>
  <c r="W696" i="1" s="1"/>
  <c r="X696" i="1" s="1"/>
  <c r="P719" i="1"/>
  <c r="P965" i="1"/>
  <c r="V1073" i="1"/>
  <c r="W1073" i="1" s="1"/>
  <c r="X1073" i="1" s="1"/>
  <c r="V325" i="1"/>
  <c r="W325" i="1" s="1"/>
  <c r="V289" i="1"/>
  <c r="W289" i="1" s="1"/>
  <c r="X289" i="1" s="1"/>
  <c r="X335" i="1"/>
  <c r="V955" i="1"/>
  <c r="W955" i="1" s="1"/>
  <c r="X955" i="1" s="1"/>
  <c r="P442" i="1"/>
  <c r="P881" i="1"/>
  <c r="P911" i="1"/>
  <c r="P292" i="1"/>
  <c r="V807" i="1"/>
  <c r="W807" i="1" s="1"/>
  <c r="X807" i="1" s="1"/>
  <c r="V527" i="1"/>
  <c r="W527" i="1" s="1"/>
  <c r="X527" i="1" s="1"/>
  <c r="P735" i="1"/>
  <c r="P1043" i="1"/>
  <c r="U21" i="1"/>
  <c r="V21" i="1" s="1"/>
  <c r="W21" i="1" s="1"/>
  <c r="X21" i="1" s="1"/>
  <c r="O237" i="1"/>
  <c r="P237" i="1" s="1"/>
  <c r="O537" i="1"/>
  <c r="P537" i="1" s="1"/>
  <c r="W656" i="1"/>
  <c r="X656" i="1" s="1"/>
  <c r="U684" i="1"/>
  <c r="V684" i="1" s="1"/>
  <c r="U690" i="1"/>
  <c r="V690" i="1" s="1"/>
  <c r="W690" i="1" s="1"/>
  <c r="X690" i="1" s="1"/>
  <c r="U914" i="1"/>
  <c r="V914" i="1" s="1"/>
  <c r="U2110" i="1"/>
  <c r="V2110" i="1" s="1"/>
  <c r="W2110" i="1" s="1"/>
  <c r="X2110" i="1" s="1"/>
  <c r="V654" i="1"/>
  <c r="W654" i="1" s="1"/>
  <c r="V938" i="1"/>
  <c r="W938" i="1" s="1"/>
  <c r="V802" i="1"/>
  <c r="W802" i="1" s="1"/>
  <c r="V996" i="1"/>
  <c r="W996" i="1" s="1"/>
  <c r="X996" i="1" s="1"/>
  <c r="P379" i="1"/>
  <c r="P1170" i="1"/>
  <c r="V165" i="1"/>
  <c r="W165" i="1" s="1"/>
  <c r="X165" i="1" s="1"/>
  <c r="V1052" i="1"/>
  <c r="W1052" i="1" s="1"/>
  <c r="V628" i="1"/>
  <c r="W628" i="1" s="1"/>
  <c r="W225" i="1"/>
  <c r="X225" i="1" s="1"/>
  <c r="U323" i="1"/>
  <c r="V323" i="1" s="1"/>
  <c r="W537" i="1"/>
  <c r="X537" i="1" s="1"/>
  <c r="O585" i="1"/>
  <c r="P585" i="1" s="1"/>
  <c r="O591" i="1"/>
  <c r="P591" i="1" s="1"/>
  <c r="O593" i="1"/>
  <c r="P593" i="1" s="1"/>
  <c r="O629" i="1"/>
  <c r="P629" i="1" s="1"/>
  <c r="O659" i="1"/>
  <c r="P659" i="1" s="1"/>
  <c r="U1124" i="1"/>
  <c r="V1124" i="1" s="1"/>
  <c r="V1096" i="1"/>
  <c r="W1096" i="1" s="1"/>
  <c r="P221" i="1"/>
  <c r="X786" i="1"/>
  <c r="V616" i="1"/>
  <c r="W616" i="1" s="1"/>
  <c r="X616" i="1" s="1"/>
  <c r="V1082" i="1"/>
  <c r="W1082" i="1" s="1"/>
  <c r="P235" i="1"/>
  <c r="P511" i="1"/>
  <c r="X692" i="1"/>
  <c r="V920" i="1"/>
  <c r="W920" i="1" s="1"/>
  <c r="P1118" i="1"/>
  <c r="V1026" i="1"/>
  <c r="W1026" i="1" s="1"/>
  <c r="V199" i="1"/>
  <c r="W199" i="1" s="1"/>
  <c r="U166" i="1"/>
  <c r="V166" i="1" s="1"/>
  <c r="W166" i="1" s="1"/>
  <c r="X166" i="1" s="1"/>
  <c r="U174" i="1"/>
  <c r="V174" i="1" s="1"/>
  <c r="O330" i="1"/>
  <c r="P330" i="1" s="1"/>
  <c r="O390" i="1"/>
  <c r="P390" i="1" s="1"/>
  <c r="O438" i="1"/>
  <c r="P438" i="1" s="1"/>
  <c r="O440" i="1"/>
  <c r="P440" i="1" s="1"/>
  <c r="O482" i="1"/>
  <c r="P482" i="1" s="1"/>
  <c r="U727" i="1"/>
  <c r="V727" i="1" s="1"/>
  <c r="W727" i="1" s="1"/>
  <c r="X727" i="1" s="1"/>
  <c r="O1133" i="1"/>
  <c r="P1133" i="1" s="1"/>
  <c r="O1167" i="1"/>
  <c r="P1167" i="1" s="1"/>
  <c r="U1186" i="1"/>
  <c r="V1186" i="1" s="1"/>
  <c r="W697" i="1"/>
  <c r="X697" i="1" s="1"/>
  <c r="W1151" i="1"/>
  <c r="X1151" i="1" s="1"/>
  <c r="V1077" i="1"/>
  <c r="W1077" i="1" s="1"/>
  <c r="X1077" i="1" s="1"/>
  <c r="P132" i="1"/>
  <c r="P558" i="1"/>
  <c r="P353" i="1"/>
  <c r="V1121" i="1"/>
  <c r="W1121" i="1" s="1"/>
  <c r="X1121" i="1" s="1"/>
  <c r="V931" i="1"/>
  <c r="W931" i="1" s="1"/>
  <c r="V1163" i="1"/>
  <c r="V227" i="1"/>
  <c r="W227" i="1" s="1"/>
  <c r="X227" i="1" s="1"/>
  <c r="V699" i="1"/>
  <c r="W699" i="1" s="1"/>
  <c r="V2674" i="1"/>
  <c r="W2674" i="1" s="1"/>
  <c r="X2674" i="1" s="1"/>
  <c r="V3415" i="1"/>
  <c r="W3415" i="1" s="1"/>
  <c r="X3415" i="1" s="1"/>
  <c r="P905" i="1"/>
  <c r="V963" i="1"/>
  <c r="W963" i="1" s="1"/>
  <c r="X963" i="1" s="1"/>
  <c r="P711" i="1"/>
  <c r="P301" i="1"/>
  <c r="V985" i="1"/>
  <c r="W985" i="1" s="1"/>
  <c r="X985" i="1" s="1"/>
  <c r="P1116" i="1"/>
  <c r="P907" i="1"/>
  <c r="P831" i="1"/>
  <c r="P805" i="1"/>
  <c r="V927" i="1"/>
  <c r="W927" i="1" s="1"/>
  <c r="V675" i="1"/>
  <c r="W675" i="1" s="1"/>
  <c r="P3372" i="1"/>
  <c r="P136" i="1"/>
  <c r="P845" i="1"/>
  <c r="V1029" i="1"/>
  <c r="W1029" i="1" s="1"/>
  <c r="X1029" i="1" s="1"/>
  <c r="P345" i="1"/>
  <c r="P90" i="1"/>
  <c r="P773" i="1"/>
  <c r="P78" i="1"/>
  <c r="P134" i="1"/>
  <c r="V693" i="1"/>
  <c r="W693" i="1" s="1"/>
  <c r="X693" i="1" s="1"/>
  <c r="V1127" i="1"/>
  <c r="W1127" i="1" s="1"/>
  <c r="P94" i="1"/>
  <c r="V1083" i="1"/>
  <c r="W1083" i="1" s="1"/>
  <c r="X1083" i="1" s="1"/>
  <c r="V1153" i="1"/>
  <c r="W1153" i="1" s="1"/>
  <c r="P757" i="1"/>
  <c r="V1169" i="1"/>
  <c r="W1169" i="1" s="1"/>
  <c r="P829" i="1"/>
  <c r="V1145" i="1"/>
  <c r="W1145" i="1" s="1"/>
  <c r="X1145" i="1" s="1"/>
  <c r="P2702" i="1"/>
  <c r="V93" i="1"/>
  <c r="W93" i="1" s="1"/>
  <c r="V131" i="1"/>
  <c r="W131" i="1" s="1"/>
  <c r="X131" i="1" s="1"/>
  <c r="U1036" i="1"/>
  <c r="V1036" i="1" s="1"/>
  <c r="W1046" i="1"/>
  <c r="X1046" i="1" s="1"/>
  <c r="U1056" i="1"/>
  <c r="V1056" i="1" s="1"/>
  <c r="W1056" i="1" s="1"/>
  <c r="X1056" i="1" s="1"/>
  <c r="U1064" i="1"/>
  <c r="V1064" i="1" s="1"/>
  <c r="W1064" i="1" s="1"/>
  <c r="X1064" i="1" s="1"/>
  <c r="U1078" i="1"/>
  <c r="V1078" i="1" s="1"/>
  <c r="W1078" i="1" s="1"/>
  <c r="U1084" i="1"/>
  <c r="V1084" i="1" s="1"/>
  <c r="W1084" i="1" s="1"/>
  <c r="X1084" i="1" s="1"/>
  <c r="U1098" i="1"/>
  <c r="V1098" i="1" s="1"/>
  <c r="W1098" i="1" s="1"/>
  <c r="U1100" i="1"/>
  <c r="V1100" i="1" s="1"/>
  <c r="O1102" i="1"/>
  <c r="P1102" i="1" s="1"/>
  <c r="O1347" i="1"/>
  <c r="P1347" i="1" s="1"/>
  <c r="X1159" i="1"/>
  <c r="U29" i="1"/>
  <c r="V29" i="1" s="1"/>
  <c r="W29" i="1" s="1"/>
  <c r="X29" i="1" s="1"/>
  <c r="U35" i="1"/>
  <c r="V35" i="1" s="1"/>
  <c r="W35" i="1" s="1"/>
  <c r="X35" i="1" s="1"/>
  <c r="U43" i="1"/>
  <c r="V43" i="1" s="1"/>
  <c r="W43" i="1" s="1"/>
  <c r="X43" i="1" s="1"/>
  <c r="U61" i="1"/>
  <c r="V61" i="1" s="1"/>
  <c r="U139" i="1"/>
  <c r="V139" i="1" s="1"/>
  <c r="W139" i="1" s="1"/>
  <c r="X139" i="1" s="1"/>
  <c r="U141" i="1"/>
  <c r="V141" i="1" s="1"/>
  <c r="U147" i="1"/>
  <c r="V147" i="1" s="1"/>
  <c r="W147" i="1" s="1"/>
  <c r="X147" i="1" s="1"/>
  <c r="O239" i="1"/>
  <c r="P239" i="1" s="1"/>
  <c r="U302" i="1"/>
  <c r="V302" i="1" s="1"/>
  <c r="W302" i="1" s="1"/>
  <c r="X302" i="1" s="1"/>
  <c r="U308" i="1"/>
  <c r="V308" i="1" s="1"/>
  <c r="W332" i="1"/>
  <c r="X332" i="1" s="1"/>
  <c r="U352" i="1"/>
  <c r="V352" i="1" s="1"/>
  <c r="W352" i="1" s="1"/>
  <c r="U378" i="1"/>
  <c r="V378" i="1" s="1"/>
  <c r="W378" i="1" s="1"/>
  <c r="X378" i="1" s="1"/>
  <c r="W390" i="1"/>
  <c r="X390" i="1" s="1"/>
  <c r="W398" i="1"/>
  <c r="X398" i="1" s="1"/>
  <c r="W454" i="1"/>
  <c r="X454" i="1" s="1"/>
  <c r="U456" i="1"/>
  <c r="V456" i="1" s="1"/>
  <c r="W470" i="1"/>
  <c r="X470" i="1" s="1"/>
  <c r="U472" i="1"/>
  <c r="V472" i="1" s="1"/>
  <c r="W472" i="1" s="1"/>
  <c r="X472" i="1" s="1"/>
  <c r="U521" i="1"/>
  <c r="V521" i="1" s="1"/>
  <c r="W521" i="1" s="1"/>
  <c r="X521" i="1" s="1"/>
  <c r="U531" i="1"/>
  <c r="V531" i="1" s="1"/>
  <c r="W531" i="1" s="1"/>
  <c r="X531" i="1" s="1"/>
  <c r="O611" i="1"/>
  <c r="P611" i="1" s="1"/>
  <c r="O665" i="1"/>
  <c r="P665" i="1" s="1"/>
  <c r="P667" i="1"/>
  <c r="O675" i="1"/>
  <c r="P675" i="1" s="1"/>
  <c r="O2718" i="1"/>
  <c r="P2718" i="1" s="1"/>
  <c r="O196" i="1"/>
  <c r="P196" i="1" s="1"/>
  <c r="P532" i="1"/>
  <c r="P265" i="1"/>
  <c r="P475" i="1"/>
  <c r="V219" i="1"/>
  <c r="P407" i="1"/>
  <c r="P351" i="1"/>
  <c r="P526" i="1"/>
  <c r="P192" i="1"/>
  <c r="U912" i="1"/>
  <c r="V912" i="1" s="1"/>
  <c r="U1011" i="1"/>
  <c r="V1011" i="1" s="1"/>
  <c r="W1011" i="1" s="1"/>
  <c r="X1011" i="1" s="1"/>
  <c r="U1023" i="1"/>
  <c r="V1023" i="1" s="1"/>
  <c r="W1023" i="1" s="1"/>
  <c r="X1023" i="1" s="1"/>
  <c r="U1149" i="1"/>
  <c r="V1149" i="1" s="1"/>
  <c r="W1149" i="1" s="1"/>
  <c r="X1149" i="1" s="1"/>
  <c r="V2368" i="1"/>
  <c r="W2368" i="1" s="1"/>
  <c r="X2368" i="1" s="1"/>
  <c r="O277" i="1"/>
  <c r="P277" i="1" s="1"/>
  <c r="O2694" i="1"/>
  <c r="P2694" i="1" s="1"/>
  <c r="O3006" i="1"/>
  <c r="P3006" i="1" s="1"/>
  <c r="P495" i="1"/>
  <c r="P174" i="1"/>
  <c r="X755" i="1"/>
  <c r="V215" i="1"/>
  <c r="W215" i="1" s="1"/>
  <c r="X215" i="1" s="1"/>
  <c r="X918" i="1"/>
  <c r="P140" i="1"/>
  <c r="P520" i="1"/>
  <c r="P455" i="1"/>
  <c r="P172" i="1"/>
  <c r="O758" i="1"/>
  <c r="P758" i="1" s="1"/>
  <c r="O1072" i="1"/>
  <c r="P1072" i="1" s="1"/>
  <c r="O2708" i="1"/>
  <c r="P2708" i="1" s="1"/>
  <c r="U3218" i="1"/>
  <c r="V3218" i="1" s="1"/>
  <c r="W3218" i="1" s="1"/>
  <c r="X3218" i="1" s="1"/>
  <c r="P2164" i="1"/>
  <c r="P2183" i="1"/>
  <c r="V2184" i="1"/>
  <c r="W2184" i="1" s="1"/>
  <c r="X2184" i="1" s="1"/>
  <c r="P2188" i="1"/>
  <c r="V2416" i="1"/>
  <c r="W2416" i="1" s="1"/>
  <c r="X2416" i="1" s="1"/>
  <c r="P2966" i="1"/>
  <c r="V2983" i="1"/>
  <c r="W2983" i="1" s="1"/>
  <c r="X2983" i="1" s="1"/>
  <c r="W305" i="1"/>
  <c r="X305" i="1" s="1"/>
  <c r="W508" i="1"/>
  <c r="X508" i="1" s="1"/>
  <c r="W708" i="1"/>
  <c r="X708" i="1" s="1"/>
  <c r="U657" i="1"/>
  <c r="V657" i="1" s="1"/>
  <c r="W657" i="1" s="1"/>
  <c r="X657" i="1" s="1"/>
  <c r="U856" i="1"/>
  <c r="V856" i="1" s="1"/>
  <c r="U886" i="1"/>
  <c r="V886" i="1" s="1"/>
  <c r="W886" i="1" s="1"/>
  <c r="X886" i="1" s="1"/>
  <c r="U1832" i="1"/>
  <c r="V1832" i="1" s="1"/>
  <c r="W1832" i="1" s="1"/>
  <c r="X1832" i="1" s="1"/>
  <c r="O236" i="1"/>
  <c r="P236" i="1" s="1"/>
  <c r="U455" i="1"/>
  <c r="V455" i="1" s="1"/>
  <c r="O699" i="1"/>
  <c r="P699" i="1" s="1"/>
  <c r="U798" i="1"/>
  <c r="V798" i="1" s="1"/>
  <c r="W798" i="1" s="1"/>
  <c r="X798" i="1" s="1"/>
  <c r="O927" i="1"/>
  <c r="P927" i="1" s="1"/>
  <c r="O970" i="1"/>
  <c r="P970" i="1" s="1"/>
  <c r="V585" i="1"/>
  <c r="W585" i="1" s="1"/>
  <c r="X585" i="1" s="1"/>
  <c r="X522" i="1"/>
  <c r="X510" i="1"/>
  <c r="V587" i="1"/>
  <c r="W587" i="1" s="1"/>
  <c r="X587" i="1" s="1"/>
  <c r="V774" i="1"/>
  <c r="W774" i="1" s="1"/>
  <c r="O497" i="1"/>
  <c r="P497" i="1" s="1"/>
  <c r="V1170" i="1"/>
  <c r="W1170" i="1" s="1"/>
  <c r="X1170" i="1" s="1"/>
  <c r="V782" i="1"/>
  <c r="W782" i="1" s="1"/>
  <c r="V864" i="1"/>
  <c r="W864" i="1" s="1"/>
  <c r="X864" i="1" s="1"/>
  <c r="V233" i="1"/>
  <c r="W233" i="1" s="1"/>
  <c r="X233" i="1" s="1"/>
  <c r="V766" i="1"/>
  <c r="W766" i="1" s="1"/>
  <c r="V417" i="1"/>
  <c r="W417" i="1" s="1"/>
  <c r="P574" i="1"/>
  <c r="V605" i="1"/>
  <c r="W605" i="1" s="1"/>
  <c r="X605" i="1" s="1"/>
  <c r="P1099" i="1"/>
  <c r="U23" i="1"/>
  <c r="V23" i="1" s="1"/>
  <c r="W23" i="1" s="1"/>
  <c r="X23" i="1" s="1"/>
  <c r="U89" i="1"/>
  <c r="V89" i="1" s="1"/>
  <c r="W89" i="1" s="1"/>
  <c r="X89" i="1" s="1"/>
  <c r="U103" i="1"/>
  <c r="V103" i="1" s="1"/>
  <c r="W103" i="1" s="1"/>
  <c r="X103" i="1" s="1"/>
  <c r="U310" i="1"/>
  <c r="V310" i="1" s="1"/>
  <c r="U318" i="1"/>
  <c r="V318" i="1" s="1"/>
  <c r="W318" i="1" s="1"/>
  <c r="X318" i="1" s="1"/>
  <c r="O1443" i="1"/>
  <c r="P1443" i="1" s="1"/>
  <c r="U2256" i="1"/>
  <c r="V2256" i="1" s="1"/>
  <c r="W2256" i="1" s="1"/>
  <c r="X2256" i="1" s="1"/>
  <c r="O207" i="1"/>
  <c r="P207" i="1" s="1"/>
  <c r="U228" i="1"/>
  <c r="V228" i="1" s="1"/>
  <c r="W228" i="1" s="1"/>
  <c r="X228" i="1" s="1"/>
  <c r="U253" i="1"/>
  <c r="V253" i="1" s="1"/>
  <c r="W253" i="1" s="1"/>
  <c r="X253" i="1" s="1"/>
  <c r="U461" i="1"/>
  <c r="V461" i="1" s="1"/>
  <c r="W461" i="1" s="1"/>
  <c r="X461" i="1" s="1"/>
  <c r="O552" i="1"/>
  <c r="P552" i="1" s="1"/>
  <c r="U714" i="1"/>
  <c r="V714" i="1" s="1"/>
  <c r="U826" i="1"/>
  <c r="V826" i="1" s="1"/>
  <c r="W826" i="1" s="1"/>
  <c r="X826" i="1" s="1"/>
  <c r="U2999" i="1"/>
  <c r="V2999" i="1" s="1"/>
  <c r="W2999" i="1" s="1"/>
  <c r="X2999" i="1" s="1"/>
  <c r="O3577" i="1"/>
  <c r="P3577" i="1" s="1"/>
  <c r="V381" i="1"/>
  <c r="W381" i="1" s="1"/>
  <c r="X381" i="1" s="1"/>
  <c r="V280" i="1"/>
  <c r="W280" i="1" s="1"/>
  <c r="X280" i="1" s="1"/>
  <c r="V595" i="1"/>
  <c r="W595" i="1" s="1"/>
  <c r="X595" i="1" s="1"/>
  <c r="V615" i="1"/>
  <c r="W615" i="1" s="1"/>
  <c r="V504" i="1"/>
  <c r="W504" i="1" s="1"/>
  <c r="V852" i="1"/>
  <c r="W852" i="1" s="1"/>
  <c r="X852" i="1" s="1"/>
  <c r="V784" i="1"/>
  <c r="W784" i="1" s="1"/>
  <c r="X784" i="1" s="1"/>
  <c r="P556" i="1"/>
  <c r="V850" i="1"/>
  <c r="W850" i="1" s="1"/>
  <c r="X850" i="1" s="1"/>
  <c r="V770" i="1"/>
  <c r="W770" i="1" s="1"/>
  <c r="V868" i="1"/>
  <c r="W868" i="1" s="1"/>
  <c r="P941" i="1"/>
  <c r="X687" i="1"/>
  <c r="X653" i="1"/>
  <c r="V796" i="1"/>
  <c r="W796" i="1" s="1"/>
  <c r="X796" i="1" s="1"/>
  <c r="V401" i="1"/>
  <c r="W401" i="1" s="1"/>
  <c r="X401" i="1" s="1"/>
  <c r="P935" i="1"/>
  <c r="V981" i="1"/>
  <c r="W981" i="1" s="1"/>
  <c r="X981" i="1" s="1"/>
  <c r="V898" i="1"/>
  <c r="W898" i="1" s="1"/>
  <c r="X898" i="1" s="1"/>
  <c r="V655" i="1"/>
  <c r="W655" i="1" s="1"/>
  <c r="X655" i="1" s="1"/>
  <c r="P164" i="1"/>
  <c r="X407" i="1"/>
  <c r="V609" i="1"/>
  <c r="W609" i="1" s="1"/>
  <c r="X609" i="1" s="1"/>
  <c r="V854" i="1"/>
  <c r="W854" i="1" s="1"/>
  <c r="X854" i="1" s="1"/>
  <c r="V536" i="1"/>
  <c r="W536" i="1" s="1"/>
  <c r="X536" i="1" s="1"/>
  <c r="P568" i="1"/>
  <c r="U661" i="1"/>
  <c r="V661" i="1" s="1"/>
  <c r="W661" i="1" s="1"/>
  <c r="X661" i="1" s="1"/>
  <c r="V409" i="1"/>
  <c r="W409" i="1" s="1"/>
  <c r="X409" i="1" s="1"/>
  <c r="V659" i="1"/>
  <c r="W659" i="1" s="1"/>
  <c r="X659" i="1" s="1"/>
  <c r="U198" i="1"/>
  <c r="V198" i="1" s="1"/>
  <c r="W198" i="1" s="1"/>
  <c r="O866" i="1"/>
  <c r="P866" i="1" s="1"/>
  <c r="V934" i="1"/>
  <c r="W934" i="1" s="1"/>
  <c r="V954" i="1"/>
  <c r="W954" i="1" s="1"/>
  <c r="X954" i="1" s="1"/>
  <c r="U1039" i="1"/>
  <c r="V1039" i="1" s="1"/>
  <c r="W1039" i="1" s="1"/>
  <c r="X1039" i="1" s="1"/>
  <c r="U1053" i="1"/>
  <c r="V1053" i="1" s="1"/>
  <c r="W1053" i="1" s="1"/>
  <c r="X1053" i="1" s="1"/>
  <c r="O2665" i="1"/>
  <c r="P2665" i="1" s="1"/>
  <c r="V366" i="1"/>
  <c r="W366" i="1" s="1"/>
  <c r="O771" i="1"/>
  <c r="P771" i="1" s="1"/>
  <c r="O801" i="1"/>
  <c r="P801" i="1" s="1"/>
  <c r="O1379" i="1"/>
  <c r="P1379" i="1" s="1"/>
  <c r="U1890" i="1"/>
  <c r="V1890" i="1" s="1"/>
  <c r="W1890" i="1" s="1"/>
  <c r="X1890" i="1" s="1"/>
  <c r="U2304" i="1"/>
  <c r="V2304" i="1" s="1"/>
  <c r="W2304" i="1" s="1"/>
  <c r="X2304" i="1" s="1"/>
  <c r="U2675" i="1"/>
  <c r="V2675" i="1" s="1"/>
  <c r="W2675" i="1" s="1"/>
  <c r="X2675" i="1" s="1"/>
  <c r="O2710" i="1"/>
  <c r="P2710" i="1" s="1"/>
  <c r="U3095" i="1"/>
  <c r="V3095" i="1" s="1"/>
  <c r="W3095" i="1" s="1"/>
  <c r="X3095" i="1" s="1"/>
  <c r="V73" i="1"/>
  <c r="W73" i="1" s="1"/>
  <c r="O986" i="1"/>
  <c r="P986" i="1" s="1"/>
  <c r="U1200" i="1"/>
  <c r="V1200" i="1" s="1"/>
  <c r="W1200" i="1" s="1"/>
  <c r="X1200" i="1" s="1"/>
  <c r="O1619" i="1"/>
  <c r="P1619" i="1" s="1"/>
  <c r="O2069" i="1"/>
  <c r="P2069" i="1" s="1"/>
  <c r="U2579" i="1"/>
  <c r="V2579" i="1" s="1"/>
  <c r="W2579" i="1" s="1"/>
  <c r="X2579" i="1" s="1"/>
  <c r="V2949" i="1"/>
  <c r="W2949" i="1" s="1"/>
  <c r="X2949" i="1" s="1"/>
  <c r="P3198" i="1"/>
  <c r="V3252" i="1"/>
  <c r="W3252" i="1" s="1"/>
  <c r="X3252" i="1" s="1"/>
  <c r="P3364" i="1"/>
  <c r="V1178" i="1"/>
  <c r="W1178" i="1" s="1"/>
  <c r="V1344" i="1"/>
  <c r="W1344" i="1" s="1"/>
  <c r="X1344" i="1" s="1"/>
  <c r="V1376" i="1"/>
  <c r="W1376" i="1" s="1"/>
  <c r="X1376" i="1" s="1"/>
  <c r="V1440" i="1"/>
  <c r="W1440" i="1" s="1"/>
  <c r="X1440" i="1" s="1"/>
  <c r="V1616" i="1"/>
  <c r="W1616" i="1" s="1"/>
  <c r="X1616" i="1" s="1"/>
  <c r="V1768" i="1"/>
  <c r="W1768" i="1" s="1"/>
  <c r="X1768" i="1" s="1"/>
  <c r="V1845" i="1"/>
  <c r="W1845" i="1" s="1"/>
  <c r="X1845" i="1" s="1"/>
  <c r="P1925" i="1"/>
  <c r="P2045" i="1"/>
  <c r="P2053" i="1"/>
  <c r="V2126" i="1"/>
  <c r="W2126" i="1" s="1"/>
  <c r="X2126" i="1" s="1"/>
  <c r="O697" i="1"/>
  <c r="P697" i="1" s="1"/>
  <c r="O177" i="1"/>
  <c r="P177" i="1" s="1"/>
  <c r="U245" i="1"/>
  <c r="V245" i="1" s="1"/>
  <c r="U247" i="1"/>
  <c r="V247" i="1" s="1"/>
  <c r="W247" i="1" s="1"/>
  <c r="U266" i="1"/>
  <c r="V266" i="1" s="1"/>
  <c r="W266" i="1" s="1"/>
  <c r="U1043" i="1"/>
  <c r="V1043" i="1" s="1"/>
  <c r="U1057" i="1"/>
  <c r="V1057" i="1" s="1"/>
  <c r="W1057" i="1" s="1"/>
  <c r="X1057" i="1" s="1"/>
  <c r="O1097" i="1"/>
  <c r="P1097" i="1" s="1"/>
  <c r="W1115" i="1"/>
  <c r="X1115" i="1" s="1"/>
  <c r="U1122" i="1"/>
  <c r="V1122" i="1" s="1"/>
  <c r="W1122" i="1" s="1"/>
  <c r="U1126" i="1"/>
  <c r="V1126" i="1" s="1"/>
  <c r="U1130" i="1"/>
  <c r="V1130" i="1" s="1"/>
  <c r="U1138" i="1"/>
  <c r="V1138" i="1" s="1"/>
  <c r="W1138" i="1" s="1"/>
  <c r="W1142" i="1"/>
  <c r="X1142" i="1" s="1"/>
  <c r="U1144" i="1"/>
  <c r="V1144" i="1" s="1"/>
  <c r="W1144" i="1" s="1"/>
  <c r="U1146" i="1"/>
  <c r="V1146" i="1" s="1"/>
  <c r="W1146" i="1" s="1"/>
  <c r="X1146" i="1" s="1"/>
  <c r="O1411" i="1"/>
  <c r="P1411" i="1" s="1"/>
  <c r="O1731" i="1"/>
  <c r="P1731" i="1" s="1"/>
  <c r="U2168" i="1"/>
  <c r="V2168" i="1" s="1"/>
  <c r="W2168" i="1" s="1"/>
  <c r="X2168" i="1" s="1"/>
  <c r="U2224" i="1"/>
  <c r="V2224" i="1" s="1"/>
  <c r="W2224" i="1" s="1"/>
  <c r="X2224" i="1" s="1"/>
  <c r="U2965" i="1"/>
  <c r="V2965" i="1" s="1"/>
  <c r="W2965" i="1" s="1"/>
  <c r="X2965" i="1" s="1"/>
  <c r="U2971" i="1"/>
  <c r="V2971" i="1" s="1"/>
  <c r="W2971" i="1" s="1"/>
  <c r="U2979" i="1"/>
  <c r="V2979" i="1" s="1"/>
  <c r="W2979" i="1" s="1"/>
  <c r="W275" i="1"/>
  <c r="X275" i="1" s="1"/>
  <c r="U281" i="1"/>
  <c r="V281" i="1" s="1"/>
  <c r="W281" i="1" s="1"/>
  <c r="W958" i="1"/>
  <c r="X958" i="1" s="1"/>
  <c r="X376" i="1"/>
  <c r="W1092" i="1"/>
  <c r="X1092" i="1" s="1"/>
  <c r="X333" i="1"/>
  <c r="O125" i="1"/>
  <c r="P125" i="1" s="1"/>
  <c r="P879" i="1"/>
  <c r="W743" i="1"/>
  <c r="X743" i="1" s="1"/>
  <c r="U94" i="1"/>
  <c r="V94" i="1" s="1"/>
  <c r="W94" i="1" s="1"/>
  <c r="X94" i="1" s="1"/>
  <c r="W984" i="1"/>
  <c r="X984" i="1" s="1"/>
  <c r="O1941" i="1"/>
  <c r="P1941" i="1" s="1"/>
  <c r="P118" i="1"/>
  <c r="V181" i="1"/>
  <c r="W181" i="1" s="1"/>
  <c r="X757" i="1"/>
  <c r="W277" i="1"/>
  <c r="X277" i="1" s="1"/>
  <c r="P199" i="1"/>
  <c r="U206" i="1"/>
  <c r="V206" i="1" s="1"/>
  <c r="W206" i="1" s="1"/>
  <c r="X206" i="1" s="1"/>
  <c r="U208" i="1"/>
  <c r="V208" i="1" s="1"/>
  <c r="W208" i="1" s="1"/>
  <c r="O308" i="1"/>
  <c r="P308" i="1" s="1"/>
  <c r="V328" i="1"/>
  <c r="W328" i="1" s="1"/>
  <c r="X328" i="1" s="1"/>
  <c r="O348" i="1"/>
  <c r="P348" i="1" s="1"/>
  <c r="O380" i="1"/>
  <c r="P380" i="1" s="1"/>
  <c r="U404" i="1"/>
  <c r="V404" i="1" s="1"/>
  <c r="U410" i="1"/>
  <c r="V410" i="1" s="1"/>
  <c r="W410" i="1" s="1"/>
  <c r="U412" i="1"/>
  <c r="V412" i="1" s="1"/>
  <c r="U434" i="1"/>
  <c r="V434" i="1" s="1"/>
  <c r="W434" i="1" s="1"/>
  <c r="X434" i="1" s="1"/>
  <c r="W438" i="1"/>
  <c r="X438" i="1" s="1"/>
  <c r="O481" i="1"/>
  <c r="P481" i="1" s="1"/>
  <c r="O483" i="1"/>
  <c r="P483" i="1" s="1"/>
  <c r="O487" i="1"/>
  <c r="P487" i="1" s="1"/>
  <c r="O950" i="1"/>
  <c r="P950" i="1" s="1"/>
  <c r="O956" i="1"/>
  <c r="P956" i="1" s="1"/>
  <c r="O977" i="1"/>
  <c r="P977" i="1" s="1"/>
  <c r="V989" i="1"/>
  <c r="W989" i="1" s="1"/>
  <c r="X989" i="1" s="1"/>
  <c r="U993" i="1"/>
  <c r="V993" i="1" s="1"/>
  <c r="W993" i="1" s="1"/>
  <c r="X993" i="1" s="1"/>
  <c r="O2673" i="1"/>
  <c r="P2673" i="1" s="1"/>
  <c r="O2960" i="1"/>
  <c r="P2960" i="1" s="1"/>
  <c r="U2975" i="1"/>
  <c r="V2975" i="1" s="1"/>
  <c r="W2975" i="1" s="1"/>
  <c r="X2975" i="1" s="1"/>
  <c r="O333" i="1"/>
  <c r="P333" i="1" s="1"/>
  <c r="U940" i="1"/>
  <c r="V940" i="1" s="1"/>
  <c r="W940" i="1" s="1"/>
  <c r="X940" i="1" s="1"/>
  <c r="U1030" i="1"/>
  <c r="V1030" i="1" s="1"/>
  <c r="W1030" i="1" s="1"/>
  <c r="X1030" i="1" s="1"/>
  <c r="O1064" i="1"/>
  <c r="P1064" i="1" s="1"/>
  <c r="O1127" i="1"/>
  <c r="P1127" i="1" s="1"/>
  <c r="O1491" i="1"/>
  <c r="P1491" i="1" s="1"/>
  <c r="U1736" i="1"/>
  <c r="V1736" i="1" s="1"/>
  <c r="W1736" i="1" s="1"/>
  <c r="X1736" i="1" s="1"/>
  <c r="O2167" i="1"/>
  <c r="P2167" i="1" s="1"/>
  <c r="U3163" i="1"/>
  <c r="V3163" i="1" s="1"/>
  <c r="W3163" i="1" s="1"/>
  <c r="X3163" i="1" s="1"/>
  <c r="U3537" i="1"/>
  <c r="V3537" i="1" s="1"/>
  <c r="W3537" i="1" s="1"/>
  <c r="X1055" i="1"/>
  <c r="P917" i="1"/>
  <c r="X689" i="1"/>
  <c r="P1054" i="1"/>
  <c r="P431" i="1"/>
  <c r="X72" i="1"/>
  <c r="X1109" i="1"/>
  <c r="V374" i="1"/>
  <c r="W374" i="1" s="1"/>
  <c r="X374" i="1" s="1"/>
  <c r="V150" i="1"/>
  <c r="W150" i="1" s="1"/>
  <c r="X150" i="1" s="1"/>
  <c r="O68" i="1"/>
  <c r="P68" i="1" s="1"/>
  <c r="U107" i="1"/>
  <c r="V107" i="1" s="1"/>
  <c r="W107" i="1" s="1"/>
  <c r="X107" i="1" s="1"/>
  <c r="O223" i="1"/>
  <c r="P223" i="1" s="1"/>
  <c r="O316" i="1"/>
  <c r="P316" i="1" s="1"/>
  <c r="U425" i="1"/>
  <c r="V425" i="1" s="1"/>
  <c r="W425" i="1" s="1"/>
  <c r="X425" i="1" s="1"/>
  <c r="O470" i="1"/>
  <c r="P470" i="1" s="1"/>
  <c r="O542" i="1"/>
  <c r="P542" i="1" s="1"/>
  <c r="O589" i="1"/>
  <c r="P589" i="1" s="1"/>
  <c r="U671" i="1"/>
  <c r="V671" i="1" s="1"/>
  <c r="P746" i="1"/>
  <c r="O798" i="1"/>
  <c r="P798" i="1" s="1"/>
  <c r="O814" i="1"/>
  <c r="P814" i="1" s="1"/>
  <c r="V843" i="1"/>
  <c r="W843" i="1" s="1"/>
  <c r="U1488" i="1"/>
  <c r="V1488" i="1" s="1"/>
  <c r="W1488" i="1" s="1"/>
  <c r="X1488" i="1" s="1"/>
  <c r="V1808" i="1"/>
  <c r="W1808" i="1" s="1"/>
  <c r="O1864" i="1"/>
  <c r="P1864" i="1" s="1"/>
  <c r="U1910" i="1"/>
  <c r="V1910" i="1" s="1"/>
  <c r="W1910" i="1" s="1"/>
  <c r="X1910" i="1" s="1"/>
  <c r="O2021" i="1"/>
  <c r="P2021" i="1" s="1"/>
  <c r="U2670" i="1"/>
  <c r="V2670" i="1" s="1"/>
  <c r="W2670" i="1" s="1"/>
  <c r="X2670" i="1" s="1"/>
  <c r="U1408" i="1"/>
  <c r="V1408" i="1" s="1"/>
  <c r="W1408" i="1" s="1"/>
  <c r="X1408" i="1" s="1"/>
  <c r="O2610" i="1"/>
  <c r="P2610" i="1" s="1"/>
  <c r="X1094" i="1"/>
  <c r="V979" i="1"/>
  <c r="W979" i="1" s="1"/>
  <c r="P454" i="1"/>
  <c r="X254" i="1"/>
  <c r="X372" i="1"/>
  <c r="P1036" i="1"/>
  <c r="X34" i="1"/>
  <c r="P335" i="1"/>
  <c r="V946" i="1"/>
  <c r="W946" i="1" s="1"/>
  <c r="X946" i="1" s="1"/>
  <c r="P1038" i="1"/>
  <c r="V948" i="1"/>
  <c r="W948" i="1" s="1"/>
  <c r="X948" i="1" s="1"/>
  <c r="U155" i="1"/>
  <c r="V155" i="1" s="1"/>
  <c r="W155" i="1" s="1"/>
  <c r="O541" i="1"/>
  <c r="P541" i="1" s="1"/>
  <c r="O580" i="1"/>
  <c r="P580" i="1" s="1"/>
  <c r="V810" i="1"/>
  <c r="W810" i="1" s="1"/>
  <c r="X810" i="1" s="1"/>
  <c r="O844" i="1"/>
  <c r="P844" i="1" s="1"/>
  <c r="O1138" i="1"/>
  <c r="P1138" i="1" s="1"/>
  <c r="O1140" i="1"/>
  <c r="P1140" i="1" s="1"/>
  <c r="O1142" i="1"/>
  <c r="P1142" i="1" s="1"/>
  <c r="O1160" i="1"/>
  <c r="P1160" i="1" s="1"/>
  <c r="U1336" i="1"/>
  <c r="V1336" i="1" s="1"/>
  <c r="W1336" i="1" s="1"/>
  <c r="X1336" i="1" s="1"/>
  <c r="U1728" i="1"/>
  <c r="V1728" i="1" s="1"/>
  <c r="W1728" i="1" s="1"/>
  <c r="X1728" i="1" s="1"/>
  <c r="U1874" i="1"/>
  <c r="V1874" i="1" s="1"/>
  <c r="W1874" i="1" s="1"/>
  <c r="X1874" i="1" s="1"/>
  <c r="P2650" i="1"/>
  <c r="V76" i="1"/>
  <c r="W76" i="1" s="1"/>
  <c r="X76" i="1" s="1"/>
  <c r="X186" i="1"/>
  <c r="V422" i="1"/>
  <c r="O1835" i="1"/>
  <c r="P1835" i="1" s="1"/>
  <c r="U2118" i="1"/>
  <c r="V2118" i="1" s="1"/>
  <c r="W2118" i="1" s="1"/>
  <c r="X2118" i="1" s="1"/>
  <c r="O2133" i="1"/>
  <c r="P2133" i="1" s="1"/>
  <c r="O2407" i="1"/>
  <c r="P2407" i="1" s="1"/>
  <c r="O2546" i="1"/>
  <c r="P2546" i="1" s="1"/>
  <c r="V1552" i="1"/>
  <c r="W1552" i="1" s="1"/>
  <c r="X1552" i="1" s="1"/>
  <c r="P1555" i="1"/>
  <c r="V1869" i="1"/>
  <c r="P1981" i="1"/>
  <c r="U1990" i="1"/>
  <c r="V1990" i="1" s="1"/>
  <c r="W1990" i="1" s="1"/>
  <c r="X1990" i="1" s="1"/>
  <c r="U2018" i="1"/>
  <c r="V2018" i="1" s="1"/>
  <c r="W2018" i="1" s="1"/>
  <c r="X2018" i="1" s="1"/>
  <c r="O2101" i="1"/>
  <c r="P2101" i="1" s="1"/>
  <c r="O2117" i="1"/>
  <c r="P2117" i="1" s="1"/>
  <c r="V2154" i="1"/>
  <c r="W2154" i="1" s="1"/>
  <c r="X2154" i="1" s="1"/>
  <c r="P2161" i="1"/>
  <c r="P2514" i="1"/>
  <c r="V2539" i="1"/>
  <c r="W2539" i="1" s="1"/>
  <c r="X2539" i="1" s="1"/>
  <c r="U2607" i="1"/>
  <c r="V2607" i="1" s="1"/>
  <c r="W2607" i="1" s="1"/>
  <c r="X2607" i="1" s="1"/>
  <c r="O2684" i="1"/>
  <c r="P2684" i="1" s="1"/>
  <c r="V3182" i="1"/>
  <c r="W3182" i="1" s="1"/>
  <c r="X3182" i="1" s="1"/>
  <c r="U3411" i="1"/>
  <c r="V3411" i="1" s="1"/>
  <c r="W3411" i="1" s="1"/>
  <c r="X3411" i="1" s="1"/>
  <c r="O3422" i="1"/>
  <c r="P3422" i="1" s="1"/>
  <c r="U3471" i="1"/>
  <c r="V3471" i="1" s="1"/>
  <c r="W3471" i="1" s="1"/>
  <c r="O3536" i="1"/>
  <c r="P3536" i="1" s="1"/>
  <c r="P2077" i="1"/>
  <c r="P2172" i="1"/>
  <c r="P2196" i="1"/>
  <c r="P2327" i="1"/>
  <c r="V2432" i="1"/>
  <c r="W2432" i="1" s="1"/>
  <c r="X2432" i="1" s="1"/>
  <c r="V3348" i="1"/>
  <c r="W3348" i="1" s="1"/>
  <c r="P3418" i="1"/>
  <c r="V3455" i="1"/>
  <c r="W3455" i="1" s="1"/>
  <c r="V3509" i="1"/>
  <c r="W3509" i="1" s="1"/>
  <c r="X3509" i="1" s="1"/>
  <c r="V3541" i="1"/>
  <c r="W3541" i="1" s="1"/>
  <c r="O241" i="1"/>
  <c r="P241" i="1" s="1"/>
  <c r="W319" i="1"/>
  <c r="X319" i="1" s="1"/>
  <c r="W429" i="1"/>
  <c r="X429" i="1" s="1"/>
  <c r="O461" i="1"/>
  <c r="P461" i="1" s="1"/>
  <c r="W507" i="1"/>
  <c r="X507" i="1" s="1"/>
  <c r="W816" i="1"/>
  <c r="X816" i="1" s="1"/>
  <c r="O139" i="1"/>
  <c r="P139" i="1" s="1"/>
  <c r="W140" i="1"/>
  <c r="X140" i="1" s="1"/>
  <c r="W197" i="1"/>
  <c r="X197" i="1" s="1"/>
  <c r="O262" i="1"/>
  <c r="P262" i="1" s="1"/>
  <c r="O311" i="1"/>
  <c r="P311" i="1" s="1"/>
  <c r="W397" i="1"/>
  <c r="X397" i="1" s="1"/>
  <c r="W457" i="1"/>
  <c r="X457" i="1" s="1"/>
  <c r="O1707" i="1"/>
  <c r="P1707" i="1" s="1"/>
  <c r="W205" i="1"/>
  <c r="X205" i="1" s="1"/>
  <c r="W723" i="1"/>
  <c r="X723" i="1" s="1"/>
  <c r="O792" i="1"/>
  <c r="P792" i="1" s="1"/>
  <c r="W972" i="1"/>
  <c r="X972" i="1" s="1"/>
  <c r="W974" i="1"/>
  <c r="X974" i="1" s="1"/>
  <c r="W599" i="1"/>
  <c r="X599" i="1" s="1"/>
  <c r="O108" i="1"/>
  <c r="P108" i="1" s="1"/>
  <c r="O138" i="1"/>
  <c r="P138" i="1" s="1"/>
  <c r="O200" i="1"/>
  <c r="P200" i="1" s="1"/>
  <c r="W928" i="1"/>
  <c r="X928" i="1" s="1"/>
  <c r="W961" i="1"/>
  <c r="X961" i="1" s="1"/>
  <c r="W982" i="1"/>
  <c r="X982" i="1" s="1"/>
  <c r="O53" i="1"/>
  <c r="P53" i="1" s="1"/>
  <c r="O110" i="1"/>
  <c r="P110" i="1" s="1"/>
  <c r="O117" i="1"/>
  <c r="P117" i="1" s="1"/>
  <c r="U238" i="1"/>
  <c r="V238" i="1" s="1"/>
  <c r="W238" i="1" s="1"/>
  <c r="X238" i="1" s="1"/>
  <c r="U301" i="1"/>
  <c r="V301" i="1" s="1"/>
  <c r="W301" i="1" s="1"/>
  <c r="O303" i="1"/>
  <c r="P303" i="1" s="1"/>
  <c r="U314" i="1"/>
  <c r="V314" i="1" s="1"/>
  <c r="W314" i="1" s="1"/>
  <c r="X314" i="1" s="1"/>
  <c r="U645" i="1"/>
  <c r="V645" i="1" s="1"/>
  <c r="W645" i="1" s="1"/>
  <c r="U724" i="1"/>
  <c r="V724" i="1" s="1"/>
  <c r="U736" i="1"/>
  <c r="V736" i="1" s="1"/>
  <c r="W736" i="1" s="1"/>
  <c r="U754" i="1"/>
  <c r="V754" i="1" s="1"/>
  <c r="W754" i="1" s="1"/>
  <c r="X754" i="1" s="1"/>
  <c r="O774" i="1"/>
  <c r="P774" i="1" s="1"/>
  <c r="O784" i="1"/>
  <c r="P784" i="1" s="1"/>
  <c r="U790" i="1"/>
  <c r="V790" i="1" s="1"/>
  <c r="W790" i="1" s="1"/>
  <c r="O832" i="1"/>
  <c r="P832" i="1" s="1"/>
  <c r="U939" i="1"/>
  <c r="V939" i="1" s="1"/>
  <c r="W939" i="1" s="1"/>
  <c r="O996" i="1"/>
  <c r="P996" i="1" s="1"/>
  <c r="O1013" i="1"/>
  <c r="P1013" i="1" s="1"/>
  <c r="U1360" i="1"/>
  <c r="V1360" i="1" s="1"/>
  <c r="W1360" i="1" s="1"/>
  <c r="X1360" i="1" s="1"/>
  <c r="U1392" i="1"/>
  <c r="V1392" i="1" s="1"/>
  <c r="W1392" i="1" s="1"/>
  <c r="X1392" i="1" s="1"/>
  <c r="U1424" i="1"/>
  <c r="V1424" i="1" s="1"/>
  <c r="W1424" i="1" s="1"/>
  <c r="X1424" i="1" s="1"/>
  <c r="U1456" i="1"/>
  <c r="V1456" i="1" s="1"/>
  <c r="W1456" i="1" s="1"/>
  <c r="X1456" i="1" s="1"/>
  <c r="U1520" i="1"/>
  <c r="V1520" i="1" s="1"/>
  <c r="W1520" i="1" s="1"/>
  <c r="X1520" i="1" s="1"/>
  <c r="U1584" i="1"/>
  <c r="V1584" i="1" s="1"/>
  <c r="W1584" i="1" s="1"/>
  <c r="X1584" i="1" s="1"/>
  <c r="U1648" i="1"/>
  <c r="V1648" i="1" s="1"/>
  <c r="W1648" i="1" s="1"/>
  <c r="X1648" i="1" s="1"/>
  <c r="O1909" i="1"/>
  <c r="P1909" i="1" s="1"/>
  <c r="U2010" i="1"/>
  <c r="V2010" i="1" s="1"/>
  <c r="W2010" i="1" s="1"/>
  <c r="X2010" i="1" s="1"/>
  <c r="U2475" i="1"/>
  <c r="V2475" i="1" s="1"/>
  <c r="W2475" i="1" s="1"/>
  <c r="X2475" i="1" s="1"/>
  <c r="O2634" i="1"/>
  <c r="P2634" i="1" s="1"/>
  <c r="U2647" i="1"/>
  <c r="V2647" i="1" s="1"/>
  <c r="W2647" i="1" s="1"/>
  <c r="X2647" i="1" s="1"/>
  <c r="U2709" i="1"/>
  <c r="V2709" i="1" s="1"/>
  <c r="W2709" i="1" s="1"/>
  <c r="X2709" i="1" s="1"/>
  <c r="U3407" i="1"/>
  <c r="V3407" i="1" s="1"/>
  <c r="W3407" i="1" s="1"/>
  <c r="X3407" i="1" s="1"/>
  <c r="O3430" i="1"/>
  <c r="P3430" i="1" s="1"/>
  <c r="W668" i="1"/>
  <c r="X668" i="1" s="1"/>
  <c r="V762" i="1"/>
  <c r="W762" i="1" s="1"/>
  <c r="X762" i="1" s="1"/>
  <c r="P359" i="1"/>
  <c r="P778" i="1"/>
  <c r="P25" i="1"/>
  <c r="P565" i="1"/>
  <c r="P614" i="1"/>
  <c r="U885" i="1"/>
  <c r="V885" i="1" s="1"/>
  <c r="W885" i="1" s="1"/>
  <c r="X885" i="1" s="1"/>
  <c r="U161" i="1"/>
  <c r="V161" i="1" s="1"/>
  <c r="O908" i="1"/>
  <c r="P908" i="1" s="1"/>
  <c r="O1419" i="1"/>
  <c r="P1419" i="1" s="1"/>
  <c r="O1451" i="1"/>
  <c r="P1451" i="1" s="1"/>
  <c r="O1515" i="1"/>
  <c r="P1515" i="1" s="1"/>
  <c r="O1579" i="1"/>
  <c r="P1579" i="1" s="1"/>
  <c r="O1643" i="1"/>
  <c r="P1643" i="1" s="1"/>
  <c r="O1691" i="1"/>
  <c r="P1691" i="1" s="1"/>
  <c r="O1771" i="1"/>
  <c r="P1771" i="1" s="1"/>
  <c r="U1853" i="1"/>
  <c r="V1853" i="1" s="1"/>
  <c r="W1853" i="1" s="1"/>
  <c r="X1853" i="1" s="1"/>
  <c r="U1998" i="1"/>
  <c r="V1998" i="1" s="1"/>
  <c r="W1998" i="1" s="1"/>
  <c r="X1998" i="1" s="1"/>
  <c r="O2109" i="1"/>
  <c r="P2109" i="1" s="1"/>
  <c r="U2152" i="1"/>
  <c r="V2152" i="1" s="1"/>
  <c r="W2152" i="1" s="1"/>
  <c r="X2152" i="1" s="1"/>
  <c r="U2615" i="1"/>
  <c r="V2615" i="1" s="1"/>
  <c r="W2615" i="1" s="1"/>
  <c r="X2615" i="1" s="1"/>
  <c r="P2626" i="1"/>
  <c r="U2627" i="1"/>
  <c r="V2627" i="1" s="1"/>
  <c r="W2627" i="1" s="1"/>
  <c r="X2627" i="1" s="1"/>
  <c r="V3003" i="1"/>
  <c r="W3003" i="1" s="1"/>
  <c r="U3439" i="1"/>
  <c r="V3439" i="1" s="1"/>
  <c r="W3439" i="1" s="1"/>
  <c r="X568" i="1"/>
  <c r="X994" i="1"/>
  <c r="X915" i="1"/>
  <c r="V799" i="1"/>
  <c r="W799" i="1" s="1"/>
  <c r="X1044" i="1"/>
  <c r="V641" i="1"/>
  <c r="W641" i="1" s="1"/>
  <c r="X641" i="1" s="1"/>
  <c r="P51" i="1"/>
  <c r="V209" i="1"/>
  <c r="W209" i="1" s="1"/>
  <c r="V805" i="1"/>
  <c r="W805" i="1" s="1"/>
  <c r="X805" i="1" s="1"/>
  <c r="U290" i="1"/>
  <c r="V290" i="1" s="1"/>
  <c r="W290" i="1" s="1"/>
  <c r="O938" i="1"/>
  <c r="P938" i="1" s="1"/>
  <c r="P1003" i="1"/>
  <c r="U728" i="1"/>
  <c r="V728" i="1" s="1"/>
  <c r="W728" i="1" s="1"/>
  <c r="X728" i="1" s="1"/>
  <c r="U169" i="1"/>
  <c r="V169" i="1" s="1"/>
  <c r="W169" i="1" s="1"/>
  <c r="U211" i="1"/>
  <c r="V211" i="1" s="1"/>
  <c r="W391" i="1"/>
  <c r="X391" i="1" s="1"/>
  <c r="U991" i="1"/>
  <c r="V991" i="1" s="1"/>
  <c r="W991" i="1" s="1"/>
  <c r="X991" i="1" s="1"/>
  <c r="U1368" i="1"/>
  <c r="V1368" i="1" s="1"/>
  <c r="W1368" i="1" s="1"/>
  <c r="X1368" i="1" s="1"/>
  <c r="V528" i="1"/>
  <c r="W528" i="1" s="1"/>
  <c r="X528" i="1" s="1"/>
  <c r="V473" i="1"/>
  <c r="W473" i="1" s="1"/>
  <c r="X473" i="1" s="1"/>
  <c r="V387" i="1"/>
  <c r="W387" i="1" s="1"/>
  <c r="X387" i="1" s="1"/>
  <c r="V180" i="1"/>
  <c r="W180" i="1" s="1"/>
  <c r="X180" i="1" s="1"/>
  <c r="V60" i="1"/>
  <c r="W60" i="1" s="1"/>
  <c r="X60" i="1" s="1"/>
  <c r="P255" i="1"/>
  <c r="X719" i="1"/>
  <c r="X889" i="1"/>
  <c r="X621" i="1"/>
  <c r="X745" i="1"/>
  <c r="X837" i="1"/>
  <c r="O913" i="1"/>
  <c r="P913" i="1" s="1"/>
  <c r="X498" i="1"/>
  <c r="V142" i="1"/>
  <c r="W142" i="1" s="1"/>
  <c r="P830" i="1"/>
  <c r="V1035" i="1"/>
  <c r="W1035" i="1" s="1"/>
  <c r="P915" i="1"/>
  <c r="X703" i="1"/>
  <c r="V385" i="1"/>
  <c r="W385" i="1" s="1"/>
  <c r="V63" i="1"/>
  <c r="W63" i="1" s="1"/>
  <c r="X63" i="1" s="1"/>
  <c r="X53" i="1"/>
  <c r="P991" i="1"/>
  <c r="V270" i="1"/>
  <c r="W270" i="1" s="1"/>
  <c r="V395" i="1"/>
  <c r="W395" i="1" s="1"/>
  <c r="X395" i="1" s="1"/>
  <c r="V36" i="1"/>
  <c r="P834" i="1"/>
  <c r="P958" i="1"/>
  <c r="P154" i="1"/>
  <c r="P608" i="1"/>
  <c r="X815" i="1"/>
  <c r="V464" i="1"/>
  <c r="W464" i="1" s="1"/>
  <c r="X464" i="1" s="1"/>
  <c r="P456" i="1"/>
  <c r="V911" i="1"/>
  <c r="W911" i="1" s="1"/>
  <c r="X911" i="1" s="1"/>
  <c r="P954" i="1"/>
  <c r="V734" i="1"/>
  <c r="W734" i="1" s="1"/>
  <c r="X734" i="1" s="1"/>
  <c r="P71" i="1"/>
  <c r="V195" i="1"/>
  <c r="W195" i="1" s="1"/>
  <c r="X195" i="1" s="1"/>
  <c r="P984" i="1"/>
  <c r="W771" i="1"/>
  <c r="X771" i="1" s="1"/>
  <c r="P305" i="1"/>
  <c r="P498" i="1"/>
  <c r="V125" i="1"/>
  <c r="W125" i="1" s="1"/>
  <c r="X125" i="1" s="1"/>
  <c r="V752" i="1"/>
  <c r="W752" i="1" s="1"/>
  <c r="X752" i="1" s="1"/>
  <c r="P227" i="1"/>
  <c r="V191" i="1"/>
  <c r="P809" i="1"/>
  <c r="W783" i="1"/>
  <c r="X783" i="1" s="1"/>
  <c r="U764" i="1"/>
  <c r="V764" i="1" s="1"/>
  <c r="W764" i="1" s="1"/>
  <c r="X764" i="1" s="1"/>
  <c r="O72" i="1"/>
  <c r="P72" i="1" s="1"/>
  <c r="U143" i="1"/>
  <c r="V143" i="1" s="1"/>
  <c r="W239" i="1"/>
  <c r="X239" i="1" s="1"/>
  <c r="V276" i="1"/>
  <c r="W276" i="1" s="1"/>
  <c r="X276" i="1" s="1"/>
  <c r="U317" i="1"/>
  <c r="V317" i="1" s="1"/>
  <c r="W317" i="1" s="1"/>
  <c r="U483" i="1"/>
  <c r="V483" i="1" s="1"/>
  <c r="W483" i="1" s="1"/>
  <c r="X483" i="1" s="1"/>
  <c r="U525" i="1"/>
  <c r="V525" i="1" s="1"/>
  <c r="W525" i="1" s="1"/>
  <c r="X525" i="1" s="1"/>
  <c r="X544" i="1"/>
  <c r="U593" i="1"/>
  <c r="V593" i="1" s="1"/>
  <c r="U622" i="1"/>
  <c r="V622" i="1" s="1"/>
  <c r="W622" i="1" s="1"/>
  <c r="X622" i="1" s="1"/>
  <c r="V632" i="1"/>
  <c r="W632" i="1" s="1"/>
  <c r="U694" i="1"/>
  <c r="V694" i="1" s="1"/>
  <c r="W694" i="1" s="1"/>
  <c r="X694" i="1" s="1"/>
  <c r="V721" i="1"/>
  <c r="W721" i="1" s="1"/>
  <c r="X721" i="1" s="1"/>
  <c r="V735" i="1"/>
  <c r="W735" i="1" s="1"/>
  <c r="U890" i="1"/>
  <c r="V890" i="1" s="1"/>
  <c r="W890" i="1" s="1"/>
  <c r="P1071" i="1"/>
  <c r="V1472" i="1"/>
  <c r="W1472" i="1" s="1"/>
  <c r="X1472" i="1" s="1"/>
  <c r="P1475" i="1"/>
  <c r="O1499" i="1"/>
  <c r="P1499" i="1" s="1"/>
  <c r="V1536" i="1"/>
  <c r="W1536" i="1" s="1"/>
  <c r="X1536" i="1" s="1"/>
  <c r="P1539" i="1"/>
  <c r="O1563" i="1"/>
  <c r="P1563" i="1" s="1"/>
  <c r="V1600" i="1"/>
  <c r="W1600" i="1" s="1"/>
  <c r="X1600" i="1" s="1"/>
  <c r="P1603" i="1"/>
  <c r="O1627" i="1"/>
  <c r="P1627" i="1" s="1"/>
  <c r="V1664" i="1"/>
  <c r="W1664" i="1" s="1"/>
  <c r="X1664" i="1" s="1"/>
  <c r="P1667" i="1"/>
  <c r="O1803" i="1"/>
  <c r="P1803" i="1" s="1"/>
  <c r="V1824" i="1"/>
  <c r="W1824" i="1" s="1"/>
  <c r="X1824" i="1" s="1"/>
  <c r="U1894" i="1"/>
  <c r="V1894" i="1" s="1"/>
  <c r="W1894" i="1" s="1"/>
  <c r="X1894" i="1" s="1"/>
  <c r="U1958" i="1"/>
  <c r="V1958" i="1" s="1"/>
  <c r="W1958" i="1" s="1"/>
  <c r="X1958" i="1" s="1"/>
  <c r="U1978" i="1"/>
  <c r="V1978" i="1" s="1"/>
  <c r="W1978" i="1" s="1"/>
  <c r="X1978" i="1" s="1"/>
  <c r="O2085" i="1"/>
  <c r="P2085" i="1" s="1"/>
  <c r="U2176" i="1"/>
  <c r="V2176" i="1" s="1"/>
  <c r="W2176" i="1" s="1"/>
  <c r="X2176" i="1" s="1"/>
  <c r="V2559" i="1"/>
  <c r="W2559" i="1" s="1"/>
  <c r="X2559" i="1" s="1"/>
  <c r="O2642" i="1"/>
  <c r="P2642" i="1" s="1"/>
  <c r="O2692" i="1"/>
  <c r="P2692" i="1" s="1"/>
  <c r="P240" i="1"/>
  <c r="P969" i="1"/>
  <c r="V78" i="1"/>
  <c r="W78" i="1" s="1"/>
  <c r="X78" i="1" s="1"/>
  <c r="V132" i="1"/>
  <c r="V480" i="1"/>
  <c r="V134" i="1"/>
  <c r="W134" i="1" s="1"/>
  <c r="X134" i="1" s="1"/>
  <c r="V903" i="1"/>
  <c r="V930" i="1"/>
  <c r="W930" i="1" s="1"/>
  <c r="X930" i="1" s="1"/>
  <c r="O946" i="1"/>
  <c r="P946" i="1" s="1"/>
  <c r="V987" i="1"/>
  <c r="W987" i="1" s="1"/>
  <c r="O1387" i="1"/>
  <c r="P1387" i="1" s="1"/>
  <c r="U1840" i="1"/>
  <c r="V1840" i="1" s="1"/>
  <c r="W1840" i="1" s="1"/>
  <c r="X1840" i="1" s="1"/>
  <c r="X413" i="1"/>
  <c r="P257" i="1"/>
  <c r="V159" i="1"/>
  <c r="W159" i="1" s="1"/>
  <c r="X40" i="1"/>
  <c r="V932" i="1"/>
  <c r="W932" i="1" s="1"/>
  <c r="X97" i="1"/>
  <c r="X471" i="1"/>
  <c r="X469" i="1"/>
  <c r="X842" i="1"/>
  <c r="P772" i="1"/>
  <c r="V288" i="1"/>
  <c r="W288" i="1" s="1"/>
  <c r="X288" i="1" s="1"/>
  <c r="P95" i="1"/>
  <c r="X128" i="1"/>
  <c r="P67" i="1"/>
  <c r="X663" i="1"/>
  <c r="P745" i="1"/>
  <c r="V633" i="1"/>
  <c r="W633" i="1" s="1"/>
  <c r="X633" i="1" s="1"/>
  <c r="V399" i="1"/>
  <c r="W399" i="1" s="1"/>
  <c r="X399" i="1" s="1"/>
  <c r="P198" i="1"/>
  <c r="V389" i="1"/>
  <c r="W389" i="1" s="1"/>
  <c r="V312" i="1"/>
  <c r="W312" i="1" s="1"/>
  <c r="P287" i="1"/>
  <c r="X1141" i="1"/>
  <c r="X202" i="1"/>
  <c r="V962" i="1"/>
  <c r="W962" i="1" s="1"/>
  <c r="X962" i="1" s="1"/>
  <c r="X591" i="1"/>
  <c r="X884" i="1"/>
  <c r="X945" i="1"/>
  <c r="V47" i="1"/>
  <c r="W47" i="1" s="1"/>
  <c r="X836" i="1"/>
  <c r="U133" i="1"/>
  <c r="V133" i="1" s="1"/>
  <c r="W133" i="1" s="1"/>
  <c r="X966" i="1"/>
  <c r="X846" i="1"/>
  <c r="P477" i="1"/>
  <c r="U420" i="1"/>
  <c r="V420" i="1" s="1"/>
  <c r="W420" i="1" s="1"/>
  <c r="X420" i="1" s="1"/>
  <c r="X781" i="1"/>
  <c r="P160" i="1"/>
  <c r="P162" i="1"/>
  <c r="V922" i="1"/>
  <c r="P782" i="1"/>
  <c r="P569" i="1"/>
  <c r="P242" i="1"/>
  <c r="P168" i="1"/>
  <c r="P910" i="1"/>
  <c r="V309" i="1"/>
  <c r="W309" i="1" s="1"/>
  <c r="X309" i="1" s="1"/>
  <c r="V738" i="1"/>
  <c r="W738" i="1" s="1"/>
  <c r="X738" i="1" s="1"/>
  <c r="V448" i="1"/>
  <c r="W448" i="1" s="1"/>
  <c r="X448" i="1" s="1"/>
  <c r="P186" i="1"/>
  <c r="V299" i="1"/>
  <c r="W299" i="1" s="1"/>
  <c r="X299" i="1" s="1"/>
  <c r="V127" i="1"/>
  <c r="W127" i="1" s="1"/>
  <c r="X127" i="1" s="1"/>
  <c r="P753" i="1"/>
  <c r="V589" i="1"/>
  <c r="W589" i="1" s="1"/>
  <c r="X589" i="1" s="1"/>
  <c r="V818" i="1"/>
  <c r="W818" i="1" s="1"/>
  <c r="X818" i="1" s="1"/>
  <c r="U740" i="1"/>
  <c r="V740" i="1" s="1"/>
  <c r="U153" i="1"/>
  <c r="V153" i="1" s="1"/>
  <c r="W153" i="1" s="1"/>
  <c r="U185" i="1"/>
  <c r="V185" i="1" s="1"/>
  <c r="W185" i="1" s="1"/>
  <c r="X185" i="1" s="1"/>
  <c r="O226" i="1"/>
  <c r="P226" i="1" s="1"/>
  <c r="O234" i="1"/>
  <c r="P234" i="1" s="1"/>
  <c r="W242" i="1"/>
  <c r="X242" i="1" s="1"/>
  <c r="U256" i="1"/>
  <c r="V256" i="1" s="1"/>
  <c r="U268" i="1"/>
  <c r="V268" i="1" s="1"/>
  <c r="W268" i="1" s="1"/>
  <c r="X268" i="1" s="1"/>
  <c r="O300" i="1"/>
  <c r="P300" i="1" s="1"/>
  <c r="W336" i="1"/>
  <c r="X336" i="1" s="1"/>
  <c r="U342" i="1"/>
  <c r="V342" i="1" s="1"/>
  <c r="W342" i="1" s="1"/>
  <c r="X342" i="1" s="1"/>
  <c r="U350" i="1"/>
  <c r="V350" i="1" s="1"/>
  <c r="W350" i="1" s="1"/>
  <c r="X350" i="1" s="1"/>
  <c r="P449" i="1"/>
  <c r="U560" i="1"/>
  <c r="V560" i="1" s="1"/>
  <c r="W560" i="1" s="1"/>
  <c r="X560" i="1" s="1"/>
  <c r="P596" i="1"/>
  <c r="U617" i="1"/>
  <c r="V617" i="1" s="1"/>
  <c r="W617" i="1" s="1"/>
  <c r="O637" i="1"/>
  <c r="P637" i="1" s="1"/>
  <c r="O647" i="1"/>
  <c r="P647" i="1" s="1"/>
  <c r="U677" i="1"/>
  <c r="V677" i="1" s="1"/>
  <c r="W677" i="1" s="1"/>
  <c r="U872" i="1"/>
  <c r="V872" i="1" s="1"/>
  <c r="W872" i="1" s="1"/>
  <c r="X872" i="1" s="1"/>
  <c r="O1096" i="1"/>
  <c r="P1096" i="1" s="1"/>
  <c r="U1150" i="1"/>
  <c r="V1150" i="1" s="1"/>
  <c r="W1150" i="1" s="1"/>
  <c r="X1150" i="1" s="1"/>
  <c r="U1154" i="1"/>
  <c r="V1154" i="1" s="1"/>
  <c r="W1154" i="1" s="1"/>
  <c r="X1154" i="1" s="1"/>
  <c r="V1166" i="1"/>
  <c r="W1166" i="1" s="1"/>
  <c r="X1166" i="1" s="1"/>
  <c r="O1363" i="1"/>
  <c r="P1363" i="1" s="1"/>
  <c r="O1395" i="1"/>
  <c r="P1395" i="1" s="1"/>
  <c r="O1427" i="1"/>
  <c r="P1427" i="1" s="1"/>
  <c r="O1459" i="1"/>
  <c r="P1459" i="1" s="1"/>
  <c r="O1523" i="1"/>
  <c r="P1523" i="1" s="1"/>
  <c r="O1587" i="1"/>
  <c r="P1587" i="1" s="1"/>
  <c r="O1651" i="1"/>
  <c r="P1651" i="1" s="1"/>
  <c r="V1744" i="1"/>
  <c r="W1744" i="1" s="1"/>
  <c r="X1744" i="1" s="1"/>
  <c r="U2042" i="1"/>
  <c r="V2042" i="1" s="1"/>
  <c r="W2042" i="1" s="1"/>
  <c r="X2042" i="1" s="1"/>
  <c r="O2175" i="1"/>
  <c r="P2175" i="1" s="1"/>
  <c r="O2498" i="1"/>
  <c r="P2498" i="1" s="1"/>
  <c r="O1403" i="1"/>
  <c r="P1403" i="1" s="1"/>
  <c r="O1435" i="1"/>
  <c r="P1435" i="1" s="1"/>
  <c r="O1483" i="1"/>
  <c r="P1483" i="1" s="1"/>
  <c r="O1547" i="1"/>
  <c r="P1547" i="1" s="1"/>
  <c r="O1611" i="1"/>
  <c r="P1611" i="1" s="1"/>
  <c r="O1675" i="1"/>
  <c r="P1675" i="1" s="1"/>
  <c r="U1704" i="1"/>
  <c r="V1704" i="1" s="1"/>
  <c r="W1704" i="1" s="1"/>
  <c r="X1704" i="1" s="1"/>
  <c r="O1819" i="1"/>
  <c r="P1819" i="1" s="1"/>
  <c r="U1858" i="1"/>
  <c r="V1858" i="1" s="1"/>
  <c r="W1858" i="1" s="1"/>
  <c r="X1858" i="1" s="1"/>
  <c r="O2013" i="1"/>
  <c r="P2013" i="1" s="1"/>
  <c r="U2288" i="1"/>
  <c r="V2288" i="1" s="1"/>
  <c r="W2288" i="1" s="1"/>
  <c r="X2288" i="1" s="1"/>
  <c r="U2352" i="1"/>
  <c r="V2352" i="1" s="1"/>
  <c r="W2352" i="1" s="1"/>
  <c r="X2352" i="1" s="1"/>
  <c r="U2531" i="1"/>
  <c r="V2531" i="1" s="1"/>
  <c r="W2531" i="1" s="1"/>
  <c r="X2531" i="1" s="1"/>
  <c r="U2599" i="1"/>
  <c r="V2599" i="1" s="1"/>
  <c r="W2599" i="1" s="1"/>
  <c r="X2599" i="1" s="1"/>
  <c r="U2693" i="1"/>
  <c r="V2693" i="1" s="1"/>
  <c r="U2995" i="1"/>
  <c r="V2995" i="1" s="1"/>
  <c r="V751" i="1"/>
  <c r="W751" i="1" s="1"/>
  <c r="V811" i="1"/>
  <c r="V733" i="1"/>
  <c r="W733" i="1" s="1"/>
  <c r="X733" i="1" s="1"/>
  <c r="P840" i="1"/>
  <c r="V725" i="1"/>
  <c r="P1037" i="1"/>
  <c r="V1352" i="1"/>
  <c r="W1352" i="1" s="1"/>
  <c r="X1352" i="1" s="1"/>
  <c r="O1467" i="1"/>
  <c r="P1467" i="1" s="1"/>
  <c r="V1504" i="1"/>
  <c r="W1504" i="1" s="1"/>
  <c r="X1504" i="1" s="1"/>
  <c r="P1507" i="1"/>
  <c r="O1531" i="1"/>
  <c r="P1531" i="1" s="1"/>
  <c r="V1568" i="1"/>
  <c r="W1568" i="1" s="1"/>
  <c r="X1568" i="1" s="1"/>
  <c r="P1571" i="1"/>
  <c r="O1595" i="1"/>
  <c r="P1595" i="1" s="1"/>
  <c r="V1632" i="1"/>
  <c r="W1632" i="1" s="1"/>
  <c r="X1632" i="1" s="1"/>
  <c r="P1635" i="1"/>
  <c r="O1659" i="1"/>
  <c r="P1659" i="1" s="1"/>
  <c r="P1739" i="1"/>
  <c r="V1760" i="1"/>
  <c r="W1760" i="1" s="1"/>
  <c r="X1760" i="1" s="1"/>
  <c r="P1763" i="1"/>
  <c r="U1776" i="1"/>
  <c r="V1776" i="1" s="1"/>
  <c r="W1776" i="1" s="1"/>
  <c r="X1776" i="1" s="1"/>
  <c r="V1784" i="1"/>
  <c r="W1784" i="1" s="1"/>
  <c r="X1784" i="1" s="1"/>
  <c r="P1787" i="1"/>
  <c r="U1800" i="1"/>
  <c r="V1800" i="1" s="1"/>
  <c r="W1800" i="1" s="1"/>
  <c r="X1800" i="1" s="1"/>
  <c r="U1906" i="1"/>
  <c r="V1906" i="1" s="1"/>
  <c r="W1906" i="1" s="1"/>
  <c r="X1906" i="1" s="1"/>
  <c r="U1926" i="1"/>
  <c r="V1926" i="1" s="1"/>
  <c r="W1926" i="1" s="1"/>
  <c r="X1926" i="1" s="1"/>
  <c r="V1946" i="1"/>
  <c r="W1946" i="1" s="1"/>
  <c r="X1946" i="1" s="1"/>
  <c r="P1949" i="1"/>
  <c r="U1966" i="1"/>
  <c r="V1966" i="1" s="1"/>
  <c r="W1966" i="1" s="1"/>
  <c r="X1966" i="1" s="1"/>
  <c r="O1973" i="1"/>
  <c r="P1973" i="1" s="1"/>
  <c r="O2005" i="1"/>
  <c r="P2005" i="1" s="1"/>
  <c r="U2022" i="1"/>
  <c r="V2022" i="1" s="1"/>
  <c r="W2022" i="1" s="1"/>
  <c r="X2022" i="1" s="1"/>
  <c r="V2026" i="1"/>
  <c r="W2026" i="1" s="1"/>
  <c r="X2026" i="1" s="1"/>
  <c r="P2037" i="1"/>
  <c r="U2038" i="1"/>
  <c r="V2038" i="1" s="1"/>
  <c r="W2038" i="1" s="1"/>
  <c r="X2038" i="1" s="1"/>
  <c r="U2050" i="1"/>
  <c r="V2050" i="1" s="1"/>
  <c r="W2050" i="1" s="1"/>
  <c r="X2050" i="1" s="1"/>
  <c r="U2054" i="1"/>
  <c r="V2054" i="1" s="1"/>
  <c r="W2054" i="1" s="1"/>
  <c r="X2054" i="1" s="1"/>
  <c r="U2082" i="1"/>
  <c r="V2082" i="1" s="1"/>
  <c r="W2082" i="1" s="1"/>
  <c r="X2082" i="1" s="1"/>
  <c r="U2149" i="1"/>
  <c r="V2149" i="1" s="1"/>
  <c r="W2149" i="1" s="1"/>
  <c r="X2149" i="1" s="1"/>
  <c r="P2199" i="1"/>
  <c r="P2215" i="1"/>
  <c r="P2343" i="1"/>
  <c r="U2555" i="1"/>
  <c r="V2555" i="1" s="1"/>
  <c r="W2555" i="1" s="1"/>
  <c r="X2555" i="1" s="1"/>
  <c r="U2587" i="1"/>
  <c r="V2587" i="1" s="1"/>
  <c r="W2587" i="1" s="1"/>
  <c r="X2587" i="1" s="1"/>
  <c r="U2639" i="1"/>
  <c r="V2639" i="1" s="1"/>
  <c r="W2639" i="1" s="1"/>
  <c r="X2639" i="1" s="1"/>
  <c r="O2180" i="1"/>
  <c r="P2180" i="1" s="1"/>
  <c r="U2192" i="1"/>
  <c r="V2192" i="1" s="1"/>
  <c r="W2192" i="1" s="1"/>
  <c r="X2192" i="1" s="1"/>
  <c r="U2240" i="1"/>
  <c r="V2240" i="1" s="1"/>
  <c r="W2240" i="1" s="1"/>
  <c r="X2240" i="1" s="1"/>
  <c r="O2391" i="1"/>
  <c r="P2391" i="1" s="1"/>
  <c r="U2519" i="1"/>
  <c r="V2519" i="1" s="1"/>
  <c r="W2519" i="1" s="1"/>
  <c r="X2519" i="1" s="1"/>
  <c r="O2562" i="1"/>
  <c r="P2562" i="1" s="1"/>
  <c r="U2595" i="1"/>
  <c r="V2595" i="1" s="1"/>
  <c r="W2595" i="1" s="1"/>
  <c r="X2595" i="1" s="1"/>
  <c r="O2602" i="1"/>
  <c r="P2602" i="1" s="1"/>
  <c r="V2631" i="1"/>
  <c r="W2631" i="1" s="1"/>
  <c r="X2631" i="1" s="1"/>
  <c r="U3190" i="1"/>
  <c r="V3190" i="1" s="1"/>
  <c r="W3190" i="1" s="1"/>
  <c r="X3190" i="1" s="1"/>
  <c r="U3198" i="1"/>
  <c r="V3198" i="1" s="1"/>
  <c r="W3198" i="1" s="1"/>
  <c r="X3198" i="1" s="1"/>
  <c r="O3434" i="1"/>
  <c r="P3434" i="1" s="1"/>
  <c r="O3478" i="1"/>
  <c r="P3478" i="1" s="1"/>
  <c r="U3550" i="1"/>
  <c r="V3550" i="1" s="1"/>
  <c r="W3550" i="1" s="1"/>
  <c r="X3550" i="1" s="1"/>
  <c r="U3603" i="1"/>
  <c r="V3603" i="1" s="1"/>
  <c r="W3603" i="1" s="1"/>
  <c r="X3603" i="1" s="1"/>
  <c r="V1384" i="1"/>
  <c r="W1384" i="1" s="1"/>
  <c r="X1384" i="1" s="1"/>
  <c r="V1400" i="1"/>
  <c r="W1400" i="1" s="1"/>
  <c r="X1400" i="1" s="1"/>
  <c r="V1416" i="1"/>
  <c r="W1416" i="1" s="1"/>
  <c r="X1416" i="1" s="1"/>
  <c r="V1432" i="1"/>
  <c r="W1432" i="1" s="1"/>
  <c r="X1432" i="1" s="1"/>
  <c r="V1448" i="1"/>
  <c r="W1448" i="1" s="1"/>
  <c r="X1448" i="1" s="1"/>
  <c r="V1464" i="1"/>
  <c r="W1464" i="1" s="1"/>
  <c r="X1464" i="1" s="1"/>
  <c r="V1480" i="1"/>
  <c r="W1480" i="1" s="1"/>
  <c r="X1480" i="1" s="1"/>
  <c r="V1496" i="1"/>
  <c r="W1496" i="1" s="1"/>
  <c r="X1496" i="1" s="1"/>
  <c r="V1512" i="1"/>
  <c r="W1512" i="1" s="1"/>
  <c r="X1512" i="1" s="1"/>
  <c r="V1528" i="1"/>
  <c r="W1528" i="1" s="1"/>
  <c r="X1528" i="1" s="1"/>
  <c r="V1544" i="1"/>
  <c r="W1544" i="1" s="1"/>
  <c r="X1544" i="1" s="1"/>
  <c r="V1560" i="1"/>
  <c r="W1560" i="1" s="1"/>
  <c r="V1576" i="1"/>
  <c r="W1576" i="1" s="1"/>
  <c r="X1576" i="1" s="1"/>
  <c r="V1592" i="1"/>
  <c r="W1592" i="1" s="1"/>
  <c r="X1592" i="1" s="1"/>
  <c r="V1608" i="1"/>
  <c r="W1608" i="1" s="1"/>
  <c r="X1608" i="1" s="1"/>
  <c r="V1624" i="1"/>
  <c r="W1624" i="1" s="1"/>
  <c r="X1624" i="1" s="1"/>
  <c r="V1640" i="1"/>
  <c r="W1640" i="1" s="1"/>
  <c r="X1640" i="1" s="1"/>
  <c r="V1656" i="1"/>
  <c r="W1656" i="1" s="1"/>
  <c r="X1656" i="1" s="1"/>
  <c r="V1672" i="1"/>
  <c r="W1672" i="1" s="1"/>
  <c r="X1672" i="1" s="1"/>
  <c r="V1720" i="1"/>
  <c r="W1720" i="1" s="1"/>
  <c r="X1720" i="1" s="1"/>
  <c r="V1752" i="1"/>
  <c r="W1752" i="1" s="1"/>
  <c r="X1752" i="1" s="1"/>
  <c r="V1792" i="1"/>
  <c r="W1792" i="1" s="1"/>
  <c r="X1792" i="1" s="1"/>
  <c r="V1816" i="1"/>
  <c r="W1816" i="1" s="1"/>
  <c r="X1816" i="1" s="1"/>
  <c r="P1893" i="1"/>
  <c r="V2058" i="1"/>
  <c r="W2058" i="1" s="1"/>
  <c r="X2058" i="1" s="1"/>
  <c r="V2070" i="1"/>
  <c r="W2070" i="1" s="1"/>
  <c r="X2070" i="1" s="1"/>
  <c r="V2086" i="1"/>
  <c r="W2086" i="1" s="1"/>
  <c r="X2086" i="1" s="1"/>
  <c r="U2094" i="1"/>
  <c r="V2094" i="1" s="1"/>
  <c r="W2094" i="1" s="1"/>
  <c r="X2094" i="1" s="1"/>
  <c r="O2144" i="1"/>
  <c r="P2144" i="1" s="1"/>
  <c r="O2191" i="1"/>
  <c r="P2191" i="1" s="1"/>
  <c r="O2231" i="1"/>
  <c r="P2231" i="1" s="1"/>
  <c r="O2263" i="1"/>
  <c r="P2263" i="1" s="1"/>
  <c r="O2279" i="1"/>
  <c r="P2279" i="1" s="1"/>
  <c r="V2384" i="1"/>
  <c r="W2384" i="1" s="1"/>
  <c r="X2384" i="1" s="1"/>
  <c r="V2483" i="1"/>
  <c r="W2483" i="1" s="1"/>
  <c r="X2483" i="1" s="1"/>
  <c r="U2491" i="1"/>
  <c r="V2491" i="1" s="1"/>
  <c r="W2491" i="1" s="1"/>
  <c r="X2491" i="1" s="1"/>
  <c r="V2503" i="1"/>
  <c r="W2503" i="1" s="1"/>
  <c r="X2503" i="1" s="1"/>
  <c r="V2575" i="1"/>
  <c r="W2575" i="1" s="1"/>
  <c r="X2575" i="1" s="1"/>
  <c r="P2578" i="1"/>
  <c r="U2583" i="1"/>
  <c r="V2583" i="1" s="1"/>
  <c r="W2583" i="1" s="1"/>
  <c r="X2583" i="1" s="1"/>
  <c r="O2594" i="1"/>
  <c r="P2594" i="1" s="1"/>
  <c r="U2619" i="1"/>
  <c r="V2619" i="1" s="1"/>
  <c r="W2619" i="1" s="1"/>
  <c r="X2619" i="1" s="1"/>
  <c r="V2651" i="1"/>
  <c r="W2651" i="1" s="1"/>
  <c r="X2651" i="1" s="1"/>
  <c r="P2700" i="1"/>
  <c r="U2701" i="1"/>
  <c r="V2701" i="1" s="1"/>
  <c r="W2701" i="1" s="1"/>
  <c r="X2701" i="1" s="1"/>
  <c r="P2716" i="1"/>
  <c r="U2717" i="1"/>
  <c r="V2717" i="1" s="1"/>
  <c r="W2717" i="1" s="1"/>
  <c r="V2987" i="1"/>
  <c r="W2987" i="1" s="1"/>
  <c r="U3284" i="1"/>
  <c r="V3284" i="1" s="1"/>
  <c r="W3284" i="1" s="1"/>
  <c r="O3336" i="1"/>
  <c r="P3336" i="1" s="1"/>
  <c r="U3533" i="1"/>
  <c r="V3533" i="1" s="1"/>
  <c r="W3533" i="1" s="1"/>
  <c r="U3591" i="1"/>
  <c r="V3591" i="1" s="1"/>
  <c r="W3591" i="1" s="1"/>
  <c r="X3591" i="1" s="1"/>
  <c r="U3131" i="1"/>
  <c r="V3131" i="1" s="1"/>
  <c r="W3131" i="1" s="1"/>
  <c r="X3131" i="1" s="1"/>
  <c r="O3182" i="1"/>
  <c r="P3182" i="1" s="1"/>
  <c r="U3195" i="1"/>
  <c r="V3195" i="1" s="1"/>
  <c r="W3195" i="1" s="1"/>
  <c r="X3195" i="1" s="1"/>
  <c r="O3304" i="1"/>
  <c r="P3304" i="1" s="1"/>
  <c r="U3356" i="1"/>
  <c r="V3356" i="1" s="1"/>
  <c r="W3356" i="1" s="1"/>
  <c r="U3440" i="1"/>
  <c r="V3440" i="1" s="1"/>
  <c r="W3440" i="1" s="1"/>
  <c r="X3440" i="1" s="1"/>
  <c r="U3475" i="1"/>
  <c r="V3475" i="1" s="1"/>
  <c r="W3475" i="1" s="1"/>
  <c r="X3475" i="1" s="1"/>
  <c r="U3583" i="1"/>
  <c r="V3583" i="1" s="1"/>
  <c r="W3583" i="1" s="1"/>
  <c r="X3583" i="1" s="1"/>
  <c r="V2954" i="1"/>
  <c r="W2954" i="1" s="1"/>
  <c r="X2954" i="1" s="1"/>
  <c r="U3192" i="1"/>
  <c r="V3192" i="1" s="1"/>
  <c r="W3192" i="1" s="1"/>
  <c r="X3192" i="1" s="1"/>
  <c r="U3214" i="1"/>
  <c r="V3214" i="1" s="1"/>
  <c r="W3214" i="1" s="1"/>
  <c r="U3309" i="1"/>
  <c r="V3309" i="1" s="1"/>
  <c r="W3309" i="1" s="1"/>
  <c r="X3309" i="1" s="1"/>
  <c r="U3406" i="1"/>
  <c r="V3406" i="1" s="1"/>
  <c r="W3406" i="1" s="1"/>
  <c r="V3522" i="1"/>
  <c r="W3522" i="1" s="1"/>
  <c r="X3522" i="1" s="1"/>
  <c r="U3529" i="1"/>
  <c r="V3529" i="1" s="1"/>
  <c r="W3529" i="1" s="1"/>
  <c r="U3566" i="1"/>
  <c r="V3566" i="1" s="1"/>
  <c r="W3566" i="1" s="1"/>
  <c r="X3566" i="1" s="1"/>
  <c r="U3114" i="1"/>
  <c r="V3114" i="1" s="1"/>
  <c r="W3114" i="1" s="1"/>
  <c r="X3114" i="1" s="1"/>
  <c r="U3316" i="1"/>
  <c r="V3316" i="1" s="1"/>
  <c r="W3316" i="1" s="1"/>
  <c r="O3348" i="1"/>
  <c r="P3348" i="1" s="1"/>
  <c r="V3398" i="1"/>
  <c r="W3398" i="1" s="1"/>
  <c r="V3399" i="1"/>
  <c r="W3399" i="1" s="1"/>
  <c r="X3399" i="1" s="1"/>
  <c r="V3419" i="1"/>
  <c r="W3419" i="1" s="1"/>
  <c r="X3419" i="1" s="1"/>
  <c r="W3441" i="1"/>
  <c r="X3441" i="1" s="1"/>
  <c r="U3472" i="1"/>
  <c r="V3472" i="1" s="1"/>
  <c r="W3472" i="1" s="1"/>
  <c r="X3472" i="1" s="1"/>
  <c r="U3493" i="1"/>
  <c r="V3493" i="1" s="1"/>
  <c r="W3493" i="1" s="1"/>
  <c r="X3493" i="1" s="1"/>
  <c r="O3389" i="1"/>
  <c r="P3389" i="1" s="1"/>
  <c r="U3599" i="1"/>
  <c r="V3599" i="1" s="1"/>
  <c r="W3599" i="1" s="1"/>
  <c r="X3599" i="1" s="1"/>
  <c r="V3074" i="1"/>
  <c r="W3074" i="1" s="1"/>
  <c r="X3074" i="1" s="1"/>
  <c r="P3103" i="1"/>
  <c r="P3107" i="1"/>
  <c r="V3110" i="1"/>
  <c r="W3110" i="1" s="1"/>
  <c r="V3244" i="1"/>
  <c r="W3244" i="1" s="1"/>
  <c r="X3244" i="1" s="1"/>
  <c r="P3256" i="1"/>
  <c r="V3276" i="1"/>
  <c r="W3276" i="1" s="1"/>
  <c r="X3276" i="1" s="1"/>
  <c r="V3296" i="1"/>
  <c r="W3296" i="1" s="1"/>
  <c r="P3328" i="1"/>
  <c r="P3344" i="1"/>
  <c r="P3368" i="1"/>
  <c r="O3376" i="1"/>
  <c r="P3376" i="1" s="1"/>
  <c r="V3381" i="1"/>
  <c r="W3381" i="1" s="1"/>
  <c r="X3381" i="1" s="1"/>
  <c r="O3393" i="1"/>
  <c r="P3393" i="1" s="1"/>
  <c r="P3414" i="1"/>
  <c r="V3456" i="1"/>
  <c r="W3456" i="1" s="1"/>
  <c r="X3456" i="1" s="1"/>
  <c r="X3457" i="1"/>
  <c r="V3477" i="1"/>
  <c r="W3477" i="1" s="1"/>
  <c r="X3477" i="1" s="1"/>
  <c r="O3483" i="1"/>
  <c r="P3483" i="1" s="1"/>
  <c r="V3487" i="1"/>
  <c r="W3487" i="1" s="1"/>
  <c r="X3487" i="1" s="1"/>
  <c r="V3525" i="1"/>
  <c r="W3525" i="1" s="1"/>
  <c r="V3534" i="1"/>
  <c r="W3534" i="1" s="1"/>
  <c r="X3534" i="1" s="1"/>
  <c r="V3587" i="1"/>
  <c r="W3587" i="1" s="1"/>
  <c r="X3587" i="1" s="1"/>
  <c r="U3607" i="1"/>
  <c r="V3607" i="1" s="1"/>
  <c r="W3607" i="1" s="1"/>
  <c r="X3607" i="1" s="1"/>
  <c r="U3615" i="1"/>
  <c r="V3615" i="1" s="1"/>
  <c r="W3615" i="1" s="1"/>
  <c r="X3615" i="1" s="1"/>
  <c r="V3305" i="1"/>
  <c r="W3305" i="1" s="1"/>
  <c r="X3305" i="1" s="1"/>
  <c r="V3546" i="1"/>
  <c r="W3546" i="1" s="1"/>
  <c r="X3546" i="1" s="1"/>
  <c r="V3562" i="1"/>
  <c r="W3562" i="1" s="1"/>
  <c r="X3562" i="1" s="1"/>
  <c r="V3579" i="1"/>
  <c r="W3579" i="1" s="1"/>
  <c r="X3579" i="1" s="1"/>
  <c r="V3595" i="1"/>
  <c r="W3595" i="1" s="1"/>
  <c r="X3595" i="1" s="1"/>
  <c r="V3611" i="1"/>
  <c r="W3611" i="1" s="1"/>
  <c r="X3611" i="1" s="1"/>
  <c r="O1235" i="1"/>
  <c r="P1235" i="1" s="1"/>
  <c r="O1267" i="1"/>
  <c r="P1267" i="1" s="1"/>
  <c r="O1299" i="1"/>
  <c r="P1299" i="1" s="1"/>
  <c r="O1331" i="1"/>
  <c r="P1331" i="1" s="1"/>
  <c r="O1227" i="1"/>
  <c r="P1227" i="1" s="1"/>
  <c r="O1291" i="1"/>
  <c r="P1291" i="1" s="1"/>
  <c r="O1323" i="1"/>
  <c r="P1323" i="1" s="1"/>
  <c r="O1211" i="1"/>
  <c r="P1211" i="1" s="1"/>
  <c r="O1243" i="1"/>
  <c r="P1243" i="1" s="1"/>
  <c r="O1275" i="1"/>
  <c r="P1275" i="1" s="1"/>
  <c r="O1307" i="1"/>
  <c r="P1307" i="1" s="1"/>
  <c r="O1259" i="1"/>
  <c r="P1259" i="1" s="1"/>
  <c r="O1219" i="1"/>
  <c r="P1219" i="1" s="1"/>
  <c r="O1251" i="1"/>
  <c r="P1251" i="1" s="1"/>
  <c r="O1283" i="1"/>
  <c r="P1283" i="1" s="1"/>
  <c r="O1315" i="1"/>
  <c r="P1315" i="1" s="1"/>
  <c r="U2014" i="1"/>
  <c r="V2014" i="1" s="1"/>
  <c r="W2014" i="1" s="1"/>
  <c r="X2014" i="1" s="1"/>
  <c r="O2029" i="1"/>
  <c r="P2029" i="1" s="1"/>
  <c r="U2102" i="1"/>
  <c r="V2102" i="1" s="1"/>
  <c r="W2102" i="1" s="1"/>
  <c r="X2102" i="1" s="1"/>
  <c r="O2155" i="1"/>
  <c r="P2155" i="1" s="1"/>
  <c r="U2336" i="1"/>
  <c r="V2336" i="1" s="1"/>
  <c r="W2336" i="1" s="1"/>
  <c r="X2336" i="1" s="1"/>
  <c r="U2507" i="1"/>
  <c r="V2507" i="1" s="1"/>
  <c r="W2507" i="1" s="1"/>
  <c r="X2507" i="1" s="1"/>
  <c r="U2535" i="1"/>
  <c r="V2535" i="1" s="1"/>
  <c r="W2535" i="1" s="1"/>
  <c r="X2535" i="1" s="1"/>
  <c r="O2586" i="1"/>
  <c r="P2586" i="1" s="1"/>
  <c r="O2618" i="1"/>
  <c r="P2618" i="1" s="1"/>
  <c r="U2635" i="1"/>
  <c r="V2635" i="1" s="1"/>
  <c r="W2635" i="1" s="1"/>
  <c r="X2635" i="1" s="1"/>
  <c r="U2662" i="1"/>
  <c r="V2662" i="1" s="1"/>
  <c r="W2662" i="1" s="1"/>
  <c r="X2662" i="1" s="1"/>
  <c r="O2744" i="1"/>
  <c r="P2744" i="1" s="1"/>
  <c r="O2872" i="1"/>
  <c r="P2872" i="1" s="1"/>
  <c r="U3138" i="1"/>
  <c r="V3138" i="1" s="1"/>
  <c r="W3138" i="1" s="1"/>
  <c r="U3150" i="1"/>
  <c r="V3150" i="1" s="1"/>
  <c r="W3150" i="1" s="1"/>
  <c r="O3158" i="1"/>
  <c r="P3158" i="1" s="1"/>
  <c r="U3203" i="1"/>
  <c r="V3203" i="1" s="1"/>
  <c r="W3203" i="1" s="1"/>
  <c r="X3203" i="1" s="1"/>
  <c r="O3207" i="1"/>
  <c r="P3207" i="1" s="1"/>
  <c r="U3241" i="1"/>
  <c r="V3241" i="1" s="1"/>
  <c r="W3241" i="1" s="1"/>
  <c r="X3241" i="1" s="1"/>
  <c r="O3280" i="1"/>
  <c r="P3280" i="1" s="1"/>
  <c r="U3285" i="1"/>
  <c r="V3285" i="1" s="1"/>
  <c r="W3285" i="1" s="1"/>
  <c r="X3285" i="1" s="1"/>
  <c r="O3356" i="1"/>
  <c r="P3356" i="1" s="1"/>
  <c r="U3360" i="1"/>
  <c r="V3360" i="1" s="1"/>
  <c r="W3360" i="1" s="1"/>
  <c r="U3376" i="1"/>
  <c r="V3376" i="1" s="1"/>
  <c r="W3376" i="1" s="1"/>
  <c r="U3384" i="1"/>
  <c r="V3384" i="1" s="1"/>
  <c r="O3398" i="1"/>
  <c r="P3398" i="1" s="1"/>
  <c r="O3410" i="1"/>
  <c r="P3410" i="1" s="1"/>
  <c r="O3439" i="1"/>
  <c r="P3439" i="1" s="1"/>
  <c r="U3452" i="1"/>
  <c r="V3452" i="1" s="1"/>
  <c r="W3452" i="1" s="1"/>
  <c r="U3461" i="1"/>
  <c r="V3461" i="1" s="1"/>
  <c r="W3461" i="1" s="1"/>
  <c r="X3461" i="1" s="1"/>
  <c r="O3467" i="1"/>
  <c r="P3467" i="1" s="1"/>
  <c r="O3500" i="1"/>
  <c r="P3500" i="1" s="1"/>
  <c r="U3521" i="1"/>
  <c r="V3521" i="1" s="1"/>
  <c r="W3521" i="1" s="1"/>
  <c r="O3533" i="1"/>
  <c r="P3533" i="1" s="1"/>
  <c r="U1343" i="1"/>
  <c r="V1343" i="1" s="1"/>
  <c r="U1359" i="1"/>
  <c r="V1359" i="1" s="1"/>
  <c r="U1930" i="1"/>
  <c r="V1930" i="1" s="1"/>
  <c r="W1930" i="1" s="1"/>
  <c r="U1970" i="1"/>
  <c r="V1970" i="1" s="1"/>
  <c r="W1970" i="1" s="1"/>
  <c r="X1970" i="1" s="1"/>
  <c r="P1203" i="1"/>
  <c r="V1205" i="1"/>
  <c r="V1208" i="1"/>
  <c r="W1208" i="1" s="1"/>
  <c r="X1208" i="1" s="1"/>
  <c r="V1216" i="1"/>
  <c r="W1216" i="1" s="1"/>
  <c r="X1216" i="1" s="1"/>
  <c r="U1223" i="1"/>
  <c r="V1223" i="1" s="1"/>
  <c r="W1223" i="1" s="1"/>
  <c r="V1224" i="1"/>
  <c r="W1224" i="1" s="1"/>
  <c r="X1224" i="1" s="1"/>
  <c r="V1232" i="1"/>
  <c r="W1232" i="1" s="1"/>
  <c r="X1232" i="1" s="1"/>
  <c r="V1240" i="1"/>
  <c r="W1240" i="1" s="1"/>
  <c r="X1240" i="1" s="1"/>
  <c r="V1248" i="1"/>
  <c r="U1255" i="1"/>
  <c r="V1255" i="1" s="1"/>
  <c r="V1256" i="1"/>
  <c r="W1256" i="1" s="1"/>
  <c r="X1256" i="1" s="1"/>
  <c r="V1264" i="1"/>
  <c r="W1264" i="1" s="1"/>
  <c r="X1264" i="1" s="1"/>
  <c r="V1272" i="1"/>
  <c r="W1272" i="1" s="1"/>
  <c r="X1272" i="1" s="1"/>
  <c r="V1280" i="1"/>
  <c r="W1280" i="1" s="1"/>
  <c r="X1280" i="1" s="1"/>
  <c r="U1287" i="1"/>
  <c r="V1287" i="1" s="1"/>
  <c r="V1288" i="1"/>
  <c r="W1288" i="1" s="1"/>
  <c r="X1288" i="1" s="1"/>
  <c r="V1296" i="1"/>
  <c r="W1296" i="1" s="1"/>
  <c r="V1304" i="1"/>
  <c r="V1312" i="1"/>
  <c r="W1312" i="1" s="1"/>
  <c r="X1312" i="1" s="1"/>
  <c r="U1319" i="1"/>
  <c r="V1319" i="1" s="1"/>
  <c r="W1319" i="1" s="1"/>
  <c r="X1319" i="1" s="1"/>
  <c r="V1320" i="1"/>
  <c r="W1320" i="1" s="1"/>
  <c r="V1328" i="1"/>
  <c r="W1328" i="1" s="1"/>
  <c r="X1328" i="1" s="1"/>
  <c r="P1339" i="1"/>
  <c r="P1355" i="1"/>
  <c r="P1371" i="1"/>
  <c r="P1683" i="1"/>
  <c r="P1699" i="1"/>
  <c r="U1883" i="1"/>
  <c r="V1883" i="1" s="1"/>
  <c r="W1883" i="1" s="1"/>
  <c r="X1883" i="1" s="1"/>
  <c r="U1915" i="1"/>
  <c r="V1915" i="1" s="1"/>
  <c r="W1915" i="1" s="1"/>
  <c r="X1915" i="1" s="1"/>
  <c r="V1197" i="1"/>
  <c r="W1197" i="1" s="1"/>
  <c r="X1197" i="1" s="1"/>
  <c r="V1239" i="1"/>
  <c r="W1239" i="1" s="1"/>
  <c r="V1271" i="1"/>
  <c r="W1271" i="1" s="1"/>
  <c r="X1271" i="1" s="1"/>
  <c r="V1303" i="1"/>
  <c r="W1303" i="1" s="1"/>
  <c r="X1303" i="1" s="1"/>
  <c r="U1898" i="1"/>
  <c r="V1898" i="1" s="1"/>
  <c r="W1898" i="1" s="1"/>
  <c r="O1934" i="1"/>
  <c r="P1934" i="1" s="1"/>
  <c r="U1339" i="1"/>
  <c r="V1339" i="1" s="1"/>
  <c r="W1339" i="1" s="1"/>
  <c r="X1339" i="1" s="1"/>
  <c r="U1355" i="1"/>
  <c r="V1355" i="1" s="1"/>
  <c r="W1355" i="1" s="1"/>
  <c r="O1842" i="1"/>
  <c r="P1842" i="1" s="1"/>
  <c r="O1857" i="1"/>
  <c r="P1857" i="1" s="1"/>
  <c r="U1882" i="1"/>
  <c r="V1882" i="1" s="1"/>
  <c r="W1882" i="1" s="1"/>
  <c r="X1882" i="1" s="1"/>
  <c r="U1914" i="1"/>
  <c r="V1914" i="1" s="1"/>
  <c r="W1914" i="1" s="1"/>
  <c r="X1914" i="1" s="1"/>
  <c r="V1182" i="1"/>
  <c r="U1199" i="1"/>
  <c r="V1199" i="1" s="1"/>
  <c r="U1203" i="1"/>
  <c r="V1203" i="1" s="1"/>
  <c r="V1211" i="1"/>
  <c r="W1211" i="1" s="1"/>
  <c r="X1211" i="1" s="1"/>
  <c r="V1215" i="1"/>
  <c r="V1219" i="1"/>
  <c r="W1219" i="1" s="1"/>
  <c r="V1227" i="1"/>
  <c r="W1227" i="1" s="1"/>
  <c r="X1227" i="1" s="1"/>
  <c r="V1231" i="1"/>
  <c r="W1231" i="1" s="1"/>
  <c r="V1235" i="1"/>
  <c r="V1243" i="1"/>
  <c r="W1243" i="1" s="1"/>
  <c r="X1243" i="1" s="1"/>
  <c r="V1247" i="1"/>
  <c r="V1251" i="1"/>
  <c r="W1251" i="1" s="1"/>
  <c r="V1259" i="1"/>
  <c r="W1259" i="1" s="1"/>
  <c r="X1259" i="1" s="1"/>
  <c r="V1263" i="1"/>
  <c r="W1263" i="1" s="1"/>
  <c r="V1267" i="1"/>
  <c r="V1275" i="1"/>
  <c r="V1279" i="1"/>
  <c r="V1283" i="1"/>
  <c r="W1283" i="1" s="1"/>
  <c r="V1291" i="1"/>
  <c r="W1291" i="1" s="1"/>
  <c r="X1291" i="1" s="1"/>
  <c r="V1295" i="1"/>
  <c r="W1295" i="1" s="1"/>
  <c r="V1299" i="1"/>
  <c r="V1307" i="1"/>
  <c r="W1307" i="1" s="1"/>
  <c r="X1307" i="1" s="1"/>
  <c r="V1311" i="1"/>
  <c r="V1315" i="1"/>
  <c r="W1315" i="1" s="1"/>
  <c r="V1323" i="1"/>
  <c r="W1323" i="1" s="1"/>
  <c r="X1323" i="1" s="1"/>
  <c r="V1327" i="1"/>
  <c r="W1327" i="1" s="1"/>
  <c r="U1331" i="1"/>
  <c r="V1331" i="1" s="1"/>
  <c r="U1347" i="1"/>
  <c r="V1347" i="1" s="1"/>
  <c r="U1363" i="1"/>
  <c r="V1363" i="1" s="1"/>
  <c r="W1363" i="1" s="1"/>
  <c r="U1863" i="1"/>
  <c r="V1863" i="1" s="1"/>
  <c r="W1863" i="1" s="1"/>
  <c r="X1863" i="1" s="1"/>
  <c r="U1867" i="1"/>
  <c r="V1867" i="1" s="1"/>
  <c r="W1867" i="1" s="1"/>
  <c r="X1867" i="1" s="1"/>
  <c r="O1874" i="1"/>
  <c r="P1874" i="1" s="1"/>
  <c r="U1899" i="1"/>
  <c r="V1899" i="1" s="1"/>
  <c r="W1899" i="1" s="1"/>
  <c r="X1899" i="1" s="1"/>
  <c r="U1942" i="1"/>
  <c r="V1942" i="1" s="1"/>
  <c r="W1942" i="1" s="1"/>
  <c r="X1942" i="1" s="1"/>
  <c r="O1854" i="1"/>
  <c r="P1854" i="1" s="1"/>
  <c r="U1938" i="1"/>
  <c r="V1938" i="1" s="1"/>
  <c r="W1938" i="1" s="1"/>
  <c r="X1938" i="1" s="1"/>
  <c r="U1982" i="1"/>
  <c r="V1982" i="1" s="1"/>
  <c r="W1982" i="1" s="1"/>
  <c r="X1982" i="1" s="1"/>
  <c r="O1997" i="1"/>
  <c r="P1997" i="1" s="1"/>
  <c r="U2066" i="1"/>
  <c r="V2066" i="1" s="1"/>
  <c r="W2066" i="1" s="1"/>
  <c r="X2066" i="1" s="1"/>
  <c r="O2093" i="1"/>
  <c r="P2093" i="1" s="1"/>
  <c r="U2136" i="1"/>
  <c r="V2136" i="1" s="1"/>
  <c r="W2136" i="1" s="1"/>
  <c r="X2136" i="1" s="1"/>
  <c r="U2208" i="1"/>
  <c r="V2208" i="1" s="1"/>
  <c r="O2247" i="1"/>
  <c r="P2247" i="1" s="1"/>
  <c r="U2400" i="1"/>
  <c r="V2400" i="1" s="1"/>
  <c r="W2400" i="1" s="1"/>
  <c r="X2400" i="1" s="1"/>
  <c r="O2530" i="1"/>
  <c r="P2530" i="1" s="1"/>
  <c r="U2563" i="1"/>
  <c r="V2563" i="1" s="1"/>
  <c r="W2563" i="1" s="1"/>
  <c r="X2563" i="1" s="1"/>
  <c r="U2603" i="1"/>
  <c r="V2603" i="1" s="1"/>
  <c r="W2603" i="1" s="1"/>
  <c r="O2938" i="1"/>
  <c r="P2938" i="1" s="1"/>
  <c r="U2943" i="1"/>
  <c r="V2943" i="1" s="1"/>
  <c r="W2943" i="1" s="1"/>
  <c r="X2943" i="1" s="1"/>
  <c r="O3014" i="1"/>
  <c r="P3014" i="1" s="1"/>
  <c r="U3071" i="1"/>
  <c r="V3071" i="1" s="1"/>
  <c r="W3071" i="1" s="1"/>
  <c r="X3071" i="1" s="1"/>
  <c r="V1335" i="1"/>
  <c r="W1335" i="1" s="1"/>
  <c r="V1351" i="1"/>
  <c r="W1351" i="1" s="1"/>
  <c r="X1351" i="1" s="1"/>
  <c r="V1367" i="1"/>
  <c r="W1367" i="1" s="1"/>
  <c r="X1367" i="1" s="1"/>
  <c r="U1451" i="1"/>
  <c r="V1451" i="1" s="1"/>
  <c r="W1451" i="1" s="1"/>
  <c r="X1451" i="1" s="1"/>
  <c r="U1455" i="1"/>
  <c r="V1455" i="1" s="1"/>
  <c r="W1455" i="1" s="1"/>
  <c r="U1459" i="1"/>
  <c r="V1459" i="1" s="1"/>
  <c r="V1463" i="1"/>
  <c r="W1463" i="1" s="1"/>
  <c r="X1463" i="1" s="1"/>
  <c r="U1467" i="1"/>
  <c r="V1467" i="1" s="1"/>
  <c r="W1467" i="1" s="1"/>
  <c r="X1467" i="1" s="1"/>
  <c r="U1471" i="1"/>
  <c r="V1471" i="1" s="1"/>
  <c r="U1475" i="1"/>
  <c r="V1475" i="1" s="1"/>
  <c r="V1479" i="1"/>
  <c r="W1479" i="1" s="1"/>
  <c r="U1483" i="1"/>
  <c r="V1483" i="1" s="1"/>
  <c r="W1483" i="1" s="1"/>
  <c r="X1483" i="1" s="1"/>
  <c r="U1487" i="1"/>
  <c r="V1487" i="1" s="1"/>
  <c r="U1491" i="1"/>
  <c r="V1491" i="1" s="1"/>
  <c r="W1491" i="1" s="1"/>
  <c r="V1495" i="1"/>
  <c r="U1499" i="1"/>
  <c r="V1499" i="1" s="1"/>
  <c r="W1499" i="1" s="1"/>
  <c r="X1499" i="1" s="1"/>
  <c r="U1503" i="1"/>
  <c r="V1503" i="1" s="1"/>
  <c r="W1503" i="1" s="1"/>
  <c r="U1507" i="1"/>
  <c r="V1507" i="1" s="1"/>
  <c r="W1507" i="1" s="1"/>
  <c r="V1511" i="1"/>
  <c r="U1515" i="1"/>
  <c r="V1515" i="1" s="1"/>
  <c r="W1515" i="1" s="1"/>
  <c r="X1515" i="1" s="1"/>
  <c r="U1519" i="1"/>
  <c r="V1519" i="1" s="1"/>
  <c r="W1519" i="1" s="1"/>
  <c r="U1523" i="1"/>
  <c r="V1523" i="1" s="1"/>
  <c r="V1527" i="1"/>
  <c r="U1531" i="1"/>
  <c r="V1531" i="1" s="1"/>
  <c r="W1531" i="1" s="1"/>
  <c r="X1531" i="1" s="1"/>
  <c r="U1535" i="1"/>
  <c r="V1535" i="1" s="1"/>
  <c r="U1539" i="1"/>
  <c r="V1539" i="1" s="1"/>
  <c r="V1543" i="1"/>
  <c r="W1543" i="1" s="1"/>
  <c r="X1543" i="1" s="1"/>
  <c r="U1547" i="1"/>
  <c r="V1547" i="1" s="1"/>
  <c r="W1547" i="1" s="1"/>
  <c r="X1547" i="1" s="1"/>
  <c r="U1551" i="1"/>
  <c r="V1551" i="1" s="1"/>
  <c r="U1555" i="1"/>
  <c r="V1555" i="1" s="1"/>
  <c r="W1555" i="1" s="1"/>
  <c r="V1559" i="1"/>
  <c r="W1559" i="1" s="1"/>
  <c r="U1563" i="1"/>
  <c r="V1563" i="1" s="1"/>
  <c r="W1563" i="1" s="1"/>
  <c r="X1563" i="1" s="1"/>
  <c r="U1567" i="1"/>
  <c r="V1567" i="1" s="1"/>
  <c r="U1571" i="1"/>
  <c r="V1571" i="1" s="1"/>
  <c r="W1571" i="1" s="1"/>
  <c r="V1575" i="1"/>
  <c r="W1575" i="1" s="1"/>
  <c r="X1575" i="1" s="1"/>
  <c r="U1579" i="1"/>
  <c r="V1579" i="1" s="1"/>
  <c r="W1579" i="1" s="1"/>
  <c r="X1579" i="1" s="1"/>
  <c r="U1583" i="1"/>
  <c r="V1583" i="1" s="1"/>
  <c r="U1587" i="1"/>
  <c r="V1587" i="1" s="1"/>
  <c r="V1591" i="1"/>
  <c r="U1595" i="1"/>
  <c r="V1595" i="1" s="1"/>
  <c r="W1595" i="1" s="1"/>
  <c r="X1595" i="1" s="1"/>
  <c r="U1599" i="1"/>
  <c r="V1599" i="1" s="1"/>
  <c r="U1603" i="1"/>
  <c r="V1603" i="1" s="1"/>
  <c r="V1607" i="1"/>
  <c r="W1607" i="1" s="1"/>
  <c r="X1607" i="1" s="1"/>
  <c r="U1611" i="1"/>
  <c r="V1611" i="1" s="1"/>
  <c r="W1611" i="1" s="1"/>
  <c r="X1611" i="1" s="1"/>
  <c r="U1615" i="1"/>
  <c r="V1615" i="1" s="1"/>
  <c r="W1615" i="1" s="1"/>
  <c r="U1619" i="1"/>
  <c r="V1619" i="1" s="1"/>
  <c r="W1619" i="1" s="1"/>
  <c r="V1623" i="1"/>
  <c r="W1623" i="1" s="1"/>
  <c r="U1627" i="1"/>
  <c r="V1627" i="1" s="1"/>
  <c r="W1627" i="1" s="1"/>
  <c r="X1627" i="1" s="1"/>
  <c r="U1631" i="1"/>
  <c r="V1631" i="1" s="1"/>
  <c r="U1635" i="1"/>
  <c r="V1635" i="1" s="1"/>
  <c r="W1635" i="1" s="1"/>
  <c r="V1639" i="1"/>
  <c r="U1643" i="1"/>
  <c r="V1643" i="1" s="1"/>
  <c r="W1643" i="1" s="1"/>
  <c r="X1643" i="1" s="1"/>
  <c r="U1647" i="1"/>
  <c r="V1647" i="1" s="1"/>
  <c r="U1651" i="1"/>
  <c r="V1651" i="1" s="1"/>
  <c r="V1655" i="1"/>
  <c r="U1659" i="1"/>
  <c r="V1659" i="1" s="1"/>
  <c r="W1659" i="1" s="1"/>
  <c r="X1659" i="1" s="1"/>
  <c r="U1663" i="1"/>
  <c r="V1663" i="1" s="1"/>
  <c r="W1663" i="1" s="1"/>
  <c r="U1667" i="1"/>
  <c r="V1667" i="1" s="1"/>
  <c r="V1671" i="1"/>
  <c r="W1671" i="1" s="1"/>
  <c r="X1671" i="1" s="1"/>
  <c r="U1675" i="1"/>
  <c r="V1675" i="1" s="1"/>
  <c r="W1675" i="1" s="1"/>
  <c r="X1675" i="1" s="1"/>
  <c r="U1679" i="1"/>
  <c r="V1679" i="1" s="1"/>
  <c r="U1683" i="1"/>
  <c r="V1683" i="1" s="1"/>
  <c r="W1683" i="1" s="1"/>
  <c r="U1691" i="1"/>
  <c r="V1691" i="1" s="1"/>
  <c r="W1691" i="1" s="1"/>
  <c r="X1691" i="1" s="1"/>
  <c r="U1695" i="1"/>
  <c r="V1695" i="1" s="1"/>
  <c r="W1695" i="1" s="1"/>
  <c r="U1699" i="1"/>
  <c r="V1699" i="1" s="1"/>
  <c r="V1703" i="1"/>
  <c r="V1712" i="1"/>
  <c r="W1712" i="1" s="1"/>
  <c r="X1712" i="1" s="1"/>
  <c r="P1715" i="1"/>
  <c r="P1723" i="1"/>
  <c r="P1747" i="1"/>
  <c r="P1755" i="1"/>
  <c r="P1779" i="1"/>
  <c r="U1781" i="1"/>
  <c r="V1781" i="1" s="1"/>
  <c r="P1795" i="1"/>
  <c r="U1797" i="1"/>
  <c r="V1797" i="1" s="1"/>
  <c r="W1797" i="1" s="1"/>
  <c r="X1797" i="1" s="1"/>
  <c r="P1811" i="1"/>
  <c r="U1813" i="1"/>
  <c r="V1813" i="1" s="1"/>
  <c r="W1813" i="1" s="1"/>
  <c r="X1813" i="1" s="1"/>
  <c r="P1827" i="1"/>
  <c r="U1829" i="1"/>
  <c r="V1829" i="1" s="1"/>
  <c r="W1829" i="1" s="1"/>
  <c r="V1850" i="1"/>
  <c r="W1850" i="1" s="1"/>
  <c r="X1850" i="1" s="1"/>
  <c r="O1853" i="1"/>
  <c r="P1853" i="1" s="1"/>
  <c r="X1859" i="1"/>
  <c r="U1861" i="1"/>
  <c r="V1861" i="1" s="1"/>
  <c r="W1861" i="1" s="1"/>
  <c r="X1861" i="1" s="1"/>
  <c r="U1866" i="1"/>
  <c r="V1866" i="1" s="1"/>
  <c r="W1866" i="1" s="1"/>
  <c r="X1866" i="1" s="1"/>
  <c r="O1886" i="1"/>
  <c r="P1886" i="1" s="1"/>
  <c r="O1902" i="1"/>
  <c r="P1902" i="1" s="1"/>
  <c r="O1918" i="1"/>
  <c r="P1918" i="1" s="1"/>
  <c r="U1950" i="1"/>
  <c r="V1950" i="1" s="1"/>
  <c r="W1950" i="1" s="1"/>
  <c r="X1950" i="1" s="1"/>
  <c r="O1965" i="1"/>
  <c r="P1965" i="1" s="1"/>
  <c r="P1989" i="1"/>
  <c r="V1994" i="1"/>
  <c r="W1994" i="1" s="1"/>
  <c r="X1994" i="1" s="1"/>
  <c r="V2006" i="1"/>
  <c r="W2006" i="1" s="1"/>
  <c r="X2006" i="1" s="1"/>
  <c r="U2034" i="1"/>
  <c r="V2034" i="1" s="1"/>
  <c r="W2034" i="1" s="1"/>
  <c r="X2034" i="1" s="1"/>
  <c r="U2078" i="1"/>
  <c r="V2078" i="1" s="1"/>
  <c r="W2078" i="1" s="1"/>
  <c r="X2078" i="1" s="1"/>
  <c r="O2125" i="1"/>
  <c r="P2125" i="1" s="1"/>
  <c r="U2272" i="1"/>
  <c r="V2272" i="1" s="1"/>
  <c r="W2272" i="1" s="1"/>
  <c r="X2272" i="1" s="1"/>
  <c r="O2311" i="1"/>
  <c r="P2311" i="1" s="1"/>
  <c r="O2375" i="1"/>
  <c r="P2375" i="1" s="1"/>
  <c r="V2451" i="1"/>
  <c r="W2451" i="1" s="1"/>
  <c r="X2451" i="1" s="1"/>
  <c r="U2454" i="1"/>
  <c r="V2454" i="1" s="1"/>
  <c r="W2454" i="1" s="1"/>
  <c r="X2454" i="1" s="1"/>
  <c r="U2467" i="1"/>
  <c r="V2467" i="1" s="1"/>
  <c r="W2467" i="1" s="1"/>
  <c r="X2467" i="1" s="1"/>
  <c r="U2471" i="1"/>
  <c r="V2471" i="1" s="1"/>
  <c r="W2471" i="1" s="1"/>
  <c r="X2471" i="1" s="1"/>
  <c r="V2527" i="1"/>
  <c r="W2527" i="1" s="1"/>
  <c r="X2527" i="1" s="1"/>
  <c r="V2547" i="1"/>
  <c r="W2547" i="1" s="1"/>
  <c r="X2547" i="1" s="1"/>
  <c r="U2571" i="1"/>
  <c r="V2571" i="1" s="1"/>
  <c r="W2571" i="1" s="1"/>
  <c r="X2571" i="1" s="1"/>
  <c r="U2591" i="1"/>
  <c r="V2591" i="1" s="1"/>
  <c r="W2591" i="1" s="1"/>
  <c r="X2591" i="1" s="1"/>
  <c r="U2623" i="1"/>
  <c r="V2623" i="1" s="1"/>
  <c r="W2623" i="1" s="1"/>
  <c r="X2623" i="1" s="1"/>
  <c r="U2643" i="1"/>
  <c r="V2643" i="1" s="1"/>
  <c r="W2643" i="1" s="1"/>
  <c r="X2643" i="1" s="1"/>
  <c r="O2657" i="1"/>
  <c r="P2657" i="1" s="1"/>
  <c r="O2678" i="1"/>
  <c r="P2678" i="1" s="1"/>
  <c r="U2845" i="1"/>
  <c r="V2845" i="1" s="1"/>
  <c r="W2845" i="1" s="1"/>
  <c r="X2845" i="1" s="1"/>
  <c r="V1373" i="1"/>
  <c r="W1373" i="1" s="1"/>
  <c r="V1381" i="1"/>
  <c r="W1381" i="1" s="1"/>
  <c r="X1381" i="1" s="1"/>
  <c r="V1389" i="1"/>
  <c r="W1389" i="1" s="1"/>
  <c r="X1389" i="1" s="1"/>
  <c r="V1397" i="1"/>
  <c r="W1397" i="1" s="1"/>
  <c r="V1405" i="1"/>
  <c r="W1405" i="1" s="1"/>
  <c r="V1413" i="1"/>
  <c r="W1413" i="1" s="1"/>
  <c r="X1413" i="1" s="1"/>
  <c r="V1421" i="1"/>
  <c r="W1421" i="1" s="1"/>
  <c r="X1421" i="1" s="1"/>
  <c r="V1429" i="1"/>
  <c r="W1429" i="1" s="1"/>
  <c r="V1437" i="1"/>
  <c r="W1437" i="1" s="1"/>
  <c r="V1445" i="1"/>
  <c r="W1445" i="1" s="1"/>
  <c r="X1445" i="1" s="1"/>
  <c r="V1680" i="1"/>
  <c r="W1680" i="1" s="1"/>
  <c r="X1680" i="1" s="1"/>
  <c r="U1687" i="1"/>
  <c r="V1687" i="1" s="1"/>
  <c r="W1687" i="1" s="1"/>
  <c r="X1687" i="1" s="1"/>
  <c r="V1688" i="1"/>
  <c r="W1688" i="1" s="1"/>
  <c r="V1696" i="1"/>
  <c r="W1696" i="1" s="1"/>
  <c r="X1696" i="1" s="1"/>
  <c r="V1773" i="1"/>
  <c r="W1773" i="1" s="1"/>
  <c r="X1773" i="1" s="1"/>
  <c r="V1789" i="1"/>
  <c r="W1789" i="1" s="1"/>
  <c r="X1789" i="1" s="1"/>
  <c r="V1805" i="1"/>
  <c r="W1805" i="1" s="1"/>
  <c r="X1805" i="1" s="1"/>
  <c r="V1821" i="1"/>
  <c r="W1821" i="1" s="1"/>
  <c r="X1821" i="1" s="1"/>
  <c r="V1837" i="1"/>
  <c r="W1837" i="1" s="1"/>
  <c r="X1837" i="1" s="1"/>
  <c r="O1885" i="1"/>
  <c r="P1885" i="1" s="1"/>
  <c r="V1886" i="1"/>
  <c r="W1886" i="1" s="1"/>
  <c r="X1886" i="1" s="1"/>
  <c r="P1894" i="1"/>
  <c r="O1901" i="1"/>
  <c r="P1901" i="1" s="1"/>
  <c r="V1902" i="1"/>
  <c r="P1910" i="1"/>
  <c r="O1917" i="1"/>
  <c r="P1917" i="1" s="1"/>
  <c r="V1918" i="1"/>
  <c r="W1918" i="1" s="1"/>
  <c r="X1918" i="1" s="1"/>
  <c r="P1926" i="1"/>
  <c r="O1933" i="1"/>
  <c r="P1933" i="1" s="1"/>
  <c r="P1957" i="1"/>
  <c r="V1962" i="1"/>
  <c r="W1962" i="1" s="1"/>
  <c r="X1962" i="1" s="1"/>
  <c r="V1974" i="1"/>
  <c r="W1974" i="1" s="1"/>
  <c r="X1974" i="1" s="1"/>
  <c r="U2002" i="1"/>
  <c r="V2002" i="1" s="1"/>
  <c r="W2002" i="1" s="1"/>
  <c r="X2002" i="1" s="1"/>
  <c r="U2046" i="1"/>
  <c r="V2046" i="1" s="1"/>
  <c r="W2046" i="1" s="1"/>
  <c r="X2046" i="1" s="1"/>
  <c r="O2061" i="1"/>
  <c r="P2061" i="1" s="1"/>
  <c r="O2447" i="1"/>
  <c r="P2447" i="1" s="1"/>
  <c r="U2479" i="1"/>
  <c r="V2479" i="1" s="1"/>
  <c r="W2479" i="1" s="1"/>
  <c r="X2479" i="1" s="1"/>
  <c r="U2499" i="1"/>
  <c r="V2499" i="1" s="1"/>
  <c r="W2499" i="1" s="1"/>
  <c r="X2499" i="1" s="1"/>
  <c r="U2543" i="1"/>
  <c r="V2543" i="1" s="1"/>
  <c r="W2543" i="1" s="1"/>
  <c r="X2543" i="1" s="1"/>
  <c r="V2655" i="1"/>
  <c r="W2655" i="1" s="1"/>
  <c r="X2655" i="1" s="1"/>
  <c r="V2666" i="1"/>
  <c r="W2666" i="1" s="1"/>
  <c r="X2666" i="1" s="1"/>
  <c r="U2781" i="1"/>
  <c r="V2781" i="1" s="1"/>
  <c r="W2781" i="1" s="1"/>
  <c r="X2781" i="1" s="1"/>
  <c r="O2808" i="1"/>
  <c r="P2808" i="1" s="1"/>
  <c r="U2909" i="1"/>
  <c r="V2909" i="1" s="1"/>
  <c r="W2909" i="1" s="1"/>
  <c r="X2909" i="1" s="1"/>
  <c r="V1707" i="1"/>
  <c r="W1707" i="1" s="1"/>
  <c r="X1707" i="1" s="1"/>
  <c r="V1711" i="1"/>
  <c r="W1711" i="1" s="1"/>
  <c r="V1715" i="1"/>
  <c r="W1715" i="1" s="1"/>
  <c r="V1723" i="1"/>
  <c r="W1723" i="1" s="1"/>
  <c r="X1723" i="1" s="1"/>
  <c r="V1727" i="1"/>
  <c r="V1731" i="1"/>
  <c r="W1731" i="1" s="1"/>
  <c r="V1739" i="1"/>
  <c r="W1739" i="1" s="1"/>
  <c r="X1739" i="1" s="1"/>
  <c r="V1743" i="1"/>
  <c r="W1743" i="1" s="1"/>
  <c r="V1747" i="1"/>
  <c r="W1747" i="1" s="1"/>
  <c r="V1755" i="1"/>
  <c r="W1755" i="1" s="1"/>
  <c r="X1755" i="1" s="1"/>
  <c r="V1759" i="1"/>
  <c r="W1759" i="1" s="1"/>
  <c r="V1763" i="1"/>
  <c r="U2721" i="1"/>
  <c r="V2721" i="1" s="1"/>
  <c r="W2721" i="1" s="1"/>
  <c r="X2721" i="1" s="1"/>
  <c r="O2728" i="1"/>
  <c r="P2728" i="1" s="1"/>
  <c r="U2765" i="1"/>
  <c r="V2765" i="1" s="1"/>
  <c r="W2765" i="1" s="1"/>
  <c r="X2765" i="1" s="1"/>
  <c r="O2792" i="1"/>
  <c r="P2792" i="1" s="1"/>
  <c r="U2829" i="1"/>
  <c r="V2829" i="1" s="1"/>
  <c r="W2829" i="1" s="1"/>
  <c r="X2829" i="1" s="1"/>
  <c r="O2856" i="1"/>
  <c r="P2856" i="1" s="1"/>
  <c r="U2893" i="1"/>
  <c r="V2893" i="1" s="1"/>
  <c r="W2893" i="1" s="1"/>
  <c r="X2893" i="1" s="1"/>
  <c r="O2920" i="1"/>
  <c r="P2920" i="1" s="1"/>
  <c r="W2955" i="1"/>
  <c r="X2955" i="1" s="1"/>
  <c r="U2957" i="1"/>
  <c r="V2957" i="1" s="1"/>
  <c r="W2957" i="1" s="1"/>
  <c r="X2957" i="1" s="1"/>
  <c r="O3126" i="1"/>
  <c r="P3126" i="1" s="1"/>
  <c r="O3231" i="1"/>
  <c r="P3231" i="1" s="1"/>
  <c r="V1719" i="1"/>
  <c r="V1735" i="1"/>
  <c r="W1735" i="1" s="1"/>
  <c r="X1735" i="1" s="1"/>
  <c r="V1751" i="1"/>
  <c r="W1751" i="1" s="1"/>
  <c r="X1751" i="1" s="1"/>
  <c r="V1767" i="1"/>
  <c r="W1767" i="1" s="1"/>
  <c r="X1767" i="1" s="1"/>
  <c r="V1891" i="1"/>
  <c r="W1891" i="1" s="1"/>
  <c r="X1891" i="1" s="1"/>
  <c r="V1907" i="1"/>
  <c r="W1907" i="1" s="1"/>
  <c r="X1907" i="1" s="1"/>
  <c r="V1923" i="1"/>
  <c r="W1923" i="1" s="1"/>
  <c r="X1923" i="1" s="1"/>
  <c r="P2295" i="1"/>
  <c r="V2320" i="1"/>
  <c r="P2359" i="1"/>
  <c r="P2423" i="1"/>
  <c r="V2438" i="1"/>
  <c r="W2438" i="1" s="1"/>
  <c r="X2438" i="1" s="1"/>
  <c r="V2440" i="1"/>
  <c r="U2691" i="1"/>
  <c r="V2691" i="1" s="1"/>
  <c r="W2691" i="1" s="1"/>
  <c r="X2691" i="1" s="1"/>
  <c r="U2699" i="1"/>
  <c r="V2699" i="1" s="1"/>
  <c r="W2699" i="1" s="1"/>
  <c r="U2707" i="1"/>
  <c r="V2707" i="1" s="1"/>
  <c r="U2715" i="1"/>
  <c r="V2715" i="1" s="1"/>
  <c r="W2715" i="1" s="1"/>
  <c r="X2715" i="1" s="1"/>
  <c r="U2749" i="1"/>
  <c r="V2749" i="1" s="1"/>
  <c r="W2749" i="1" s="1"/>
  <c r="X2749" i="1" s="1"/>
  <c r="O2776" i="1"/>
  <c r="P2776" i="1" s="1"/>
  <c r="U2813" i="1"/>
  <c r="V2813" i="1" s="1"/>
  <c r="W2813" i="1" s="1"/>
  <c r="X2813" i="1" s="1"/>
  <c r="O2840" i="1"/>
  <c r="P2840" i="1" s="1"/>
  <c r="U2877" i="1"/>
  <c r="V2877" i="1" s="1"/>
  <c r="W2877" i="1" s="1"/>
  <c r="X2877" i="1" s="1"/>
  <c r="O2904" i="1"/>
  <c r="P2904" i="1" s="1"/>
  <c r="O3030" i="1"/>
  <c r="P3030" i="1" s="1"/>
  <c r="U3098" i="1"/>
  <c r="V3098" i="1" s="1"/>
  <c r="U2733" i="1"/>
  <c r="V2733" i="1" s="1"/>
  <c r="W2733" i="1" s="1"/>
  <c r="X2733" i="1" s="1"/>
  <c r="O2760" i="1"/>
  <c r="P2760" i="1" s="1"/>
  <c r="U2797" i="1"/>
  <c r="V2797" i="1" s="1"/>
  <c r="W2797" i="1" s="1"/>
  <c r="X2797" i="1" s="1"/>
  <c r="O2824" i="1"/>
  <c r="P2824" i="1" s="1"/>
  <c r="U2861" i="1"/>
  <c r="V2861" i="1" s="1"/>
  <c r="W2861" i="1" s="1"/>
  <c r="X2861" i="1" s="1"/>
  <c r="O2888" i="1"/>
  <c r="P2888" i="1" s="1"/>
  <c r="U2925" i="1"/>
  <c r="V2925" i="1" s="1"/>
  <c r="W2925" i="1" s="1"/>
  <c r="X2925" i="1" s="1"/>
  <c r="O3083" i="1"/>
  <c r="P3083" i="1" s="1"/>
  <c r="O3211" i="1"/>
  <c r="P3211" i="1" s="1"/>
  <c r="V2730" i="1"/>
  <c r="W2730" i="1" s="1"/>
  <c r="X2730" i="1" s="1"/>
  <c r="V2746" i="1"/>
  <c r="W2746" i="1" s="1"/>
  <c r="X2746" i="1" s="1"/>
  <c r="V2762" i="1"/>
  <c r="W2762" i="1" s="1"/>
  <c r="X2762" i="1" s="1"/>
  <c r="V2778" i="1"/>
  <c r="W2778" i="1" s="1"/>
  <c r="X2778" i="1" s="1"/>
  <c r="V2794" i="1"/>
  <c r="W2794" i="1" s="1"/>
  <c r="X2794" i="1" s="1"/>
  <c r="V2810" i="1"/>
  <c r="W2810" i="1" s="1"/>
  <c r="X2810" i="1" s="1"/>
  <c r="V2826" i="1"/>
  <c r="W2826" i="1" s="1"/>
  <c r="X2826" i="1" s="1"/>
  <c r="V2842" i="1"/>
  <c r="W2842" i="1" s="1"/>
  <c r="X2842" i="1" s="1"/>
  <c r="V2858" i="1"/>
  <c r="W2858" i="1" s="1"/>
  <c r="X2858" i="1" s="1"/>
  <c r="V2874" i="1"/>
  <c r="W2874" i="1" s="1"/>
  <c r="X2874" i="1" s="1"/>
  <c r="V2890" i="1"/>
  <c r="W2890" i="1" s="1"/>
  <c r="X2890" i="1" s="1"/>
  <c r="V2906" i="1"/>
  <c r="W2906" i="1" s="1"/>
  <c r="X2906" i="1" s="1"/>
  <c r="V2922" i="1"/>
  <c r="W2922" i="1" s="1"/>
  <c r="X2922" i="1" s="1"/>
  <c r="U3019" i="1"/>
  <c r="V3019" i="1" s="1"/>
  <c r="W3019" i="1" s="1"/>
  <c r="X3019" i="1" s="1"/>
  <c r="U3035" i="1"/>
  <c r="V3035" i="1" s="1"/>
  <c r="V3055" i="1"/>
  <c r="W3055" i="1" s="1"/>
  <c r="X3055" i="1" s="1"/>
  <c r="W3056" i="1"/>
  <c r="X3056" i="1" s="1"/>
  <c r="U3179" i="1"/>
  <c r="V3179" i="1" s="1"/>
  <c r="W3179" i="1" s="1"/>
  <c r="X3179" i="1" s="1"/>
  <c r="O3195" i="1"/>
  <c r="P3195" i="1" s="1"/>
  <c r="U3263" i="1"/>
  <c r="V3263" i="1" s="1"/>
  <c r="W3263" i="1" s="1"/>
  <c r="X3263" i="1" s="1"/>
  <c r="U3265" i="1"/>
  <c r="V3265" i="1" s="1"/>
  <c r="W3265" i="1" s="1"/>
  <c r="X3265" i="1" s="1"/>
  <c r="O2950" i="1"/>
  <c r="P2950" i="1" s="1"/>
  <c r="O2972" i="1"/>
  <c r="P2972" i="1" s="1"/>
  <c r="O2976" i="1"/>
  <c r="P2976" i="1" s="1"/>
  <c r="O2980" i="1"/>
  <c r="P2980" i="1" s="1"/>
  <c r="O2984" i="1"/>
  <c r="P2984" i="1" s="1"/>
  <c r="O2988" i="1"/>
  <c r="P2988" i="1" s="1"/>
  <c r="O2992" i="1"/>
  <c r="P2992" i="1" s="1"/>
  <c r="O2996" i="1"/>
  <c r="P2996" i="1" s="1"/>
  <c r="O3000" i="1"/>
  <c r="P3000" i="1" s="1"/>
  <c r="O3004" i="1"/>
  <c r="P3004" i="1" s="1"/>
  <c r="O3038" i="1"/>
  <c r="P3038" i="1" s="1"/>
  <c r="U3043" i="1"/>
  <c r="V3043" i="1" s="1"/>
  <c r="W3043" i="1" s="1"/>
  <c r="X3043" i="1" s="1"/>
  <c r="O3061" i="1"/>
  <c r="P3061" i="1" s="1"/>
  <c r="V3087" i="1"/>
  <c r="W3087" i="1" s="1"/>
  <c r="X3087" i="1" s="1"/>
  <c r="W3088" i="1"/>
  <c r="X3088" i="1" s="1"/>
  <c r="U3102" i="1"/>
  <c r="V3102" i="1" s="1"/>
  <c r="U3106" i="1"/>
  <c r="V3106" i="1" s="1"/>
  <c r="W3106" i="1" s="1"/>
  <c r="O3119" i="1"/>
  <c r="P3119" i="1" s="1"/>
  <c r="O3142" i="1"/>
  <c r="P3142" i="1" s="1"/>
  <c r="U3174" i="1"/>
  <c r="V3174" i="1" s="1"/>
  <c r="W3174" i="1" s="1"/>
  <c r="X3174" i="1" s="1"/>
  <c r="O3194" i="1"/>
  <c r="P3194" i="1" s="1"/>
  <c r="U3204" i="1"/>
  <c r="V3204" i="1" s="1"/>
  <c r="U3255" i="1"/>
  <c r="V3255" i="1" s="1"/>
  <c r="W3255" i="1" s="1"/>
  <c r="X3255" i="1" s="1"/>
  <c r="O3300" i="1"/>
  <c r="P3300" i="1" s="1"/>
  <c r="U3337" i="1"/>
  <c r="V3337" i="1" s="1"/>
  <c r="W3337" i="1" s="1"/>
  <c r="X3337" i="1" s="1"/>
  <c r="V2694" i="1"/>
  <c r="W2694" i="1" s="1"/>
  <c r="X2694" i="1" s="1"/>
  <c r="V2702" i="1"/>
  <c r="W2702" i="1" s="1"/>
  <c r="X2702" i="1" s="1"/>
  <c r="V2710" i="1"/>
  <c r="W2710" i="1" s="1"/>
  <c r="X2710" i="1" s="1"/>
  <c r="V2718" i="1"/>
  <c r="W2718" i="1" s="1"/>
  <c r="X2718" i="1" s="1"/>
  <c r="V2726" i="1"/>
  <c r="W2726" i="1" s="1"/>
  <c r="X2726" i="1" s="1"/>
  <c r="P2732" i="1"/>
  <c r="V2737" i="1"/>
  <c r="W2737" i="1" s="1"/>
  <c r="X2737" i="1" s="1"/>
  <c r="V2742" i="1"/>
  <c r="W2742" i="1" s="1"/>
  <c r="X2742" i="1" s="1"/>
  <c r="P2748" i="1"/>
  <c r="V2753" i="1"/>
  <c r="W2753" i="1" s="1"/>
  <c r="X2753" i="1" s="1"/>
  <c r="V2758" i="1"/>
  <c r="W2758" i="1" s="1"/>
  <c r="X2758" i="1" s="1"/>
  <c r="P2764" i="1"/>
  <c r="V2769" i="1"/>
  <c r="W2769" i="1" s="1"/>
  <c r="X2769" i="1" s="1"/>
  <c r="V2774" i="1"/>
  <c r="W2774" i="1" s="1"/>
  <c r="X2774" i="1" s="1"/>
  <c r="P2780" i="1"/>
  <c r="V2785" i="1"/>
  <c r="W2785" i="1" s="1"/>
  <c r="X2785" i="1" s="1"/>
  <c r="V2790" i="1"/>
  <c r="W2790" i="1" s="1"/>
  <c r="X2790" i="1" s="1"/>
  <c r="P2796" i="1"/>
  <c r="V2801" i="1"/>
  <c r="W2801" i="1" s="1"/>
  <c r="X2801" i="1" s="1"/>
  <c r="V2806" i="1"/>
  <c r="W2806" i="1" s="1"/>
  <c r="X2806" i="1" s="1"/>
  <c r="P2812" i="1"/>
  <c r="V2817" i="1"/>
  <c r="W2817" i="1" s="1"/>
  <c r="X2817" i="1" s="1"/>
  <c r="V2822" i="1"/>
  <c r="W2822" i="1" s="1"/>
  <c r="X2822" i="1" s="1"/>
  <c r="P2828" i="1"/>
  <c r="V2833" i="1"/>
  <c r="W2833" i="1" s="1"/>
  <c r="X2833" i="1" s="1"/>
  <c r="V2838" i="1"/>
  <c r="W2838" i="1" s="1"/>
  <c r="X2838" i="1" s="1"/>
  <c r="P2844" i="1"/>
  <c r="V2849" i="1"/>
  <c r="W2849" i="1" s="1"/>
  <c r="V2854" i="1"/>
  <c r="W2854" i="1" s="1"/>
  <c r="X2854" i="1" s="1"/>
  <c r="P2860" i="1"/>
  <c r="V2865" i="1"/>
  <c r="W2865" i="1" s="1"/>
  <c r="X2865" i="1" s="1"/>
  <c r="V2870" i="1"/>
  <c r="W2870" i="1" s="1"/>
  <c r="X2870" i="1" s="1"/>
  <c r="P2876" i="1"/>
  <c r="V2881" i="1"/>
  <c r="W2881" i="1" s="1"/>
  <c r="X2881" i="1" s="1"/>
  <c r="V2886" i="1"/>
  <c r="W2886" i="1" s="1"/>
  <c r="X2886" i="1" s="1"/>
  <c r="P2892" i="1"/>
  <c r="V2897" i="1"/>
  <c r="W2897" i="1" s="1"/>
  <c r="X2897" i="1" s="1"/>
  <c r="V2902" i="1"/>
  <c r="W2902" i="1" s="1"/>
  <c r="X2902" i="1" s="1"/>
  <c r="P2908" i="1"/>
  <c r="V2913" i="1"/>
  <c r="W2913" i="1" s="1"/>
  <c r="X2913" i="1" s="1"/>
  <c r="V2918" i="1"/>
  <c r="W2918" i="1" s="1"/>
  <c r="X2918" i="1" s="1"/>
  <c r="P2924" i="1"/>
  <c r="V2929" i="1"/>
  <c r="W2929" i="1" s="1"/>
  <c r="X2929" i="1" s="1"/>
  <c r="U2934" i="1"/>
  <c r="V2934" i="1" s="1"/>
  <c r="W2934" i="1" s="1"/>
  <c r="X2934" i="1" s="1"/>
  <c r="V2938" i="1"/>
  <c r="W2938" i="1" s="1"/>
  <c r="X2938" i="1" s="1"/>
  <c r="V2941" i="1"/>
  <c r="W2941" i="1" s="1"/>
  <c r="X2941" i="1" s="1"/>
  <c r="U3011" i="1"/>
  <c r="V3011" i="1" s="1"/>
  <c r="W3011" i="1" s="1"/>
  <c r="X3011" i="1" s="1"/>
  <c r="U3027" i="1"/>
  <c r="V3027" i="1" s="1"/>
  <c r="W3027" i="1" s="1"/>
  <c r="X3027" i="1" s="1"/>
  <c r="O3046" i="1"/>
  <c r="P3046" i="1" s="1"/>
  <c r="U3051" i="1"/>
  <c r="V3051" i="1" s="1"/>
  <c r="W3051" i="1" s="1"/>
  <c r="X3051" i="1" s="1"/>
  <c r="U3066" i="1"/>
  <c r="V3066" i="1" s="1"/>
  <c r="U3082" i="1"/>
  <c r="V3082" i="1" s="1"/>
  <c r="W3082" i="1" s="1"/>
  <c r="X3082" i="1" s="1"/>
  <c r="O3093" i="1"/>
  <c r="P3093" i="1" s="1"/>
  <c r="U3206" i="1"/>
  <c r="V3206" i="1" s="1"/>
  <c r="W3206" i="1" s="1"/>
  <c r="U3210" i="1"/>
  <c r="V3210" i="1" s="1"/>
  <c r="W3210" i="1" s="1"/>
  <c r="X3210" i="1" s="1"/>
  <c r="O3223" i="1"/>
  <c r="P3223" i="1" s="1"/>
  <c r="O3239" i="1"/>
  <c r="P3239" i="1" s="1"/>
  <c r="W3336" i="1"/>
  <c r="X3336" i="1" s="1"/>
  <c r="P2969" i="1"/>
  <c r="V3008" i="1"/>
  <c r="W3008" i="1" s="1"/>
  <c r="X3008" i="1" s="1"/>
  <c r="V3016" i="1"/>
  <c r="W3016" i="1" s="1"/>
  <c r="X3016" i="1" s="1"/>
  <c r="V3024" i="1"/>
  <c r="W3024" i="1" s="1"/>
  <c r="X3024" i="1" s="1"/>
  <c r="V3032" i="1"/>
  <c r="W3032" i="1" s="1"/>
  <c r="X3032" i="1" s="1"/>
  <c r="V3040" i="1"/>
  <c r="W3040" i="1" s="1"/>
  <c r="X3040" i="1" s="1"/>
  <c r="V3048" i="1"/>
  <c r="W3048" i="1" s="1"/>
  <c r="X3048" i="1" s="1"/>
  <c r="P3054" i="1"/>
  <c r="P3086" i="1"/>
  <c r="V3126" i="1"/>
  <c r="W3126" i="1" s="1"/>
  <c r="X3126" i="1" s="1"/>
  <c r="V3130" i="1"/>
  <c r="W3130" i="1" s="1"/>
  <c r="V3154" i="1"/>
  <c r="W3154" i="1" s="1"/>
  <c r="X3154" i="1" s="1"/>
  <c r="V3166" i="1"/>
  <c r="W3166" i="1" s="1"/>
  <c r="V3188" i="1"/>
  <c r="W3188" i="1" s="1"/>
  <c r="X3188" i="1" s="1"/>
  <c r="V3225" i="1"/>
  <c r="W3225" i="1" s="1"/>
  <c r="O3247" i="1"/>
  <c r="P3247" i="1" s="1"/>
  <c r="U3269" i="1"/>
  <c r="V3269" i="1" s="1"/>
  <c r="W3269" i="1" s="1"/>
  <c r="X3269" i="1" s="1"/>
  <c r="V3280" i="1"/>
  <c r="W3280" i="1" s="1"/>
  <c r="O3292" i="1"/>
  <c r="P3292" i="1" s="1"/>
  <c r="O3296" i="1"/>
  <c r="P3296" i="1" s="1"/>
  <c r="U3301" i="1"/>
  <c r="V3301" i="1" s="1"/>
  <c r="W3301" i="1" s="1"/>
  <c r="X3301" i="1" s="1"/>
  <c r="P3316" i="1"/>
  <c r="V3321" i="1"/>
  <c r="W3321" i="1" s="1"/>
  <c r="X3321" i="1" s="1"/>
  <c r="U3333" i="1"/>
  <c r="V3333" i="1" s="1"/>
  <c r="W3333" i="1" s="1"/>
  <c r="X3333" i="1" s="1"/>
  <c r="U3372" i="1"/>
  <c r="V3372" i="1" s="1"/>
  <c r="W3372" i="1" s="1"/>
  <c r="U3249" i="1"/>
  <c r="V3249" i="1" s="1"/>
  <c r="W3249" i="1" s="1"/>
  <c r="O3276" i="1"/>
  <c r="P3276" i="1" s="1"/>
  <c r="U3292" i="1"/>
  <c r="V3292" i="1" s="1"/>
  <c r="W3292" i="1" s="1"/>
  <c r="O3308" i="1"/>
  <c r="P3308" i="1" s="1"/>
  <c r="O3312" i="1"/>
  <c r="P3312" i="1" s="1"/>
  <c r="U3317" i="1"/>
  <c r="V3317" i="1" s="1"/>
  <c r="W3317" i="1" s="1"/>
  <c r="X3317" i="1" s="1"/>
  <c r="U3329" i="1"/>
  <c r="V3329" i="1" s="1"/>
  <c r="W3329" i="1" s="1"/>
  <c r="X3329" i="1" s="1"/>
  <c r="U3352" i="1"/>
  <c r="V3352" i="1" s="1"/>
  <c r="U3368" i="1"/>
  <c r="V3368" i="1" s="1"/>
  <c r="V3058" i="1"/>
  <c r="W3058" i="1" s="1"/>
  <c r="X3058" i="1" s="1"/>
  <c r="V3060" i="1"/>
  <c r="W3060" i="1" s="1"/>
  <c r="X3060" i="1" s="1"/>
  <c r="U3064" i="1"/>
  <c r="V3064" i="1" s="1"/>
  <c r="W3064" i="1" s="1"/>
  <c r="X3064" i="1" s="1"/>
  <c r="O3071" i="1"/>
  <c r="P3071" i="1" s="1"/>
  <c r="P3082" i="1"/>
  <c r="V3090" i="1"/>
  <c r="W3090" i="1" s="1"/>
  <c r="X3090" i="1" s="1"/>
  <c r="V3092" i="1"/>
  <c r="W3092" i="1" s="1"/>
  <c r="X3092" i="1" s="1"/>
  <c r="U3096" i="1"/>
  <c r="V3096" i="1" s="1"/>
  <c r="W3096" i="1" s="1"/>
  <c r="X3096" i="1" s="1"/>
  <c r="V3105" i="1"/>
  <c r="W3105" i="1" s="1"/>
  <c r="V3109" i="1"/>
  <c r="W3109" i="1" s="1"/>
  <c r="X3109" i="1" s="1"/>
  <c r="P3111" i="1"/>
  <c r="U3113" i="1"/>
  <c r="V3113" i="1" s="1"/>
  <c r="W3113" i="1" s="1"/>
  <c r="P3115" i="1"/>
  <c r="U3117" i="1"/>
  <c r="V3117" i="1" s="1"/>
  <c r="W3117" i="1" s="1"/>
  <c r="X3117" i="1" s="1"/>
  <c r="V3118" i="1"/>
  <c r="W3118" i="1" s="1"/>
  <c r="V3122" i="1"/>
  <c r="W3122" i="1" s="1"/>
  <c r="X3122" i="1" s="1"/>
  <c r="V3134" i="1"/>
  <c r="W3134" i="1" s="1"/>
  <c r="U3142" i="1"/>
  <c r="V3142" i="1" s="1"/>
  <c r="W3142" i="1" s="1"/>
  <c r="X3142" i="1" s="1"/>
  <c r="U3146" i="1"/>
  <c r="V3146" i="1" s="1"/>
  <c r="W3146" i="1" s="1"/>
  <c r="V3147" i="1"/>
  <c r="W3147" i="1" s="1"/>
  <c r="X3147" i="1" s="1"/>
  <c r="V3158" i="1"/>
  <c r="W3158" i="1" s="1"/>
  <c r="X3158" i="1" s="1"/>
  <c r="V3162" i="1"/>
  <c r="W3162" i="1" s="1"/>
  <c r="U3170" i="1"/>
  <c r="V3170" i="1" s="1"/>
  <c r="W3170" i="1" s="1"/>
  <c r="X3170" i="1" s="1"/>
  <c r="P3174" i="1"/>
  <c r="O3178" i="1"/>
  <c r="P3178" i="1" s="1"/>
  <c r="O3179" i="1"/>
  <c r="P3179" i="1" s="1"/>
  <c r="V3209" i="1"/>
  <c r="W3209" i="1" s="1"/>
  <c r="V3213" i="1"/>
  <c r="W3213" i="1" s="1"/>
  <c r="X3213" i="1" s="1"/>
  <c r="P3215" i="1"/>
  <c r="U3217" i="1"/>
  <c r="V3217" i="1" s="1"/>
  <c r="P3219" i="1"/>
  <c r="U3221" i="1"/>
  <c r="V3221" i="1" s="1"/>
  <c r="W3221" i="1" s="1"/>
  <c r="X3221" i="1" s="1"/>
  <c r="V3222" i="1"/>
  <c r="W3222" i="1" s="1"/>
  <c r="V3228" i="1"/>
  <c r="W3228" i="1" s="1"/>
  <c r="X3228" i="1" s="1"/>
  <c r="V3233" i="1"/>
  <c r="W3233" i="1" s="1"/>
  <c r="X3233" i="1" s="1"/>
  <c r="V3236" i="1"/>
  <c r="W3236" i="1" s="1"/>
  <c r="X3236" i="1" s="1"/>
  <c r="O3255" i="1"/>
  <c r="P3255" i="1" s="1"/>
  <c r="U3268" i="1"/>
  <c r="V3268" i="1" s="1"/>
  <c r="W3268" i="1" s="1"/>
  <c r="X3268" i="1" s="1"/>
  <c r="P3284" i="1"/>
  <c r="V3289" i="1"/>
  <c r="W3289" i="1" s="1"/>
  <c r="X3289" i="1" s="1"/>
  <c r="U3308" i="1"/>
  <c r="V3308" i="1" s="1"/>
  <c r="W3308" i="1" s="1"/>
  <c r="V3312" i="1"/>
  <c r="W3312" i="1" s="1"/>
  <c r="U3325" i="1"/>
  <c r="V3325" i="1" s="1"/>
  <c r="W3325" i="1" s="1"/>
  <c r="X3325" i="1" s="1"/>
  <c r="U3341" i="1"/>
  <c r="V3341" i="1" s="1"/>
  <c r="W3341" i="1" s="1"/>
  <c r="X3341" i="1" s="1"/>
  <c r="U3364" i="1"/>
  <c r="V3364" i="1" s="1"/>
  <c r="W3364" i="1" s="1"/>
  <c r="V3330" i="1"/>
  <c r="W3330" i="1" s="1"/>
  <c r="X3330" i="1" s="1"/>
  <c r="V3353" i="1"/>
  <c r="W3353" i="1" s="1"/>
  <c r="X3353" i="1" s="1"/>
  <c r="O3380" i="1"/>
  <c r="P3380" i="1" s="1"/>
  <c r="U3387" i="1"/>
  <c r="V3387" i="1" s="1"/>
  <c r="W3387" i="1" s="1"/>
  <c r="X3387" i="1" s="1"/>
  <c r="U3391" i="1"/>
  <c r="V3391" i="1" s="1"/>
  <c r="W3391" i="1" s="1"/>
  <c r="X3391" i="1" s="1"/>
  <c r="O3405" i="1"/>
  <c r="P3405" i="1" s="1"/>
  <c r="U3427" i="1"/>
  <c r="V3427" i="1" s="1"/>
  <c r="W3427" i="1" s="1"/>
  <c r="X3427" i="1" s="1"/>
  <c r="O3438" i="1"/>
  <c r="P3438" i="1" s="1"/>
  <c r="U3445" i="1"/>
  <c r="V3445" i="1" s="1"/>
  <c r="W3445" i="1" s="1"/>
  <c r="X3445" i="1" s="1"/>
  <c r="O3451" i="1"/>
  <c r="P3451" i="1" s="1"/>
  <c r="U3505" i="1"/>
  <c r="V3505" i="1" s="1"/>
  <c r="W3505" i="1" s="1"/>
  <c r="X3505" i="1" s="1"/>
  <c r="W3590" i="1"/>
  <c r="X3590" i="1" s="1"/>
  <c r="W3606" i="1"/>
  <c r="X3606" i="1" s="1"/>
  <c r="O3357" i="1"/>
  <c r="P3357" i="1" s="1"/>
  <c r="O3373" i="1"/>
  <c r="P3373" i="1" s="1"/>
  <c r="V3377" i="1"/>
  <c r="W3377" i="1" s="1"/>
  <c r="X3377" i="1" s="1"/>
  <c r="U3378" i="1"/>
  <c r="V3378" i="1" s="1"/>
  <c r="W3378" i="1" s="1"/>
  <c r="X3378" i="1" s="1"/>
  <c r="U3380" i="1"/>
  <c r="V3380" i="1" s="1"/>
  <c r="W3380" i="1" s="1"/>
  <c r="V3385" i="1"/>
  <c r="W3385" i="1" s="1"/>
  <c r="X3385" i="1" s="1"/>
  <c r="P3390" i="1"/>
  <c r="P3402" i="1"/>
  <c r="V3435" i="1"/>
  <c r="W3435" i="1" s="1"/>
  <c r="X3435" i="1" s="1"/>
  <c r="U3459" i="1"/>
  <c r="V3459" i="1" s="1"/>
  <c r="W3459" i="1" s="1"/>
  <c r="X3459" i="1" s="1"/>
  <c r="O3462" i="1"/>
  <c r="P3462" i="1" s="1"/>
  <c r="O3468" i="1"/>
  <c r="P3468" i="1" s="1"/>
  <c r="U3489" i="1"/>
  <c r="V3489" i="1" s="1"/>
  <c r="W3489" i="1" s="1"/>
  <c r="X3489" i="1" s="1"/>
  <c r="O3504" i="1"/>
  <c r="P3504" i="1" s="1"/>
  <c r="U3530" i="1"/>
  <c r="V3530" i="1" s="1"/>
  <c r="W3530" i="1" s="1"/>
  <c r="X3530" i="1" s="1"/>
  <c r="W3586" i="1"/>
  <c r="X3586" i="1" s="1"/>
  <c r="W3602" i="1"/>
  <c r="X3602" i="1" s="1"/>
  <c r="W3618" i="1"/>
  <c r="X3618" i="1" s="1"/>
  <c r="P3259" i="1"/>
  <c r="X3261" i="1"/>
  <c r="P3266" i="1"/>
  <c r="V3271" i="1"/>
  <c r="P3323" i="1"/>
  <c r="O3325" i="1"/>
  <c r="P3325" i="1" s="1"/>
  <c r="O3341" i="1"/>
  <c r="P3341" i="1" s="1"/>
  <c r="V3345" i="1"/>
  <c r="W3345" i="1" s="1"/>
  <c r="X3345" i="1" s="1"/>
  <c r="U3346" i="1"/>
  <c r="V3346" i="1" s="1"/>
  <c r="W3346" i="1" s="1"/>
  <c r="X3346" i="1" s="1"/>
  <c r="U3349" i="1"/>
  <c r="V3349" i="1" s="1"/>
  <c r="W3349" i="1" s="1"/>
  <c r="X3349" i="1" s="1"/>
  <c r="V3357" i="1"/>
  <c r="W3357" i="1" s="1"/>
  <c r="X3357" i="1" s="1"/>
  <c r="V3361" i="1"/>
  <c r="W3361" i="1" s="1"/>
  <c r="X3361" i="1" s="1"/>
  <c r="U3362" i="1"/>
  <c r="V3362" i="1" s="1"/>
  <c r="W3362" i="1" s="1"/>
  <c r="X3362" i="1" s="1"/>
  <c r="V3365" i="1"/>
  <c r="W3365" i="1" s="1"/>
  <c r="X3365" i="1" s="1"/>
  <c r="V3369" i="1"/>
  <c r="W3369" i="1" s="1"/>
  <c r="X3369" i="1" s="1"/>
  <c r="V3373" i="1"/>
  <c r="W3373" i="1" s="1"/>
  <c r="X3373" i="1" s="1"/>
  <c r="O3384" i="1"/>
  <c r="P3384" i="1" s="1"/>
  <c r="U3394" i="1"/>
  <c r="V3394" i="1" s="1"/>
  <c r="W3394" i="1" s="1"/>
  <c r="U3431" i="1"/>
  <c r="V3431" i="1" s="1"/>
  <c r="W3431" i="1" s="1"/>
  <c r="X3431" i="1" s="1"/>
  <c r="U3443" i="1"/>
  <c r="V3443" i="1" s="1"/>
  <c r="W3443" i="1" s="1"/>
  <c r="X3443" i="1" s="1"/>
  <c r="O3446" i="1"/>
  <c r="P3446" i="1" s="1"/>
  <c r="O3452" i="1"/>
  <c r="P3452" i="1" s="1"/>
  <c r="U3468" i="1"/>
  <c r="V3468" i="1" s="1"/>
  <c r="W3468" i="1" s="1"/>
  <c r="O3488" i="1"/>
  <c r="P3488" i="1" s="1"/>
  <c r="W3514" i="1"/>
  <c r="X3514" i="1" s="1"/>
  <c r="U3516" i="1"/>
  <c r="V3516" i="1" s="1"/>
  <c r="W3516" i="1" s="1"/>
  <c r="X3516" i="1" s="1"/>
  <c r="O3521" i="1"/>
  <c r="P3521" i="1" s="1"/>
  <c r="O3525" i="1"/>
  <c r="P3525" i="1" s="1"/>
  <c r="P3529" i="1"/>
  <c r="U3553" i="1"/>
  <c r="V3553" i="1" s="1"/>
  <c r="W3553" i="1" s="1"/>
  <c r="O3557" i="1"/>
  <c r="P3557" i="1" s="1"/>
  <c r="V3428" i="1"/>
  <c r="W3428" i="1" s="1"/>
  <c r="X3428" i="1" s="1"/>
  <c r="O3545" i="1"/>
  <c r="P3545" i="1" s="1"/>
  <c r="O3554" i="1"/>
  <c r="P3554" i="1" s="1"/>
  <c r="U3557" i="1"/>
  <c r="V3557" i="1" s="1"/>
  <c r="W3557" i="1" s="1"/>
  <c r="O3561" i="1"/>
  <c r="P3561" i="1" s="1"/>
  <c r="O3570" i="1"/>
  <c r="P3570" i="1" s="1"/>
  <c r="P3394" i="1"/>
  <c r="U3481" i="1"/>
  <c r="V3481" i="1" s="1"/>
  <c r="W3481" i="1" s="1"/>
  <c r="X3481" i="1" s="1"/>
  <c r="U3502" i="1"/>
  <c r="V3502" i="1" s="1"/>
  <c r="W3502" i="1" s="1"/>
  <c r="X3502" i="1" s="1"/>
  <c r="P3519" i="1"/>
  <c r="O3537" i="1"/>
  <c r="P3537" i="1" s="1"/>
  <c r="O3538" i="1"/>
  <c r="P3538" i="1" s="1"/>
  <c r="O3541" i="1"/>
  <c r="P3541" i="1" s="1"/>
  <c r="U3543" i="1"/>
  <c r="V3543" i="1" s="1"/>
  <c r="W3543" i="1" s="1"/>
  <c r="X3543" i="1" s="1"/>
  <c r="U3545" i="1"/>
  <c r="V3545" i="1" s="1"/>
  <c r="W3545" i="1" s="1"/>
  <c r="O3549" i="1"/>
  <c r="P3549" i="1" s="1"/>
  <c r="V3554" i="1"/>
  <c r="W3554" i="1" s="1"/>
  <c r="X3554" i="1" s="1"/>
  <c r="U3559" i="1"/>
  <c r="V3559" i="1" s="1"/>
  <c r="W3559" i="1" s="1"/>
  <c r="U3561" i="1"/>
  <c r="V3561" i="1" s="1"/>
  <c r="W3561" i="1" s="1"/>
  <c r="O3565" i="1"/>
  <c r="P3565" i="1" s="1"/>
  <c r="V3570" i="1"/>
  <c r="W3570" i="1" s="1"/>
  <c r="X3570" i="1" s="1"/>
  <c r="O3574" i="1"/>
  <c r="P3574" i="1" s="1"/>
  <c r="P3423" i="1"/>
  <c r="P3472" i="1"/>
  <c r="V3498" i="1"/>
  <c r="W3498" i="1" s="1"/>
  <c r="X3498" i="1" s="1"/>
  <c r="V3538" i="1"/>
  <c r="W3538" i="1" s="1"/>
  <c r="X3538" i="1" s="1"/>
  <c r="V3542" i="1"/>
  <c r="W3542" i="1" s="1"/>
  <c r="X3542" i="1" s="1"/>
  <c r="U3549" i="1"/>
  <c r="V3549" i="1" s="1"/>
  <c r="O3553" i="1"/>
  <c r="P3553" i="1" s="1"/>
  <c r="V3558" i="1"/>
  <c r="W3558" i="1" s="1"/>
  <c r="X3558" i="1" s="1"/>
  <c r="U3565" i="1"/>
  <c r="V3565" i="1" s="1"/>
  <c r="O3569" i="1"/>
  <c r="P3569" i="1" s="1"/>
  <c r="P3578" i="1"/>
  <c r="P3579" i="1"/>
  <c r="P3582" i="1"/>
  <c r="P3586" i="1"/>
  <c r="P3590" i="1"/>
  <c r="P3591" i="1"/>
  <c r="P3594" i="1"/>
  <c r="P3595" i="1"/>
  <c r="P3598" i="1"/>
  <c r="P3602" i="1"/>
  <c r="P3606" i="1"/>
  <c r="P3607" i="1"/>
  <c r="P3610" i="1"/>
  <c r="P3611" i="1"/>
  <c r="P3614" i="1"/>
  <c r="P3618" i="1"/>
  <c r="U3619" i="1"/>
  <c r="V3619" i="1" s="1"/>
  <c r="W3619" i="1" s="1"/>
  <c r="X3619" i="1" s="1"/>
  <c r="U3580" i="1"/>
  <c r="V3580" i="1" s="1"/>
  <c r="W3580" i="1" s="1"/>
  <c r="X3580" i="1" s="1"/>
  <c r="U3584" i="1"/>
  <c r="V3584" i="1" s="1"/>
  <c r="W3584" i="1" s="1"/>
  <c r="X3584" i="1" s="1"/>
  <c r="U3596" i="1"/>
  <c r="V3596" i="1" s="1"/>
  <c r="W3596" i="1" s="1"/>
  <c r="X3596" i="1" s="1"/>
  <c r="U3600" i="1"/>
  <c r="V3600" i="1" s="1"/>
  <c r="U3604" i="1"/>
  <c r="V3604" i="1" s="1"/>
  <c r="W3604" i="1" s="1"/>
  <c r="X3604" i="1" s="1"/>
  <c r="U3612" i="1"/>
  <c r="V3612" i="1" s="1"/>
  <c r="W3612" i="1" s="1"/>
  <c r="X3612" i="1" s="1"/>
  <c r="U3616" i="1"/>
  <c r="V3616" i="1" s="1"/>
  <c r="W3616" i="1" s="1"/>
  <c r="X3616" i="1" s="1"/>
  <c r="U3620" i="1"/>
  <c r="V3620" i="1" s="1"/>
  <c r="W3620" i="1" s="1"/>
  <c r="X3620" i="1" s="1"/>
  <c r="O1179" i="1"/>
  <c r="P1179" i="1" s="1"/>
  <c r="O1183" i="1"/>
  <c r="P1183" i="1" s="1"/>
  <c r="O1187" i="1"/>
  <c r="P1187" i="1" s="1"/>
  <c r="O1195" i="1"/>
  <c r="P1195" i="1" s="1"/>
  <c r="U1191" i="1"/>
  <c r="V1191" i="1" s="1"/>
  <c r="V1192" i="1"/>
  <c r="W1192" i="1" s="1"/>
  <c r="X1192" i="1" s="1"/>
  <c r="V1189" i="1"/>
  <c r="W1189" i="1" s="1"/>
  <c r="X1189" i="1" s="1"/>
  <c r="V1176" i="1"/>
  <c r="W1176" i="1" s="1"/>
  <c r="X1176" i="1" s="1"/>
  <c r="U1185" i="1"/>
  <c r="V1185" i="1" s="1"/>
  <c r="V1195" i="1"/>
  <c r="W1195" i="1" s="1"/>
  <c r="X1195" i="1" s="1"/>
  <c r="W1220" i="1"/>
  <c r="X1220" i="1" s="1"/>
  <c r="W1236" i="1"/>
  <c r="X1236" i="1" s="1"/>
  <c r="W1252" i="1"/>
  <c r="X1252" i="1" s="1"/>
  <c r="W1268" i="1"/>
  <c r="X1268" i="1" s="1"/>
  <c r="W1476" i="1"/>
  <c r="X1476" i="1" s="1"/>
  <c r="W1540" i="1"/>
  <c r="X1540" i="1" s="1"/>
  <c r="W1716" i="1"/>
  <c r="X1716" i="1" s="1"/>
  <c r="W1748" i="1"/>
  <c r="X1748" i="1" s="1"/>
  <c r="W1284" i="1"/>
  <c r="X1284" i="1" s="1"/>
  <c r="W1300" i="1"/>
  <c r="X1300" i="1" s="1"/>
  <c r="W1460" i="1"/>
  <c r="X1460" i="1" s="1"/>
  <c r="W1508" i="1"/>
  <c r="X1508" i="1" s="1"/>
  <c r="W1620" i="1"/>
  <c r="X1620" i="1" s="1"/>
  <c r="W1652" i="1"/>
  <c r="X1652" i="1" s="1"/>
  <c r="W1684" i="1"/>
  <c r="X1684" i="1" s="1"/>
  <c r="W1700" i="1"/>
  <c r="X1700" i="1" s="1"/>
  <c r="W1196" i="1"/>
  <c r="X1196" i="1" s="1"/>
  <c r="W1316" i="1"/>
  <c r="X1316" i="1" s="1"/>
  <c r="W1332" i="1"/>
  <c r="X1332" i="1" s="1"/>
  <c r="W1348" i="1"/>
  <c r="X1348" i="1" s="1"/>
  <c r="W1364" i="1"/>
  <c r="X1364" i="1" s="1"/>
  <c r="W1492" i="1"/>
  <c r="X1492" i="1" s="1"/>
  <c r="W1524" i="1"/>
  <c r="X1524" i="1" s="1"/>
  <c r="W1556" i="1"/>
  <c r="X1556" i="1" s="1"/>
  <c r="W1572" i="1"/>
  <c r="X1572" i="1" s="1"/>
  <c r="W1588" i="1"/>
  <c r="X1588" i="1" s="1"/>
  <c r="W1604" i="1"/>
  <c r="X1604" i="1" s="1"/>
  <c r="W1636" i="1"/>
  <c r="X1636" i="1" s="1"/>
  <c r="W1668" i="1"/>
  <c r="X1668" i="1" s="1"/>
  <c r="W1732" i="1"/>
  <c r="X1732" i="1" s="1"/>
  <c r="W1764" i="1"/>
  <c r="X1764" i="1" s="1"/>
  <c r="W1847" i="1"/>
  <c r="X1847" i="1" s="1"/>
  <c r="W1204" i="1"/>
  <c r="X1204" i="1" s="1"/>
  <c r="W1212" i="1"/>
  <c r="X1212" i="1" s="1"/>
  <c r="W1228" i="1"/>
  <c r="X1228" i="1" s="1"/>
  <c r="W1244" i="1"/>
  <c r="X1244" i="1" s="1"/>
  <c r="W1260" i="1"/>
  <c r="X1260" i="1" s="1"/>
  <c r="W1276" i="1"/>
  <c r="X1276" i="1" s="1"/>
  <c r="W1292" i="1"/>
  <c r="X1292" i="1" s="1"/>
  <c r="W1308" i="1"/>
  <c r="X1308" i="1" s="1"/>
  <c r="W1324" i="1"/>
  <c r="X1324" i="1" s="1"/>
  <c r="W1340" i="1"/>
  <c r="X1340" i="1" s="1"/>
  <c r="W1356" i="1"/>
  <c r="X1356" i="1" s="1"/>
  <c r="W1372" i="1"/>
  <c r="X1372" i="1" s="1"/>
  <c r="W1380" i="1"/>
  <c r="X1380" i="1" s="1"/>
  <c r="W1388" i="1"/>
  <c r="X1388" i="1" s="1"/>
  <c r="W1396" i="1"/>
  <c r="X1396" i="1" s="1"/>
  <c r="W1404" i="1"/>
  <c r="X1404" i="1" s="1"/>
  <c r="W1412" i="1"/>
  <c r="X1412" i="1" s="1"/>
  <c r="W1420" i="1"/>
  <c r="X1420" i="1" s="1"/>
  <c r="W1428" i="1"/>
  <c r="X1428" i="1" s="1"/>
  <c r="W1436" i="1"/>
  <c r="X1436" i="1" s="1"/>
  <c r="W1444" i="1"/>
  <c r="X1444" i="1" s="1"/>
  <c r="W1452" i="1"/>
  <c r="X1452" i="1" s="1"/>
  <c r="W1468" i="1"/>
  <c r="X1468" i="1" s="1"/>
  <c r="W1484" i="1"/>
  <c r="X1484" i="1" s="1"/>
  <c r="W1500" i="1"/>
  <c r="X1500" i="1" s="1"/>
  <c r="W1516" i="1"/>
  <c r="X1516" i="1" s="1"/>
  <c r="W1532" i="1"/>
  <c r="X1532" i="1" s="1"/>
  <c r="W1548" i="1"/>
  <c r="X1548" i="1" s="1"/>
  <c r="W1564" i="1"/>
  <c r="X1564" i="1" s="1"/>
  <c r="W1580" i="1"/>
  <c r="X1580" i="1" s="1"/>
  <c r="W1596" i="1"/>
  <c r="X1596" i="1" s="1"/>
  <c r="W1612" i="1"/>
  <c r="X1612" i="1" s="1"/>
  <c r="W1628" i="1"/>
  <c r="X1628" i="1" s="1"/>
  <c r="W1644" i="1"/>
  <c r="X1644" i="1" s="1"/>
  <c r="W1660" i="1"/>
  <c r="X1660" i="1" s="1"/>
  <c r="W1676" i="1"/>
  <c r="X1676" i="1" s="1"/>
  <c r="W1692" i="1"/>
  <c r="X1692" i="1" s="1"/>
  <c r="W1708" i="1"/>
  <c r="X1708" i="1" s="1"/>
  <c r="W1724" i="1"/>
  <c r="X1724" i="1" s="1"/>
  <c r="W1740" i="1"/>
  <c r="X1740" i="1" s="1"/>
  <c r="W1756" i="1"/>
  <c r="X1756" i="1" s="1"/>
  <c r="W1772" i="1"/>
  <c r="X1772" i="1" s="1"/>
  <c r="W1780" i="1"/>
  <c r="X1780" i="1" s="1"/>
  <c r="W1788" i="1"/>
  <c r="X1788" i="1" s="1"/>
  <c r="W1796" i="1"/>
  <c r="X1796" i="1" s="1"/>
  <c r="W1804" i="1"/>
  <c r="X1804" i="1" s="1"/>
  <c r="W1812" i="1"/>
  <c r="X1812" i="1" s="1"/>
  <c r="W1820" i="1"/>
  <c r="X1820" i="1" s="1"/>
  <c r="W1828" i="1"/>
  <c r="X1828" i="1" s="1"/>
  <c r="W1836" i="1"/>
  <c r="X1836" i="1" s="1"/>
  <c r="W1201" i="1"/>
  <c r="X1201" i="1" s="1"/>
  <c r="U1242" i="1"/>
  <c r="V1242" i="1" s="1"/>
  <c r="O1246" i="1"/>
  <c r="P1246" i="1" s="1"/>
  <c r="O1257" i="1"/>
  <c r="P1257" i="1" s="1"/>
  <c r="W1265" i="1"/>
  <c r="X1265" i="1" s="1"/>
  <c r="W1281" i="1"/>
  <c r="X1281" i="1" s="1"/>
  <c r="O1342" i="1"/>
  <c r="P1342" i="1" s="1"/>
  <c r="O1369" i="1"/>
  <c r="P1369" i="1" s="1"/>
  <c r="O1390" i="1"/>
  <c r="P1390" i="1" s="1"/>
  <c r="U1418" i="1"/>
  <c r="V1418" i="1" s="1"/>
  <c r="O1433" i="1"/>
  <c r="P1433" i="1" s="1"/>
  <c r="W1457" i="1"/>
  <c r="X1457" i="1" s="1"/>
  <c r="O1465" i="1"/>
  <c r="P1465" i="1" s="1"/>
  <c r="W1505" i="1"/>
  <c r="X1505" i="1" s="1"/>
  <c r="O1545" i="1"/>
  <c r="P1545" i="1" s="1"/>
  <c r="W1553" i="1"/>
  <c r="X1553" i="1" s="1"/>
  <c r="W1569" i="1"/>
  <c r="X1569" i="1" s="1"/>
  <c r="O1593" i="1"/>
  <c r="P1593" i="1" s="1"/>
  <c r="W1617" i="1"/>
  <c r="X1617" i="1" s="1"/>
  <c r="O1625" i="1"/>
  <c r="P1625" i="1" s="1"/>
  <c r="W1633" i="1"/>
  <c r="X1633" i="1" s="1"/>
  <c r="W1649" i="1"/>
  <c r="X1649" i="1" s="1"/>
  <c r="O1657" i="1"/>
  <c r="P1657" i="1" s="1"/>
  <c r="W1681" i="1"/>
  <c r="X1681" i="1" s="1"/>
  <c r="W1697" i="1"/>
  <c r="X1697" i="1" s="1"/>
  <c r="O1785" i="1"/>
  <c r="P1785" i="1" s="1"/>
  <c r="O1817" i="1"/>
  <c r="P1817" i="1" s="1"/>
  <c r="O1852" i="1"/>
  <c r="P1852" i="1" s="1"/>
  <c r="O1872" i="1"/>
  <c r="P1872" i="1" s="1"/>
  <c r="O1887" i="1"/>
  <c r="P1887" i="1" s="1"/>
  <c r="O1988" i="1"/>
  <c r="P1988" i="1" s="1"/>
  <c r="O2020" i="1"/>
  <c r="P2020" i="1" s="1"/>
  <c r="O2068" i="1"/>
  <c r="P2068" i="1" s="1"/>
  <c r="W2122" i="1"/>
  <c r="X2122" i="1" s="1"/>
  <c r="O1176" i="1"/>
  <c r="P1176" i="1" s="1"/>
  <c r="P1177" i="1"/>
  <c r="P1178" i="1"/>
  <c r="V1179" i="1"/>
  <c r="X1181" i="1"/>
  <c r="V1184" i="1"/>
  <c r="P1185" i="1"/>
  <c r="P1186" i="1"/>
  <c r="V1187" i="1"/>
  <c r="V1193" i="1"/>
  <c r="O1197" i="1"/>
  <c r="P1197" i="1" s="1"/>
  <c r="U1198" i="1"/>
  <c r="V1198" i="1" s="1"/>
  <c r="P1200" i="1"/>
  <c r="O1202" i="1"/>
  <c r="P1202" i="1" s="1"/>
  <c r="X1207" i="1"/>
  <c r="V1209" i="1"/>
  <c r="O1212" i="1"/>
  <c r="P1212" i="1" s="1"/>
  <c r="O1213" i="1"/>
  <c r="P1213" i="1" s="1"/>
  <c r="U1214" i="1"/>
  <c r="V1214" i="1" s="1"/>
  <c r="P1216" i="1"/>
  <c r="O1218" i="1"/>
  <c r="P1218" i="1" s="1"/>
  <c r="W1221" i="1"/>
  <c r="X1221" i="1" s="1"/>
  <c r="O1229" i="1"/>
  <c r="P1229" i="1" s="1"/>
  <c r="U1230" i="1"/>
  <c r="V1230" i="1" s="1"/>
  <c r="P1232" i="1"/>
  <c r="O1234" i="1"/>
  <c r="P1234" i="1" s="1"/>
  <c r="W1237" i="1"/>
  <c r="X1237" i="1" s="1"/>
  <c r="O1245" i="1"/>
  <c r="P1245" i="1" s="1"/>
  <c r="U1246" i="1"/>
  <c r="V1246" i="1" s="1"/>
  <c r="P1248" i="1"/>
  <c r="O1250" i="1"/>
  <c r="P1250" i="1" s="1"/>
  <c r="W1253" i="1"/>
  <c r="X1253" i="1" s="1"/>
  <c r="O1261" i="1"/>
  <c r="P1261" i="1" s="1"/>
  <c r="U1262" i="1"/>
  <c r="V1262" i="1" s="1"/>
  <c r="P1264" i="1"/>
  <c r="O1266" i="1"/>
  <c r="P1266" i="1" s="1"/>
  <c r="W1269" i="1"/>
  <c r="X1269" i="1" s="1"/>
  <c r="O1277" i="1"/>
  <c r="P1277" i="1" s="1"/>
  <c r="U1278" i="1"/>
  <c r="V1278" i="1" s="1"/>
  <c r="P1280" i="1"/>
  <c r="O1282" i="1"/>
  <c r="P1282" i="1" s="1"/>
  <c r="W1285" i="1"/>
  <c r="X1285" i="1" s="1"/>
  <c r="O1292" i="1"/>
  <c r="P1292" i="1" s="1"/>
  <c r="O1293" i="1"/>
  <c r="P1293" i="1" s="1"/>
  <c r="U1294" i="1"/>
  <c r="V1294" i="1" s="1"/>
  <c r="P1296" i="1"/>
  <c r="O1298" i="1"/>
  <c r="P1298" i="1" s="1"/>
  <c r="W1301" i="1"/>
  <c r="X1301" i="1" s="1"/>
  <c r="O1309" i="1"/>
  <c r="P1309" i="1" s="1"/>
  <c r="U1310" i="1"/>
  <c r="V1310" i="1" s="1"/>
  <c r="P1312" i="1"/>
  <c r="O1314" i="1"/>
  <c r="P1314" i="1" s="1"/>
  <c r="W1317" i="1"/>
  <c r="X1317" i="1" s="1"/>
  <c r="O1324" i="1"/>
  <c r="P1324" i="1" s="1"/>
  <c r="O1325" i="1"/>
  <c r="P1325" i="1" s="1"/>
  <c r="U1326" i="1"/>
  <c r="V1326" i="1" s="1"/>
  <c r="P1328" i="1"/>
  <c r="O1330" i="1"/>
  <c r="P1330" i="1" s="1"/>
  <c r="W1333" i="1"/>
  <c r="X1333" i="1" s="1"/>
  <c r="O1341" i="1"/>
  <c r="P1341" i="1" s="1"/>
  <c r="U1342" i="1"/>
  <c r="V1342" i="1" s="1"/>
  <c r="P1344" i="1"/>
  <c r="O1346" i="1"/>
  <c r="P1346" i="1" s="1"/>
  <c r="W1349" i="1"/>
  <c r="X1349" i="1" s="1"/>
  <c r="O1357" i="1"/>
  <c r="P1357" i="1" s="1"/>
  <c r="U1358" i="1"/>
  <c r="V1358" i="1" s="1"/>
  <c r="P1360" i="1"/>
  <c r="O1362" i="1"/>
  <c r="P1362" i="1" s="1"/>
  <c r="W1365" i="1"/>
  <c r="X1365" i="1" s="1"/>
  <c r="O1373" i="1"/>
  <c r="P1373" i="1" s="1"/>
  <c r="U1374" i="1"/>
  <c r="V1374" i="1" s="1"/>
  <c r="P1376" i="1"/>
  <c r="O1378" i="1"/>
  <c r="P1378" i="1" s="1"/>
  <c r="X1383" i="1"/>
  <c r="V1385" i="1"/>
  <c r="O1389" i="1"/>
  <c r="P1389" i="1" s="1"/>
  <c r="U1390" i="1"/>
  <c r="V1390" i="1" s="1"/>
  <c r="P1392" i="1"/>
  <c r="O1394" i="1"/>
  <c r="P1394" i="1" s="1"/>
  <c r="X1399" i="1"/>
  <c r="V1401" i="1"/>
  <c r="O1405" i="1"/>
  <c r="P1405" i="1" s="1"/>
  <c r="U1406" i="1"/>
  <c r="V1406" i="1" s="1"/>
  <c r="P1408" i="1"/>
  <c r="O1410" i="1"/>
  <c r="P1410" i="1" s="1"/>
  <c r="W1411" i="1"/>
  <c r="X1411" i="1" s="1"/>
  <c r="X1415" i="1"/>
  <c r="V1417" i="1"/>
  <c r="O1421" i="1"/>
  <c r="P1421" i="1" s="1"/>
  <c r="U1422" i="1"/>
  <c r="V1422" i="1" s="1"/>
  <c r="P1424" i="1"/>
  <c r="O1426" i="1"/>
  <c r="P1426" i="1" s="1"/>
  <c r="X1431" i="1"/>
  <c r="V1433" i="1"/>
  <c r="O1437" i="1"/>
  <c r="P1437" i="1" s="1"/>
  <c r="U1438" i="1"/>
  <c r="V1438" i="1" s="1"/>
  <c r="P1440" i="1"/>
  <c r="O1442" i="1"/>
  <c r="P1442" i="1" s="1"/>
  <c r="X1447" i="1"/>
  <c r="O1453" i="1"/>
  <c r="P1453" i="1" s="1"/>
  <c r="U1454" i="1"/>
  <c r="V1454" i="1" s="1"/>
  <c r="P1456" i="1"/>
  <c r="O1458" i="1"/>
  <c r="P1458" i="1" s="1"/>
  <c r="W1461" i="1"/>
  <c r="X1461" i="1" s="1"/>
  <c r="O1469" i="1"/>
  <c r="P1469" i="1" s="1"/>
  <c r="U1470" i="1"/>
  <c r="V1470" i="1" s="1"/>
  <c r="P1472" i="1"/>
  <c r="O1474" i="1"/>
  <c r="P1474" i="1" s="1"/>
  <c r="W1477" i="1"/>
  <c r="X1477" i="1" s="1"/>
  <c r="O1485" i="1"/>
  <c r="P1485" i="1" s="1"/>
  <c r="U1486" i="1"/>
  <c r="V1486" i="1" s="1"/>
  <c r="P1488" i="1"/>
  <c r="O1490" i="1"/>
  <c r="P1490" i="1" s="1"/>
  <c r="W1493" i="1"/>
  <c r="X1493" i="1" s="1"/>
  <c r="O1500" i="1"/>
  <c r="P1500" i="1" s="1"/>
  <c r="O1501" i="1"/>
  <c r="P1501" i="1" s="1"/>
  <c r="U1502" i="1"/>
  <c r="V1502" i="1" s="1"/>
  <c r="P1504" i="1"/>
  <c r="O1506" i="1"/>
  <c r="P1506" i="1" s="1"/>
  <c r="W1509" i="1"/>
  <c r="X1509" i="1" s="1"/>
  <c r="O1516" i="1"/>
  <c r="P1516" i="1" s="1"/>
  <c r="O1517" i="1"/>
  <c r="P1517" i="1" s="1"/>
  <c r="U1518" i="1"/>
  <c r="V1518" i="1" s="1"/>
  <c r="P1520" i="1"/>
  <c r="O1522" i="1"/>
  <c r="P1522" i="1" s="1"/>
  <c r="W1525" i="1"/>
  <c r="X1525" i="1" s="1"/>
  <c r="O1533" i="1"/>
  <c r="P1533" i="1" s="1"/>
  <c r="U1534" i="1"/>
  <c r="V1534" i="1" s="1"/>
  <c r="P1536" i="1"/>
  <c r="O1538" i="1"/>
  <c r="P1538" i="1" s="1"/>
  <c r="W1541" i="1"/>
  <c r="X1541" i="1" s="1"/>
  <c r="O1549" i="1"/>
  <c r="P1549" i="1" s="1"/>
  <c r="U1550" i="1"/>
  <c r="V1550" i="1" s="1"/>
  <c r="P1552" i="1"/>
  <c r="O1554" i="1"/>
  <c r="P1554" i="1" s="1"/>
  <c r="W1557" i="1"/>
  <c r="X1557" i="1" s="1"/>
  <c r="O1565" i="1"/>
  <c r="P1565" i="1" s="1"/>
  <c r="U1566" i="1"/>
  <c r="V1566" i="1" s="1"/>
  <c r="P1568" i="1"/>
  <c r="O1570" i="1"/>
  <c r="P1570" i="1" s="1"/>
  <c r="W1573" i="1"/>
  <c r="X1573" i="1" s="1"/>
  <c r="O1581" i="1"/>
  <c r="P1581" i="1" s="1"/>
  <c r="U1582" i="1"/>
  <c r="V1582" i="1" s="1"/>
  <c r="P1584" i="1"/>
  <c r="O1586" i="1"/>
  <c r="P1586" i="1" s="1"/>
  <c r="W1589" i="1"/>
  <c r="X1589" i="1" s="1"/>
  <c r="O1597" i="1"/>
  <c r="P1597" i="1" s="1"/>
  <c r="U1598" i="1"/>
  <c r="V1598" i="1" s="1"/>
  <c r="P1600" i="1"/>
  <c r="O1602" i="1"/>
  <c r="P1602" i="1" s="1"/>
  <c r="W1605" i="1"/>
  <c r="X1605" i="1" s="1"/>
  <c r="O1612" i="1"/>
  <c r="P1612" i="1" s="1"/>
  <c r="O1613" i="1"/>
  <c r="P1613" i="1" s="1"/>
  <c r="U1614" i="1"/>
  <c r="V1614" i="1" s="1"/>
  <c r="P1616" i="1"/>
  <c r="O1618" i="1"/>
  <c r="P1618" i="1" s="1"/>
  <c r="W1621" i="1"/>
  <c r="X1621" i="1" s="1"/>
  <c r="O1629" i="1"/>
  <c r="P1629" i="1" s="1"/>
  <c r="U1630" i="1"/>
  <c r="V1630" i="1" s="1"/>
  <c r="P1632" i="1"/>
  <c r="O1634" i="1"/>
  <c r="P1634" i="1" s="1"/>
  <c r="W1637" i="1"/>
  <c r="X1637" i="1" s="1"/>
  <c r="O1645" i="1"/>
  <c r="P1645" i="1" s="1"/>
  <c r="U1646" i="1"/>
  <c r="V1646" i="1" s="1"/>
  <c r="P1648" i="1"/>
  <c r="O1650" i="1"/>
  <c r="P1650" i="1" s="1"/>
  <c r="W1653" i="1"/>
  <c r="X1653" i="1" s="1"/>
  <c r="O1661" i="1"/>
  <c r="P1661" i="1" s="1"/>
  <c r="U1662" i="1"/>
  <c r="V1662" i="1" s="1"/>
  <c r="P1664" i="1"/>
  <c r="O1666" i="1"/>
  <c r="P1666" i="1" s="1"/>
  <c r="W1669" i="1"/>
  <c r="X1669" i="1" s="1"/>
  <c r="O1677" i="1"/>
  <c r="P1677" i="1" s="1"/>
  <c r="U1678" i="1"/>
  <c r="V1678" i="1" s="1"/>
  <c r="P1680" i="1"/>
  <c r="O1682" i="1"/>
  <c r="P1682" i="1" s="1"/>
  <c r="W1685" i="1"/>
  <c r="X1685" i="1" s="1"/>
  <c r="O1692" i="1"/>
  <c r="P1692" i="1" s="1"/>
  <c r="O1693" i="1"/>
  <c r="P1693" i="1" s="1"/>
  <c r="U1694" i="1"/>
  <c r="V1694" i="1" s="1"/>
  <c r="P1696" i="1"/>
  <c r="O1698" i="1"/>
  <c r="P1698" i="1" s="1"/>
  <c r="W1701" i="1"/>
  <c r="X1701" i="1" s="1"/>
  <c r="O1709" i="1"/>
  <c r="P1709" i="1" s="1"/>
  <c r="U1710" i="1"/>
  <c r="V1710" i="1" s="1"/>
  <c r="P1712" i="1"/>
  <c r="O1714" i="1"/>
  <c r="P1714" i="1" s="1"/>
  <c r="W1717" i="1"/>
  <c r="X1717" i="1" s="1"/>
  <c r="O1724" i="1"/>
  <c r="P1724" i="1" s="1"/>
  <c r="O1725" i="1"/>
  <c r="P1725" i="1" s="1"/>
  <c r="U1726" i="1"/>
  <c r="V1726" i="1" s="1"/>
  <c r="P1728" i="1"/>
  <c r="O1730" i="1"/>
  <c r="P1730" i="1" s="1"/>
  <c r="W1733" i="1"/>
  <c r="X1733" i="1" s="1"/>
  <c r="O1740" i="1"/>
  <c r="P1740" i="1" s="1"/>
  <c r="O1741" i="1"/>
  <c r="P1741" i="1" s="1"/>
  <c r="U1742" i="1"/>
  <c r="V1742" i="1" s="1"/>
  <c r="P1744" i="1"/>
  <c r="O1746" i="1"/>
  <c r="P1746" i="1" s="1"/>
  <c r="W1749" i="1"/>
  <c r="X1749" i="1" s="1"/>
  <c r="O1757" i="1"/>
  <c r="P1757" i="1" s="1"/>
  <c r="U1758" i="1"/>
  <c r="V1758" i="1" s="1"/>
  <c r="P1760" i="1"/>
  <c r="O1762" i="1"/>
  <c r="P1762" i="1" s="1"/>
  <c r="W1765" i="1"/>
  <c r="X1765" i="1" s="1"/>
  <c r="O1773" i="1"/>
  <c r="P1773" i="1" s="1"/>
  <c r="U1774" i="1"/>
  <c r="V1774" i="1" s="1"/>
  <c r="P1776" i="1"/>
  <c r="O1778" i="1"/>
  <c r="P1778" i="1" s="1"/>
  <c r="X1783" i="1"/>
  <c r="V1785" i="1"/>
  <c r="O1789" i="1"/>
  <c r="P1789" i="1" s="1"/>
  <c r="U1790" i="1"/>
  <c r="V1790" i="1" s="1"/>
  <c r="P1792" i="1"/>
  <c r="O1794" i="1"/>
  <c r="P1794" i="1" s="1"/>
  <c r="X1799" i="1"/>
  <c r="V1801" i="1"/>
  <c r="O1804" i="1"/>
  <c r="P1804" i="1" s="1"/>
  <c r="O1805" i="1"/>
  <c r="P1805" i="1" s="1"/>
  <c r="U1806" i="1"/>
  <c r="V1806" i="1" s="1"/>
  <c r="P1808" i="1"/>
  <c r="O1810" i="1"/>
  <c r="P1810" i="1" s="1"/>
  <c r="W1811" i="1"/>
  <c r="X1811" i="1" s="1"/>
  <c r="X1815" i="1"/>
  <c r="V1817" i="1"/>
  <c r="O1821" i="1"/>
  <c r="P1821" i="1" s="1"/>
  <c r="U1822" i="1"/>
  <c r="V1822" i="1" s="1"/>
  <c r="P1824" i="1"/>
  <c r="O1826" i="1"/>
  <c r="P1826" i="1" s="1"/>
  <c r="W1827" i="1"/>
  <c r="X1827" i="1" s="1"/>
  <c r="X1831" i="1"/>
  <c r="V1833" i="1"/>
  <c r="O1836" i="1"/>
  <c r="P1836" i="1" s="1"/>
  <c r="O1837" i="1"/>
  <c r="P1837" i="1" s="1"/>
  <c r="U1838" i="1"/>
  <c r="V1838" i="1" s="1"/>
  <c r="P1840" i="1"/>
  <c r="P1841" i="1"/>
  <c r="W1846" i="1"/>
  <c r="X1846" i="1" s="1"/>
  <c r="U1849" i="1"/>
  <c r="V1849" i="1" s="1"/>
  <c r="V1851" i="1"/>
  <c r="O1856" i="1"/>
  <c r="P1856" i="1" s="1"/>
  <c r="P1858" i="1"/>
  <c r="U1860" i="1"/>
  <c r="V1860" i="1" s="1"/>
  <c r="X1877" i="1"/>
  <c r="O1879" i="1"/>
  <c r="P1879" i="1" s="1"/>
  <c r="O1892" i="1"/>
  <c r="P1892" i="1" s="1"/>
  <c r="O1903" i="1"/>
  <c r="P1903" i="1" s="1"/>
  <c r="U1904" i="1"/>
  <c r="V1904" i="1" s="1"/>
  <c r="O1929" i="1"/>
  <c r="P1929" i="1" s="1"/>
  <c r="O1945" i="1"/>
  <c r="P1945" i="1" s="1"/>
  <c r="O1961" i="1"/>
  <c r="P1961" i="1" s="1"/>
  <c r="O1977" i="1"/>
  <c r="P1977" i="1" s="1"/>
  <c r="O1993" i="1"/>
  <c r="P1993" i="1" s="1"/>
  <c r="O2009" i="1"/>
  <c r="P2009" i="1" s="1"/>
  <c r="O2025" i="1"/>
  <c r="P2025" i="1" s="1"/>
  <c r="O2041" i="1"/>
  <c r="P2041" i="1" s="1"/>
  <c r="O2057" i="1"/>
  <c r="P2057" i="1" s="1"/>
  <c r="O2073" i="1"/>
  <c r="P2073" i="1" s="1"/>
  <c r="O2089" i="1"/>
  <c r="P2089" i="1" s="1"/>
  <c r="O2092" i="1"/>
  <c r="P2092" i="1" s="1"/>
  <c r="O2105" i="1"/>
  <c r="P2105" i="1" s="1"/>
  <c r="O2108" i="1"/>
  <c r="P2108" i="1" s="1"/>
  <c r="O2121" i="1"/>
  <c r="P2121" i="1" s="1"/>
  <c r="O2124" i="1"/>
  <c r="P2124" i="1" s="1"/>
  <c r="O2151" i="1"/>
  <c r="P2151" i="1" s="1"/>
  <c r="W2153" i="1"/>
  <c r="X2153" i="1" s="1"/>
  <c r="O2162" i="1"/>
  <c r="P2162" i="1" s="1"/>
  <c r="O2166" i="1"/>
  <c r="P2166" i="1" s="1"/>
  <c r="W2169" i="1"/>
  <c r="X2169" i="1" s="1"/>
  <c r="O2228" i="1"/>
  <c r="P2228" i="1" s="1"/>
  <c r="O2259" i="1"/>
  <c r="P2259" i="1" s="1"/>
  <c r="O2262" i="1"/>
  <c r="P2262" i="1" s="1"/>
  <c r="W2305" i="1"/>
  <c r="X2305" i="1" s="1"/>
  <c r="O2313" i="1"/>
  <c r="P2313" i="1" s="1"/>
  <c r="U2314" i="1"/>
  <c r="V2314" i="1" s="1"/>
  <c r="W2316" i="1"/>
  <c r="X2316" i="1" s="1"/>
  <c r="O2356" i="1"/>
  <c r="P2356" i="1" s="1"/>
  <c r="O2387" i="1"/>
  <c r="P2387" i="1" s="1"/>
  <c r="O2390" i="1"/>
  <c r="P2390" i="1" s="1"/>
  <c r="W2433" i="1"/>
  <c r="X2433" i="1" s="1"/>
  <c r="O2470" i="1"/>
  <c r="P2470" i="1" s="1"/>
  <c r="O2593" i="1"/>
  <c r="P2593" i="1" s="1"/>
  <c r="O2625" i="1"/>
  <c r="P2625" i="1" s="1"/>
  <c r="O2664" i="1"/>
  <c r="P2664" i="1" s="1"/>
  <c r="U2687" i="1"/>
  <c r="V2687" i="1" s="1"/>
  <c r="W2688" i="1"/>
  <c r="X2688" i="1" s="1"/>
  <c r="U2697" i="1"/>
  <c r="V2697" i="1" s="1"/>
  <c r="P1180" i="1"/>
  <c r="U1194" i="1"/>
  <c r="V1194" i="1" s="1"/>
  <c r="O1198" i="1"/>
  <c r="P1198" i="1" s="1"/>
  <c r="U1210" i="1"/>
  <c r="V1210" i="1" s="1"/>
  <c r="O1214" i="1"/>
  <c r="P1214" i="1" s="1"/>
  <c r="W1217" i="1"/>
  <c r="X1217" i="1" s="1"/>
  <c r="O1225" i="1"/>
  <c r="P1225" i="1" s="1"/>
  <c r="P1228" i="1"/>
  <c r="P1244" i="1"/>
  <c r="P1260" i="1"/>
  <c r="U1274" i="1"/>
  <c r="V1274" i="1" s="1"/>
  <c r="O1278" i="1"/>
  <c r="P1278" i="1" s="1"/>
  <c r="O1289" i="1"/>
  <c r="P1289" i="1" s="1"/>
  <c r="W1297" i="1"/>
  <c r="X1297" i="1" s="1"/>
  <c r="O1305" i="1"/>
  <c r="P1305" i="1" s="1"/>
  <c r="P1308" i="1"/>
  <c r="W1313" i="1"/>
  <c r="X1313" i="1" s="1"/>
  <c r="O1321" i="1"/>
  <c r="P1321" i="1" s="1"/>
  <c r="W1329" i="1"/>
  <c r="X1329" i="1" s="1"/>
  <c r="O1337" i="1"/>
  <c r="P1337" i="1" s="1"/>
  <c r="P1340" i="1"/>
  <c r="U1354" i="1"/>
  <c r="V1354" i="1" s="1"/>
  <c r="O1358" i="1"/>
  <c r="P1358" i="1" s="1"/>
  <c r="W1361" i="1"/>
  <c r="X1361" i="1" s="1"/>
  <c r="U1370" i="1"/>
  <c r="V1370" i="1" s="1"/>
  <c r="O1374" i="1"/>
  <c r="P1374" i="1" s="1"/>
  <c r="X1379" i="1"/>
  <c r="U1386" i="1"/>
  <c r="V1386" i="1" s="1"/>
  <c r="X1395" i="1"/>
  <c r="U1402" i="1"/>
  <c r="V1402" i="1" s="1"/>
  <c r="P1404" i="1"/>
  <c r="O1417" i="1"/>
  <c r="P1417" i="1" s="1"/>
  <c r="P1420" i="1"/>
  <c r="P1436" i="1"/>
  <c r="X1443" i="1"/>
  <c r="O1449" i="1"/>
  <c r="P1449" i="1" s="1"/>
  <c r="P1452" i="1"/>
  <c r="U1466" i="1"/>
  <c r="V1466" i="1" s="1"/>
  <c r="O1470" i="1"/>
  <c r="P1470" i="1" s="1"/>
  <c r="O1481" i="1"/>
  <c r="P1481" i="1" s="1"/>
  <c r="P1484" i="1"/>
  <c r="O1497" i="1"/>
  <c r="P1497" i="1" s="1"/>
  <c r="O1502" i="1"/>
  <c r="P1502" i="1" s="1"/>
  <c r="O1513" i="1"/>
  <c r="P1513" i="1" s="1"/>
  <c r="O1518" i="1"/>
  <c r="P1518" i="1" s="1"/>
  <c r="W1521" i="1"/>
  <c r="X1521" i="1" s="1"/>
  <c r="U1530" i="1"/>
  <c r="V1530" i="1" s="1"/>
  <c r="P1532" i="1"/>
  <c r="U1546" i="1"/>
  <c r="V1546" i="1" s="1"/>
  <c r="O1550" i="1"/>
  <c r="P1550" i="1" s="1"/>
  <c r="O1561" i="1"/>
  <c r="P1561" i="1" s="1"/>
  <c r="P1564" i="1"/>
  <c r="O1577" i="1"/>
  <c r="P1577" i="1" s="1"/>
  <c r="P1580" i="1"/>
  <c r="P1596" i="1"/>
  <c r="W1601" i="1"/>
  <c r="X1601" i="1" s="1"/>
  <c r="O1609" i="1"/>
  <c r="P1609" i="1" s="1"/>
  <c r="U1626" i="1"/>
  <c r="V1626" i="1" s="1"/>
  <c r="O1630" i="1"/>
  <c r="P1630" i="1" s="1"/>
  <c r="O1641" i="1"/>
  <c r="P1641" i="1" s="1"/>
  <c r="P1644" i="1"/>
  <c r="P1660" i="1"/>
  <c r="W1665" i="1"/>
  <c r="X1665" i="1" s="1"/>
  <c r="O1673" i="1"/>
  <c r="P1673" i="1" s="1"/>
  <c r="P1676" i="1"/>
  <c r="U1690" i="1"/>
  <c r="V1690" i="1" s="1"/>
  <c r="O1705" i="1"/>
  <c r="P1705" i="1" s="1"/>
  <c r="P1708" i="1"/>
  <c r="O1721" i="1"/>
  <c r="P1721" i="1" s="1"/>
  <c r="U1738" i="1"/>
  <c r="V1738" i="1" s="1"/>
  <c r="O1742" i="1"/>
  <c r="P1742" i="1" s="1"/>
  <c r="O1753" i="1"/>
  <c r="P1753" i="1" s="1"/>
  <c r="P1756" i="1"/>
  <c r="O1769" i="1"/>
  <c r="P1769" i="1" s="1"/>
  <c r="P1772" i="1"/>
  <c r="P1788" i="1"/>
  <c r="X1795" i="1"/>
  <c r="O1801" i="1"/>
  <c r="P1801" i="1" s="1"/>
  <c r="U1818" i="1"/>
  <c r="V1818" i="1" s="1"/>
  <c r="O1822" i="1"/>
  <c r="P1822" i="1" s="1"/>
  <c r="O1833" i="1"/>
  <c r="P1833" i="1" s="1"/>
  <c r="O1851" i="1"/>
  <c r="P1851" i="1" s="1"/>
  <c r="X1854" i="1"/>
  <c r="W1862" i="1"/>
  <c r="X1862" i="1" s="1"/>
  <c r="U1865" i="1"/>
  <c r="V1865" i="1" s="1"/>
  <c r="O1880" i="1"/>
  <c r="P1880" i="1" s="1"/>
  <c r="U1888" i="1"/>
  <c r="V1888" i="1" s="1"/>
  <c r="W1921" i="1"/>
  <c r="X1921" i="1" s="1"/>
  <c r="O1972" i="1"/>
  <c r="P1972" i="1" s="1"/>
  <c r="W2090" i="1"/>
  <c r="X2090" i="1" s="1"/>
  <c r="W2106" i="1"/>
  <c r="X2106" i="1" s="1"/>
  <c r="W2280" i="1"/>
  <c r="X2280" i="1" s="1"/>
  <c r="W2404" i="1"/>
  <c r="X2404" i="1" s="1"/>
  <c r="W2408" i="1"/>
  <c r="X2408" i="1" s="1"/>
  <c r="O1190" i="1"/>
  <c r="P1190" i="1" s="1"/>
  <c r="O1201" i="1"/>
  <c r="P1201" i="1" s="1"/>
  <c r="U1202" i="1"/>
  <c r="V1202" i="1" s="1"/>
  <c r="O1206" i="1"/>
  <c r="P1206" i="1" s="1"/>
  <c r="O1217" i="1"/>
  <c r="P1217" i="1" s="1"/>
  <c r="U1218" i="1"/>
  <c r="V1218" i="1" s="1"/>
  <c r="O1222" i="1"/>
  <c r="P1222" i="1" s="1"/>
  <c r="W1225" i="1"/>
  <c r="X1225" i="1" s="1"/>
  <c r="O1233" i="1"/>
  <c r="P1233" i="1" s="1"/>
  <c r="U1234" i="1"/>
  <c r="V1234" i="1" s="1"/>
  <c r="O1238" i="1"/>
  <c r="P1238" i="1" s="1"/>
  <c r="W1241" i="1"/>
  <c r="X1241" i="1" s="1"/>
  <c r="O1249" i="1"/>
  <c r="P1249" i="1" s="1"/>
  <c r="U1250" i="1"/>
  <c r="V1250" i="1" s="1"/>
  <c r="O1254" i="1"/>
  <c r="P1254" i="1" s="1"/>
  <c r="W1257" i="1"/>
  <c r="X1257" i="1" s="1"/>
  <c r="O1265" i="1"/>
  <c r="P1265" i="1" s="1"/>
  <c r="U1266" i="1"/>
  <c r="V1266" i="1" s="1"/>
  <c r="O1270" i="1"/>
  <c r="P1270" i="1" s="1"/>
  <c r="W1273" i="1"/>
  <c r="X1273" i="1" s="1"/>
  <c r="O1281" i="1"/>
  <c r="P1281" i="1" s="1"/>
  <c r="U1282" i="1"/>
  <c r="V1282" i="1" s="1"/>
  <c r="O1286" i="1"/>
  <c r="P1286" i="1" s="1"/>
  <c r="W1289" i="1"/>
  <c r="X1289" i="1" s="1"/>
  <c r="O1297" i="1"/>
  <c r="P1297" i="1" s="1"/>
  <c r="U1298" i="1"/>
  <c r="V1298" i="1" s="1"/>
  <c r="O1302" i="1"/>
  <c r="P1302" i="1" s="1"/>
  <c r="W1305" i="1"/>
  <c r="X1305" i="1" s="1"/>
  <c r="O1313" i="1"/>
  <c r="P1313" i="1" s="1"/>
  <c r="U1314" i="1"/>
  <c r="V1314" i="1" s="1"/>
  <c r="O1318" i="1"/>
  <c r="P1318" i="1" s="1"/>
  <c r="W1321" i="1"/>
  <c r="X1321" i="1" s="1"/>
  <c r="O1329" i="1"/>
  <c r="P1329" i="1" s="1"/>
  <c r="U1330" i="1"/>
  <c r="V1330" i="1" s="1"/>
  <c r="O1334" i="1"/>
  <c r="P1334" i="1" s="1"/>
  <c r="W1337" i="1"/>
  <c r="X1337" i="1" s="1"/>
  <c r="O1345" i="1"/>
  <c r="P1345" i="1" s="1"/>
  <c r="U1346" i="1"/>
  <c r="V1346" i="1" s="1"/>
  <c r="O1350" i="1"/>
  <c r="P1350" i="1" s="1"/>
  <c r="W1353" i="1"/>
  <c r="X1353" i="1" s="1"/>
  <c r="O1361" i="1"/>
  <c r="P1361" i="1" s="1"/>
  <c r="U1362" i="1"/>
  <c r="V1362" i="1" s="1"/>
  <c r="O1366" i="1"/>
  <c r="P1366" i="1" s="1"/>
  <c r="W1369" i="1"/>
  <c r="X1369" i="1" s="1"/>
  <c r="O1377" i="1"/>
  <c r="P1377" i="1" s="1"/>
  <c r="U1378" i="1"/>
  <c r="V1378" i="1" s="1"/>
  <c r="O1382" i="1"/>
  <c r="P1382" i="1" s="1"/>
  <c r="O1393" i="1"/>
  <c r="P1393" i="1" s="1"/>
  <c r="U1394" i="1"/>
  <c r="V1394" i="1" s="1"/>
  <c r="O1398" i="1"/>
  <c r="P1398" i="1" s="1"/>
  <c r="O1409" i="1"/>
  <c r="P1409" i="1" s="1"/>
  <c r="U1410" i="1"/>
  <c r="V1410" i="1" s="1"/>
  <c r="O1414" i="1"/>
  <c r="P1414" i="1" s="1"/>
  <c r="O1425" i="1"/>
  <c r="P1425" i="1" s="1"/>
  <c r="U1426" i="1"/>
  <c r="V1426" i="1" s="1"/>
  <c r="O1430" i="1"/>
  <c r="P1430" i="1" s="1"/>
  <c r="O1441" i="1"/>
  <c r="P1441" i="1" s="1"/>
  <c r="U1442" i="1"/>
  <c r="V1442" i="1" s="1"/>
  <c r="O1446" i="1"/>
  <c r="P1446" i="1" s="1"/>
  <c r="W1449" i="1"/>
  <c r="X1449" i="1" s="1"/>
  <c r="O1457" i="1"/>
  <c r="P1457" i="1" s="1"/>
  <c r="U1458" i="1"/>
  <c r="V1458" i="1" s="1"/>
  <c r="O1462" i="1"/>
  <c r="P1462" i="1" s="1"/>
  <c r="W1465" i="1"/>
  <c r="X1465" i="1" s="1"/>
  <c r="O1473" i="1"/>
  <c r="P1473" i="1" s="1"/>
  <c r="U1474" i="1"/>
  <c r="V1474" i="1" s="1"/>
  <c r="O1478" i="1"/>
  <c r="P1478" i="1" s="1"/>
  <c r="W1481" i="1"/>
  <c r="X1481" i="1" s="1"/>
  <c r="O1489" i="1"/>
  <c r="P1489" i="1" s="1"/>
  <c r="U1490" i="1"/>
  <c r="V1490" i="1" s="1"/>
  <c r="O1494" i="1"/>
  <c r="P1494" i="1" s="1"/>
  <c r="W1497" i="1"/>
  <c r="X1497" i="1" s="1"/>
  <c r="O1505" i="1"/>
  <c r="P1505" i="1" s="1"/>
  <c r="U1506" i="1"/>
  <c r="V1506" i="1" s="1"/>
  <c r="O1510" i="1"/>
  <c r="P1510" i="1" s="1"/>
  <c r="W1513" i="1"/>
  <c r="X1513" i="1" s="1"/>
  <c r="O1521" i="1"/>
  <c r="P1521" i="1" s="1"/>
  <c r="U1522" i="1"/>
  <c r="V1522" i="1" s="1"/>
  <c r="O1526" i="1"/>
  <c r="P1526" i="1" s="1"/>
  <c r="W1529" i="1"/>
  <c r="X1529" i="1" s="1"/>
  <c r="O1537" i="1"/>
  <c r="P1537" i="1" s="1"/>
  <c r="U1538" i="1"/>
  <c r="V1538" i="1" s="1"/>
  <c r="O1542" i="1"/>
  <c r="P1542" i="1" s="1"/>
  <c r="W1545" i="1"/>
  <c r="X1545" i="1" s="1"/>
  <c r="O1553" i="1"/>
  <c r="P1553" i="1" s="1"/>
  <c r="U1554" i="1"/>
  <c r="V1554" i="1" s="1"/>
  <c r="O1558" i="1"/>
  <c r="P1558" i="1" s="1"/>
  <c r="W1561" i="1"/>
  <c r="X1561" i="1" s="1"/>
  <c r="O1569" i="1"/>
  <c r="P1569" i="1" s="1"/>
  <c r="U1570" i="1"/>
  <c r="V1570" i="1" s="1"/>
  <c r="O1574" i="1"/>
  <c r="P1574" i="1" s="1"/>
  <c r="W1577" i="1"/>
  <c r="X1577" i="1" s="1"/>
  <c r="O1585" i="1"/>
  <c r="P1585" i="1" s="1"/>
  <c r="U1586" i="1"/>
  <c r="V1586" i="1" s="1"/>
  <c r="O1590" i="1"/>
  <c r="P1590" i="1" s="1"/>
  <c r="W1593" i="1"/>
  <c r="X1593" i="1" s="1"/>
  <c r="O1601" i="1"/>
  <c r="P1601" i="1" s="1"/>
  <c r="U1602" i="1"/>
  <c r="V1602" i="1" s="1"/>
  <c r="O1606" i="1"/>
  <c r="P1606" i="1" s="1"/>
  <c r="W1609" i="1"/>
  <c r="X1609" i="1" s="1"/>
  <c r="O1617" i="1"/>
  <c r="P1617" i="1" s="1"/>
  <c r="U1618" i="1"/>
  <c r="V1618" i="1" s="1"/>
  <c r="O1622" i="1"/>
  <c r="P1622" i="1" s="1"/>
  <c r="W1625" i="1"/>
  <c r="X1625" i="1" s="1"/>
  <c r="O1633" i="1"/>
  <c r="P1633" i="1" s="1"/>
  <c r="U1634" i="1"/>
  <c r="V1634" i="1" s="1"/>
  <c r="O1638" i="1"/>
  <c r="P1638" i="1" s="1"/>
  <c r="W1641" i="1"/>
  <c r="X1641" i="1" s="1"/>
  <c r="O1649" i="1"/>
  <c r="P1649" i="1" s="1"/>
  <c r="U1650" i="1"/>
  <c r="V1650" i="1" s="1"/>
  <c r="O1654" i="1"/>
  <c r="P1654" i="1" s="1"/>
  <c r="W1657" i="1"/>
  <c r="X1657" i="1" s="1"/>
  <c r="O1665" i="1"/>
  <c r="P1665" i="1" s="1"/>
  <c r="U1666" i="1"/>
  <c r="V1666" i="1" s="1"/>
  <c r="O1670" i="1"/>
  <c r="P1670" i="1" s="1"/>
  <c r="W1673" i="1"/>
  <c r="X1673" i="1" s="1"/>
  <c r="O1681" i="1"/>
  <c r="P1681" i="1" s="1"/>
  <c r="U1682" i="1"/>
  <c r="V1682" i="1" s="1"/>
  <c r="O1686" i="1"/>
  <c r="P1686" i="1" s="1"/>
  <c r="W1689" i="1"/>
  <c r="X1689" i="1" s="1"/>
  <c r="O1697" i="1"/>
  <c r="P1697" i="1" s="1"/>
  <c r="U1698" i="1"/>
  <c r="V1698" i="1" s="1"/>
  <c r="O1702" i="1"/>
  <c r="P1702" i="1" s="1"/>
  <c r="W1705" i="1"/>
  <c r="X1705" i="1" s="1"/>
  <c r="O1713" i="1"/>
  <c r="P1713" i="1" s="1"/>
  <c r="U1714" i="1"/>
  <c r="V1714" i="1" s="1"/>
  <c r="O1718" i="1"/>
  <c r="P1718" i="1" s="1"/>
  <c r="W1721" i="1"/>
  <c r="X1721" i="1" s="1"/>
  <c r="O1729" i="1"/>
  <c r="P1729" i="1" s="1"/>
  <c r="U1730" i="1"/>
  <c r="V1730" i="1" s="1"/>
  <c r="O1734" i="1"/>
  <c r="P1734" i="1" s="1"/>
  <c r="W1737" i="1"/>
  <c r="X1737" i="1" s="1"/>
  <c r="O1745" i="1"/>
  <c r="P1745" i="1" s="1"/>
  <c r="U1746" i="1"/>
  <c r="V1746" i="1" s="1"/>
  <c r="O1750" i="1"/>
  <c r="P1750" i="1" s="1"/>
  <c r="W1753" i="1"/>
  <c r="X1753" i="1" s="1"/>
  <c r="O1761" i="1"/>
  <c r="P1761" i="1" s="1"/>
  <c r="U1762" i="1"/>
  <c r="V1762" i="1" s="1"/>
  <c r="O1766" i="1"/>
  <c r="P1766" i="1" s="1"/>
  <c r="W1769" i="1"/>
  <c r="X1769" i="1" s="1"/>
  <c r="O1777" i="1"/>
  <c r="P1777" i="1" s="1"/>
  <c r="U1778" i="1"/>
  <c r="V1778" i="1" s="1"/>
  <c r="O1782" i="1"/>
  <c r="P1782" i="1" s="1"/>
  <c r="O1793" i="1"/>
  <c r="P1793" i="1" s="1"/>
  <c r="U1794" i="1"/>
  <c r="V1794" i="1" s="1"/>
  <c r="O1798" i="1"/>
  <c r="P1798" i="1" s="1"/>
  <c r="O1809" i="1"/>
  <c r="P1809" i="1" s="1"/>
  <c r="U1810" i="1"/>
  <c r="V1810" i="1" s="1"/>
  <c r="O1814" i="1"/>
  <c r="P1814" i="1" s="1"/>
  <c r="O1825" i="1"/>
  <c r="P1825" i="1" s="1"/>
  <c r="U1826" i="1"/>
  <c r="V1826" i="1" s="1"/>
  <c r="O1830" i="1"/>
  <c r="P1830" i="1" s="1"/>
  <c r="W1842" i="1"/>
  <c r="X1842" i="1" s="1"/>
  <c r="U1844" i="1"/>
  <c r="V1844" i="1" s="1"/>
  <c r="O1861" i="1"/>
  <c r="P1861" i="1" s="1"/>
  <c r="O1862" i="1"/>
  <c r="P1862" i="1" s="1"/>
  <c r="O1863" i="1"/>
  <c r="P1863" i="1" s="1"/>
  <c r="U1876" i="1"/>
  <c r="V1876" i="1" s="1"/>
  <c r="O1881" i="1"/>
  <c r="P1881" i="1" s="1"/>
  <c r="W1889" i="1"/>
  <c r="X1889" i="1" s="1"/>
  <c r="O1908" i="1"/>
  <c r="P1908" i="1" s="1"/>
  <c r="O1919" i="1"/>
  <c r="P1919" i="1" s="1"/>
  <c r="U1920" i="1"/>
  <c r="V1920" i="1" s="1"/>
  <c r="W1943" i="1"/>
  <c r="X1943" i="1" s="1"/>
  <c r="W1959" i="1"/>
  <c r="X1959" i="1" s="1"/>
  <c r="W1975" i="1"/>
  <c r="X1975" i="1" s="1"/>
  <c r="W1991" i="1"/>
  <c r="X1991" i="1" s="1"/>
  <c r="W2007" i="1"/>
  <c r="X2007" i="1" s="1"/>
  <c r="W2023" i="1"/>
  <c r="X2023" i="1" s="1"/>
  <c r="W2039" i="1"/>
  <c r="X2039" i="1" s="1"/>
  <c r="W2055" i="1"/>
  <c r="X2055" i="1" s="1"/>
  <c r="W2071" i="1"/>
  <c r="X2071" i="1" s="1"/>
  <c r="W2087" i="1"/>
  <c r="X2087" i="1" s="1"/>
  <c r="W2103" i="1"/>
  <c r="X2103" i="1" s="1"/>
  <c r="W2119" i="1"/>
  <c r="X2119" i="1" s="1"/>
  <c r="W2138" i="1"/>
  <c r="X2138" i="1" s="1"/>
  <c r="O2182" i="1"/>
  <c r="P2182" i="1" s="1"/>
  <c r="W2185" i="1"/>
  <c r="X2185" i="1" s="1"/>
  <c r="W2212" i="1"/>
  <c r="X2212" i="1" s="1"/>
  <c r="W2216" i="1"/>
  <c r="X2216" i="1" s="1"/>
  <c r="W2340" i="1"/>
  <c r="X2340" i="1" s="1"/>
  <c r="W2344" i="1"/>
  <c r="X2344" i="1" s="1"/>
  <c r="V1175" i="1"/>
  <c r="P1188" i="1"/>
  <c r="O1193" i="1"/>
  <c r="P1193" i="1" s="1"/>
  <c r="P1196" i="1"/>
  <c r="O1209" i="1"/>
  <c r="P1209" i="1" s="1"/>
  <c r="U1226" i="1"/>
  <c r="V1226" i="1" s="1"/>
  <c r="O1230" i="1"/>
  <c r="P1230" i="1" s="1"/>
  <c r="W1233" i="1"/>
  <c r="X1233" i="1" s="1"/>
  <c r="O1241" i="1"/>
  <c r="P1241" i="1" s="1"/>
  <c r="W1249" i="1"/>
  <c r="X1249" i="1" s="1"/>
  <c r="U1258" i="1"/>
  <c r="V1258" i="1" s="1"/>
  <c r="O1262" i="1"/>
  <c r="P1262" i="1" s="1"/>
  <c r="O1273" i="1"/>
  <c r="P1273" i="1" s="1"/>
  <c r="P1276" i="1"/>
  <c r="U1290" i="1"/>
  <c r="V1290" i="1" s="1"/>
  <c r="O1294" i="1"/>
  <c r="P1294" i="1" s="1"/>
  <c r="U1306" i="1"/>
  <c r="V1306" i="1" s="1"/>
  <c r="O1310" i="1"/>
  <c r="P1310" i="1" s="1"/>
  <c r="U1322" i="1"/>
  <c r="V1322" i="1" s="1"/>
  <c r="O1326" i="1"/>
  <c r="P1326" i="1" s="1"/>
  <c r="U1338" i="1"/>
  <c r="V1338" i="1" s="1"/>
  <c r="W1345" i="1"/>
  <c r="X1345" i="1" s="1"/>
  <c r="O1353" i="1"/>
  <c r="P1353" i="1" s="1"/>
  <c r="P1356" i="1"/>
  <c r="P1372" i="1"/>
  <c r="O1385" i="1"/>
  <c r="P1385" i="1" s="1"/>
  <c r="P1388" i="1"/>
  <c r="O1401" i="1"/>
  <c r="P1401" i="1" s="1"/>
  <c r="O1406" i="1"/>
  <c r="P1406" i="1" s="1"/>
  <c r="O1422" i="1"/>
  <c r="P1422" i="1" s="1"/>
  <c r="X1427" i="1"/>
  <c r="U1434" i="1"/>
  <c r="V1434" i="1" s="1"/>
  <c r="O1438" i="1"/>
  <c r="P1438" i="1" s="1"/>
  <c r="U1450" i="1"/>
  <c r="V1450" i="1" s="1"/>
  <c r="O1454" i="1"/>
  <c r="P1454" i="1" s="1"/>
  <c r="P1468" i="1"/>
  <c r="W1473" i="1"/>
  <c r="X1473" i="1" s="1"/>
  <c r="U1482" i="1"/>
  <c r="V1482" i="1" s="1"/>
  <c r="O1486" i="1"/>
  <c r="P1486" i="1" s="1"/>
  <c r="W1489" i="1"/>
  <c r="X1489" i="1" s="1"/>
  <c r="U1498" i="1"/>
  <c r="V1498" i="1" s="1"/>
  <c r="U1514" i="1"/>
  <c r="V1514" i="1" s="1"/>
  <c r="O1529" i="1"/>
  <c r="P1529" i="1" s="1"/>
  <c r="O1534" i="1"/>
  <c r="P1534" i="1" s="1"/>
  <c r="W1537" i="1"/>
  <c r="X1537" i="1" s="1"/>
  <c r="P1548" i="1"/>
  <c r="U1562" i="1"/>
  <c r="V1562" i="1" s="1"/>
  <c r="O1566" i="1"/>
  <c r="P1566" i="1" s="1"/>
  <c r="U1578" i="1"/>
  <c r="V1578" i="1" s="1"/>
  <c r="O1582" i="1"/>
  <c r="P1582" i="1" s="1"/>
  <c r="W1585" i="1"/>
  <c r="X1585" i="1" s="1"/>
  <c r="U1594" i="1"/>
  <c r="V1594" i="1" s="1"/>
  <c r="O1598" i="1"/>
  <c r="P1598" i="1" s="1"/>
  <c r="U1610" i="1"/>
  <c r="V1610" i="1" s="1"/>
  <c r="O1614" i="1"/>
  <c r="P1614" i="1" s="1"/>
  <c r="P1628" i="1"/>
  <c r="U1642" i="1"/>
  <c r="V1642" i="1" s="1"/>
  <c r="O1646" i="1"/>
  <c r="P1646" i="1" s="1"/>
  <c r="U1658" i="1"/>
  <c r="V1658" i="1" s="1"/>
  <c r="O1662" i="1"/>
  <c r="P1662" i="1" s="1"/>
  <c r="U1674" i="1"/>
  <c r="V1674" i="1" s="1"/>
  <c r="O1678" i="1"/>
  <c r="P1678" i="1" s="1"/>
  <c r="O1689" i="1"/>
  <c r="P1689" i="1" s="1"/>
  <c r="O1694" i="1"/>
  <c r="P1694" i="1" s="1"/>
  <c r="U1706" i="1"/>
  <c r="V1706" i="1" s="1"/>
  <c r="O1710" i="1"/>
  <c r="P1710" i="1" s="1"/>
  <c r="W1713" i="1"/>
  <c r="X1713" i="1" s="1"/>
  <c r="U1722" i="1"/>
  <c r="V1722" i="1" s="1"/>
  <c r="O1726" i="1"/>
  <c r="P1726" i="1" s="1"/>
  <c r="W1729" i="1"/>
  <c r="X1729" i="1" s="1"/>
  <c r="O1737" i="1"/>
  <c r="P1737" i="1" s="1"/>
  <c r="W1745" i="1"/>
  <c r="X1745" i="1" s="1"/>
  <c r="U1754" i="1"/>
  <c r="V1754" i="1" s="1"/>
  <c r="O1758" i="1"/>
  <c r="P1758" i="1" s="1"/>
  <c r="W1761" i="1"/>
  <c r="X1761" i="1" s="1"/>
  <c r="U1770" i="1"/>
  <c r="V1770" i="1" s="1"/>
  <c r="O1774" i="1"/>
  <c r="P1774" i="1" s="1"/>
  <c r="X1779" i="1"/>
  <c r="U1786" i="1"/>
  <c r="V1786" i="1" s="1"/>
  <c r="O1790" i="1"/>
  <c r="P1790" i="1" s="1"/>
  <c r="U1802" i="1"/>
  <c r="V1802" i="1" s="1"/>
  <c r="O1806" i="1"/>
  <c r="P1806" i="1" s="1"/>
  <c r="P1820" i="1"/>
  <c r="U1834" i="1"/>
  <c r="V1834" i="1" s="1"/>
  <c r="O1838" i="1"/>
  <c r="P1838" i="1" s="1"/>
  <c r="U1855" i="1"/>
  <c r="V1855" i="1" s="1"/>
  <c r="O1913" i="1"/>
  <c r="P1913" i="1" s="1"/>
  <c r="O1940" i="1"/>
  <c r="P1940" i="1" s="1"/>
  <c r="O1956" i="1"/>
  <c r="P1956" i="1" s="1"/>
  <c r="O2004" i="1"/>
  <c r="P2004" i="1" s="1"/>
  <c r="O2036" i="1"/>
  <c r="P2036" i="1" s="1"/>
  <c r="O2052" i="1"/>
  <c r="P2052" i="1" s="1"/>
  <c r="O2084" i="1"/>
  <c r="P2084" i="1" s="1"/>
  <c r="W2276" i="1"/>
  <c r="X2276" i="1" s="1"/>
  <c r="P1175" i="1"/>
  <c r="X1177" i="1"/>
  <c r="V1180" i="1"/>
  <c r="P1181" i="1"/>
  <c r="P1182" i="1"/>
  <c r="V1183" i="1"/>
  <c r="O1184" i="1"/>
  <c r="P1184" i="1" s="1"/>
  <c r="V1188" i="1"/>
  <c r="P1189" i="1"/>
  <c r="U1190" i="1"/>
  <c r="V1190" i="1" s="1"/>
  <c r="P1192" i="1"/>
  <c r="O1194" i="1"/>
  <c r="P1194" i="1" s="1"/>
  <c r="O1204" i="1"/>
  <c r="P1204" i="1" s="1"/>
  <c r="O1205" i="1"/>
  <c r="P1205" i="1" s="1"/>
  <c r="U1206" i="1"/>
  <c r="V1206" i="1" s="1"/>
  <c r="P1208" i="1"/>
  <c r="O1210" i="1"/>
  <c r="P1210" i="1" s="1"/>
  <c r="W1213" i="1"/>
  <c r="X1213" i="1" s="1"/>
  <c r="O1220" i="1"/>
  <c r="P1220" i="1" s="1"/>
  <c r="O1221" i="1"/>
  <c r="P1221" i="1" s="1"/>
  <c r="U1222" i="1"/>
  <c r="V1222" i="1" s="1"/>
  <c r="P1224" i="1"/>
  <c r="O1226" i="1"/>
  <c r="P1226" i="1" s="1"/>
  <c r="W1229" i="1"/>
  <c r="X1229" i="1" s="1"/>
  <c r="O1236" i="1"/>
  <c r="P1236" i="1" s="1"/>
  <c r="O1237" i="1"/>
  <c r="P1237" i="1" s="1"/>
  <c r="U1238" i="1"/>
  <c r="V1238" i="1" s="1"/>
  <c r="P1240" i="1"/>
  <c r="O1242" i="1"/>
  <c r="P1242" i="1" s="1"/>
  <c r="W1245" i="1"/>
  <c r="X1245" i="1" s="1"/>
  <c r="O1252" i="1"/>
  <c r="P1252" i="1" s="1"/>
  <c r="O1253" i="1"/>
  <c r="P1253" i="1" s="1"/>
  <c r="U1254" i="1"/>
  <c r="V1254" i="1" s="1"/>
  <c r="P1256" i="1"/>
  <c r="O1258" i="1"/>
  <c r="P1258" i="1" s="1"/>
  <c r="W1261" i="1"/>
  <c r="X1261" i="1" s="1"/>
  <c r="O1268" i="1"/>
  <c r="P1268" i="1" s="1"/>
  <c r="O1269" i="1"/>
  <c r="P1269" i="1" s="1"/>
  <c r="U1270" i="1"/>
  <c r="V1270" i="1" s="1"/>
  <c r="P1272" i="1"/>
  <c r="O1274" i="1"/>
  <c r="P1274" i="1" s="1"/>
  <c r="W1277" i="1"/>
  <c r="X1277" i="1" s="1"/>
  <c r="O1284" i="1"/>
  <c r="P1284" i="1" s="1"/>
  <c r="O1285" i="1"/>
  <c r="P1285" i="1" s="1"/>
  <c r="U1286" i="1"/>
  <c r="V1286" i="1" s="1"/>
  <c r="P1288" i="1"/>
  <c r="O1290" i="1"/>
  <c r="P1290" i="1" s="1"/>
  <c r="W1293" i="1"/>
  <c r="X1293" i="1" s="1"/>
  <c r="O1300" i="1"/>
  <c r="P1300" i="1" s="1"/>
  <c r="O1301" i="1"/>
  <c r="P1301" i="1" s="1"/>
  <c r="U1302" i="1"/>
  <c r="V1302" i="1" s="1"/>
  <c r="P1304" i="1"/>
  <c r="O1306" i="1"/>
  <c r="P1306" i="1" s="1"/>
  <c r="W1309" i="1"/>
  <c r="X1309" i="1" s="1"/>
  <c r="O1316" i="1"/>
  <c r="P1316" i="1" s="1"/>
  <c r="O1317" i="1"/>
  <c r="P1317" i="1" s="1"/>
  <c r="U1318" i="1"/>
  <c r="V1318" i="1" s="1"/>
  <c r="P1320" i="1"/>
  <c r="O1322" i="1"/>
  <c r="P1322" i="1" s="1"/>
  <c r="W1325" i="1"/>
  <c r="X1325" i="1" s="1"/>
  <c r="O1332" i="1"/>
  <c r="P1332" i="1" s="1"/>
  <c r="O1333" i="1"/>
  <c r="P1333" i="1" s="1"/>
  <c r="U1334" i="1"/>
  <c r="V1334" i="1" s="1"/>
  <c r="P1336" i="1"/>
  <c r="O1338" i="1"/>
  <c r="P1338" i="1" s="1"/>
  <c r="W1341" i="1"/>
  <c r="X1341" i="1" s="1"/>
  <c r="O1348" i="1"/>
  <c r="P1348" i="1" s="1"/>
  <c r="O1349" i="1"/>
  <c r="P1349" i="1" s="1"/>
  <c r="U1350" i="1"/>
  <c r="V1350" i="1" s="1"/>
  <c r="P1352" i="1"/>
  <c r="O1354" i="1"/>
  <c r="P1354" i="1" s="1"/>
  <c r="W1357" i="1"/>
  <c r="X1357" i="1" s="1"/>
  <c r="O1364" i="1"/>
  <c r="P1364" i="1" s="1"/>
  <c r="O1365" i="1"/>
  <c r="P1365" i="1" s="1"/>
  <c r="U1366" i="1"/>
  <c r="V1366" i="1" s="1"/>
  <c r="P1368" i="1"/>
  <c r="O1370" i="1"/>
  <c r="P1370" i="1" s="1"/>
  <c r="W1371" i="1"/>
  <c r="X1371" i="1" s="1"/>
  <c r="X1375" i="1"/>
  <c r="V1377" i="1"/>
  <c r="O1380" i="1"/>
  <c r="P1380" i="1" s="1"/>
  <c r="O1381" i="1"/>
  <c r="P1381" i="1" s="1"/>
  <c r="U1382" i="1"/>
  <c r="V1382" i="1" s="1"/>
  <c r="P1384" i="1"/>
  <c r="O1386" i="1"/>
  <c r="P1386" i="1" s="1"/>
  <c r="W1387" i="1"/>
  <c r="X1387" i="1" s="1"/>
  <c r="X1391" i="1"/>
  <c r="V1393" i="1"/>
  <c r="O1396" i="1"/>
  <c r="P1396" i="1" s="1"/>
  <c r="O1397" i="1"/>
  <c r="P1397" i="1" s="1"/>
  <c r="U1398" i="1"/>
  <c r="V1398" i="1" s="1"/>
  <c r="P1400" i="1"/>
  <c r="O1402" i="1"/>
  <c r="P1402" i="1" s="1"/>
  <c r="W1403" i="1"/>
  <c r="X1403" i="1" s="1"/>
  <c r="X1407" i="1"/>
  <c r="V1409" i="1"/>
  <c r="O1412" i="1"/>
  <c r="P1412" i="1" s="1"/>
  <c r="O1413" i="1"/>
  <c r="P1413" i="1" s="1"/>
  <c r="U1414" i="1"/>
  <c r="V1414" i="1" s="1"/>
  <c r="P1416" i="1"/>
  <c r="O1418" i="1"/>
  <c r="P1418" i="1" s="1"/>
  <c r="W1419" i="1"/>
  <c r="X1419" i="1" s="1"/>
  <c r="X1423" i="1"/>
  <c r="V1425" i="1"/>
  <c r="O1428" i="1"/>
  <c r="P1428" i="1" s="1"/>
  <c r="O1429" i="1"/>
  <c r="P1429" i="1" s="1"/>
  <c r="U1430" i="1"/>
  <c r="V1430" i="1" s="1"/>
  <c r="P1432" i="1"/>
  <c r="O1434" i="1"/>
  <c r="P1434" i="1" s="1"/>
  <c r="W1435" i="1"/>
  <c r="X1435" i="1" s="1"/>
  <c r="X1439" i="1"/>
  <c r="V1441" i="1"/>
  <c r="O1444" i="1"/>
  <c r="P1444" i="1" s="1"/>
  <c r="O1445" i="1"/>
  <c r="P1445" i="1" s="1"/>
  <c r="U1446" i="1"/>
  <c r="V1446" i="1" s="1"/>
  <c r="P1448" i="1"/>
  <c r="O1450" i="1"/>
  <c r="P1450" i="1" s="1"/>
  <c r="W1453" i="1"/>
  <c r="X1453" i="1" s="1"/>
  <c r="O1460" i="1"/>
  <c r="P1460" i="1" s="1"/>
  <c r="O1461" i="1"/>
  <c r="P1461" i="1" s="1"/>
  <c r="U1462" i="1"/>
  <c r="V1462" i="1" s="1"/>
  <c r="P1464" i="1"/>
  <c r="O1466" i="1"/>
  <c r="P1466" i="1" s="1"/>
  <c r="W1469" i="1"/>
  <c r="X1469" i="1" s="1"/>
  <c r="O1476" i="1"/>
  <c r="P1476" i="1" s="1"/>
  <c r="O1477" i="1"/>
  <c r="P1477" i="1" s="1"/>
  <c r="U1478" i="1"/>
  <c r="V1478" i="1" s="1"/>
  <c r="P1480" i="1"/>
  <c r="O1482" i="1"/>
  <c r="P1482" i="1" s="1"/>
  <c r="W1485" i="1"/>
  <c r="X1485" i="1" s="1"/>
  <c r="O1492" i="1"/>
  <c r="P1492" i="1" s="1"/>
  <c r="O1493" i="1"/>
  <c r="P1493" i="1" s="1"/>
  <c r="U1494" i="1"/>
  <c r="V1494" i="1" s="1"/>
  <c r="P1496" i="1"/>
  <c r="O1498" i="1"/>
  <c r="P1498" i="1" s="1"/>
  <c r="W1501" i="1"/>
  <c r="X1501" i="1" s="1"/>
  <c r="O1508" i="1"/>
  <c r="P1508" i="1" s="1"/>
  <c r="O1509" i="1"/>
  <c r="P1509" i="1" s="1"/>
  <c r="U1510" i="1"/>
  <c r="V1510" i="1" s="1"/>
  <c r="P1512" i="1"/>
  <c r="O1514" i="1"/>
  <c r="P1514" i="1" s="1"/>
  <c r="W1517" i="1"/>
  <c r="X1517" i="1" s="1"/>
  <c r="O1524" i="1"/>
  <c r="P1524" i="1" s="1"/>
  <c r="O1525" i="1"/>
  <c r="P1525" i="1" s="1"/>
  <c r="U1526" i="1"/>
  <c r="V1526" i="1" s="1"/>
  <c r="P1528" i="1"/>
  <c r="O1530" i="1"/>
  <c r="P1530" i="1" s="1"/>
  <c r="W1533" i="1"/>
  <c r="X1533" i="1" s="1"/>
  <c r="O1540" i="1"/>
  <c r="P1540" i="1" s="1"/>
  <c r="O1541" i="1"/>
  <c r="P1541" i="1" s="1"/>
  <c r="U1542" i="1"/>
  <c r="V1542" i="1" s="1"/>
  <c r="P1544" i="1"/>
  <c r="O1546" i="1"/>
  <c r="P1546" i="1" s="1"/>
  <c r="W1549" i="1"/>
  <c r="X1549" i="1" s="1"/>
  <c r="O1556" i="1"/>
  <c r="P1556" i="1" s="1"/>
  <c r="O1557" i="1"/>
  <c r="P1557" i="1" s="1"/>
  <c r="U1558" i="1"/>
  <c r="V1558" i="1" s="1"/>
  <c r="P1560" i="1"/>
  <c r="O1562" i="1"/>
  <c r="P1562" i="1" s="1"/>
  <c r="W1565" i="1"/>
  <c r="X1565" i="1" s="1"/>
  <c r="O1572" i="1"/>
  <c r="P1572" i="1" s="1"/>
  <c r="O1573" i="1"/>
  <c r="P1573" i="1" s="1"/>
  <c r="U1574" i="1"/>
  <c r="V1574" i="1" s="1"/>
  <c r="P1576" i="1"/>
  <c r="O1578" i="1"/>
  <c r="P1578" i="1" s="1"/>
  <c r="W1581" i="1"/>
  <c r="X1581" i="1" s="1"/>
  <c r="O1588" i="1"/>
  <c r="P1588" i="1" s="1"/>
  <c r="O1589" i="1"/>
  <c r="P1589" i="1" s="1"/>
  <c r="U1590" i="1"/>
  <c r="V1590" i="1" s="1"/>
  <c r="P1592" i="1"/>
  <c r="O1594" i="1"/>
  <c r="P1594" i="1" s="1"/>
  <c r="W1597" i="1"/>
  <c r="X1597" i="1" s="1"/>
  <c r="O1604" i="1"/>
  <c r="P1604" i="1" s="1"/>
  <c r="O1605" i="1"/>
  <c r="P1605" i="1" s="1"/>
  <c r="U1606" i="1"/>
  <c r="V1606" i="1" s="1"/>
  <c r="P1608" i="1"/>
  <c r="O1610" i="1"/>
  <c r="P1610" i="1" s="1"/>
  <c r="W1613" i="1"/>
  <c r="X1613" i="1" s="1"/>
  <c r="O1620" i="1"/>
  <c r="P1620" i="1" s="1"/>
  <c r="O1621" i="1"/>
  <c r="P1621" i="1" s="1"/>
  <c r="U1622" i="1"/>
  <c r="V1622" i="1" s="1"/>
  <c r="P1624" i="1"/>
  <c r="O1626" i="1"/>
  <c r="P1626" i="1" s="1"/>
  <c r="W1629" i="1"/>
  <c r="X1629" i="1" s="1"/>
  <c r="O1636" i="1"/>
  <c r="P1636" i="1" s="1"/>
  <c r="O1637" i="1"/>
  <c r="P1637" i="1" s="1"/>
  <c r="U1638" i="1"/>
  <c r="V1638" i="1" s="1"/>
  <c r="P1640" i="1"/>
  <c r="O1642" i="1"/>
  <c r="P1642" i="1" s="1"/>
  <c r="W1645" i="1"/>
  <c r="X1645" i="1" s="1"/>
  <c r="O1652" i="1"/>
  <c r="P1652" i="1" s="1"/>
  <c r="O1653" i="1"/>
  <c r="P1653" i="1" s="1"/>
  <c r="U1654" i="1"/>
  <c r="V1654" i="1" s="1"/>
  <c r="P1656" i="1"/>
  <c r="O1658" i="1"/>
  <c r="P1658" i="1" s="1"/>
  <c r="W1661" i="1"/>
  <c r="X1661" i="1" s="1"/>
  <c r="O1668" i="1"/>
  <c r="P1668" i="1" s="1"/>
  <c r="O1669" i="1"/>
  <c r="P1669" i="1" s="1"/>
  <c r="U1670" i="1"/>
  <c r="V1670" i="1" s="1"/>
  <c r="P1672" i="1"/>
  <c r="O1674" i="1"/>
  <c r="P1674" i="1" s="1"/>
  <c r="W1677" i="1"/>
  <c r="X1677" i="1" s="1"/>
  <c r="O1684" i="1"/>
  <c r="P1684" i="1" s="1"/>
  <c r="O1685" i="1"/>
  <c r="P1685" i="1" s="1"/>
  <c r="U1686" i="1"/>
  <c r="V1686" i="1" s="1"/>
  <c r="P1688" i="1"/>
  <c r="O1690" i="1"/>
  <c r="P1690" i="1" s="1"/>
  <c r="W1693" i="1"/>
  <c r="X1693" i="1" s="1"/>
  <c r="O1700" i="1"/>
  <c r="P1700" i="1" s="1"/>
  <c r="O1701" i="1"/>
  <c r="P1701" i="1" s="1"/>
  <c r="U1702" i="1"/>
  <c r="V1702" i="1" s="1"/>
  <c r="P1704" i="1"/>
  <c r="O1706" i="1"/>
  <c r="P1706" i="1" s="1"/>
  <c r="W1709" i="1"/>
  <c r="X1709" i="1" s="1"/>
  <c r="O1716" i="1"/>
  <c r="P1716" i="1" s="1"/>
  <c r="O1717" i="1"/>
  <c r="P1717" i="1" s="1"/>
  <c r="U1718" i="1"/>
  <c r="V1718" i="1" s="1"/>
  <c r="P1720" i="1"/>
  <c r="O1722" i="1"/>
  <c r="P1722" i="1" s="1"/>
  <c r="W1725" i="1"/>
  <c r="X1725" i="1" s="1"/>
  <c r="O1732" i="1"/>
  <c r="P1732" i="1" s="1"/>
  <c r="O1733" i="1"/>
  <c r="P1733" i="1" s="1"/>
  <c r="U1734" i="1"/>
  <c r="V1734" i="1" s="1"/>
  <c r="P1736" i="1"/>
  <c r="O1738" i="1"/>
  <c r="P1738" i="1" s="1"/>
  <c r="W1741" i="1"/>
  <c r="X1741" i="1" s="1"/>
  <c r="O1748" i="1"/>
  <c r="P1748" i="1" s="1"/>
  <c r="O1749" i="1"/>
  <c r="P1749" i="1" s="1"/>
  <c r="U1750" i="1"/>
  <c r="V1750" i="1" s="1"/>
  <c r="P1752" i="1"/>
  <c r="O1754" i="1"/>
  <c r="P1754" i="1" s="1"/>
  <c r="W1757" i="1"/>
  <c r="X1757" i="1" s="1"/>
  <c r="O1764" i="1"/>
  <c r="P1764" i="1" s="1"/>
  <c r="O1765" i="1"/>
  <c r="P1765" i="1" s="1"/>
  <c r="U1766" i="1"/>
  <c r="V1766" i="1" s="1"/>
  <c r="P1768" i="1"/>
  <c r="O1770" i="1"/>
  <c r="P1770" i="1" s="1"/>
  <c r="W1771" i="1"/>
  <c r="X1771" i="1" s="1"/>
  <c r="X1775" i="1"/>
  <c r="V1777" i="1"/>
  <c r="O1780" i="1"/>
  <c r="P1780" i="1" s="1"/>
  <c r="O1781" i="1"/>
  <c r="P1781" i="1" s="1"/>
  <c r="U1782" i="1"/>
  <c r="V1782" i="1" s="1"/>
  <c r="P1784" i="1"/>
  <c r="O1786" i="1"/>
  <c r="P1786" i="1" s="1"/>
  <c r="W1787" i="1"/>
  <c r="X1787" i="1" s="1"/>
  <c r="X1791" i="1"/>
  <c r="V1793" i="1"/>
  <c r="O1796" i="1"/>
  <c r="P1796" i="1" s="1"/>
  <c r="O1797" i="1"/>
  <c r="P1797" i="1" s="1"/>
  <c r="U1798" i="1"/>
  <c r="V1798" i="1" s="1"/>
  <c r="P1800" i="1"/>
  <c r="O1802" i="1"/>
  <c r="P1802" i="1" s="1"/>
  <c r="W1803" i="1"/>
  <c r="X1803" i="1" s="1"/>
  <c r="X1807" i="1"/>
  <c r="V1809" i="1"/>
  <c r="O1812" i="1"/>
  <c r="P1812" i="1" s="1"/>
  <c r="O1813" i="1"/>
  <c r="P1813" i="1" s="1"/>
  <c r="U1814" i="1"/>
  <c r="V1814" i="1" s="1"/>
  <c r="P1816" i="1"/>
  <c r="O1818" i="1"/>
  <c r="P1818" i="1" s="1"/>
  <c r="W1819" i="1"/>
  <c r="X1819" i="1" s="1"/>
  <c r="X1823" i="1"/>
  <c r="V1825" i="1"/>
  <c r="O1828" i="1"/>
  <c r="P1828" i="1" s="1"/>
  <c r="O1829" i="1"/>
  <c r="P1829" i="1" s="1"/>
  <c r="U1830" i="1"/>
  <c r="V1830" i="1" s="1"/>
  <c r="P1832" i="1"/>
  <c r="O1834" i="1"/>
  <c r="P1834" i="1" s="1"/>
  <c r="W1835" i="1"/>
  <c r="X1835" i="1" s="1"/>
  <c r="X1839" i="1"/>
  <c r="P1843" i="1"/>
  <c r="X1843" i="1"/>
  <c r="O1845" i="1"/>
  <c r="P1845" i="1" s="1"/>
  <c r="O1846" i="1"/>
  <c r="P1846" i="1" s="1"/>
  <c r="O1847" i="1"/>
  <c r="P1847" i="1" s="1"/>
  <c r="P1848" i="1"/>
  <c r="O1859" i="1"/>
  <c r="P1859" i="1" s="1"/>
  <c r="O1867" i="1"/>
  <c r="P1867" i="1" s="1"/>
  <c r="O1868" i="1"/>
  <c r="P1868" i="1" s="1"/>
  <c r="X1870" i="1"/>
  <c r="U1871" i="1"/>
  <c r="V1871" i="1" s="1"/>
  <c r="P1873" i="1"/>
  <c r="P1877" i="1"/>
  <c r="O1897" i="1"/>
  <c r="P1897" i="1" s="1"/>
  <c r="W1905" i="1"/>
  <c r="X1905" i="1" s="1"/>
  <c r="O1924" i="1"/>
  <c r="P1924" i="1" s="1"/>
  <c r="O1935" i="1"/>
  <c r="P1935" i="1" s="1"/>
  <c r="U1936" i="1"/>
  <c r="V1936" i="1" s="1"/>
  <c r="O1951" i="1"/>
  <c r="P1951" i="1" s="1"/>
  <c r="U1952" i="1"/>
  <c r="V1952" i="1" s="1"/>
  <c r="O1967" i="1"/>
  <c r="P1967" i="1" s="1"/>
  <c r="U1968" i="1"/>
  <c r="V1968" i="1" s="1"/>
  <c r="O1983" i="1"/>
  <c r="P1983" i="1" s="1"/>
  <c r="U1984" i="1"/>
  <c r="V1984" i="1" s="1"/>
  <c r="O1999" i="1"/>
  <c r="P1999" i="1" s="1"/>
  <c r="U2000" i="1"/>
  <c r="V2000" i="1" s="1"/>
  <c r="O2015" i="1"/>
  <c r="P2015" i="1" s="1"/>
  <c r="U2016" i="1"/>
  <c r="V2016" i="1" s="1"/>
  <c r="O2031" i="1"/>
  <c r="P2031" i="1" s="1"/>
  <c r="U2032" i="1"/>
  <c r="V2032" i="1" s="1"/>
  <c r="O2047" i="1"/>
  <c r="P2047" i="1" s="1"/>
  <c r="U2048" i="1"/>
  <c r="V2048" i="1" s="1"/>
  <c r="O2063" i="1"/>
  <c r="P2063" i="1" s="1"/>
  <c r="U2064" i="1"/>
  <c r="V2064" i="1" s="1"/>
  <c r="O2079" i="1"/>
  <c r="P2079" i="1" s="1"/>
  <c r="U2080" i="1"/>
  <c r="V2080" i="1" s="1"/>
  <c r="O2090" i="1"/>
  <c r="P2090" i="1" s="1"/>
  <c r="O2095" i="1"/>
  <c r="P2095" i="1" s="1"/>
  <c r="U2096" i="1"/>
  <c r="V2096" i="1" s="1"/>
  <c r="W2098" i="1"/>
  <c r="X2098" i="1" s="1"/>
  <c r="O2106" i="1"/>
  <c r="P2106" i="1" s="1"/>
  <c r="O2111" i="1"/>
  <c r="P2111" i="1" s="1"/>
  <c r="U2112" i="1"/>
  <c r="V2112" i="1" s="1"/>
  <c r="W2114" i="1"/>
  <c r="X2114" i="1" s="1"/>
  <c r="O2122" i="1"/>
  <c r="P2122" i="1" s="1"/>
  <c r="O2127" i="1"/>
  <c r="P2127" i="1" s="1"/>
  <c r="U2128" i="1"/>
  <c r="V2128" i="1" s="1"/>
  <c r="W2130" i="1"/>
  <c r="X2130" i="1" s="1"/>
  <c r="O2142" i="1"/>
  <c r="P2142" i="1" s="1"/>
  <c r="O2143" i="1"/>
  <c r="P2143" i="1" s="1"/>
  <c r="O2150" i="1"/>
  <c r="P2150" i="1" s="1"/>
  <c r="O2198" i="1"/>
  <c r="P2198" i="1" s="1"/>
  <c r="W2241" i="1"/>
  <c r="X2241" i="1" s="1"/>
  <c r="O2249" i="1"/>
  <c r="P2249" i="1" s="1"/>
  <c r="U2250" i="1"/>
  <c r="V2250" i="1" s="1"/>
  <c r="W2252" i="1"/>
  <c r="X2252" i="1" s="1"/>
  <c r="O2292" i="1"/>
  <c r="P2292" i="1" s="1"/>
  <c r="O2323" i="1"/>
  <c r="P2323" i="1" s="1"/>
  <c r="O2326" i="1"/>
  <c r="P2326" i="1" s="1"/>
  <c r="W2369" i="1"/>
  <c r="X2369" i="1" s="1"/>
  <c r="O2377" i="1"/>
  <c r="P2377" i="1" s="1"/>
  <c r="U2378" i="1"/>
  <c r="V2378" i="1" s="1"/>
  <c r="W2380" i="1"/>
  <c r="X2380" i="1" s="1"/>
  <c r="O2420" i="1"/>
  <c r="P2420" i="1" s="1"/>
  <c r="O2457" i="1"/>
  <c r="P2457" i="1" s="1"/>
  <c r="O2513" i="1"/>
  <c r="P2513" i="1" s="1"/>
  <c r="W2548" i="1"/>
  <c r="X2548" i="1" s="1"/>
  <c r="V1848" i="1"/>
  <c r="V1864" i="1"/>
  <c r="V1879" i="1"/>
  <c r="P1882" i="1"/>
  <c r="V1887" i="1"/>
  <c r="O1891" i="1"/>
  <c r="P1891" i="1" s="1"/>
  <c r="U1892" i="1"/>
  <c r="V1892" i="1" s="1"/>
  <c r="X1893" i="1"/>
  <c r="O1896" i="1"/>
  <c r="P1896" i="1" s="1"/>
  <c r="P1898" i="1"/>
  <c r="V1903" i="1"/>
  <c r="O1907" i="1"/>
  <c r="P1907" i="1" s="1"/>
  <c r="U1908" i="1"/>
  <c r="V1908" i="1" s="1"/>
  <c r="X1909" i="1"/>
  <c r="O1912" i="1"/>
  <c r="P1912" i="1" s="1"/>
  <c r="P1914" i="1"/>
  <c r="V1919" i="1"/>
  <c r="O1923" i="1"/>
  <c r="P1923" i="1" s="1"/>
  <c r="U1924" i="1"/>
  <c r="V1924" i="1" s="1"/>
  <c r="X1925" i="1"/>
  <c r="O1928" i="1"/>
  <c r="P1928" i="1" s="1"/>
  <c r="P1930" i="1"/>
  <c r="W1931" i="1"/>
  <c r="X1931" i="1" s="1"/>
  <c r="O1939" i="1"/>
  <c r="P1939" i="1" s="1"/>
  <c r="U1940" i="1"/>
  <c r="V1940" i="1" s="1"/>
  <c r="O1944" i="1"/>
  <c r="P1944" i="1" s="1"/>
  <c r="W1947" i="1"/>
  <c r="X1947" i="1" s="1"/>
  <c r="O1955" i="1"/>
  <c r="P1955" i="1" s="1"/>
  <c r="U1956" i="1"/>
  <c r="V1956" i="1" s="1"/>
  <c r="O1960" i="1"/>
  <c r="P1960" i="1" s="1"/>
  <c r="W1963" i="1"/>
  <c r="X1963" i="1" s="1"/>
  <c r="O1971" i="1"/>
  <c r="P1971" i="1" s="1"/>
  <c r="U1972" i="1"/>
  <c r="V1972" i="1" s="1"/>
  <c r="O1976" i="1"/>
  <c r="P1976" i="1" s="1"/>
  <c r="W1979" i="1"/>
  <c r="X1979" i="1" s="1"/>
  <c r="O1987" i="1"/>
  <c r="P1987" i="1" s="1"/>
  <c r="U1988" i="1"/>
  <c r="V1988" i="1" s="1"/>
  <c r="O1992" i="1"/>
  <c r="P1992" i="1" s="1"/>
  <c r="W1995" i="1"/>
  <c r="X1995" i="1" s="1"/>
  <c r="O2003" i="1"/>
  <c r="P2003" i="1" s="1"/>
  <c r="U2004" i="1"/>
  <c r="V2004" i="1" s="1"/>
  <c r="O2008" i="1"/>
  <c r="P2008" i="1" s="1"/>
  <c r="W2011" i="1"/>
  <c r="X2011" i="1" s="1"/>
  <c r="O2019" i="1"/>
  <c r="P2019" i="1" s="1"/>
  <c r="U2020" i="1"/>
  <c r="V2020" i="1" s="1"/>
  <c r="O2024" i="1"/>
  <c r="P2024" i="1" s="1"/>
  <c r="W2027" i="1"/>
  <c r="X2027" i="1" s="1"/>
  <c r="O2035" i="1"/>
  <c r="P2035" i="1" s="1"/>
  <c r="U2036" i="1"/>
  <c r="V2036" i="1" s="1"/>
  <c r="O2040" i="1"/>
  <c r="P2040" i="1" s="1"/>
  <c r="W2043" i="1"/>
  <c r="X2043" i="1" s="1"/>
  <c r="O2051" i="1"/>
  <c r="P2051" i="1" s="1"/>
  <c r="U2052" i="1"/>
  <c r="V2052" i="1" s="1"/>
  <c r="O2056" i="1"/>
  <c r="P2056" i="1" s="1"/>
  <c r="W2059" i="1"/>
  <c r="X2059" i="1" s="1"/>
  <c r="O2067" i="1"/>
  <c r="P2067" i="1" s="1"/>
  <c r="U2068" i="1"/>
  <c r="V2068" i="1" s="1"/>
  <c r="O2072" i="1"/>
  <c r="P2072" i="1" s="1"/>
  <c r="W2074" i="1"/>
  <c r="X2074" i="1" s="1"/>
  <c r="W2075" i="1"/>
  <c r="X2075" i="1" s="1"/>
  <c r="O2083" i="1"/>
  <c r="P2083" i="1" s="1"/>
  <c r="U2084" i="1"/>
  <c r="V2084" i="1" s="1"/>
  <c r="O2088" i="1"/>
  <c r="P2088" i="1" s="1"/>
  <c r="O2091" i="1"/>
  <c r="P2091" i="1" s="1"/>
  <c r="U2092" i="1"/>
  <c r="V2092" i="1" s="1"/>
  <c r="W2099" i="1"/>
  <c r="X2099" i="1" s="1"/>
  <c r="P2102" i="1"/>
  <c r="O2104" i="1"/>
  <c r="P2104" i="1" s="1"/>
  <c r="O2107" i="1"/>
  <c r="P2107" i="1" s="1"/>
  <c r="U2108" i="1"/>
  <c r="V2108" i="1" s="1"/>
  <c r="W2115" i="1"/>
  <c r="X2115" i="1" s="1"/>
  <c r="P2118" i="1"/>
  <c r="O2120" i="1"/>
  <c r="P2120" i="1" s="1"/>
  <c r="O2123" i="1"/>
  <c r="P2123" i="1" s="1"/>
  <c r="U2124" i="1"/>
  <c r="V2124" i="1" s="1"/>
  <c r="W2131" i="1"/>
  <c r="X2131" i="1" s="1"/>
  <c r="P2134" i="1"/>
  <c r="O2135" i="1"/>
  <c r="P2135" i="1" s="1"/>
  <c r="W2137" i="1"/>
  <c r="X2137" i="1" s="1"/>
  <c r="O2146" i="1"/>
  <c r="P2146" i="1" s="1"/>
  <c r="U2151" i="1"/>
  <c r="V2151" i="1" s="1"/>
  <c r="W2158" i="1"/>
  <c r="X2158" i="1" s="1"/>
  <c r="U2162" i="1"/>
  <c r="V2162" i="1" s="1"/>
  <c r="U2166" i="1"/>
  <c r="V2166" i="1" s="1"/>
  <c r="O2168" i="1"/>
  <c r="P2168" i="1" s="1"/>
  <c r="O2170" i="1"/>
  <c r="P2170" i="1" s="1"/>
  <c r="W2172" i="1"/>
  <c r="X2172" i="1" s="1"/>
  <c r="W2173" i="1"/>
  <c r="X2173" i="1" s="1"/>
  <c r="U2182" i="1"/>
  <c r="V2182" i="1" s="1"/>
  <c r="O2184" i="1"/>
  <c r="P2184" i="1" s="1"/>
  <c r="O2186" i="1"/>
  <c r="P2186" i="1" s="1"/>
  <c r="W2188" i="1"/>
  <c r="X2188" i="1" s="1"/>
  <c r="W2189" i="1"/>
  <c r="X2189" i="1" s="1"/>
  <c r="U2198" i="1"/>
  <c r="V2198" i="1" s="1"/>
  <c r="O2201" i="1"/>
  <c r="P2201" i="1" s="1"/>
  <c r="U2202" i="1"/>
  <c r="V2202" i="1" s="1"/>
  <c r="W2204" i="1"/>
  <c r="X2204" i="1" s="1"/>
  <c r="O2211" i="1"/>
  <c r="P2211" i="1" s="1"/>
  <c r="O2214" i="1"/>
  <c r="P2214" i="1" s="1"/>
  <c r="W2228" i="1"/>
  <c r="X2228" i="1" s="1"/>
  <c r="W2232" i="1"/>
  <c r="X2232" i="1" s="1"/>
  <c r="O2244" i="1"/>
  <c r="P2244" i="1" s="1"/>
  <c r="W2257" i="1"/>
  <c r="X2257" i="1" s="1"/>
  <c r="O2265" i="1"/>
  <c r="P2265" i="1" s="1"/>
  <c r="U2266" i="1"/>
  <c r="V2266" i="1" s="1"/>
  <c r="W2268" i="1"/>
  <c r="X2268" i="1" s="1"/>
  <c r="O2275" i="1"/>
  <c r="P2275" i="1" s="1"/>
  <c r="O2278" i="1"/>
  <c r="P2278" i="1" s="1"/>
  <c r="W2292" i="1"/>
  <c r="X2292" i="1" s="1"/>
  <c r="W2296" i="1"/>
  <c r="X2296" i="1" s="1"/>
  <c r="O2308" i="1"/>
  <c r="P2308" i="1" s="1"/>
  <c r="W2321" i="1"/>
  <c r="X2321" i="1" s="1"/>
  <c r="O2329" i="1"/>
  <c r="P2329" i="1" s="1"/>
  <c r="U2330" i="1"/>
  <c r="V2330" i="1" s="1"/>
  <c r="W2332" i="1"/>
  <c r="X2332" i="1" s="1"/>
  <c r="O2339" i="1"/>
  <c r="P2339" i="1" s="1"/>
  <c r="O2342" i="1"/>
  <c r="P2342" i="1" s="1"/>
  <c r="W2356" i="1"/>
  <c r="X2356" i="1" s="1"/>
  <c r="W2360" i="1"/>
  <c r="X2360" i="1" s="1"/>
  <c r="O2372" i="1"/>
  <c r="P2372" i="1" s="1"/>
  <c r="W2385" i="1"/>
  <c r="X2385" i="1" s="1"/>
  <c r="O2393" i="1"/>
  <c r="P2393" i="1" s="1"/>
  <c r="U2394" i="1"/>
  <c r="V2394" i="1" s="1"/>
  <c r="W2396" i="1"/>
  <c r="X2396" i="1" s="1"/>
  <c r="O2403" i="1"/>
  <c r="P2403" i="1" s="1"/>
  <c r="O2406" i="1"/>
  <c r="P2406" i="1" s="1"/>
  <c r="W2420" i="1"/>
  <c r="X2420" i="1" s="1"/>
  <c r="W2424" i="1"/>
  <c r="X2424" i="1" s="1"/>
  <c r="O2436" i="1"/>
  <c r="P2436" i="1" s="1"/>
  <c r="U2453" i="1"/>
  <c r="V2453" i="1" s="1"/>
  <c r="O2492" i="1"/>
  <c r="P2492" i="1" s="1"/>
  <c r="U2493" i="1"/>
  <c r="V2493" i="1" s="1"/>
  <c r="O2909" i="1"/>
  <c r="P2909" i="1" s="1"/>
  <c r="W2921" i="1"/>
  <c r="X2921" i="1" s="1"/>
  <c r="O2927" i="1"/>
  <c r="P2927" i="1" s="1"/>
  <c r="O1875" i="1"/>
  <c r="P1875" i="1" s="1"/>
  <c r="W1878" i="1"/>
  <c r="X1878" i="1" s="1"/>
  <c r="U1880" i="1"/>
  <c r="V1880" i="1" s="1"/>
  <c r="O1884" i="1"/>
  <c r="P1884" i="1" s="1"/>
  <c r="O1895" i="1"/>
  <c r="P1895" i="1" s="1"/>
  <c r="U1896" i="1"/>
  <c r="V1896" i="1" s="1"/>
  <c r="O1900" i="1"/>
  <c r="P1900" i="1" s="1"/>
  <c r="O1911" i="1"/>
  <c r="P1911" i="1" s="1"/>
  <c r="U1912" i="1"/>
  <c r="V1912" i="1" s="1"/>
  <c r="O1916" i="1"/>
  <c r="P1916" i="1" s="1"/>
  <c r="O1927" i="1"/>
  <c r="P1927" i="1" s="1"/>
  <c r="U1928" i="1"/>
  <c r="V1928" i="1" s="1"/>
  <c r="O1932" i="1"/>
  <c r="P1932" i="1" s="1"/>
  <c r="W1934" i="1"/>
  <c r="X1934" i="1" s="1"/>
  <c r="W1935" i="1"/>
  <c r="X1935" i="1" s="1"/>
  <c r="O1943" i="1"/>
  <c r="P1943" i="1" s="1"/>
  <c r="U1944" i="1"/>
  <c r="V1944" i="1" s="1"/>
  <c r="O1948" i="1"/>
  <c r="P1948" i="1" s="1"/>
  <c r="W1951" i="1"/>
  <c r="X1951" i="1" s="1"/>
  <c r="O1959" i="1"/>
  <c r="P1959" i="1" s="1"/>
  <c r="U1960" i="1"/>
  <c r="V1960" i="1" s="1"/>
  <c r="O1964" i="1"/>
  <c r="P1964" i="1" s="1"/>
  <c r="W1967" i="1"/>
  <c r="X1967" i="1" s="1"/>
  <c r="O1975" i="1"/>
  <c r="P1975" i="1" s="1"/>
  <c r="U1976" i="1"/>
  <c r="V1976" i="1" s="1"/>
  <c r="O1980" i="1"/>
  <c r="P1980" i="1" s="1"/>
  <c r="W1983" i="1"/>
  <c r="X1983" i="1" s="1"/>
  <c r="O1991" i="1"/>
  <c r="P1991" i="1" s="1"/>
  <c r="U1992" i="1"/>
  <c r="V1992" i="1" s="1"/>
  <c r="O1996" i="1"/>
  <c r="P1996" i="1" s="1"/>
  <c r="W1999" i="1"/>
  <c r="X1999" i="1" s="1"/>
  <c r="O2007" i="1"/>
  <c r="P2007" i="1" s="1"/>
  <c r="U2008" i="1"/>
  <c r="V2008" i="1" s="1"/>
  <c r="O2012" i="1"/>
  <c r="P2012" i="1" s="1"/>
  <c r="W2015" i="1"/>
  <c r="X2015" i="1" s="1"/>
  <c r="O2023" i="1"/>
  <c r="P2023" i="1" s="1"/>
  <c r="U2024" i="1"/>
  <c r="V2024" i="1" s="1"/>
  <c r="O2028" i="1"/>
  <c r="P2028" i="1" s="1"/>
  <c r="W2030" i="1"/>
  <c r="X2030" i="1" s="1"/>
  <c r="W2031" i="1"/>
  <c r="X2031" i="1" s="1"/>
  <c r="O2039" i="1"/>
  <c r="P2039" i="1" s="1"/>
  <c r="U2040" i="1"/>
  <c r="V2040" i="1" s="1"/>
  <c r="O2044" i="1"/>
  <c r="P2044" i="1" s="1"/>
  <c r="W2047" i="1"/>
  <c r="X2047" i="1" s="1"/>
  <c r="O2055" i="1"/>
  <c r="P2055" i="1" s="1"/>
  <c r="U2056" i="1"/>
  <c r="V2056" i="1" s="1"/>
  <c r="O2060" i="1"/>
  <c r="P2060" i="1" s="1"/>
  <c r="W2062" i="1"/>
  <c r="X2062" i="1" s="1"/>
  <c r="W2063" i="1"/>
  <c r="X2063" i="1" s="1"/>
  <c r="O2071" i="1"/>
  <c r="P2071" i="1" s="1"/>
  <c r="U2072" i="1"/>
  <c r="V2072" i="1" s="1"/>
  <c r="O2076" i="1"/>
  <c r="P2076" i="1" s="1"/>
  <c r="W2079" i="1"/>
  <c r="X2079" i="1" s="1"/>
  <c r="O2087" i="1"/>
  <c r="P2087" i="1" s="1"/>
  <c r="U2088" i="1"/>
  <c r="V2088" i="1" s="1"/>
  <c r="W2095" i="1"/>
  <c r="X2095" i="1" s="1"/>
  <c r="O2100" i="1"/>
  <c r="P2100" i="1" s="1"/>
  <c r="O2103" i="1"/>
  <c r="P2103" i="1" s="1"/>
  <c r="U2104" i="1"/>
  <c r="V2104" i="1" s="1"/>
  <c r="W2111" i="1"/>
  <c r="X2111" i="1" s="1"/>
  <c r="O2116" i="1"/>
  <c r="P2116" i="1" s="1"/>
  <c r="O2119" i="1"/>
  <c r="P2119" i="1" s="1"/>
  <c r="U2120" i="1"/>
  <c r="V2120" i="1" s="1"/>
  <c r="W2127" i="1"/>
  <c r="X2127" i="1" s="1"/>
  <c r="O2132" i="1"/>
  <c r="P2132" i="1" s="1"/>
  <c r="U2135" i="1"/>
  <c r="V2135" i="1" s="1"/>
  <c r="W2142" i="1"/>
  <c r="X2142" i="1" s="1"/>
  <c r="U2146" i="1"/>
  <c r="V2146" i="1" s="1"/>
  <c r="O2152" i="1"/>
  <c r="P2152" i="1" s="1"/>
  <c r="O2153" i="1"/>
  <c r="P2153" i="1" s="1"/>
  <c r="O2154" i="1"/>
  <c r="P2154" i="1" s="1"/>
  <c r="U2156" i="1"/>
  <c r="V2156" i="1" s="1"/>
  <c r="W2157" i="1"/>
  <c r="X2157" i="1" s="1"/>
  <c r="O2163" i="1"/>
  <c r="P2163" i="1" s="1"/>
  <c r="O2174" i="1"/>
  <c r="P2174" i="1" s="1"/>
  <c r="W2177" i="1"/>
  <c r="X2177" i="1" s="1"/>
  <c r="O2190" i="1"/>
  <c r="P2190" i="1" s="1"/>
  <c r="W2193" i="1"/>
  <c r="X2193" i="1" s="1"/>
  <c r="W2209" i="1"/>
  <c r="X2209" i="1" s="1"/>
  <c r="O2217" i="1"/>
  <c r="P2217" i="1" s="1"/>
  <c r="U2218" i="1"/>
  <c r="V2218" i="1" s="1"/>
  <c r="W2220" i="1"/>
  <c r="X2220" i="1" s="1"/>
  <c r="O2227" i="1"/>
  <c r="P2227" i="1" s="1"/>
  <c r="O2230" i="1"/>
  <c r="P2230" i="1" s="1"/>
  <c r="W2244" i="1"/>
  <c r="X2244" i="1" s="1"/>
  <c r="W2248" i="1"/>
  <c r="X2248" i="1" s="1"/>
  <c r="O2260" i="1"/>
  <c r="P2260" i="1" s="1"/>
  <c r="W2273" i="1"/>
  <c r="X2273" i="1" s="1"/>
  <c r="O2281" i="1"/>
  <c r="P2281" i="1" s="1"/>
  <c r="U2282" i="1"/>
  <c r="V2282" i="1" s="1"/>
  <c r="W2284" i="1"/>
  <c r="X2284" i="1" s="1"/>
  <c r="O2291" i="1"/>
  <c r="P2291" i="1" s="1"/>
  <c r="O2294" i="1"/>
  <c r="P2294" i="1" s="1"/>
  <c r="W2308" i="1"/>
  <c r="X2308" i="1" s="1"/>
  <c r="W2312" i="1"/>
  <c r="X2312" i="1" s="1"/>
  <c r="O2324" i="1"/>
  <c r="P2324" i="1" s="1"/>
  <c r="W2337" i="1"/>
  <c r="X2337" i="1" s="1"/>
  <c r="O2345" i="1"/>
  <c r="P2345" i="1" s="1"/>
  <c r="U2346" i="1"/>
  <c r="V2346" i="1" s="1"/>
  <c r="W2348" i="1"/>
  <c r="X2348" i="1" s="1"/>
  <c r="O2355" i="1"/>
  <c r="P2355" i="1" s="1"/>
  <c r="O2358" i="1"/>
  <c r="P2358" i="1" s="1"/>
  <c r="W2372" i="1"/>
  <c r="X2372" i="1" s="1"/>
  <c r="W2376" i="1"/>
  <c r="X2376" i="1" s="1"/>
  <c r="O2388" i="1"/>
  <c r="P2388" i="1" s="1"/>
  <c r="W2401" i="1"/>
  <c r="X2401" i="1" s="1"/>
  <c r="O2409" i="1"/>
  <c r="P2409" i="1" s="1"/>
  <c r="U2410" i="1"/>
  <c r="V2410" i="1" s="1"/>
  <c r="W2412" i="1"/>
  <c r="X2412" i="1" s="1"/>
  <c r="O2419" i="1"/>
  <c r="P2419" i="1" s="1"/>
  <c r="O2422" i="1"/>
  <c r="P2422" i="1" s="1"/>
  <c r="O2448" i="1"/>
  <c r="P2448" i="1" s="1"/>
  <c r="W2460" i="1"/>
  <c r="X2460" i="1" s="1"/>
  <c r="W2484" i="1"/>
  <c r="X2484" i="1" s="1"/>
  <c r="O2534" i="1"/>
  <c r="P2534" i="1" s="1"/>
  <c r="O2577" i="1"/>
  <c r="P2577" i="1" s="1"/>
  <c r="O2609" i="1"/>
  <c r="P2609" i="1" s="1"/>
  <c r="O2649" i="1"/>
  <c r="P2649" i="1" s="1"/>
  <c r="O2826" i="1"/>
  <c r="P2826" i="1" s="1"/>
  <c r="U2827" i="1"/>
  <c r="V2827" i="1" s="1"/>
  <c r="W2837" i="1"/>
  <c r="X2837" i="1" s="1"/>
  <c r="V1841" i="1"/>
  <c r="P1844" i="1"/>
  <c r="U1852" i="1"/>
  <c r="V1852" i="1" s="1"/>
  <c r="O1855" i="1"/>
  <c r="P1855" i="1" s="1"/>
  <c r="V1856" i="1"/>
  <c r="V1857" i="1"/>
  <c r="P1860" i="1"/>
  <c r="U1868" i="1"/>
  <c r="V1868" i="1" s="1"/>
  <c r="O1871" i="1"/>
  <c r="P1871" i="1" s="1"/>
  <c r="V1872" i="1"/>
  <c r="V1873" i="1"/>
  <c r="V1875" i="1"/>
  <c r="P1876" i="1"/>
  <c r="O1878" i="1"/>
  <c r="P1878" i="1" s="1"/>
  <c r="W1881" i="1"/>
  <c r="X1881" i="1" s="1"/>
  <c r="O1883" i="1"/>
  <c r="P1883" i="1" s="1"/>
  <c r="U1884" i="1"/>
  <c r="V1884" i="1" s="1"/>
  <c r="X1885" i="1"/>
  <c r="O1888" i="1"/>
  <c r="P1888" i="1" s="1"/>
  <c r="P1889" i="1"/>
  <c r="P1890" i="1"/>
  <c r="V1895" i="1"/>
  <c r="W1897" i="1"/>
  <c r="X1897" i="1" s="1"/>
  <c r="O1899" i="1"/>
  <c r="P1899" i="1" s="1"/>
  <c r="U1900" i="1"/>
  <c r="V1900" i="1" s="1"/>
  <c r="X1901" i="1"/>
  <c r="O1904" i="1"/>
  <c r="P1904" i="1" s="1"/>
  <c r="P1905" i="1"/>
  <c r="P1906" i="1"/>
  <c r="V1911" i="1"/>
  <c r="W1913" i="1"/>
  <c r="X1913" i="1" s="1"/>
  <c r="O1915" i="1"/>
  <c r="P1915" i="1" s="1"/>
  <c r="U1916" i="1"/>
  <c r="V1916" i="1" s="1"/>
  <c r="X1917" i="1"/>
  <c r="O1920" i="1"/>
  <c r="P1920" i="1" s="1"/>
  <c r="P1921" i="1"/>
  <c r="P1922" i="1"/>
  <c r="W1922" i="1"/>
  <c r="X1922" i="1" s="1"/>
  <c r="V1927" i="1"/>
  <c r="O1931" i="1"/>
  <c r="P1931" i="1" s="1"/>
  <c r="U1932" i="1"/>
  <c r="V1932" i="1" s="1"/>
  <c r="O1936" i="1"/>
  <c r="P1936" i="1" s="1"/>
  <c r="P1937" i="1"/>
  <c r="W1939" i="1"/>
  <c r="X1939" i="1" s="1"/>
  <c r="O1947" i="1"/>
  <c r="P1947" i="1" s="1"/>
  <c r="U1948" i="1"/>
  <c r="V1948" i="1" s="1"/>
  <c r="O1952" i="1"/>
  <c r="P1952" i="1" s="1"/>
  <c r="P1953" i="1"/>
  <c r="W1954" i="1"/>
  <c r="X1954" i="1" s="1"/>
  <c r="W1955" i="1"/>
  <c r="X1955" i="1" s="1"/>
  <c r="O1963" i="1"/>
  <c r="P1963" i="1" s="1"/>
  <c r="U1964" i="1"/>
  <c r="V1964" i="1" s="1"/>
  <c r="O1968" i="1"/>
  <c r="P1968" i="1" s="1"/>
  <c r="P1969" i="1"/>
  <c r="W1971" i="1"/>
  <c r="X1971" i="1" s="1"/>
  <c r="O1979" i="1"/>
  <c r="P1979" i="1" s="1"/>
  <c r="U1980" i="1"/>
  <c r="V1980" i="1" s="1"/>
  <c r="O1984" i="1"/>
  <c r="P1984" i="1" s="1"/>
  <c r="P1985" i="1"/>
  <c r="W1986" i="1"/>
  <c r="X1986" i="1" s="1"/>
  <c r="W1987" i="1"/>
  <c r="X1987" i="1" s="1"/>
  <c r="O1995" i="1"/>
  <c r="P1995" i="1" s="1"/>
  <c r="U1996" i="1"/>
  <c r="V1996" i="1" s="1"/>
  <c r="O2000" i="1"/>
  <c r="P2000" i="1" s="1"/>
  <c r="P2001" i="1"/>
  <c r="W2003" i="1"/>
  <c r="X2003" i="1" s="1"/>
  <c r="O2011" i="1"/>
  <c r="P2011" i="1" s="1"/>
  <c r="U2012" i="1"/>
  <c r="V2012" i="1" s="1"/>
  <c r="O2016" i="1"/>
  <c r="P2016" i="1" s="1"/>
  <c r="P2017" i="1"/>
  <c r="W2019" i="1"/>
  <c r="X2019" i="1" s="1"/>
  <c r="O2027" i="1"/>
  <c r="P2027" i="1" s="1"/>
  <c r="U2028" i="1"/>
  <c r="V2028" i="1" s="1"/>
  <c r="O2032" i="1"/>
  <c r="P2032" i="1" s="1"/>
  <c r="P2033" i="1"/>
  <c r="W2035" i="1"/>
  <c r="X2035" i="1" s="1"/>
  <c r="O2043" i="1"/>
  <c r="P2043" i="1" s="1"/>
  <c r="U2044" i="1"/>
  <c r="V2044" i="1" s="1"/>
  <c r="O2048" i="1"/>
  <c r="P2048" i="1" s="1"/>
  <c r="P2049" i="1"/>
  <c r="W2051" i="1"/>
  <c r="X2051" i="1" s="1"/>
  <c r="O2059" i="1"/>
  <c r="P2059" i="1" s="1"/>
  <c r="U2060" i="1"/>
  <c r="V2060" i="1" s="1"/>
  <c r="O2064" i="1"/>
  <c r="P2064" i="1" s="1"/>
  <c r="P2065" i="1"/>
  <c r="W2067" i="1"/>
  <c r="X2067" i="1" s="1"/>
  <c r="O2075" i="1"/>
  <c r="P2075" i="1" s="1"/>
  <c r="U2076" i="1"/>
  <c r="V2076" i="1" s="1"/>
  <c r="O2080" i="1"/>
  <c r="P2080" i="1" s="1"/>
  <c r="P2081" i="1"/>
  <c r="W2083" i="1"/>
  <c r="X2083" i="1" s="1"/>
  <c r="W2091" i="1"/>
  <c r="X2091" i="1" s="1"/>
  <c r="P2094" i="1"/>
  <c r="O2096" i="1"/>
  <c r="P2096" i="1" s="1"/>
  <c r="P2097" i="1"/>
  <c r="O2098" i="1"/>
  <c r="P2098" i="1" s="1"/>
  <c r="O2099" i="1"/>
  <c r="P2099" i="1" s="1"/>
  <c r="U2100" i="1"/>
  <c r="V2100" i="1" s="1"/>
  <c r="W2107" i="1"/>
  <c r="X2107" i="1" s="1"/>
  <c r="P2110" i="1"/>
  <c r="O2112" i="1"/>
  <c r="P2112" i="1" s="1"/>
  <c r="P2113" i="1"/>
  <c r="O2114" i="1"/>
  <c r="P2114" i="1" s="1"/>
  <c r="O2115" i="1"/>
  <c r="P2115" i="1" s="1"/>
  <c r="U2116" i="1"/>
  <c r="V2116" i="1" s="1"/>
  <c r="W2123" i="1"/>
  <c r="X2123" i="1" s="1"/>
  <c r="P2126" i="1"/>
  <c r="O2128" i="1"/>
  <c r="P2128" i="1" s="1"/>
  <c r="P2129" i="1"/>
  <c r="O2130" i="1"/>
  <c r="P2130" i="1" s="1"/>
  <c r="O2131" i="1"/>
  <c r="P2131" i="1" s="1"/>
  <c r="U2132" i="1"/>
  <c r="V2132" i="1" s="1"/>
  <c r="O2136" i="1"/>
  <c r="P2136" i="1" s="1"/>
  <c r="O2137" i="1"/>
  <c r="P2137" i="1" s="1"/>
  <c r="O2138" i="1"/>
  <c r="P2138" i="1" s="1"/>
  <c r="P2139" i="1"/>
  <c r="U2140" i="1"/>
  <c r="V2140" i="1" s="1"/>
  <c r="W2141" i="1"/>
  <c r="X2141" i="1" s="1"/>
  <c r="X2145" i="1"/>
  <c r="O2147" i="1"/>
  <c r="P2147" i="1" s="1"/>
  <c r="O2158" i="1"/>
  <c r="P2158" i="1" s="1"/>
  <c r="O2159" i="1"/>
  <c r="P2159" i="1" s="1"/>
  <c r="W2161" i="1"/>
  <c r="X2161" i="1" s="1"/>
  <c r="W2164" i="1"/>
  <c r="X2164" i="1" s="1"/>
  <c r="W2165" i="1"/>
  <c r="X2165" i="1" s="1"/>
  <c r="U2174" i="1"/>
  <c r="V2174" i="1" s="1"/>
  <c r="O2176" i="1"/>
  <c r="P2176" i="1" s="1"/>
  <c r="O2178" i="1"/>
  <c r="P2178" i="1" s="1"/>
  <c r="W2180" i="1"/>
  <c r="X2180" i="1" s="1"/>
  <c r="W2181" i="1"/>
  <c r="X2181" i="1" s="1"/>
  <c r="U2190" i="1"/>
  <c r="V2190" i="1" s="1"/>
  <c r="O2192" i="1"/>
  <c r="P2192" i="1" s="1"/>
  <c r="O2194" i="1"/>
  <c r="P2194" i="1" s="1"/>
  <c r="W2196" i="1"/>
  <c r="X2196" i="1" s="1"/>
  <c r="W2197" i="1"/>
  <c r="X2197" i="1" s="1"/>
  <c r="W2200" i="1"/>
  <c r="X2200" i="1" s="1"/>
  <c r="O2212" i="1"/>
  <c r="P2212" i="1" s="1"/>
  <c r="W2225" i="1"/>
  <c r="X2225" i="1" s="1"/>
  <c r="O2233" i="1"/>
  <c r="P2233" i="1" s="1"/>
  <c r="U2234" i="1"/>
  <c r="V2234" i="1" s="1"/>
  <c r="W2236" i="1"/>
  <c r="X2236" i="1" s="1"/>
  <c r="O2243" i="1"/>
  <c r="P2243" i="1" s="1"/>
  <c r="O2246" i="1"/>
  <c r="P2246" i="1" s="1"/>
  <c r="W2260" i="1"/>
  <c r="X2260" i="1" s="1"/>
  <c r="W2264" i="1"/>
  <c r="X2264" i="1" s="1"/>
  <c r="O2276" i="1"/>
  <c r="P2276" i="1" s="1"/>
  <c r="W2289" i="1"/>
  <c r="X2289" i="1" s="1"/>
  <c r="O2297" i="1"/>
  <c r="P2297" i="1" s="1"/>
  <c r="U2298" i="1"/>
  <c r="V2298" i="1" s="1"/>
  <c r="W2300" i="1"/>
  <c r="X2300" i="1" s="1"/>
  <c r="O2307" i="1"/>
  <c r="P2307" i="1" s="1"/>
  <c r="O2310" i="1"/>
  <c r="P2310" i="1" s="1"/>
  <c r="W2324" i="1"/>
  <c r="X2324" i="1" s="1"/>
  <c r="W2328" i="1"/>
  <c r="X2328" i="1" s="1"/>
  <c r="O2340" i="1"/>
  <c r="P2340" i="1" s="1"/>
  <c r="W2353" i="1"/>
  <c r="X2353" i="1" s="1"/>
  <c r="O2361" i="1"/>
  <c r="P2361" i="1" s="1"/>
  <c r="U2362" i="1"/>
  <c r="V2362" i="1" s="1"/>
  <c r="W2364" i="1"/>
  <c r="X2364" i="1" s="1"/>
  <c r="O2371" i="1"/>
  <c r="P2371" i="1" s="1"/>
  <c r="O2374" i="1"/>
  <c r="P2374" i="1" s="1"/>
  <c r="W2388" i="1"/>
  <c r="X2388" i="1" s="1"/>
  <c r="W2392" i="1"/>
  <c r="X2392" i="1" s="1"/>
  <c r="O2404" i="1"/>
  <c r="P2404" i="1" s="1"/>
  <c r="W2417" i="1"/>
  <c r="X2417" i="1" s="1"/>
  <c r="O2425" i="1"/>
  <c r="P2425" i="1" s="1"/>
  <c r="U2426" i="1"/>
  <c r="V2426" i="1" s="1"/>
  <c r="W2428" i="1"/>
  <c r="X2428" i="1" s="1"/>
  <c r="O2435" i="1"/>
  <c r="P2435" i="1" s="1"/>
  <c r="O2437" i="1"/>
  <c r="P2437" i="1" s="1"/>
  <c r="W2439" i="1"/>
  <c r="X2439" i="1" s="1"/>
  <c r="W2456" i="1"/>
  <c r="X2456" i="1" s="1"/>
  <c r="U2464" i="1"/>
  <c r="V2464" i="1" s="1"/>
  <c r="O2556" i="1"/>
  <c r="P2556" i="1" s="1"/>
  <c r="U2557" i="1"/>
  <c r="V2557" i="1" s="1"/>
  <c r="W2756" i="1"/>
  <c r="X2756" i="1" s="1"/>
  <c r="U2167" i="1"/>
  <c r="V2167" i="1" s="1"/>
  <c r="U2175" i="1"/>
  <c r="V2175" i="1" s="1"/>
  <c r="U2183" i="1"/>
  <c r="V2183" i="1" s="1"/>
  <c r="U2191" i="1"/>
  <c r="V2191" i="1" s="1"/>
  <c r="U2199" i="1"/>
  <c r="V2199" i="1" s="1"/>
  <c r="W2205" i="1"/>
  <c r="X2205" i="1" s="1"/>
  <c r="O2210" i="1"/>
  <c r="P2210" i="1" s="1"/>
  <c r="O2213" i="1"/>
  <c r="P2213" i="1" s="1"/>
  <c r="U2214" i="1"/>
  <c r="V2214" i="1" s="1"/>
  <c r="W2221" i="1"/>
  <c r="X2221" i="1" s="1"/>
  <c r="O2226" i="1"/>
  <c r="P2226" i="1" s="1"/>
  <c r="O2229" i="1"/>
  <c r="P2229" i="1" s="1"/>
  <c r="U2230" i="1"/>
  <c r="V2230" i="1" s="1"/>
  <c r="W2237" i="1"/>
  <c r="X2237" i="1" s="1"/>
  <c r="O2242" i="1"/>
  <c r="P2242" i="1" s="1"/>
  <c r="O2245" i="1"/>
  <c r="P2245" i="1" s="1"/>
  <c r="U2246" i="1"/>
  <c r="V2246" i="1" s="1"/>
  <c r="W2253" i="1"/>
  <c r="X2253" i="1" s="1"/>
  <c r="O2258" i="1"/>
  <c r="P2258" i="1" s="1"/>
  <c r="O2261" i="1"/>
  <c r="P2261" i="1" s="1"/>
  <c r="U2262" i="1"/>
  <c r="V2262" i="1" s="1"/>
  <c r="W2269" i="1"/>
  <c r="X2269" i="1" s="1"/>
  <c r="O2274" i="1"/>
  <c r="P2274" i="1" s="1"/>
  <c r="O2277" i="1"/>
  <c r="P2277" i="1" s="1"/>
  <c r="U2278" i="1"/>
  <c r="V2278" i="1" s="1"/>
  <c r="W2285" i="1"/>
  <c r="X2285" i="1" s="1"/>
  <c r="O2290" i="1"/>
  <c r="P2290" i="1" s="1"/>
  <c r="O2293" i="1"/>
  <c r="P2293" i="1" s="1"/>
  <c r="U2294" i="1"/>
  <c r="V2294" i="1" s="1"/>
  <c r="W2301" i="1"/>
  <c r="X2301" i="1" s="1"/>
  <c r="O2306" i="1"/>
  <c r="P2306" i="1" s="1"/>
  <c r="O2309" i="1"/>
  <c r="P2309" i="1" s="1"/>
  <c r="U2310" i="1"/>
  <c r="V2310" i="1" s="1"/>
  <c r="W2317" i="1"/>
  <c r="X2317" i="1" s="1"/>
  <c r="O2322" i="1"/>
  <c r="P2322" i="1" s="1"/>
  <c r="O2325" i="1"/>
  <c r="P2325" i="1" s="1"/>
  <c r="U2326" i="1"/>
  <c r="V2326" i="1" s="1"/>
  <c r="W2333" i="1"/>
  <c r="X2333" i="1" s="1"/>
  <c r="O2338" i="1"/>
  <c r="P2338" i="1" s="1"/>
  <c r="O2341" i="1"/>
  <c r="P2341" i="1" s="1"/>
  <c r="U2342" i="1"/>
  <c r="V2342" i="1" s="1"/>
  <c r="W2349" i="1"/>
  <c r="X2349" i="1" s="1"/>
  <c r="O2354" i="1"/>
  <c r="P2354" i="1" s="1"/>
  <c r="O2357" i="1"/>
  <c r="P2357" i="1" s="1"/>
  <c r="U2358" i="1"/>
  <c r="V2358" i="1" s="1"/>
  <c r="W2365" i="1"/>
  <c r="X2365" i="1" s="1"/>
  <c r="O2370" i="1"/>
  <c r="P2370" i="1" s="1"/>
  <c r="O2373" i="1"/>
  <c r="P2373" i="1" s="1"/>
  <c r="U2374" i="1"/>
  <c r="V2374" i="1" s="1"/>
  <c r="W2381" i="1"/>
  <c r="X2381" i="1" s="1"/>
  <c r="O2386" i="1"/>
  <c r="P2386" i="1" s="1"/>
  <c r="O2389" i="1"/>
  <c r="P2389" i="1" s="1"/>
  <c r="U2390" i="1"/>
  <c r="V2390" i="1" s="1"/>
  <c r="W2397" i="1"/>
  <c r="X2397" i="1" s="1"/>
  <c r="O2402" i="1"/>
  <c r="P2402" i="1" s="1"/>
  <c r="O2405" i="1"/>
  <c r="P2405" i="1" s="1"/>
  <c r="U2406" i="1"/>
  <c r="V2406" i="1" s="1"/>
  <c r="W2413" i="1"/>
  <c r="X2413" i="1" s="1"/>
  <c r="O2418" i="1"/>
  <c r="P2418" i="1" s="1"/>
  <c r="O2421" i="1"/>
  <c r="P2421" i="1" s="1"/>
  <c r="U2422" i="1"/>
  <c r="V2422" i="1" s="1"/>
  <c r="W2429" i="1"/>
  <c r="X2429" i="1" s="1"/>
  <c r="O2434" i="1"/>
  <c r="P2434" i="1" s="1"/>
  <c r="U2437" i="1"/>
  <c r="V2437" i="1" s="1"/>
  <c r="W2444" i="1"/>
  <c r="X2444" i="1" s="1"/>
  <c r="U2448" i="1"/>
  <c r="V2448" i="1" s="1"/>
  <c r="O2454" i="1"/>
  <c r="P2454" i="1" s="1"/>
  <c r="O2455" i="1"/>
  <c r="P2455" i="1" s="1"/>
  <c r="O2456" i="1"/>
  <c r="P2456" i="1" s="1"/>
  <c r="U2458" i="1"/>
  <c r="V2458" i="1" s="1"/>
  <c r="W2459" i="1"/>
  <c r="X2459" i="1" s="1"/>
  <c r="O2465" i="1"/>
  <c r="P2465" i="1" s="1"/>
  <c r="O2476" i="1"/>
  <c r="P2476" i="1" s="1"/>
  <c r="U2477" i="1"/>
  <c r="V2477" i="1" s="1"/>
  <c r="O2497" i="1"/>
  <c r="P2497" i="1" s="1"/>
  <c r="O2518" i="1"/>
  <c r="P2518" i="1" s="1"/>
  <c r="W2532" i="1"/>
  <c r="X2532" i="1" s="1"/>
  <c r="O2540" i="1"/>
  <c r="P2540" i="1" s="1"/>
  <c r="U2541" i="1"/>
  <c r="V2541" i="1" s="1"/>
  <c r="O2561" i="1"/>
  <c r="P2561" i="1" s="1"/>
  <c r="O2582" i="1"/>
  <c r="P2582" i="1" s="1"/>
  <c r="O2598" i="1"/>
  <c r="P2598" i="1" s="1"/>
  <c r="O2614" i="1"/>
  <c r="P2614" i="1" s="1"/>
  <c r="O2630" i="1"/>
  <c r="P2630" i="1" s="1"/>
  <c r="O2638" i="1"/>
  <c r="P2638" i="1" s="1"/>
  <c r="O2654" i="1"/>
  <c r="P2654" i="1" s="1"/>
  <c r="O2669" i="1"/>
  <c r="P2669" i="1" s="1"/>
  <c r="O2685" i="1"/>
  <c r="P2685" i="1" s="1"/>
  <c r="W2729" i="1"/>
  <c r="X2729" i="1" s="1"/>
  <c r="O2735" i="1"/>
  <c r="P2735" i="1" s="1"/>
  <c r="W2820" i="1"/>
  <c r="X2820" i="1" s="1"/>
  <c r="O2890" i="1"/>
  <c r="P2890" i="1" s="1"/>
  <c r="U2891" i="1"/>
  <c r="V2891" i="1" s="1"/>
  <c r="W2901" i="1"/>
  <c r="X2901" i="1" s="1"/>
  <c r="W3015" i="1"/>
  <c r="X3015" i="1" s="1"/>
  <c r="W3023" i="1"/>
  <c r="X3023" i="1" s="1"/>
  <c r="U1929" i="1"/>
  <c r="V1929" i="1" s="1"/>
  <c r="U1933" i="1"/>
  <c r="V1933" i="1" s="1"/>
  <c r="U1937" i="1"/>
  <c r="V1937" i="1" s="1"/>
  <c r="U1941" i="1"/>
  <c r="V1941" i="1" s="1"/>
  <c r="U1945" i="1"/>
  <c r="V1945" i="1" s="1"/>
  <c r="U1949" i="1"/>
  <c r="V1949" i="1" s="1"/>
  <c r="U1953" i="1"/>
  <c r="V1953" i="1" s="1"/>
  <c r="U1957" i="1"/>
  <c r="V1957" i="1" s="1"/>
  <c r="U1961" i="1"/>
  <c r="V1961" i="1" s="1"/>
  <c r="U1965" i="1"/>
  <c r="V1965" i="1" s="1"/>
  <c r="U1969" i="1"/>
  <c r="V1969" i="1" s="1"/>
  <c r="U1973" i="1"/>
  <c r="V1973" i="1" s="1"/>
  <c r="U1977" i="1"/>
  <c r="V1977" i="1" s="1"/>
  <c r="U1981" i="1"/>
  <c r="V1981" i="1" s="1"/>
  <c r="U1985" i="1"/>
  <c r="V1985" i="1" s="1"/>
  <c r="U1989" i="1"/>
  <c r="V1989" i="1" s="1"/>
  <c r="U1993" i="1"/>
  <c r="V1993" i="1" s="1"/>
  <c r="U1997" i="1"/>
  <c r="V1997" i="1" s="1"/>
  <c r="U2001" i="1"/>
  <c r="V2001" i="1" s="1"/>
  <c r="U2005" i="1"/>
  <c r="V2005" i="1" s="1"/>
  <c r="U2009" i="1"/>
  <c r="V2009" i="1" s="1"/>
  <c r="U2013" i="1"/>
  <c r="V2013" i="1" s="1"/>
  <c r="U2017" i="1"/>
  <c r="V2017" i="1" s="1"/>
  <c r="U2021" i="1"/>
  <c r="V2021" i="1" s="1"/>
  <c r="U2025" i="1"/>
  <c r="V2025" i="1" s="1"/>
  <c r="U2029" i="1"/>
  <c r="V2029" i="1" s="1"/>
  <c r="U2033" i="1"/>
  <c r="V2033" i="1" s="1"/>
  <c r="U2037" i="1"/>
  <c r="V2037" i="1" s="1"/>
  <c r="U2041" i="1"/>
  <c r="V2041" i="1" s="1"/>
  <c r="U2045" i="1"/>
  <c r="V2045" i="1" s="1"/>
  <c r="U2049" i="1"/>
  <c r="V2049" i="1" s="1"/>
  <c r="U2053" i="1"/>
  <c r="V2053" i="1" s="1"/>
  <c r="U2057" i="1"/>
  <c r="V2057" i="1" s="1"/>
  <c r="U2061" i="1"/>
  <c r="V2061" i="1" s="1"/>
  <c r="U2065" i="1"/>
  <c r="V2065" i="1" s="1"/>
  <c r="U2069" i="1"/>
  <c r="V2069" i="1" s="1"/>
  <c r="U2073" i="1"/>
  <c r="V2073" i="1" s="1"/>
  <c r="U2077" i="1"/>
  <c r="V2077" i="1" s="1"/>
  <c r="U2081" i="1"/>
  <c r="V2081" i="1" s="1"/>
  <c r="U2085" i="1"/>
  <c r="V2085" i="1" s="1"/>
  <c r="U2089" i="1"/>
  <c r="V2089" i="1" s="1"/>
  <c r="U2093" i="1"/>
  <c r="V2093" i="1" s="1"/>
  <c r="U2097" i="1"/>
  <c r="V2097" i="1" s="1"/>
  <c r="U2101" i="1"/>
  <c r="V2101" i="1" s="1"/>
  <c r="U2105" i="1"/>
  <c r="V2105" i="1" s="1"/>
  <c r="U2109" i="1"/>
  <c r="V2109" i="1" s="1"/>
  <c r="U2113" i="1"/>
  <c r="V2113" i="1" s="1"/>
  <c r="U2117" i="1"/>
  <c r="V2117" i="1" s="1"/>
  <c r="U2121" i="1"/>
  <c r="V2121" i="1" s="1"/>
  <c r="U2125" i="1"/>
  <c r="V2125" i="1" s="1"/>
  <c r="U2129" i="1"/>
  <c r="V2129" i="1" s="1"/>
  <c r="U2133" i="1"/>
  <c r="V2133" i="1" s="1"/>
  <c r="U2134" i="1"/>
  <c r="V2134" i="1" s="1"/>
  <c r="U2139" i="1"/>
  <c r="V2139" i="1" s="1"/>
  <c r="O2140" i="1"/>
  <c r="P2140" i="1" s="1"/>
  <c r="O2141" i="1"/>
  <c r="P2141" i="1" s="1"/>
  <c r="V2144" i="1"/>
  <c r="U2150" i="1"/>
  <c r="V2150" i="1" s="1"/>
  <c r="U2155" i="1"/>
  <c r="V2155" i="1" s="1"/>
  <c r="O2156" i="1"/>
  <c r="P2156" i="1" s="1"/>
  <c r="O2157" i="1"/>
  <c r="P2157" i="1" s="1"/>
  <c r="V2160" i="1"/>
  <c r="O2165" i="1"/>
  <c r="P2165" i="1" s="1"/>
  <c r="P2171" i="1"/>
  <c r="O2173" i="1"/>
  <c r="P2173" i="1" s="1"/>
  <c r="P2179" i="1"/>
  <c r="O2181" i="1"/>
  <c r="P2181" i="1" s="1"/>
  <c r="P2187" i="1"/>
  <c r="O2189" i="1"/>
  <c r="P2189" i="1" s="1"/>
  <c r="P2195" i="1"/>
  <c r="O2197" i="1"/>
  <c r="P2197" i="1" s="1"/>
  <c r="W2201" i="1"/>
  <c r="X2201" i="1" s="1"/>
  <c r="O2206" i="1"/>
  <c r="P2206" i="1" s="1"/>
  <c r="P2207" i="1"/>
  <c r="O2208" i="1"/>
  <c r="P2208" i="1" s="1"/>
  <c r="O2209" i="1"/>
  <c r="P2209" i="1" s="1"/>
  <c r="U2210" i="1"/>
  <c r="V2210" i="1" s="1"/>
  <c r="W2217" i="1"/>
  <c r="X2217" i="1" s="1"/>
  <c r="O2222" i="1"/>
  <c r="P2222" i="1" s="1"/>
  <c r="P2223" i="1"/>
  <c r="O2224" i="1"/>
  <c r="P2224" i="1" s="1"/>
  <c r="O2225" i="1"/>
  <c r="P2225" i="1" s="1"/>
  <c r="U2226" i="1"/>
  <c r="V2226" i="1" s="1"/>
  <c r="W2233" i="1"/>
  <c r="X2233" i="1" s="1"/>
  <c r="O2238" i="1"/>
  <c r="P2238" i="1" s="1"/>
  <c r="P2239" i="1"/>
  <c r="O2240" i="1"/>
  <c r="P2240" i="1" s="1"/>
  <c r="O2241" i="1"/>
  <c r="P2241" i="1" s="1"/>
  <c r="U2242" i="1"/>
  <c r="V2242" i="1" s="1"/>
  <c r="W2249" i="1"/>
  <c r="X2249" i="1" s="1"/>
  <c r="O2254" i="1"/>
  <c r="P2254" i="1" s="1"/>
  <c r="P2255" i="1"/>
  <c r="O2256" i="1"/>
  <c r="P2256" i="1" s="1"/>
  <c r="O2257" i="1"/>
  <c r="P2257" i="1" s="1"/>
  <c r="U2258" i="1"/>
  <c r="V2258" i="1" s="1"/>
  <c r="W2265" i="1"/>
  <c r="X2265" i="1" s="1"/>
  <c r="O2270" i="1"/>
  <c r="P2270" i="1" s="1"/>
  <c r="P2271" i="1"/>
  <c r="O2272" i="1"/>
  <c r="P2272" i="1" s="1"/>
  <c r="O2273" i="1"/>
  <c r="P2273" i="1" s="1"/>
  <c r="U2274" i="1"/>
  <c r="V2274" i="1" s="1"/>
  <c r="W2281" i="1"/>
  <c r="X2281" i="1" s="1"/>
  <c r="O2286" i="1"/>
  <c r="P2286" i="1" s="1"/>
  <c r="P2287" i="1"/>
  <c r="O2288" i="1"/>
  <c r="P2288" i="1" s="1"/>
  <c r="O2289" i="1"/>
  <c r="P2289" i="1" s="1"/>
  <c r="U2290" i="1"/>
  <c r="V2290" i="1" s="1"/>
  <c r="W2297" i="1"/>
  <c r="X2297" i="1" s="1"/>
  <c r="O2302" i="1"/>
  <c r="P2302" i="1" s="1"/>
  <c r="P2303" i="1"/>
  <c r="O2304" i="1"/>
  <c r="P2304" i="1" s="1"/>
  <c r="O2305" i="1"/>
  <c r="P2305" i="1" s="1"/>
  <c r="U2306" i="1"/>
  <c r="V2306" i="1" s="1"/>
  <c r="W2313" i="1"/>
  <c r="X2313" i="1" s="1"/>
  <c r="O2318" i="1"/>
  <c r="P2318" i="1" s="1"/>
  <c r="P2319" i="1"/>
  <c r="O2320" i="1"/>
  <c r="P2320" i="1" s="1"/>
  <c r="O2321" i="1"/>
  <c r="P2321" i="1" s="1"/>
  <c r="U2322" i="1"/>
  <c r="V2322" i="1" s="1"/>
  <c r="W2329" i="1"/>
  <c r="X2329" i="1" s="1"/>
  <c r="O2334" i="1"/>
  <c r="P2334" i="1" s="1"/>
  <c r="P2335" i="1"/>
  <c r="O2336" i="1"/>
  <c r="P2336" i="1" s="1"/>
  <c r="O2337" i="1"/>
  <c r="P2337" i="1" s="1"/>
  <c r="U2338" i="1"/>
  <c r="V2338" i="1" s="1"/>
  <c r="W2345" i="1"/>
  <c r="X2345" i="1" s="1"/>
  <c r="O2350" i="1"/>
  <c r="P2350" i="1" s="1"/>
  <c r="P2351" i="1"/>
  <c r="O2352" i="1"/>
  <c r="P2352" i="1" s="1"/>
  <c r="O2353" i="1"/>
  <c r="P2353" i="1" s="1"/>
  <c r="U2354" i="1"/>
  <c r="V2354" i="1" s="1"/>
  <c r="W2361" i="1"/>
  <c r="X2361" i="1" s="1"/>
  <c r="O2366" i="1"/>
  <c r="P2366" i="1" s="1"/>
  <c r="P2367" i="1"/>
  <c r="O2368" i="1"/>
  <c r="P2368" i="1" s="1"/>
  <c r="O2369" i="1"/>
  <c r="P2369" i="1" s="1"/>
  <c r="U2370" i="1"/>
  <c r="V2370" i="1" s="1"/>
  <c r="W2377" i="1"/>
  <c r="X2377" i="1" s="1"/>
  <c r="O2382" i="1"/>
  <c r="P2382" i="1" s="1"/>
  <c r="P2383" i="1"/>
  <c r="O2384" i="1"/>
  <c r="P2384" i="1" s="1"/>
  <c r="O2385" i="1"/>
  <c r="P2385" i="1" s="1"/>
  <c r="U2386" i="1"/>
  <c r="V2386" i="1" s="1"/>
  <c r="W2393" i="1"/>
  <c r="X2393" i="1" s="1"/>
  <c r="O2398" i="1"/>
  <c r="P2398" i="1" s="1"/>
  <c r="P2399" i="1"/>
  <c r="O2400" i="1"/>
  <c r="P2400" i="1" s="1"/>
  <c r="O2401" i="1"/>
  <c r="P2401" i="1" s="1"/>
  <c r="U2402" i="1"/>
  <c r="V2402" i="1" s="1"/>
  <c r="W2409" i="1"/>
  <c r="X2409" i="1" s="1"/>
  <c r="O2414" i="1"/>
  <c r="P2414" i="1" s="1"/>
  <c r="P2415" i="1"/>
  <c r="O2416" i="1"/>
  <c r="P2416" i="1" s="1"/>
  <c r="O2417" i="1"/>
  <c r="P2417" i="1" s="1"/>
  <c r="U2418" i="1"/>
  <c r="V2418" i="1" s="1"/>
  <c r="W2425" i="1"/>
  <c r="X2425" i="1" s="1"/>
  <c r="O2430" i="1"/>
  <c r="P2430" i="1" s="1"/>
  <c r="P2431" i="1"/>
  <c r="O2432" i="1"/>
  <c r="P2432" i="1" s="1"/>
  <c r="O2433" i="1"/>
  <c r="P2433" i="1" s="1"/>
  <c r="U2434" i="1"/>
  <c r="V2434" i="1" s="1"/>
  <c r="O2438" i="1"/>
  <c r="P2438" i="1" s="1"/>
  <c r="O2439" i="1"/>
  <c r="P2439" i="1" s="1"/>
  <c r="O2440" i="1"/>
  <c r="P2440" i="1" s="1"/>
  <c r="P2441" i="1"/>
  <c r="U2442" i="1"/>
  <c r="V2442" i="1" s="1"/>
  <c r="W2443" i="1"/>
  <c r="X2443" i="1" s="1"/>
  <c r="O2449" i="1"/>
  <c r="P2449" i="1" s="1"/>
  <c r="O2460" i="1"/>
  <c r="P2460" i="1" s="1"/>
  <c r="O2461" i="1"/>
  <c r="P2461" i="1" s="1"/>
  <c r="W2463" i="1"/>
  <c r="X2463" i="1" s="1"/>
  <c r="O2469" i="1"/>
  <c r="P2469" i="1" s="1"/>
  <c r="O2481" i="1"/>
  <c r="P2481" i="1" s="1"/>
  <c r="O2502" i="1"/>
  <c r="P2502" i="1" s="1"/>
  <c r="W2515" i="1"/>
  <c r="X2515" i="1" s="1"/>
  <c r="W2516" i="1"/>
  <c r="X2516" i="1" s="1"/>
  <c r="O2524" i="1"/>
  <c r="P2524" i="1" s="1"/>
  <c r="U2525" i="1"/>
  <c r="V2525" i="1" s="1"/>
  <c r="O2545" i="1"/>
  <c r="P2545" i="1" s="1"/>
  <c r="O2566" i="1"/>
  <c r="P2566" i="1" s="1"/>
  <c r="W2580" i="1"/>
  <c r="X2580" i="1" s="1"/>
  <c r="W2596" i="1"/>
  <c r="X2596" i="1" s="1"/>
  <c r="W2611" i="1"/>
  <c r="X2611" i="1" s="1"/>
  <c r="W2612" i="1"/>
  <c r="X2612" i="1" s="1"/>
  <c r="W2628" i="1"/>
  <c r="X2628" i="1" s="1"/>
  <c r="W2652" i="1"/>
  <c r="X2652" i="1" s="1"/>
  <c r="W2667" i="1"/>
  <c r="X2667" i="1" s="1"/>
  <c r="O2709" i="1"/>
  <c r="P2709" i="1" s="1"/>
  <c r="O2714" i="1"/>
  <c r="P2714" i="1" s="1"/>
  <c r="O2781" i="1"/>
  <c r="P2781" i="1" s="1"/>
  <c r="W2793" i="1"/>
  <c r="X2793" i="1" s="1"/>
  <c r="O2799" i="1"/>
  <c r="P2799" i="1" s="1"/>
  <c r="W2884" i="1"/>
  <c r="X2884" i="1" s="1"/>
  <c r="U2973" i="1"/>
  <c r="V2973" i="1" s="1"/>
  <c r="U2143" i="1"/>
  <c r="V2143" i="1" s="1"/>
  <c r="V2147" i="1"/>
  <c r="V2148" i="1"/>
  <c r="U2159" i="1"/>
  <c r="V2159" i="1" s="1"/>
  <c r="U2163" i="1"/>
  <c r="V2163" i="1" s="1"/>
  <c r="P2169" i="1"/>
  <c r="U2170" i="1"/>
  <c r="V2170" i="1" s="1"/>
  <c r="U2171" i="1"/>
  <c r="V2171" i="1" s="1"/>
  <c r="P2177" i="1"/>
  <c r="U2178" i="1"/>
  <c r="V2178" i="1" s="1"/>
  <c r="U2179" i="1"/>
  <c r="V2179" i="1" s="1"/>
  <c r="P2185" i="1"/>
  <c r="U2186" i="1"/>
  <c r="V2186" i="1" s="1"/>
  <c r="U2187" i="1"/>
  <c r="V2187" i="1" s="1"/>
  <c r="P2193" i="1"/>
  <c r="U2194" i="1"/>
  <c r="V2194" i="1" s="1"/>
  <c r="U2195" i="1"/>
  <c r="V2195" i="1" s="1"/>
  <c r="P2200" i="1"/>
  <c r="O2202" i="1"/>
  <c r="P2202" i="1" s="1"/>
  <c r="P2203" i="1"/>
  <c r="O2204" i="1"/>
  <c r="P2204" i="1" s="1"/>
  <c r="O2205" i="1"/>
  <c r="P2205" i="1" s="1"/>
  <c r="U2206" i="1"/>
  <c r="V2206" i="1" s="1"/>
  <c r="W2213" i="1"/>
  <c r="X2213" i="1" s="1"/>
  <c r="P2216" i="1"/>
  <c r="O2218" i="1"/>
  <c r="P2218" i="1" s="1"/>
  <c r="P2219" i="1"/>
  <c r="O2220" i="1"/>
  <c r="P2220" i="1" s="1"/>
  <c r="O2221" i="1"/>
  <c r="P2221" i="1" s="1"/>
  <c r="U2222" i="1"/>
  <c r="V2222" i="1" s="1"/>
  <c r="W2229" i="1"/>
  <c r="X2229" i="1" s="1"/>
  <c r="P2232" i="1"/>
  <c r="O2234" i="1"/>
  <c r="P2234" i="1" s="1"/>
  <c r="P2235" i="1"/>
  <c r="O2236" i="1"/>
  <c r="P2236" i="1" s="1"/>
  <c r="O2237" i="1"/>
  <c r="P2237" i="1" s="1"/>
  <c r="U2238" i="1"/>
  <c r="V2238" i="1" s="1"/>
  <c r="W2245" i="1"/>
  <c r="X2245" i="1" s="1"/>
  <c r="P2248" i="1"/>
  <c r="O2250" i="1"/>
  <c r="P2250" i="1" s="1"/>
  <c r="P2251" i="1"/>
  <c r="O2252" i="1"/>
  <c r="P2252" i="1" s="1"/>
  <c r="O2253" i="1"/>
  <c r="P2253" i="1" s="1"/>
  <c r="U2254" i="1"/>
  <c r="V2254" i="1" s="1"/>
  <c r="W2261" i="1"/>
  <c r="X2261" i="1" s="1"/>
  <c r="P2264" i="1"/>
  <c r="O2266" i="1"/>
  <c r="P2266" i="1" s="1"/>
  <c r="P2267" i="1"/>
  <c r="O2268" i="1"/>
  <c r="P2268" i="1" s="1"/>
  <c r="O2269" i="1"/>
  <c r="P2269" i="1" s="1"/>
  <c r="U2270" i="1"/>
  <c r="V2270" i="1" s="1"/>
  <c r="W2277" i="1"/>
  <c r="X2277" i="1" s="1"/>
  <c r="P2280" i="1"/>
  <c r="O2282" i="1"/>
  <c r="P2282" i="1" s="1"/>
  <c r="P2283" i="1"/>
  <c r="O2284" i="1"/>
  <c r="P2284" i="1" s="1"/>
  <c r="O2285" i="1"/>
  <c r="P2285" i="1" s="1"/>
  <c r="U2286" i="1"/>
  <c r="V2286" i="1" s="1"/>
  <c r="W2293" i="1"/>
  <c r="X2293" i="1" s="1"/>
  <c r="P2296" i="1"/>
  <c r="O2298" i="1"/>
  <c r="P2298" i="1" s="1"/>
  <c r="P2299" i="1"/>
  <c r="O2300" i="1"/>
  <c r="P2300" i="1" s="1"/>
  <c r="O2301" i="1"/>
  <c r="P2301" i="1" s="1"/>
  <c r="U2302" i="1"/>
  <c r="V2302" i="1" s="1"/>
  <c r="W2309" i="1"/>
  <c r="X2309" i="1" s="1"/>
  <c r="P2312" i="1"/>
  <c r="O2314" i="1"/>
  <c r="P2314" i="1" s="1"/>
  <c r="P2315" i="1"/>
  <c r="O2316" i="1"/>
  <c r="P2316" i="1" s="1"/>
  <c r="O2317" i="1"/>
  <c r="P2317" i="1" s="1"/>
  <c r="U2318" i="1"/>
  <c r="V2318" i="1" s="1"/>
  <c r="W2325" i="1"/>
  <c r="X2325" i="1" s="1"/>
  <c r="P2328" i="1"/>
  <c r="O2330" i="1"/>
  <c r="P2330" i="1" s="1"/>
  <c r="P2331" i="1"/>
  <c r="O2332" i="1"/>
  <c r="P2332" i="1" s="1"/>
  <c r="O2333" i="1"/>
  <c r="P2333" i="1" s="1"/>
  <c r="U2334" i="1"/>
  <c r="V2334" i="1" s="1"/>
  <c r="W2341" i="1"/>
  <c r="X2341" i="1" s="1"/>
  <c r="P2344" i="1"/>
  <c r="O2346" i="1"/>
  <c r="P2346" i="1" s="1"/>
  <c r="P2347" i="1"/>
  <c r="O2348" i="1"/>
  <c r="P2348" i="1" s="1"/>
  <c r="O2349" i="1"/>
  <c r="P2349" i="1" s="1"/>
  <c r="U2350" i="1"/>
  <c r="V2350" i="1" s="1"/>
  <c r="W2357" i="1"/>
  <c r="X2357" i="1" s="1"/>
  <c r="P2360" i="1"/>
  <c r="O2362" i="1"/>
  <c r="P2362" i="1" s="1"/>
  <c r="P2363" i="1"/>
  <c r="O2364" i="1"/>
  <c r="P2364" i="1" s="1"/>
  <c r="O2365" i="1"/>
  <c r="P2365" i="1" s="1"/>
  <c r="U2366" i="1"/>
  <c r="V2366" i="1" s="1"/>
  <c r="W2373" i="1"/>
  <c r="X2373" i="1" s="1"/>
  <c r="P2376" i="1"/>
  <c r="O2378" i="1"/>
  <c r="P2378" i="1" s="1"/>
  <c r="P2379" i="1"/>
  <c r="O2380" i="1"/>
  <c r="P2380" i="1" s="1"/>
  <c r="O2381" i="1"/>
  <c r="P2381" i="1" s="1"/>
  <c r="U2382" i="1"/>
  <c r="V2382" i="1" s="1"/>
  <c r="W2389" i="1"/>
  <c r="X2389" i="1" s="1"/>
  <c r="P2392" i="1"/>
  <c r="O2394" i="1"/>
  <c r="P2394" i="1" s="1"/>
  <c r="P2395" i="1"/>
  <c r="O2396" i="1"/>
  <c r="P2396" i="1" s="1"/>
  <c r="O2397" i="1"/>
  <c r="P2397" i="1" s="1"/>
  <c r="U2398" i="1"/>
  <c r="V2398" i="1" s="1"/>
  <c r="W2405" i="1"/>
  <c r="X2405" i="1" s="1"/>
  <c r="P2408" i="1"/>
  <c r="O2410" i="1"/>
  <c r="P2410" i="1" s="1"/>
  <c r="P2411" i="1"/>
  <c r="O2412" i="1"/>
  <c r="P2412" i="1" s="1"/>
  <c r="O2413" i="1"/>
  <c r="P2413" i="1" s="1"/>
  <c r="U2414" i="1"/>
  <c r="V2414" i="1" s="1"/>
  <c r="W2421" i="1"/>
  <c r="X2421" i="1" s="1"/>
  <c r="P2424" i="1"/>
  <c r="O2426" i="1"/>
  <c r="P2426" i="1" s="1"/>
  <c r="P2427" i="1"/>
  <c r="O2428" i="1"/>
  <c r="P2428" i="1" s="1"/>
  <c r="O2429" i="1"/>
  <c r="P2429" i="1" s="1"/>
  <c r="U2430" i="1"/>
  <c r="V2430" i="1" s="1"/>
  <c r="O2444" i="1"/>
  <c r="P2444" i="1" s="1"/>
  <c r="O2445" i="1"/>
  <c r="P2445" i="1" s="1"/>
  <c r="W2447" i="1"/>
  <c r="X2447" i="1" s="1"/>
  <c r="P2452" i="1"/>
  <c r="O2453" i="1"/>
  <c r="P2453" i="1" s="1"/>
  <c r="W2455" i="1"/>
  <c r="X2455" i="1" s="1"/>
  <c r="O2464" i="1"/>
  <c r="P2464" i="1" s="1"/>
  <c r="O2468" i="1"/>
  <c r="P2468" i="1" s="1"/>
  <c r="U2469" i="1"/>
  <c r="V2469" i="1" s="1"/>
  <c r="O2486" i="1"/>
  <c r="P2486" i="1" s="1"/>
  <c r="W2500" i="1"/>
  <c r="X2500" i="1" s="1"/>
  <c r="O2508" i="1"/>
  <c r="P2508" i="1" s="1"/>
  <c r="U2509" i="1"/>
  <c r="V2509" i="1" s="1"/>
  <c r="O2529" i="1"/>
  <c r="P2529" i="1" s="1"/>
  <c r="O2550" i="1"/>
  <c r="P2550" i="1" s="1"/>
  <c r="W2564" i="1"/>
  <c r="X2564" i="1" s="1"/>
  <c r="O2572" i="1"/>
  <c r="P2572" i="1" s="1"/>
  <c r="U2573" i="1"/>
  <c r="V2573" i="1" s="1"/>
  <c r="O2588" i="1"/>
  <c r="P2588" i="1" s="1"/>
  <c r="U2589" i="1"/>
  <c r="V2589" i="1" s="1"/>
  <c r="O2604" i="1"/>
  <c r="P2604" i="1" s="1"/>
  <c r="U2605" i="1"/>
  <c r="V2605" i="1" s="1"/>
  <c r="O2620" i="1"/>
  <c r="P2620" i="1" s="1"/>
  <c r="U2621" i="1"/>
  <c r="V2621" i="1" s="1"/>
  <c r="O2636" i="1"/>
  <c r="P2636" i="1" s="1"/>
  <c r="U2637" i="1"/>
  <c r="V2637" i="1" s="1"/>
  <c r="O2644" i="1"/>
  <c r="P2644" i="1" s="1"/>
  <c r="U2645" i="1"/>
  <c r="V2645" i="1" s="1"/>
  <c r="O2659" i="1"/>
  <c r="P2659" i="1" s="1"/>
  <c r="U2660" i="1"/>
  <c r="V2660" i="1" s="1"/>
  <c r="O2675" i="1"/>
  <c r="P2675" i="1" s="1"/>
  <c r="O2676" i="1"/>
  <c r="P2676" i="1" s="1"/>
  <c r="O2677" i="1"/>
  <c r="P2677" i="1" s="1"/>
  <c r="O2762" i="1"/>
  <c r="P2762" i="1" s="1"/>
  <c r="U2763" i="1"/>
  <c r="V2763" i="1" s="1"/>
  <c r="W2773" i="1"/>
  <c r="X2773" i="1" s="1"/>
  <c r="O2845" i="1"/>
  <c r="P2845" i="1" s="1"/>
  <c r="W2857" i="1"/>
  <c r="X2857" i="1" s="1"/>
  <c r="O2863" i="1"/>
  <c r="P2863" i="1" s="1"/>
  <c r="W2472" i="1"/>
  <c r="X2472" i="1" s="1"/>
  <c r="O2480" i="1"/>
  <c r="P2480" i="1" s="1"/>
  <c r="U2481" i="1"/>
  <c r="V2481" i="1" s="1"/>
  <c r="O2485" i="1"/>
  <c r="P2485" i="1" s="1"/>
  <c r="W2487" i="1"/>
  <c r="X2487" i="1" s="1"/>
  <c r="W2488" i="1"/>
  <c r="X2488" i="1" s="1"/>
  <c r="O2496" i="1"/>
  <c r="P2496" i="1" s="1"/>
  <c r="U2497" i="1"/>
  <c r="V2497" i="1" s="1"/>
  <c r="O2501" i="1"/>
  <c r="P2501" i="1" s="1"/>
  <c r="W2504" i="1"/>
  <c r="X2504" i="1" s="1"/>
  <c r="O2512" i="1"/>
  <c r="P2512" i="1" s="1"/>
  <c r="U2513" i="1"/>
  <c r="V2513" i="1" s="1"/>
  <c r="O2517" i="1"/>
  <c r="P2517" i="1" s="1"/>
  <c r="W2520" i="1"/>
  <c r="X2520" i="1" s="1"/>
  <c r="O2528" i="1"/>
  <c r="P2528" i="1" s="1"/>
  <c r="U2529" i="1"/>
  <c r="V2529" i="1" s="1"/>
  <c r="O2533" i="1"/>
  <c r="P2533" i="1" s="1"/>
  <c r="W2536" i="1"/>
  <c r="X2536" i="1" s="1"/>
  <c r="O2544" i="1"/>
  <c r="P2544" i="1" s="1"/>
  <c r="U2545" i="1"/>
  <c r="V2545" i="1" s="1"/>
  <c r="O2549" i="1"/>
  <c r="P2549" i="1" s="1"/>
  <c r="W2551" i="1"/>
  <c r="X2551" i="1" s="1"/>
  <c r="W2552" i="1"/>
  <c r="X2552" i="1" s="1"/>
  <c r="O2560" i="1"/>
  <c r="P2560" i="1" s="1"/>
  <c r="U2561" i="1"/>
  <c r="V2561" i="1" s="1"/>
  <c r="O2565" i="1"/>
  <c r="P2565" i="1" s="1"/>
  <c r="W2567" i="1"/>
  <c r="X2567" i="1" s="1"/>
  <c r="W2568" i="1"/>
  <c r="X2568" i="1" s="1"/>
  <c r="O2576" i="1"/>
  <c r="P2576" i="1" s="1"/>
  <c r="U2577" i="1"/>
  <c r="V2577" i="1" s="1"/>
  <c r="O2581" i="1"/>
  <c r="P2581" i="1" s="1"/>
  <c r="W2584" i="1"/>
  <c r="X2584" i="1" s="1"/>
  <c r="O2592" i="1"/>
  <c r="P2592" i="1" s="1"/>
  <c r="U2593" i="1"/>
  <c r="V2593" i="1" s="1"/>
  <c r="O2597" i="1"/>
  <c r="P2597" i="1" s="1"/>
  <c r="W2600" i="1"/>
  <c r="X2600" i="1" s="1"/>
  <c r="O2608" i="1"/>
  <c r="P2608" i="1" s="1"/>
  <c r="U2609" i="1"/>
  <c r="V2609" i="1" s="1"/>
  <c r="O2613" i="1"/>
  <c r="P2613" i="1" s="1"/>
  <c r="W2616" i="1"/>
  <c r="X2616" i="1" s="1"/>
  <c r="O2624" i="1"/>
  <c r="P2624" i="1" s="1"/>
  <c r="U2625" i="1"/>
  <c r="V2625" i="1" s="1"/>
  <c r="O2629" i="1"/>
  <c r="P2629" i="1" s="1"/>
  <c r="W2632" i="1"/>
  <c r="X2632" i="1" s="1"/>
  <c r="W2640" i="1"/>
  <c r="X2640" i="1" s="1"/>
  <c r="O2648" i="1"/>
  <c r="P2648" i="1" s="1"/>
  <c r="U2649" i="1"/>
  <c r="V2649" i="1" s="1"/>
  <c r="O2653" i="1"/>
  <c r="P2653" i="1" s="1"/>
  <c r="O2663" i="1"/>
  <c r="P2663" i="1" s="1"/>
  <c r="U2664" i="1"/>
  <c r="V2664" i="1" s="1"/>
  <c r="O2668" i="1"/>
  <c r="P2668" i="1" s="1"/>
  <c r="W2671" i="1"/>
  <c r="X2671" i="1" s="1"/>
  <c r="W2681" i="1"/>
  <c r="X2681" i="1" s="1"/>
  <c r="U2685" i="1"/>
  <c r="V2685" i="1" s="1"/>
  <c r="O2689" i="1"/>
  <c r="P2689" i="1" s="1"/>
  <c r="O2690" i="1"/>
  <c r="P2690" i="1" s="1"/>
  <c r="W2696" i="1"/>
  <c r="X2696" i="1" s="1"/>
  <c r="U2705" i="1"/>
  <c r="V2705" i="1" s="1"/>
  <c r="O2717" i="1"/>
  <c r="P2717" i="1" s="1"/>
  <c r="W2725" i="1"/>
  <c r="X2725" i="1" s="1"/>
  <c r="O2733" i="1"/>
  <c r="P2733" i="1" s="1"/>
  <c r="W2745" i="1"/>
  <c r="X2745" i="1" s="1"/>
  <c r="O2751" i="1"/>
  <c r="P2751" i="1" s="1"/>
  <c r="W2772" i="1"/>
  <c r="X2772" i="1" s="1"/>
  <c r="O2778" i="1"/>
  <c r="P2778" i="1" s="1"/>
  <c r="U2779" i="1"/>
  <c r="V2779" i="1" s="1"/>
  <c r="W2789" i="1"/>
  <c r="X2789" i="1" s="1"/>
  <c r="O2797" i="1"/>
  <c r="P2797" i="1" s="1"/>
  <c r="W2809" i="1"/>
  <c r="X2809" i="1" s="1"/>
  <c r="O2815" i="1"/>
  <c r="P2815" i="1" s="1"/>
  <c r="W2836" i="1"/>
  <c r="X2836" i="1" s="1"/>
  <c r="O2842" i="1"/>
  <c r="P2842" i="1" s="1"/>
  <c r="U2843" i="1"/>
  <c r="V2843" i="1" s="1"/>
  <c r="W2853" i="1"/>
  <c r="X2853" i="1" s="1"/>
  <c r="O2861" i="1"/>
  <c r="P2861" i="1" s="1"/>
  <c r="W2873" i="1"/>
  <c r="X2873" i="1" s="1"/>
  <c r="O2879" i="1"/>
  <c r="P2879" i="1" s="1"/>
  <c r="W2900" i="1"/>
  <c r="X2900" i="1" s="1"/>
  <c r="O2906" i="1"/>
  <c r="P2906" i="1" s="1"/>
  <c r="U2907" i="1"/>
  <c r="V2907" i="1" s="1"/>
  <c r="W2917" i="1"/>
  <c r="X2917" i="1" s="1"/>
  <c r="O2925" i="1"/>
  <c r="P2925" i="1" s="1"/>
  <c r="O2936" i="1"/>
  <c r="P2936" i="1" s="1"/>
  <c r="O2957" i="1"/>
  <c r="P2957" i="1" s="1"/>
  <c r="O2958" i="1"/>
  <c r="P2958" i="1" s="1"/>
  <c r="O2959" i="1"/>
  <c r="P2959" i="1" s="1"/>
  <c r="O3088" i="1"/>
  <c r="P3088" i="1" s="1"/>
  <c r="U2203" i="1"/>
  <c r="V2203" i="1" s="1"/>
  <c r="U2207" i="1"/>
  <c r="V2207" i="1" s="1"/>
  <c r="U2211" i="1"/>
  <c r="V2211" i="1" s="1"/>
  <c r="U2215" i="1"/>
  <c r="V2215" i="1" s="1"/>
  <c r="U2219" i="1"/>
  <c r="V2219" i="1" s="1"/>
  <c r="U2223" i="1"/>
  <c r="V2223" i="1" s="1"/>
  <c r="U2227" i="1"/>
  <c r="V2227" i="1" s="1"/>
  <c r="U2231" i="1"/>
  <c r="V2231" i="1" s="1"/>
  <c r="U2235" i="1"/>
  <c r="V2235" i="1" s="1"/>
  <c r="U2239" i="1"/>
  <c r="V2239" i="1" s="1"/>
  <c r="U2243" i="1"/>
  <c r="V2243" i="1" s="1"/>
  <c r="U2247" i="1"/>
  <c r="V2247" i="1" s="1"/>
  <c r="U2251" i="1"/>
  <c r="V2251" i="1" s="1"/>
  <c r="U2255" i="1"/>
  <c r="V2255" i="1" s="1"/>
  <c r="U2259" i="1"/>
  <c r="V2259" i="1" s="1"/>
  <c r="U2263" i="1"/>
  <c r="V2263" i="1" s="1"/>
  <c r="U2267" i="1"/>
  <c r="V2267" i="1" s="1"/>
  <c r="U2271" i="1"/>
  <c r="V2271" i="1" s="1"/>
  <c r="U2275" i="1"/>
  <c r="V2275" i="1" s="1"/>
  <c r="U2279" i="1"/>
  <c r="V2279" i="1" s="1"/>
  <c r="U2283" i="1"/>
  <c r="V2283" i="1" s="1"/>
  <c r="U2287" i="1"/>
  <c r="V2287" i="1" s="1"/>
  <c r="U2291" i="1"/>
  <c r="V2291" i="1" s="1"/>
  <c r="U2295" i="1"/>
  <c r="V2295" i="1" s="1"/>
  <c r="U2299" i="1"/>
  <c r="V2299" i="1" s="1"/>
  <c r="U2303" i="1"/>
  <c r="V2303" i="1" s="1"/>
  <c r="U2307" i="1"/>
  <c r="V2307" i="1" s="1"/>
  <c r="U2311" i="1"/>
  <c r="V2311" i="1" s="1"/>
  <c r="U2315" i="1"/>
  <c r="V2315" i="1" s="1"/>
  <c r="U2319" i="1"/>
  <c r="V2319" i="1" s="1"/>
  <c r="U2323" i="1"/>
  <c r="V2323" i="1" s="1"/>
  <c r="U2327" i="1"/>
  <c r="V2327" i="1" s="1"/>
  <c r="U2331" i="1"/>
  <c r="V2331" i="1" s="1"/>
  <c r="U2335" i="1"/>
  <c r="V2335" i="1" s="1"/>
  <c r="U2339" i="1"/>
  <c r="V2339" i="1" s="1"/>
  <c r="U2343" i="1"/>
  <c r="V2343" i="1" s="1"/>
  <c r="U2347" i="1"/>
  <c r="V2347" i="1" s="1"/>
  <c r="U2351" i="1"/>
  <c r="V2351" i="1" s="1"/>
  <c r="U2355" i="1"/>
  <c r="V2355" i="1" s="1"/>
  <c r="U2359" i="1"/>
  <c r="V2359" i="1" s="1"/>
  <c r="U2363" i="1"/>
  <c r="V2363" i="1" s="1"/>
  <c r="U2367" i="1"/>
  <c r="V2367" i="1" s="1"/>
  <c r="U2371" i="1"/>
  <c r="V2371" i="1" s="1"/>
  <c r="U2375" i="1"/>
  <c r="V2375" i="1" s="1"/>
  <c r="U2379" i="1"/>
  <c r="V2379" i="1" s="1"/>
  <c r="U2383" i="1"/>
  <c r="V2383" i="1" s="1"/>
  <c r="U2387" i="1"/>
  <c r="V2387" i="1" s="1"/>
  <c r="U2391" i="1"/>
  <c r="V2391" i="1" s="1"/>
  <c r="U2395" i="1"/>
  <c r="V2395" i="1" s="1"/>
  <c r="U2399" i="1"/>
  <c r="V2399" i="1" s="1"/>
  <c r="U2403" i="1"/>
  <c r="V2403" i="1" s="1"/>
  <c r="U2407" i="1"/>
  <c r="V2407" i="1" s="1"/>
  <c r="U2411" i="1"/>
  <c r="V2411" i="1" s="1"/>
  <c r="U2415" i="1"/>
  <c r="V2415" i="1" s="1"/>
  <c r="U2419" i="1"/>
  <c r="V2419" i="1" s="1"/>
  <c r="U2423" i="1"/>
  <c r="V2423" i="1" s="1"/>
  <c r="U2427" i="1"/>
  <c r="V2427" i="1" s="1"/>
  <c r="U2431" i="1"/>
  <c r="V2431" i="1" s="1"/>
  <c r="U2435" i="1"/>
  <c r="V2435" i="1" s="1"/>
  <c r="U2436" i="1"/>
  <c r="V2436" i="1" s="1"/>
  <c r="U2441" i="1"/>
  <c r="V2441" i="1" s="1"/>
  <c r="O2442" i="1"/>
  <c r="P2442" i="1" s="1"/>
  <c r="O2443" i="1"/>
  <c r="P2443" i="1" s="1"/>
  <c r="V2446" i="1"/>
  <c r="U2452" i="1"/>
  <c r="V2452" i="1" s="1"/>
  <c r="U2457" i="1"/>
  <c r="V2457" i="1" s="1"/>
  <c r="O2458" i="1"/>
  <c r="P2458" i="1" s="1"/>
  <c r="O2459" i="1"/>
  <c r="P2459" i="1" s="1"/>
  <c r="V2462" i="1"/>
  <c r="U2468" i="1"/>
  <c r="V2468" i="1" s="1"/>
  <c r="U2470" i="1"/>
  <c r="V2470" i="1" s="1"/>
  <c r="O2473" i="1"/>
  <c r="P2473" i="1" s="1"/>
  <c r="P2474" i="1"/>
  <c r="W2476" i="1"/>
  <c r="X2476" i="1" s="1"/>
  <c r="O2484" i="1"/>
  <c r="P2484" i="1" s="1"/>
  <c r="U2485" i="1"/>
  <c r="V2485" i="1" s="1"/>
  <c r="O2489" i="1"/>
  <c r="P2489" i="1" s="1"/>
  <c r="P2490" i="1"/>
  <c r="W2492" i="1"/>
  <c r="X2492" i="1" s="1"/>
  <c r="O2500" i="1"/>
  <c r="P2500" i="1" s="1"/>
  <c r="U2501" i="1"/>
  <c r="V2501" i="1" s="1"/>
  <c r="O2505" i="1"/>
  <c r="P2505" i="1" s="1"/>
  <c r="P2506" i="1"/>
  <c r="W2508" i="1"/>
  <c r="X2508" i="1" s="1"/>
  <c r="O2516" i="1"/>
  <c r="P2516" i="1" s="1"/>
  <c r="U2517" i="1"/>
  <c r="V2517" i="1" s="1"/>
  <c r="O2521" i="1"/>
  <c r="P2521" i="1" s="1"/>
  <c r="P2522" i="1"/>
  <c r="W2523" i="1"/>
  <c r="X2523" i="1" s="1"/>
  <c r="W2524" i="1"/>
  <c r="X2524" i="1" s="1"/>
  <c r="O2532" i="1"/>
  <c r="P2532" i="1" s="1"/>
  <c r="U2533" i="1"/>
  <c r="V2533" i="1" s="1"/>
  <c r="O2537" i="1"/>
  <c r="P2537" i="1" s="1"/>
  <c r="P2538" i="1"/>
  <c r="W2540" i="1"/>
  <c r="X2540" i="1" s="1"/>
  <c r="O2548" i="1"/>
  <c r="P2548" i="1" s="1"/>
  <c r="U2549" i="1"/>
  <c r="V2549" i="1" s="1"/>
  <c r="O2553" i="1"/>
  <c r="P2553" i="1" s="1"/>
  <c r="P2554" i="1"/>
  <c r="W2556" i="1"/>
  <c r="X2556" i="1" s="1"/>
  <c r="O2564" i="1"/>
  <c r="P2564" i="1" s="1"/>
  <c r="U2565" i="1"/>
  <c r="V2565" i="1" s="1"/>
  <c r="O2569" i="1"/>
  <c r="P2569" i="1" s="1"/>
  <c r="P2570" i="1"/>
  <c r="W2572" i="1"/>
  <c r="X2572" i="1" s="1"/>
  <c r="O2580" i="1"/>
  <c r="P2580" i="1" s="1"/>
  <c r="U2581" i="1"/>
  <c r="V2581" i="1" s="1"/>
  <c r="O2585" i="1"/>
  <c r="P2585" i="1" s="1"/>
  <c r="W2588" i="1"/>
  <c r="X2588" i="1" s="1"/>
  <c r="O2596" i="1"/>
  <c r="P2596" i="1" s="1"/>
  <c r="U2597" i="1"/>
  <c r="V2597" i="1" s="1"/>
  <c r="O2601" i="1"/>
  <c r="P2601" i="1" s="1"/>
  <c r="W2604" i="1"/>
  <c r="X2604" i="1" s="1"/>
  <c r="O2612" i="1"/>
  <c r="P2612" i="1" s="1"/>
  <c r="U2613" i="1"/>
  <c r="V2613" i="1" s="1"/>
  <c r="O2617" i="1"/>
  <c r="P2617" i="1" s="1"/>
  <c r="W2620" i="1"/>
  <c r="X2620" i="1" s="1"/>
  <c r="O2628" i="1"/>
  <c r="P2628" i="1" s="1"/>
  <c r="U2629" i="1"/>
  <c r="V2629" i="1" s="1"/>
  <c r="O2633" i="1"/>
  <c r="P2633" i="1" s="1"/>
  <c r="W2636" i="1"/>
  <c r="X2636" i="1" s="1"/>
  <c r="O2641" i="1"/>
  <c r="P2641" i="1" s="1"/>
  <c r="W2644" i="1"/>
  <c r="X2644" i="1" s="1"/>
  <c r="O2652" i="1"/>
  <c r="P2652" i="1" s="1"/>
  <c r="U2653" i="1"/>
  <c r="V2653" i="1" s="1"/>
  <c r="O2656" i="1"/>
  <c r="P2656" i="1" s="1"/>
  <c r="W2658" i="1"/>
  <c r="X2658" i="1" s="1"/>
  <c r="W2659" i="1"/>
  <c r="X2659" i="1" s="1"/>
  <c r="O2667" i="1"/>
  <c r="P2667" i="1" s="1"/>
  <c r="U2668" i="1"/>
  <c r="V2668" i="1" s="1"/>
  <c r="O2672" i="1"/>
  <c r="P2672" i="1" s="1"/>
  <c r="W2676" i="1"/>
  <c r="X2676" i="1" s="1"/>
  <c r="U2679" i="1"/>
  <c r="V2679" i="1" s="1"/>
  <c r="W2680" i="1"/>
  <c r="X2680" i="1" s="1"/>
  <c r="O2686" i="1"/>
  <c r="P2686" i="1" s="1"/>
  <c r="O2693" i="1"/>
  <c r="P2693" i="1" s="1"/>
  <c r="O2698" i="1"/>
  <c r="P2698" i="1" s="1"/>
  <c r="W2704" i="1"/>
  <c r="X2704" i="1" s="1"/>
  <c r="U2713" i="1"/>
  <c r="V2713" i="1" s="1"/>
  <c r="W2724" i="1"/>
  <c r="X2724" i="1" s="1"/>
  <c r="O2730" i="1"/>
  <c r="P2730" i="1" s="1"/>
  <c r="U2731" i="1"/>
  <c r="V2731" i="1" s="1"/>
  <c r="W2741" i="1"/>
  <c r="X2741" i="1" s="1"/>
  <c r="O2749" i="1"/>
  <c r="P2749" i="1" s="1"/>
  <c r="W2761" i="1"/>
  <c r="X2761" i="1" s="1"/>
  <c r="O2767" i="1"/>
  <c r="P2767" i="1" s="1"/>
  <c r="W2788" i="1"/>
  <c r="X2788" i="1" s="1"/>
  <c r="O2794" i="1"/>
  <c r="P2794" i="1" s="1"/>
  <c r="U2795" i="1"/>
  <c r="V2795" i="1" s="1"/>
  <c r="W2805" i="1"/>
  <c r="X2805" i="1" s="1"/>
  <c r="O2813" i="1"/>
  <c r="P2813" i="1" s="1"/>
  <c r="W2825" i="1"/>
  <c r="X2825" i="1" s="1"/>
  <c r="O2831" i="1"/>
  <c r="P2831" i="1" s="1"/>
  <c r="W2852" i="1"/>
  <c r="X2852" i="1" s="1"/>
  <c r="O2858" i="1"/>
  <c r="P2858" i="1" s="1"/>
  <c r="U2859" i="1"/>
  <c r="V2859" i="1" s="1"/>
  <c r="W2869" i="1"/>
  <c r="X2869" i="1" s="1"/>
  <c r="O2877" i="1"/>
  <c r="P2877" i="1" s="1"/>
  <c r="W2889" i="1"/>
  <c r="X2889" i="1" s="1"/>
  <c r="O2895" i="1"/>
  <c r="P2895" i="1" s="1"/>
  <c r="W2916" i="1"/>
  <c r="X2916" i="1" s="1"/>
  <c r="O2922" i="1"/>
  <c r="P2922" i="1" s="1"/>
  <c r="U2923" i="1"/>
  <c r="V2923" i="1" s="1"/>
  <c r="W2933" i="1"/>
  <c r="X2933" i="1" s="1"/>
  <c r="U2940" i="1"/>
  <c r="V2940" i="1" s="1"/>
  <c r="O2944" i="1"/>
  <c r="P2944" i="1" s="1"/>
  <c r="O2955" i="1"/>
  <c r="P2955" i="1" s="1"/>
  <c r="W2959" i="1"/>
  <c r="X2959" i="1" s="1"/>
  <c r="O2990" i="1"/>
  <c r="P2990" i="1" s="1"/>
  <c r="U2445" i="1"/>
  <c r="V2445" i="1" s="1"/>
  <c r="V2449" i="1"/>
  <c r="V2450" i="1"/>
  <c r="U2461" i="1"/>
  <c r="V2461" i="1" s="1"/>
  <c r="V2465" i="1"/>
  <c r="V2466" i="1"/>
  <c r="O2472" i="1"/>
  <c r="P2472" i="1" s="1"/>
  <c r="U2473" i="1"/>
  <c r="V2473" i="1" s="1"/>
  <c r="O2477" i="1"/>
  <c r="P2477" i="1" s="1"/>
  <c r="P2478" i="1"/>
  <c r="W2480" i="1"/>
  <c r="X2480" i="1" s="1"/>
  <c r="O2488" i="1"/>
  <c r="P2488" i="1" s="1"/>
  <c r="U2489" i="1"/>
  <c r="V2489" i="1" s="1"/>
  <c r="O2493" i="1"/>
  <c r="P2493" i="1" s="1"/>
  <c r="P2494" i="1"/>
  <c r="W2495" i="1"/>
  <c r="X2495" i="1" s="1"/>
  <c r="W2496" i="1"/>
  <c r="X2496" i="1" s="1"/>
  <c r="O2504" i="1"/>
  <c r="P2504" i="1" s="1"/>
  <c r="U2505" i="1"/>
  <c r="V2505" i="1" s="1"/>
  <c r="O2509" i="1"/>
  <c r="P2509" i="1" s="1"/>
  <c r="P2510" i="1"/>
  <c r="W2511" i="1"/>
  <c r="X2511" i="1" s="1"/>
  <c r="W2512" i="1"/>
  <c r="X2512" i="1" s="1"/>
  <c r="O2520" i="1"/>
  <c r="P2520" i="1" s="1"/>
  <c r="U2521" i="1"/>
  <c r="V2521" i="1" s="1"/>
  <c r="O2525" i="1"/>
  <c r="P2525" i="1" s="1"/>
  <c r="P2526" i="1"/>
  <c r="W2528" i="1"/>
  <c r="X2528" i="1" s="1"/>
  <c r="O2536" i="1"/>
  <c r="P2536" i="1" s="1"/>
  <c r="U2537" i="1"/>
  <c r="V2537" i="1" s="1"/>
  <c r="O2541" i="1"/>
  <c r="P2541" i="1" s="1"/>
  <c r="P2542" i="1"/>
  <c r="W2544" i="1"/>
  <c r="X2544" i="1" s="1"/>
  <c r="O2552" i="1"/>
  <c r="P2552" i="1" s="1"/>
  <c r="U2553" i="1"/>
  <c r="V2553" i="1" s="1"/>
  <c r="O2557" i="1"/>
  <c r="P2557" i="1" s="1"/>
  <c r="P2558" i="1"/>
  <c r="W2560" i="1"/>
  <c r="X2560" i="1" s="1"/>
  <c r="O2568" i="1"/>
  <c r="P2568" i="1" s="1"/>
  <c r="U2569" i="1"/>
  <c r="V2569" i="1" s="1"/>
  <c r="O2573" i="1"/>
  <c r="P2573" i="1" s="1"/>
  <c r="P2574" i="1"/>
  <c r="W2576" i="1"/>
  <c r="X2576" i="1" s="1"/>
  <c r="O2584" i="1"/>
  <c r="P2584" i="1" s="1"/>
  <c r="U2585" i="1"/>
  <c r="V2585" i="1" s="1"/>
  <c r="O2589" i="1"/>
  <c r="P2589" i="1" s="1"/>
  <c r="P2590" i="1"/>
  <c r="W2592" i="1"/>
  <c r="X2592" i="1" s="1"/>
  <c r="O2600" i="1"/>
  <c r="P2600" i="1" s="1"/>
  <c r="U2601" i="1"/>
  <c r="V2601" i="1" s="1"/>
  <c r="O2605" i="1"/>
  <c r="P2605" i="1" s="1"/>
  <c r="P2606" i="1"/>
  <c r="W2608" i="1"/>
  <c r="X2608" i="1" s="1"/>
  <c r="O2616" i="1"/>
  <c r="P2616" i="1" s="1"/>
  <c r="U2617" i="1"/>
  <c r="V2617" i="1" s="1"/>
  <c r="O2621" i="1"/>
  <c r="P2621" i="1" s="1"/>
  <c r="P2622" i="1"/>
  <c r="W2624" i="1"/>
  <c r="X2624" i="1" s="1"/>
  <c r="O2632" i="1"/>
  <c r="P2632" i="1" s="1"/>
  <c r="U2633" i="1"/>
  <c r="V2633" i="1" s="1"/>
  <c r="O2637" i="1"/>
  <c r="P2637" i="1" s="1"/>
  <c r="O2640" i="1"/>
  <c r="P2640" i="1" s="1"/>
  <c r="U2641" i="1"/>
  <c r="V2641" i="1" s="1"/>
  <c r="O2645" i="1"/>
  <c r="P2645" i="1" s="1"/>
  <c r="P2646" i="1"/>
  <c r="W2648" i="1"/>
  <c r="X2648" i="1" s="1"/>
  <c r="U2656" i="1"/>
  <c r="V2656" i="1" s="1"/>
  <c r="O2660" i="1"/>
  <c r="P2660" i="1" s="1"/>
  <c r="P2661" i="1"/>
  <c r="W2663" i="1"/>
  <c r="X2663" i="1" s="1"/>
  <c r="O2671" i="1"/>
  <c r="P2671" i="1" s="1"/>
  <c r="U2672" i="1"/>
  <c r="V2672" i="1" s="1"/>
  <c r="W2677" i="1"/>
  <c r="X2677" i="1" s="1"/>
  <c r="O2681" i="1"/>
  <c r="P2681" i="1" s="1"/>
  <c r="O2682" i="1"/>
  <c r="P2682" i="1" s="1"/>
  <c r="W2689" i="1"/>
  <c r="X2689" i="1" s="1"/>
  <c r="O2701" i="1"/>
  <c r="P2701" i="1" s="1"/>
  <c r="O2706" i="1"/>
  <c r="P2706" i="1" s="1"/>
  <c r="W2712" i="1"/>
  <c r="X2712" i="1" s="1"/>
  <c r="W2740" i="1"/>
  <c r="X2740" i="1" s="1"/>
  <c r="O2746" i="1"/>
  <c r="P2746" i="1" s="1"/>
  <c r="U2747" i="1"/>
  <c r="V2747" i="1" s="1"/>
  <c r="W2757" i="1"/>
  <c r="X2757" i="1" s="1"/>
  <c r="O2765" i="1"/>
  <c r="P2765" i="1" s="1"/>
  <c r="W2777" i="1"/>
  <c r="X2777" i="1" s="1"/>
  <c r="O2783" i="1"/>
  <c r="P2783" i="1" s="1"/>
  <c r="W2804" i="1"/>
  <c r="X2804" i="1" s="1"/>
  <c r="O2810" i="1"/>
  <c r="P2810" i="1" s="1"/>
  <c r="U2811" i="1"/>
  <c r="V2811" i="1" s="1"/>
  <c r="W2821" i="1"/>
  <c r="X2821" i="1" s="1"/>
  <c r="O2829" i="1"/>
  <c r="P2829" i="1" s="1"/>
  <c r="W2841" i="1"/>
  <c r="X2841" i="1" s="1"/>
  <c r="O2847" i="1"/>
  <c r="P2847" i="1" s="1"/>
  <c r="W2868" i="1"/>
  <c r="X2868" i="1" s="1"/>
  <c r="O2874" i="1"/>
  <c r="P2874" i="1" s="1"/>
  <c r="U2875" i="1"/>
  <c r="V2875" i="1" s="1"/>
  <c r="W2885" i="1"/>
  <c r="X2885" i="1" s="1"/>
  <c r="O2893" i="1"/>
  <c r="P2893" i="1" s="1"/>
  <c r="W2905" i="1"/>
  <c r="X2905" i="1" s="1"/>
  <c r="O2911" i="1"/>
  <c r="P2911" i="1" s="1"/>
  <c r="W2932" i="1"/>
  <c r="X2932" i="1" s="1"/>
  <c r="W2939" i="1"/>
  <c r="X2939" i="1" s="1"/>
  <c r="O2985" i="1"/>
  <c r="P2985" i="1" s="1"/>
  <c r="O3031" i="1"/>
  <c r="P3031" i="1" s="1"/>
  <c r="O3077" i="1"/>
  <c r="P3077" i="1" s="1"/>
  <c r="U2719" i="1"/>
  <c r="V2719" i="1" s="1"/>
  <c r="O2723" i="1"/>
  <c r="P2723" i="1" s="1"/>
  <c r="O2734" i="1"/>
  <c r="P2734" i="1" s="1"/>
  <c r="U2735" i="1"/>
  <c r="V2735" i="1" s="1"/>
  <c r="O2739" i="1"/>
  <c r="P2739" i="1" s="1"/>
  <c r="O2750" i="1"/>
  <c r="P2750" i="1" s="1"/>
  <c r="U2751" i="1"/>
  <c r="V2751" i="1" s="1"/>
  <c r="O2755" i="1"/>
  <c r="P2755" i="1" s="1"/>
  <c r="O2766" i="1"/>
  <c r="P2766" i="1" s="1"/>
  <c r="U2767" i="1"/>
  <c r="V2767" i="1" s="1"/>
  <c r="O2771" i="1"/>
  <c r="P2771" i="1" s="1"/>
  <c r="O2782" i="1"/>
  <c r="P2782" i="1" s="1"/>
  <c r="U2783" i="1"/>
  <c r="V2783" i="1" s="1"/>
  <c r="O2787" i="1"/>
  <c r="P2787" i="1" s="1"/>
  <c r="O2798" i="1"/>
  <c r="P2798" i="1" s="1"/>
  <c r="U2799" i="1"/>
  <c r="V2799" i="1" s="1"/>
  <c r="O2803" i="1"/>
  <c r="P2803" i="1" s="1"/>
  <c r="O2814" i="1"/>
  <c r="P2814" i="1" s="1"/>
  <c r="U2815" i="1"/>
  <c r="V2815" i="1" s="1"/>
  <c r="O2819" i="1"/>
  <c r="P2819" i="1" s="1"/>
  <c r="O2830" i="1"/>
  <c r="P2830" i="1" s="1"/>
  <c r="U2831" i="1"/>
  <c r="V2831" i="1" s="1"/>
  <c r="O2835" i="1"/>
  <c r="P2835" i="1" s="1"/>
  <c r="O2846" i="1"/>
  <c r="P2846" i="1" s="1"/>
  <c r="U2847" i="1"/>
  <c r="V2847" i="1" s="1"/>
  <c r="O2851" i="1"/>
  <c r="P2851" i="1" s="1"/>
  <c r="O2862" i="1"/>
  <c r="P2862" i="1" s="1"/>
  <c r="U2863" i="1"/>
  <c r="V2863" i="1" s="1"/>
  <c r="O2867" i="1"/>
  <c r="P2867" i="1" s="1"/>
  <c r="O2878" i="1"/>
  <c r="P2878" i="1" s="1"/>
  <c r="U2879" i="1"/>
  <c r="V2879" i="1" s="1"/>
  <c r="O2883" i="1"/>
  <c r="P2883" i="1" s="1"/>
  <c r="O2894" i="1"/>
  <c r="P2894" i="1" s="1"/>
  <c r="U2895" i="1"/>
  <c r="V2895" i="1" s="1"/>
  <c r="O2899" i="1"/>
  <c r="P2899" i="1" s="1"/>
  <c r="O2910" i="1"/>
  <c r="P2910" i="1" s="1"/>
  <c r="U2911" i="1"/>
  <c r="V2911" i="1" s="1"/>
  <c r="O2915" i="1"/>
  <c r="P2915" i="1" s="1"/>
  <c r="O2926" i="1"/>
  <c r="P2926" i="1" s="1"/>
  <c r="U2927" i="1"/>
  <c r="V2927" i="1" s="1"/>
  <c r="O2931" i="1"/>
  <c r="P2931" i="1" s="1"/>
  <c r="O2941" i="1"/>
  <c r="P2941" i="1" s="1"/>
  <c r="O2942" i="1"/>
  <c r="P2942" i="1" s="1"/>
  <c r="O2943" i="1"/>
  <c r="P2943" i="1" s="1"/>
  <c r="O2963" i="1"/>
  <c r="P2963" i="1" s="1"/>
  <c r="O2964" i="1"/>
  <c r="P2964" i="1" s="1"/>
  <c r="U2981" i="1"/>
  <c r="V2981" i="1" s="1"/>
  <c r="O2993" i="1"/>
  <c r="P2993" i="1" s="1"/>
  <c r="O2998" i="1"/>
  <c r="P2998" i="1" s="1"/>
  <c r="W3006" i="1"/>
  <c r="X3006" i="1" s="1"/>
  <c r="O3012" i="1"/>
  <c r="P3012" i="1" s="1"/>
  <c r="U3013" i="1"/>
  <c r="V3013" i="1" s="1"/>
  <c r="O3017" i="1"/>
  <c r="P3017" i="1" s="1"/>
  <c r="W3031" i="1"/>
  <c r="X3031" i="1" s="1"/>
  <c r="W3039" i="1"/>
  <c r="X3039" i="1" s="1"/>
  <c r="O3047" i="1"/>
  <c r="P3047" i="1" s="1"/>
  <c r="U3073" i="1"/>
  <c r="V3073" i="1" s="1"/>
  <c r="U3205" i="1"/>
  <c r="V3205" i="1" s="1"/>
  <c r="W3239" i="1"/>
  <c r="X3239" i="1" s="1"/>
  <c r="U2474" i="1"/>
  <c r="V2474" i="1" s="1"/>
  <c r="U2478" i="1"/>
  <c r="V2478" i="1" s="1"/>
  <c r="U2482" i="1"/>
  <c r="V2482" i="1" s="1"/>
  <c r="U2486" i="1"/>
  <c r="V2486" i="1" s="1"/>
  <c r="U2490" i="1"/>
  <c r="V2490" i="1" s="1"/>
  <c r="U2494" i="1"/>
  <c r="V2494" i="1" s="1"/>
  <c r="U2498" i="1"/>
  <c r="V2498" i="1" s="1"/>
  <c r="U2502" i="1"/>
  <c r="V2502" i="1" s="1"/>
  <c r="U2506" i="1"/>
  <c r="V2506" i="1" s="1"/>
  <c r="U2510" i="1"/>
  <c r="V2510" i="1" s="1"/>
  <c r="U2514" i="1"/>
  <c r="V2514" i="1" s="1"/>
  <c r="U2518" i="1"/>
  <c r="V2518" i="1" s="1"/>
  <c r="U2522" i="1"/>
  <c r="V2522" i="1" s="1"/>
  <c r="U2526" i="1"/>
  <c r="V2526" i="1" s="1"/>
  <c r="U2530" i="1"/>
  <c r="V2530" i="1" s="1"/>
  <c r="U2534" i="1"/>
  <c r="V2534" i="1" s="1"/>
  <c r="U2538" i="1"/>
  <c r="V2538" i="1" s="1"/>
  <c r="U2542" i="1"/>
  <c r="V2542" i="1" s="1"/>
  <c r="U2546" i="1"/>
  <c r="V2546" i="1" s="1"/>
  <c r="U2550" i="1"/>
  <c r="V2550" i="1" s="1"/>
  <c r="U2554" i="1"/>
  <c r="V2554" i="1" s="1"/>
  <c r="U2558" i="1"/>
  <c r="V2558" i="1" s="1"/>
  <c r="U2562" i="1"/>
  <c r="V2562" i="1" s="1"/>
  <c r="U2566" i="1"/>
  <c r="V2566" i="1" s="1"/>
  <c r="U2570" i="1"/>
  <c r="V2570" i="1" s="1"/>
  <c r="U2574" i="1"/>
  <c r="V2574" i="1" s="1"/>
  <c r="U2578" i="1"/>
  <c r="V2578" i="1" s="1"/>
  <c r="U2582" i="1"/>
  <c r="V2582" i="1" s="1"/>
  <c r="U2586" i="1"/>
  <c r="V2586" i="1" s="1"/>
  <c r="U2590" i="1"/>
  <c r="V2590" i="1" s="1"/>
  <c r="U2594" i="1"/>
  <c r="V2594" i="1" s="1"/>
  <c r="U2598" i="1"/>
  <c r="V2598" i="1" s="1"/>
  <c r="U2602" i="1"/>
  <c r="V2602" i="1" s="1"/>
  <c r="U2606" i="1"/>
  <c r="V2606" i="1" s="1"/>
  <c r="U2610" i="1"/>
  <c r="V2610" i="1" s="1"/>
  <c r="U2614" i="1"/>
  <c r="V2614" i="1" s="1"/>
  <c r="U2618" i="1"/>
  <c r="V2618" i="1" s="1"/>
  <c r="U2622" i="1"/>
  <c r="V2622" i="1" s="1"/>
  <c r="U2626" i="1"/>
  <c r="V2626" i="1" s="1"/>
  <c r="U2630" i="1"/>
  <c r="V2630" i="1" s="1"/>
  <c r="U2634" i="1"/>
  <c r="V2634" i="1" s="1"/>
  <c r="U2638" i="1"/>
  <c r="V2638" i="1" s="1"/>
  <c r="U2642" i="1"/>
  <c r="V2642" i="1" s="1"/>
  <c r="U2646" i="1"/>
  <c r="V2646" i="1" s="1"/>
  <c r="U2650" i="1"/>
  <c r="V2650" i="1" s="1"/>
  <c r="U2654" i="1"/>
  <c r="V2654" i="1" s="1"/>
  <c r="U2657" i="1"/>
  <c r="V2657" i="1" s="1"/>
  <c r="U2661" i="1"/>
  <c r="V2661" i="1" s="1"/>
  <c r="U2665" i="1"/>
  <c r="V2665" i="1" s="1"/>
  <c r="U2669" i="1"/>
  <c r="V2669" i="1" s="1"/>
  <c r="U2673" i="1"/>
  <c r="V2673" i="1" s="1"/>
  <c r="U2678" i="1"/>
  <c r="V2678" i="1" s="1"/>
  <c r="O2679" i="1"/>
  <c r="P2679" i="1" s="1"/>
  <c r="O2680" i="1"/>
  <c r="P2680" i="1" s="1"/>
  <c r="V2682" i="1"/>
  <c r="V2683" i="1"/>
  <c r="O2687" i="1"/>
  <c r="P2687" i="1" s="1"/>
  <c r="O2688" i="1"/>
  <c r="P2688" i="1" s="1"/>
  <c r="V2690" i="1"/>
  <c r="O2691" i="1"/>
  <c r="P2691" i="1" s="1"/>
  <c r="X2692" i="1"/>
  <c r="V2695" i="1"/>
  <c r="P2696" i="1"/>
  <c r="P2697" i="1"/>
  <c r="V2698" i="1"/>
  <c r="O2699" i="1"/>
  <c r="P2699" i="1" s="1"/>
  <c r="X2700" i="1"/>
  <c r="V2703" i="1"/>
  <c r="P2704" i="1"/>
  <c r="P2705" i="1"/>
  <c r="V2706" i="1"/>
  <c r="O2707" i="1"/>
  <c r="P2707" i="1" s="1"/>
  <c r="X2708" i="1"/>
  <c r="V2711" i="1"/>
  <c r="P2712" i="1"/>
  <c r="P2713" i="1"/>
  <c r="V2714" i="1"/>
  <c r="O2715" i="1"/>
  <c r="P2715" i="1" s="1"/>
  <c r="X2716" i="1"/>
  <c r="O2721" i="1"/>
  <c r="P2721" i="1" s="1"/>
  <c r="O2722" i="1"/>
  <c r="P2722" i="1" s="1"/>
  <c r="U2723" i="1"/>
  <c r="V2723" i="1" s="1"/>
  <c r="P2725" i="1"/>
  <c r="O2727" i="1"/>
  <c r="P2727" i="1" s="1"/>
  <c r="W2728" i="1"/>
  <c r="X2728" i="1" s="1"/>
  <c r="X2732" i="1"/>
  <c r="V2734" i="1"/>
  <c r="O2737" i="1"/>
  <c r="P2737" i="1" s="1"/>
  <c r="O2738" i="1"/>
  <c r="P2738" i="1" s="1"/>
  <c r="U2739" i="1"/>
  <c r="V2739" i="1" s="1"/>
  <c r="P2741" i="1"/>
  <c r="O2743" i="1"/>
  <c r="P2743" i="1" s="1"/>
  <c r="W2744" i="1"/>
  <c r="X2744" i="1" s="1"/>
  <c r="X2748" i="1"/>
  <c r="V2750" i="1"/>
  <c r="O2753" i="1"/>
  <c r="P2753" i="1" s="1"/>
  <c r="O2754" i="1"/>
  <c r="P2754" i="1" s="1"/>
  <c r="U2755" i="1"/>
  <c r="V2755" i="1" s="1"/>
  <c r="P2757" i="1"/>
  <c r="O2759" i="1"/>
  <c r="P2759" i="1" s="1"/>
  <c r="W2760" i="1"/>
  <c r="X2760" i="1" s="1"/>
  <c r="X2764" i="1"/>
  <c r="V2766" i="1"/>
  <c r="O2769" i="1"/>
  <c r="P2769" i="1" s="1"/>
  <c r="O2770" i="1"/>
  <c r="P2770" i="1" s="1"/>
  <c r="U2771" i="1"/>
  <c r="V2771" i="1" s="1"/>
  <c r="P2773" i="1"/>
  <c r="O2775" i="1"/>
  <c r="P2775" i="1" s="1"/>
  <c r="W2776" i="1"/>
  <c r="X2776" i="1" s="1"/>
  <c r="X2780" i="1"/>
  <c r="V2782" i="1"/>
  <c r="O2785" i="1"/>
  <c r="P2785" i="1" s="1"/>
  <c r="O2786" i="1"/>
  <c r="P2786" i="1" s="1"/>
  <c r="U2787" i="1"/>
  <c r="V2787" i="1" s="1"/>
  <c r="P2789" i="1"/>
  <c r="O2791" i="1"/>
  <c r="P2791" i="1" s="1"/>
  <c r="W2792" i="1"/>
  <c r="X2792" i="1" s="1"/>
  <c r="X2796" i="1"/>
  <c r="V2798" i="1"/>
  <c r="O2801" i="1"/>
  <c r="P2801" i="1" s="1"/>
  <c r="O2802" i="1"/>
  <c r="P2802" i="1" s="1"/>
  <c r="U2803" i="1"/>
  <c r="V2803" i="1" s="1"/>
  <c r="P2805" i="1"/>
  <c r="O2807" i="1"/>
  <c r="P2807" i="1" s="1"/>
  <c r="W2808" i="1"/>
  <c r="X2808" i="1" s="1"/>
  <c r="X2812" i="1"/>
  <c r="V2814" i="1"/>
  <c r="O2817" i="1"/>
  <c r="P2817" i="1" s="1"/>
  <c r="O2818" i="1"/>
  <c r="P2818" i="1" s="1"/>
  <c r="U2819" i="1"/>
  <c r="V2819" i="1" s="1"/>
  <c r="P2821" i="1"/>
  <c r="O2823" i="1"/>
  <c r="P2823" i="1" s="1"/>
  <c r="W2824" i="1"/>
  <c r="X2824" i="1" s="1"/>
  <c r="X2828" i="1"/>
  <c r="V2830" i="1"/>
  <c r="O2833" i="1"/>
  <c r="P2833" i="1" s="1"/>
  <c r="O2834" i="1"/>
  <c r="P2834" i="1" s="1"/>
  <c r="U2835" i="1"/>
  <c r="V2835" i="1" s="1"/>
  <c r="P2837" i="1"/>
  <c r="O2839" i="1"/>
  <c r="P2839" i="1" s="1"/>
  <c r="W2840" i="1"/>
  <c r="X2840" i="1" s="1"/>
  <c r="X2844" i="1"/>
  <c r="V2846" i="1"/>
  <c r="O2849" i="1"/>
  <c r="P2849" i="1" s="1"/>
  <c r="O2850" i="1"/>
  <c r="P2850" i="1" s="1"/>
  <c r="U2851" i="1"/>
  <c r="V2851" i="1" s="1"/>
  <c r="P2853" i="1"/>
  <c r="O2855" i="1"/>
  <c r="P2855" i="1" s="1"/>
  <c r="W2856" i="1"/>
  <c r="X2856" i="1" s="1"/>
  <c r="X2860" i="1"/>
  <c r="V2862" i="1"/>
  <c r="O2865" i="1"/>
  <c r="P2865" i="1" s="1"/>
  <c r="O2866" i="1"/>
  <c r="P2866" i="1" s="1"/>
  <c r="U2867" i="1"/>
  <c r="V2867" i="1" s="1"/>
  <c r="P2869" i="1"/>
  <c r="O2871" i="1"/>
  <c r="P2871" i="1" s="1"/>
  <c r="W2872" i="1"/>
  <c r="X2872" i="1" s="1"/>
  <c r="X2876" i="1"/>
  <c r="V2878" i="1"/>
  <c r="O2881" i="1"/>
  <c r="P2881" i="1" s="1"/>
  <c r="O2882" i="1"/>
  <c r="P2882" i="1" s="1"/>
  <c r="U2883" i="1"/>
  <c r="V2883" i="1" s="1"/>
  <c r="P2885" i="1"/>
  <c r="O2887" i="1"/>
  <c r="P2887" i="1" s="1"/>
  <c r="W2888" i="1"/>
  <c r="X2888" i="1" s="1"/>
  <c r="X2892" i="1"/>
  <c r="V2894" i="1"/>
  <c r="O2897" i="1"/>
  <c r="P2897" i="1" s="1"/>
  <c r="O2898" i="1"/>
  <c r="P2898" i="1" s="1"/>
  <c r="U2899" i="1"/>
  <c r="V2899" i="1" s="1"/>
  <c r="P2901" i="1"/>
  <c r="O2903" i="1"/>
  <c r="P2903" i="1" s="1"/>
  <c r="W2904" i="1"/>
  <c r="X2904" i="1" s="1"/>
  <c r="X2908" i="1"/>
  <c r="V2910" i="1"/>
  <c r="O2913" i="1"/>
  <c r="P2913" i="1" s="1"/>
  <c r="O2914" i="1"/>
  <c r="P2914" i="1" s="1"/>
  <c r="U2915" i="1"/>
  <c r="V2915" i="1" s="1"/>
  <c r="P2917" i="1"/>
  <c r="O2919" i="1"/>
  <c r="P2919" i="1" s="1"/>
  <c r="W2920" i="1"/>
  <c r="X2920" i="1" s="1"/>
  <c r="X2924" i="1"/>
  <c r="V2926" i="1"/>
  <c r="O2929" i="1"/>
  <c r="P2929" i="1" s="1"/>
  <c r="O2930" i="1"/>
  <c r="P2930" i="1" s="1"/>
  <c r="U2931" i="1"/>
  <c r="V2931" i="1" s="1"/>
  <c r="P2933" i="1"/>
  <c r="O2935" i="1"/>
  <c r="P2935" i="1" s="1"/>
  <c r="O2939" i="1"/>
  <c r="P2939" i="1" s="1"/>
  <c r="O2947" i="1"/>
  <c r="P2947" i="1" s="1"/>
  <c r="O2948" i="1"/>
  <c r="P2948" i="1" s="1"/>
  <c r="X2950" i="1"/>
  <c r="U2951" i="1"/>
  <c r="V2951" i="1" s="1"/>
  <c r="P2953" i="1"/>
  <c r="W2958" i="1"/>
  <c r="X2958" i="1" s="1"/>
  <c r="U2961" i="1"/>
  <c r="V2961" i="1" s="1"/>
  <c r="V2963" i="1"/>
  <c r="W2966" i="1"/>
  <c r="X2966" i="1" s="1"/>
  <c r="O2968" i="1"/>
  <c r="P2968" i="1" s="1"/>
  <c r="O2974" i="1"/>
  <c r="P2974" i="1" s="1"/>
  <c r="U2989" i="1"/>
  <c r="V2989" i="1" s="1"/>
  <c r="O3001" i="1"/>
  <c r="P3001" i="1" s="1"/>
  <c r="W3022" i="1"/>
  <c r="X3022" i="1" s="1"/>
  <c r="O3028" i="1"/>
  <c r="P3028" i="1" s="1"/>
  <c r="U3029" i="1"/>
  <c r="V3029" i="1" s="1"/>
  <c r="O3033" i="1"/>
  <c r="P3033" i="1" s="1"/>
  <c r="W3047" i="1"/>
  <c r="X3047" i="1" s="1"/>
  <c r="U3062" i="1"/>
  <c r="V3062" i="1" s="1"/>
  <c r="W3072" i="1"/>
  <c r="X3072" i="1" s="1"/>
  <c r="W3148" i="1"/>
  <c r="X3148" i="1" s="1"/>
  <c r="W3159" i="1"/>
  <c r="X3159" i="1" s="1"/>
  <c r="X2684" i="1"/>
  <c r="V2686" i="1"/>
  <c r="P2695" i="1"/>
  <c r="P2703" i="1"/>
  <c r="P2711" i="1"/>
  <c r="P2719" i="1"/>
  <c r="X2720" i="1"/>
  <c r="V2722" i="1"/>
  <c r="O2726" i="1"/>
  <c r="P2726" i="1" s="1"/>
  <c r="U2727" i="1"/>
  <c r="V2727" i="1" s="1"/>
  <c r="P2729" i="1"/>
  <c r="O2731" i="1"/>
  <c r="P2731" i="1" s="1"/>
  <c r="X2736" i="1"/>
  <c r="V2738" i="1"/>
  <c r="O2742" i="1"/>
  <c r="P2742" i="1" s="1"/>
  <c r="U2743" i="1"/>
  <c r="V2743" i="1" s="1"/>
  <c r="P2745" i="1"/>
  <c r="O2747" i="1"/>
  <c r="P2747" i="1" s="1"/>
  <c r="X2752" i="1"/>
  <c r="V2754" i="1"/>
  <c r="O2758" i="1"/>
  <c r="P2758" i="1" s="1"/>
  <c r="U2759" i="1"/>
  <c r="V2759" i="1" s="1"/>
  <c r="P2761" i="1"/>
  <c r="O2763" i="1"/>
  <c r="P2763" i="1" s="1"/>
  <c r="X2768" i="1"/>
  <c r="V2770" i="1"/>
  <c r="O2774" i="1"/>
  <c r="P2774" i="1" s="1"/>
  <c r="U2775" i="1"/>
  <c r="V2775" i="1" s="1"/>
  <c r="P2777" i="1"/>
  <c r="O2779" i="1"/>
  <c r="P2779" i="1" s="1"/>
  <c r="X2784" i="1"/>
  <c r="V2786" i="1"/>
  <c r="O2790" i="1"/>
  <c r="P2790" i="1" s="1"/>
  <c r="U2791" i="1"/>
  <c r="V2791" i="1" s="1"/>
  <c r="P2793" i="1"/>
  <c r="O2795" i="1"/>
  <c r="P2795" i="1" s="1"/>
  <c r="X2800" i="1"/>
  <c r="V2802" i="1"/>
  <c r="O2806" i="1"/>
  <c r="P2806" i="1" s="1"/>
  <c r="U2807" i="1"/>
  <c r="V2807" i="1" s="1"/>
  <c r="P2809" i="1"/>
  <c r="O2811" i="1"/>
  <c r="P2811" i="1" s="1"/>
  <c r="X2816" i="1"/>
  <c r="V2818" i="1"/>
  <c r="O2822" i="1"/>
  <c r="P2822" i="1" s="1"/>
  <c r="U2823" i="1"/>
  <c r="V2823" i="1" s="1"/>
  <c r="P2825" i="1"/>
  <c r="O2827" i="1"/>
  <c r="P2827" i="1" s="1"/>
  <c r="X2832" i="1"/>
  <c r="V2834" i="1"/>
  <c r="O2838" i="1"/>
  <c r="P2838" i="1" s="1"/>
  <c r="U2839" i="1"/>
  <c r="V2839" i="1" s="1"/>
  <c r="P2841" i="1"/>
  <c r="O2843" i="1"/>
  <c r="P2843" i="1" s="1"/>
  <c r="X2848" i="1"/>
  <c r="V2850" i="1"/>
  <c r="O2854" i="1"/>
  <c r="P2854" i="1" s="1"/>
  <c r="U2855" i="1"/>
  <c r="V2855" i="1" s="1"/>
  <c r="P2857" i="1"/>
  <c r="O2859" i="1"/>
  <c r="P2859" i="1" s="1"/>
  <c r="X2864" i="1"/>
  <c r="V2866" i="1"/>
  <c r="O2870" i="1"/>
  <c r="P2870" i="1" s="1"/>
  <c r="U2871" i="1"/>
  <c r="V2871" i="1" s="1"/>
  <c r="P2873" i="1"/>
  <c r="O2875" i="1"/>
  <c r="P2875" i="1" s="1"/>
  <c r="X2880" i="1"/>
  <c r="V2882" i="1"/>
  <c r="O2886" i="1"/>
  <c r="P2886" i="1" s="1"/>
  <c r="U2887" i="1"/>
  <c r="V2887" i="1" s="1"/>
  <c r="P2889" i="1"/>
  <c r="O2891" i="1"/>
  <c r="P2891" i="1" s="1"/>
  <c r="X2896" i="1"/>
  <c r="V2898" i="1"/>
  <c r="O2902" i="1"/>
  <c r="P2902" i="1" s="1"/>
  <c r="U2903" i="1"/>
  <c r="V2903" i="1" s="1"/>
  <c r="P2905" i="1"/>
  <c r="O2907" i="1"/>
  <c r="P2907" i="1" s="1"/>
  <c r="X2912" i="1"/>
  <c r="V2914" i="1"/>
  <c r="O2918" i="1"/>
  <c r="P2918" i="1" s="1"/>
  <c r="U2919" i="1"/>
  <c r="V2919" i="1" s="1"/>
  <c r="P2921" i="1"/>
  <c r="O2923" i="1"/>
  <c r="P2923" i="1" s="1"/>
  <c r="X2928" i="1"/>
  <c r="V2930" i="1"/>
  <c r="O2934" i="1"/>
  <c r="P2934" i="1" s="1"/>
  <c r="U2935" i="1"/>
  <c r="V2935" i="1" s="1"/>
  <c r="P2937" i="1"/>
  <c r="W2942" i="1"/>
  <c r="X2942" i="1" s="1"/>
  <c r="U2945" i="1"/>
  <c r="V2945" i="1" s="1"/>
  <c r="V2947" i="1"/>
  <c r="O2952" i="1"/>
  <c r="P2952" i="1" s="1"/>
  <c r="P2954" i="1"/>
  <c r="U2956" i="1"/>
  <c r="V2956" i="1" s="1"/>
  <c r="O2977" i="1"/>
  <c r="P2977" i="1" s="1"/>
  <c r="O2982" i="1"/>
  <c r="P2982" i="1" s="1"/>
  <c r="U2997" i="1"/>
  <c r="V2997" i="1" s="1"/>
  <c r="W3007" i="1"/>
  <c r="X3007" i="1" s="1"/>
  <c r="O3015" i="1"/>
  <c r="P3015" i="1" s="1"/>
  <c r="W3038" i="1"/>
  <c r="X3038" i="1" s="1"/>
  <c r="O3044" i="1"/>
  <c r="P3044" i="1" s="1"/>
  <c r="U3045" i="1"/>
  <c r="V3045" i="1" s="1"/>
  <c r="O3049" i="1"/>
  <c r="P3049" i="1" s="1"/>
  <c r="W3059" i="1"/>
  <c r="X3059" i="1" s="1"/>
  <c r="O3069" i="1"/>
  <c r="P3069" i="1" s="1"/>
  <c r="W3076" i="1"/>
  <c r="X3076" i="1" s="1"/>
  <c r="O3090" i="1"/>
  <c r="P3090" i="1" s="1"/>
  <c r="O3091" i="1"/>
  <c r="P3091" i="1" s="1"/>
  <c r="O3092" i="1"/>
  <c r="P3092" i="1" s="1"/>
  <c r="W3127" i="1"/>
  <c r="X3127" i="1" s="1"/>
  <c r="V2944" i="1"/>
  <c r="V2960" i="1"/>
  <c r="X2970" i="1"/>
  <c r="P2975" i="1"/>
  <c r="V2976" i="1"/>
  <c r="X2978" i="1"/>
  <c r="P2983" i="1"/>
  <c r="V2984" i="1"/>
  <c r="X2986" i="1"/>
  <c r="P2991" i="1"/>
  <c r="V2992" i="1"/>
  <c r="X2994" i="1"/>
  <c r="P2999" i="1"/>
  <c r="V3000" i="1"/>
  <c r="X3002" i="1"/>
  <c r="O3005" i="1"/>
  <c r="P3005" i="1" s="1"/>
  <c r="X3010" i="1"/>
  <c r="V3012" i="1"/>
  <c r="O3016" i="1"/>
  <c r="P3016" i="1" s="1"/>
  <c r="U3017" i="1"/>
  <c r="V3017" i="1" s="1"/>
  <c r="P3019" i="1"/>
  <c r="O3021" i="1"/>
  <c r="P3021" i="1" s="1"/>
  <c r="X3026" i="1"/>
  <c r="V3028" i="1"/>
  <c r="O3032" i="1"/>
  <c r="P3032" i="1" s="1"/>
  <c r="U3033" i="1"/>
  <c r="V3033" i="1" s="1"/>
  <c r="P3035" i="1"/>
  <c r="O3037" i="1"/>
  <c r="P3037" i="1" s="1"/>
  <c r="X3042" i="1"/>
  <c r="V3044" i="1"/>
  <c r="O3048" i="1"/>
  <c r="P3048" i="1" s="1"/>
  <c r="U3049" i="1"/>
  <c r="V3049" i="1" s="1"/>
  <c r="P3051" i="1"/>
  <c r="O3053" i="1"/>
  <c r="P3053" i="1" s="1"/>
  <c r="P3055" i="1"/>
  <c r="U3057" i="1"/>
  <c r="V3057" i="1" s="1"/>
  <c r="P3072" i="1"/>
  <c r="O3074" i="1"/>
  <c r="P3074" i="1" s="1"/>
  <c r="O3075" i="1"/>
  <c r="P3075" i="1" s="1"/>
  <c r="O3076" i="1"/>
  <c r="P3076" i="1" s="1"/>
  <c r="O3096" i="1"/>
  <c r="P3096" i="1" s="1"/>
  <c r="O3097" i="1"/>
  <c r="P3097" i="1" s="1"/>
  <c r="X3099" i="1"/>
  <c r="U3100" i="1"/>
  <c r="V3100" i="1" s="1"/>
  <c r="W3103" i="1"/>
  <c r="X3103" i="1" s="1"/>
  <c r="O3105" i="1"/>
  <c r="P3105" i="1" s="1"/>
  <c r="W3111" i="1"/>
  <c r="X3111" i="1" s="1"/>
  <c r="O3113" i="1"/>
  <c r="P3113" i="1" s="1"/>
  <c r="W3119" i="1"/>
  <c r="X3119" i="1" s="1"/>
  <c r="O3124" i="1"/>
  <c r="P3124" i="1" s="1"/>
  <c r="U3125" i="1"/>
  <c r="V3125" i="1" s="1"/>
  <c r="O3129" i="1"/>
  <c r="P3129" i="1" s="1"/>
  <c r="W3139" i="1"/>
  <c r="X3139" i="1" s="1"/>
  <c r="O3143" i="1"/>
  <c r="P3143" i="1" s="1"/>
  <c r="W3151" i="1"/>
  <c r="X3151" i="1" s="1"/>
  <c r="O3156" i="1"/>
  <c r="P3156" i="1" s="1"/>
  <c r="U3157" i="1"/>
  <c r="V3157" i="1" s="1"/>
  <c r="O3161" i="1"/>
  <c r="P3161" i="1" s="1"/>
  <c r="W3171" i="1"/>
  <c r="X3171" i="1" s="1"/>
  <c r="O3175" i="1"/>
  <c r="P3175" i="1" s="1"/>
  <c r="U3194" i="1"/>
  <c r="V3194" i="1" s="1"/>
  <c r="U3005" i="1"/>
  <c r="V3005" i="1" s="1"/>
  <c r="O3009" i="1"/>
  <c r="P3009" i="1" s="1"/>
  <c r="O3020" i="1"/>
  <c r="P3020" i="1" s="1"/>
  <c r="U3021" i="1"/>
  <c r="V3021" i="1" s="1"/>
  <c r="O3025" i="1"/>
  <c r="P3025" i="1" s="1"/>
  <c r="O3036" i="1"/>
  <c r="P3036" i="1" s="1"/>
  <c r="U3037" i="1"/>
  <c r="V3037" i="1" s="1"/>
  <c r="O3041" i="1"/>
  <c r="P3041" i="1" s="1"/>
  <c r="O3052" i="1"/>
  <c r="P3052" i="1" s="1"/>
  <c r="O3058" i="1"/>
  <c r="P3058" i="1" s="1"/>
  <c r="O3059" i="1"/>
  <c r="P3059" i="1" s="1"/>
  <c r="O3060" i="1"/>
  <c r="P3060" i="1" s="1"/>
  <c r="O3080" i="1"/>
  <c r="P3080" i="1" s="1"/>
  <c r="O3081" i="1"/>
  <c r="P3081" i="1" s="1"/>
  <c r="U3084" i="1"/>
  <c r="V3084" i="1" s="1"/>
  <c r="W3091" i="1"/>
  <c r="X3091" i="1" s="1"/>
  <c r="U3094" i="1"/>
  <c r="V3094" i="1" s="1"/>
  <c r="O3101" i="1"/>
  <c r="P3101" i="1" s="1"/>
  <c r="O3108" i="1"/>
  <c r="P3108" i="1" s="1"/>
  <c r="O3116" i="1"/>
  <c r="P3116" i="1" s="1"/>
  <c r="W3132" i="1"/>
  <c r="X3132" i="1" s="1"/>
  <c r="W3143" i="1"/>
  <c r="X3143" i="1" s="1"/>
  <c r="W3164" i="1"/>
  <c r="X3164" i="1" s="1"/>
  <c r="W3175" i="1"/>
  <c r="X3175" i="1" s="1"/>
  <c r="O3180" i="1"/>
  <c r="P3180" i="1" s="1"/>
  <c r="O3181" i="1"/>
  <c r="P3181" i="1" s="1"/>
  <c r="U3184" i="1"/>
  <c r="V3184" i="1" s="1"/>
  <c r="O3201" i="1"/>
  <c r="P3201" i="1" s="1"/>
  <c r="U3283" i="1"/>
  <c r="V3283" i="1" s="1"/>
  <c r="O3293" i="1"/>
  <c r="P3293" i="1" s="1"/>
  <c r="U3299" i="1"/>
  <c r="V3299" i="1" s="1"/>
  <c r="O3309" i="1"/>
  <c r="P3309" i="1" s="1"/>
  <c r="U3315" i="1"/>
  <c r="V3315" i="1" s="1"/>
  <c r="O3334" i="1"/>
  <c r="P3334" i="1" s="1"/>
  <c r="U3335" i="1"/>
  <c r="V3335" i="1" s="1"/>
  <c r="V2936" i="1"/>
  <c r="V2937" i="1"/>
  <c r="P2940" i="1"/>
  <c r="W2946" i="1"/>
  <c r="X2946" i="1" s="1"/>
  <c r="U2948" i="1"/>
  <c r="V2948" i="1" s="1"/>
  <c r="O2951" i="1"/>
  <c r="P2951" i="1" s="1"/>
  <c r="V2952" i="1"/>
  <c r="V2953" i="1"/>
  <c r="P2956" i="1"/>
  <c r="W2962" i="1"/>
  <c r="X2962" i="1" s="1"/>
  <c r="U2964" i="1"/>
  <c r="V2964" i="1" s="1"/>
  <c r="V2968" i="1"/>
  <c r="V2969" i="1"/>
  <c r="P2970" i="1"/>
  <c r="P2971" i="1"/>
  <c r="V2972" i="1"/>
  <c r="O2973" i="1"/>
  <c r="P2973" i="1" s="1"/>
  <c r="X2974" i="1"/>
  <c r="V2977" i="1"/>
  <c r="P2978" i="1"/>
  <c r="P2979" i="1"/>
  <c r="V2980" i="1"/>
  <c r="O2981" i="1"/>
  <c r="P2981" i="1" s="1"/>
  <c r="X2982" i="1"/>
  <c r="V2985" i="1"/>
  <c r="P2986" i="1"/>
  <c r="P2987" i="1"/>
  <c r="V2988" i="1"/>
  <c r="O2989" i="1"/>
  <c r="P2989" i="1" s="1"/>
  <c r="X2990" i="1"/>
  <c r="V2993" i="1"/>
  <c r="P2994" i="1"/>
  <c r="P2995" i="1"/>
  <c r="V2996" i="1"/>
  <c r="O2997" i="1"/>
  <c r="P2997" i="1" s="1"/>
  <c r="X2998" i="1"/>
  <c r="V3001" i="1"/>
  <c r="P3002" i="1"/>
  <c r="P3003" i="1"/>
  <c r="V3004" i="1"/>
  <c r="O3007" i="1"/>
  <c r="P3007" i="1" s="1"/>
  <c r="O3008" i="1"/>
  <c r="P3008" i="1" s="1"/>
  <c r="U3009" i="1"/>
  <c r="V3009" i="1" s="1"/>
  <c r="P3011" i="1"/>
  <c r="O3013" i="1"/>
  <c r="P3013" i="1" s="1"/>
  <c r="W3014" i="1"/>
  <c r="X3014" i="1" s="1"/>
  <c r="X3018" i="1"/>
  <c r="V3020" i="1"/>
  <c r="O3023" i="1"/>
  <c r="P3023" i="1" s="1"/>
  <c r="O3024" i="1"/>
  <c r="P3024" i="1" s="1"/>
  <c r="U3025" i="1"/>
  <c r="V3025" i="1" s="1"/>
  <c r="P3027" i="1"/>
  <c r="O3029" i="1"/>
  <c r="P3029" i="1" s="1"/>
  <c r="W3030" i="1"/>
  <c r="X3030" i="1" s="1"/>
  <c r="X3034" i="1"/>
  <c r="V3036" i="1"/>
  <c r="O3039" i="1"/>
  <c r="P3039" i="1" s="1"/>
  <c r="O3040" i="1"/>
  <c r="P3040" i="1" s="1"/>
  <c r="U3041" i="1"/>
  <c r="V3041" i="1" s="1"/>
  <c r="P3043" i="1"/>
  <c r="O3045" i="1"/>
  <c r="P3045" i="1" s="1"/>
  <c r="W3046" i="1"/>
  <c r="X3046" i="1" s="1"/>
  <c r="X3050" i="1"/>
  <c r="V3052" i="1"/>
  <c r="O3056" i="1"/>
  <c r="P3056" i="1" s="1"/>
  <c r="O3064" i="1"/>
  <c r="P3064" i="1" s="1"/>
  <c r="O3065" i="1"/>
  <c r="P3065" i="1" s="1"/>
  <c r="X3067" i="1"/>
  <c r="U3068" i="1"/>
  <c r="V3068" i="1" s="1"/>
  <c r="P3070" i="1"/>
  <c r="W3075" i="1"/>
  <c r="X3075" i="1" s="1"/>
  <c r="U3078" i="1"/>
  <c r="V3078" i="1" s="1"/>
  <c r="V3080" i="1"/>
  <c r="W3083" i="1"/>
  <c r="X3083" i="1" s="1"/>
  <c r="O3085" i="1"/>
  <c r="P3085" i="1" s="1"/>
  <c r="P3087" i="1"/>
  <c r="U3089" i="1"/>
  <c r="V3089" i="1" s="1"/>
  <c r="U3104" i="1"/>
  <c r="V3104" i="1" s="1"/>
  <c r="U3112" i="1"/>
  <c r="V3112" i="1" s="1"/>
  <c r="W3123" i="1"/>
  <c r="X3123" i="1" s="1"/>
  <c r="O3127" i="1"/>
  <c r="P3127" i="1" s="1"/>
  <c r="W3135" i="1"/>
  <c r="X3135" i="1" s="1"/>
  <c r="O3140" i="1"/>
  <c r="P3140" i="1" s="1"/>
  <c r="U3141" i="1"/>
  <c r="V3141" i="1" s="1"/>
  <c r="O3145" i="1"/>
  <c r="P3145" i="1" s="1"/>
  <c r="W3155" i="1"/>
  <c r="X3155" i="1" s="1"/>
  <c r="O3159" i="1"/>
  <c r="P3159" i="1" s="1"/>
  <c r="W3167" i="1"/>
  <c r="X3167" i="1" s="1"/>
  <c r="O3172" i="1"/>
  <c r="P3172" i="1" s="1"/>
  <c r="U3173" i="1"/>
  <c r="V3173" i="1" s="1"/>
  <c r="O3177" i="1"/>
  <c r="P3177" i="1" s="1"/>
  <c r="W3183" i="1"/>
  <c r="X3183" i="1" s="1"/>
  <c r="W3191" i="1"/>
  <c r="X3191" i="1" s="1"/>
  <c r="O3245" i="1"/>
  <c r="P3245" i="1" s="1"/>
  <c r="U3246" i="1"/>
  <c r="V3246" i="1" s="1"/>
  <c r="O3250" i="1"/>
  <c r="P3250" i="1" s="1"/>
  <c r="V3061" i="1"/>
  <c r="V3077" i="1"/>
  <c r="V3093" i="1"/>
  <c r="P3106" i="1"/>
  <c r="P3114" i="1"/>
  <c r="W3120" i="1"/>
  <c r="X3120" i="1" s="1"/>
  <c r="O3128" i="1"/>
  <c r="P3128" i="1" s="1"/>
  <c r="U3129" i="1"/>
  <c r="V3129" i="1" s="1"/>
  <c r="O3133" i="1"/>
  <c r="P3133" i="1" s="1"/>
  <c r="W3136" i="1"/>
  <c r="X3136" i="1" s="1"/>
  <c r="O3144" i="1"/>
  <c r="P3144" i="1" s="1"/>
  <c r="U3145" i="1"/>
  <c r="V3145" i="1" s="1"/>
  <c r="O3149" i="1"/>
  <c r="P3149" i="1" s="1"/>
  <c r="W3152" i="1"/>
  <c r="X3152" i="1" s="1"/>
  <c r="O3160" i="1"/>
  <c r="P3160" i="1" s="1"/>
  <c r="U3161" i="1"/>
  <c r="V3161" i="1" s="1"/>
  <c r="O3165" i="1"/>
  <c r="P3165" i="1" s="1"/>
  <c r="W3168" i="1"/>
  <c r="X3168" i="1" s="1"/>
  <c r="O3176" i="1"/>
  <c r="P3176" i="1" s="1"/>
  <c r="U3177" i="1"/>
  <c r="V3177" i="1" s="1"/>
  <c r="U3178" i="1"/>
  <c r="V3178" i="1" s="1"/>
  <c r="O3185" i="1"/>
  <c r="P3185" i="1" s="1"/>
  <c r="W3187" i="1"/>
  <c r="X3187" i="1" s="1"/>
  <c r="U3189" i="1"/>
  <c r="V3189" i="1" s="1"/>
  <c r="W3196" i="1"/>
  <c r="X3196" i="1" s="1"/>
  <c r="W3207" i="1"/>
  <c r="X3207" i="1" s="1"/>
  <c r="O3209" i="1"/>
  <c r="P3209" i="1" s="1"/>
  <c r="W3215" i="1"/>
  <c r="X3215" i="1" s="1"/>
  <c r="O3217" i="1"/>
  <c r="P3217" i="1" s="1"/>
  <c r="W3223" i="1"/>
  <c r="X3223" i="1" s="1"/>
  <c r="O3225" i="1"/>
  <c r="P3225" i="1" s="1"/>
  <c r="O3232" i="1"/>
  <c r="P3232" i="1" s="1"/>
  <c r="O3263" i="1"/>
  <c r="P3263" i="1" s="1"/>
  <c r="O3264" i="1"/>
  <c r="P3264" i="1" s="1"/>
  <c r="O3265" i="1"/>
  <c r="P3265" i="1" s="1"/>
  <c r="O3403" i="1"/>
  <c r="P3403" i="1" s="1"/>
  <c r="W3410" i="1"/>
  <c r="X3410" i="1" s="1"/>
  <c r="O3416" i="1"/>
  <c r="P3416" i="1" s="1"/>
  <c r="U3417" i="1"/>
  <c r="V3417" i="1" s="1"/>
  <c r="O3426" i="1"/>
  <c r="P3426" i="1" s="1"/>
  <c r="O3121" i="1"/>
  <c r="P3121" i="1" s="1"/>
  <c r="W3124" i="1"/>
  <c r="X3124" i="1" s="1"/>
  <c r="O3131" i="1"/>
  <c r="P3131" i="1" s="1"/>
  <c r="O3132" i="1"/>
  <c r="P3132" i="1" s="1"/>
  <c r="U3133" i="1"/>
  <c r="V3133" i="1" s="1"/>
  <c r="O3137" i="1"/>
  <c r="P3137" i="1" s="1"/>
  <c r="W3140" i="1"/>
  <c r="X3140" i="1" s="1"/>
  <c r="O3147" i="1"/>
  <c r="P3147" i="1" s="1"/>
  <c r="O3148" i="1"/>
  <c r="P3148" i="1" s="1"/>
  <c r="U3149" i="1"/>
  <c r="V3149" i="1" s="1"/>
  <c r="O3153" i="1"/>
  <c r="P3153" i="1" s="1"/>
  <c r="W3156" i="1"/>
  <c r="X3156" i="1" s="1"/>
  <c r="O3163" i="1"/>
  <c r="P3163" i="1" s="1"/>
  <c r="O3164" i="1"/>
  <c r="P3164" i="1" s="1"/>
  <c r="U3165" i="1"/>
  <c r="V3165" i="1" s="1"/>
  <c r="O3169" i="1"/>
  <c r="P3169" i="1" s="1"/>
  <c r="W3172" i="1"/>
  <c r="X3172" i="1" s="1"/>
  <c r="W3180" i="1"/>
  <c r="X3180" i="1" s="1"/>
  <c r="O3190" i="1"/>
  <c r="P3190" i="1" s="1"/>
  <c r="O3191" i="1"/>
  <c r="P3191" i="1" s="1"/>
  <c r="O3192" i="1"/>
  <c r="P3192" i="1" s="1"/>
  <c r="P3193" i="1"/>
  <c r="O3204" i="1"/>
  <c r="P3204" i="1" s="1"/>
  <c r="O3212" i="1"/>
  <c r="P3212" i="1" s="1"/>
  <c r="O3220" i="1"/>
  <c r="P3220" i="1" s="1"/>
  <c r="W3232" i="1"/>
  <c r="X3232" i="1" s="1"/>
  <c r="W3240" i="1"/>
  <c r="X3240" i="1" s="1"/>
  <c r="O3248" i="1"/>
  <c r="P3248" i="1" s="1"/>
  <c r="O3261" i="1"/>
  <c r="P3261" i="1" s="1"/>
  <c r="V3053" i="1"/>
  <c r="V3054" i="1"/>
  <c r="P3057" i="1"/>
  <c r="W3063" i="1"/>
  <c r="X3063" i="1" s="1"/>
  <c r="U3065" i="1"/>
  <c r="V3065" i="1" s="1"/>
  <c r="O3068" i="1"/>
  <c r="P3068" i="1" s="1"/>
  <c r="V3069" i="1"/>
  <c r="V3070" i="1"/>
  <c r="P3073" i="1"/>
  <c r="W3079" i="1"/>
  <c r="X3079" i="1" s="1"/>
  <c r="U3081" i="1"/>
  <c r="V3081" i="1" s="1"/>
  <c r="O3084" i="1"/>
  <c r="P3084" i="1" s="1"/>
  <c r="V3085" i="1"/>
  <c r="V3086" i="1"/>
  <c r="P3089" i="1"/>
  <c r="U3097" i="1"/>
  <c r="V3097" i="1" s="1"/>
  <c r="O3100" i="1"/>
  <c r="P3100" i="1" s="1"/>
  <c r="V3101" i="1"/>
  <c r="P3102" i="1"/>
  <c r="O3104" i="1"/>
  <c r="P3104" i="1" s="1"/>
  <c r="W3107" i="1"/>
  <c r="X3107" i="1" s="1"/>
  <c r="V3108" i="1"/>
  <c r="P3109" i="1"/>
  <c r="P3110" i="1"/>
  <c r="O3112" i="1"/>
  <c r="P3112" i="1" s="1"/>
  <c r="W3115" i="1"/>
  <c r="X3115" i="1" s="1"/>
  <c r="V3116" i="1"/>
  <c r="P3117" i="1"/>
  <c r="P3118" i="1"/>
  <c r="O3120" i="1"/>
  <c r="P3120" i="1" s="1"/>
  <c r="U3121" i="1"/>
  <c r="V3121" i="1" s="1"/>
  <c r="P3123" i="1"/>
  <c r="O3125" i="1"/>
  <c r="P3125" i="1" s="1"/>
  <c r="W3128" i="1"/>
  <c r="X3128" i="1" s="1"/>
  <c r="O3135" i="1"/>
  <c r="P3135" i="1" s="1"/>
  <c r="O3136" i="1"/>
  <c r="P3136" i="1" s="1"/>
  <c r="U3137" i="1"/>
  <c r="V3137" i="1" s="1"/>
  <c r="P3139" i="1"/>
  <c r="O3141" i="1"/>
  <c r="P3141" i="1" s="1"/>
  <c r="W3144" i="1"/>
  <c r="X3144" i="1" s="1"/>
  <c r="O3151" i="1"/>
  <c r="P3151" i="1" s="1"/>
  <c r="O3152" i="1"/>
  <c r="P3152" i="1" s="1"/>
  <c r="U3153" i="1"/>
  <c r="V3153" i="1" s="1"/>
  <c r="P3155" i="1"/>
  <c r="O3157" i="1"/>
  <c r="P3157" i="1" s="1"/>
  <c r="W3160" i="1"/>
  <c r="X3160" i="1" s="1"/>
  <c r="O3167" i="1"/>
  <c r="P3167" i="1" s="1"/>
  <c r="O3168" i="1"/>
  <c r="P3168" i="1" s="1"/>
  <c r="U3169" i="1"/>
  <c r="V3169" i="1" s="1"/>
  <c r="P3171" i="1"/>
  <c r="O3173" i="1"/>
  <c r="P3173" i="1" s="1"/>
  <c r="W3176" i="1"/>
  <c r="X3176" i="1" s="1"/>
  <c r="O3188" i="1"/>
  <c r="P3188" i="1" s="1"/>
  <c r="O3196" i="1"/>
  <c r="P3196" i="1" s="1"/>
  <c r="O3197" i="1"/>
  <c r="P3197" i="1" s="1"/>
  <c r="X3199" i="1"/>
  <c r="U3200" i="1"/>
  <c r="V3200" i="1" s="1"/>
  <c r="U3208" i="1"/>
  <c r="V3208" i="1" s="1"/>
  <c r="U3216" i="1"/>
  <c r="V3216" i="1" s="1"/>
  <c r="U3224" i="1"/>
  <c r="V3224" i="1" s="1"/>
  <c r="O3229" i="1"/>
  <c r="P3229" i="1" s="1"/>
  <c r="U3230" i="1"/>
  <c r="V3230" i="1" s="1"/>
  <c r="O3234" i="1"/>
  <c r="P3234" i="1" s="1"/>
  <c r="W3248" i="1"/>
  <c r="X3248" i="1" s="1"/>
  <c r="O3355" i="1"/>
  <c r="P3355" i="1" s="1"/>
  <c r="V3193" i="1"/>
  <c r="P3210" i="1"/>
  <c r="P3218" i="1"/>
  <c r="P3226" i="1"/>
  <c r="X3227" i="1"/>
  <c r="V3229" i="1"/>
  <c r="O3233" i="1"/>
  <c r="P3233" i="1" s="1"/>
  <c r="U3234" i="1"/>
  <c r="V3234" i="1" s="1"/>
  <c r="P3236" i="1"/>
  <c r="O3238" i="1"/>
  <c r="P3238" i="1" s="1"/>
  <c r="X3243" i="1"/>
  <c r="V3245" i="1"/>
  <c r="O3249" i="1"/>
  <c r="P3249" i="1" s="1"/>
  <c r="U3250" i="1"/>
  <c r="V3250" i="1" s="1"/>
  <c r="P3252" i="1"/>
  <c r="O3254" i="1"/>
  <c r="P3254" i="1" s="1"/>
  <c r="O3269" i="1"/>
  <c r="P3269" i="1" s="1"/>
  <c r="O3270" i="1"/>
  <c r="P3270" i="1" s="1"/>
  <c r="X3272" i="1"/>
  <c r="U3273" i="1"/>
  <c r="V3273" i="1" s="1"/>
  <c r="P3275" i="1"/>
  <c r="U3279" i="1"/>
  <c r="V3279" i="1" s="1"/>
  <c r="O3289" i="1"/>
  <c r="P3289" i="1" s="1"/>
  <c r="U3295" i="1"/>
  <c r="V3295" i="1" s="1"/>
  <c r="O3305" i="1"/>
  <c r="P3305" i="1" s="1"/>
  <c r="U3311" i="1"/>
  <c r="V3311" i="1" s="1"/>
  <c r="O3321" i="1"/>
  <c r="P3321" i="1" s="1"/>
  <c r="O3350" i="1"/>
  <c r="P3350" i="1" s="1"/>
  <c r="U3351" i="1"/>
  <c r="V3351" i="1" s="1"/>
  <c r="O3371" i="1"/>
  <c r="P3371" i="1" s="1"/>
  <c r="O3401" i="1"/>
  <c r="P3401" i="1" s="1"/>
  <c r="O3237" i="1"/>
  <c r="P3237" i="1" s="1"/>
  <c r="U3238" i="1"/>
  <c r="V3238" i="1" s="1"/>
  <c r="O3242" i="1"/>
  <c r="P3242" i="1" s="1"/>
  <c r="O3253" i="1"/>
  <c r="P3253" i="1" s="1"/>
  <c r="U3254" i="1"/>
  <c r="V3254" i="1" s="1"/>
  <c r="U3257" i="1"/>
  <c r="V3257" i="1" s="1"/>
  <c r="W3264" i="1"/>
  <c r="X3264" i="1" s="1"/>
  <c r="U3267" i="1"/>
  <c r="V3267" i="1" s="1"/>
  <c r="O3274" i="1"/>
  <c r="P3274" i="1" s="1"/>
  <c r="W3281" i="1"/>
  <c r="X3281" i="1" s="1"/>
  <c r="O3285" i="1"/>
  <c r="P3285" i="1" s="1"/>
  <c r="U3291" i="1"/>
  <c r="V3291" i="1" s="1"/>
  <c r="W3297" i="1"/>
  <c r="X3297" i="1" s="1"/>
  <c r="O3301" i="1"/>
  <c r="P3301" i="1" s="1"/>
  <c r="U3307" i="1"/>
  <c r="V3307" i="1" s="1"/>
  <c r="W3313" i="1"/>
  <c r="X3313" i="1" s="1"/>
  <c r="O3317" i="1"/>
  <c r="P3317" i="1" s="1"/>
  <c r="O3366" i="1"/>
  <c r="P3366" i="1" s="1"/>
  <c r="U3367" i="1"/>
  <c r="V3367" i="1" s="1"/>
  <c r="O3396" i="1"/>
  <c r="P3396" i="1" s="1"/>
  <c r="W3473" i="1"/>
  <c r="X3473" i="1" s="1"/>
  <c r="U3181" i="1"/>
  <c r="V3181" i="1" s="1"/>
  <c r="O3184" i="1"/>
  <c r="P3184" i="1" s="1"/>
  <c r="V3185" i="1"/>
  <c r="V3186" i="1"/>
  <c r="P3189" i="1"/>
  <c r="U3197" i="1"/>
  <c r="V3197" i="1" s="1"/>
  <c r="O3200" i="1"/>
  <c r="P3200" i="1" s="1"/>
  <c r="V3201" i="1"/>
  <c r="V3202" i="1"/>
  <c r="P3205" i="1"/>
  <c r="P3206" i="1"/>
  <c r="O3208" i="1"/>
  <c r="P3208" i="1" s="1"/>
  <c r="W3211" i="1"/>
  <c r="X3211" i="1" s="1"/>
  <c r="V3212" i="1"/>
  <c r="P3213" i="1"/>
  <c r="P3214" i="1"/>
  <c r="O3216" i="1"/>
  <c r="P3216" i="1" s="1"/>
  <c r="W3219" i="1"/>
  <c r="X3219" i="1" s="1"/>
  <c r="V3220" i="1"/>
  <c r="P3221" i="1"/>
  <c r="P3222" i="1"/>
  <c r="O3224" i="1"/>
  <c r="P3224" i="1" s="1"/>
  <c r="U3226" i="1"/>
  <c r="V3226" i="1" s="1"/>
  <c r="P3228" i="1"/>
  <c r="O3230" i="1"/>
  <c r="P3230" i="1" s="1"/>
  <c r="W3231" i="1"/>
  <c r="X3231" i="1" s="1"/>
  <c r="X3235" i="1"/>
  <c r="V3237" i="1"/>
  <c r="O3240" i="1"/>
  <c r="P3240" i="1" s="1"/>
  <c r="O3241" i="1"/>
  <c r="P3241" i="1" s="1"/>
  <c r="U3242" i="1"/>
  <c r="V3242" i="1" s="1"/>
  <c r="P3244" i="1"/>
  <c r="O3246" i="1"/>
  <c r="P3246" i="1" s="1"/>
  <c r="W3247" i="1"/>
  <c r="X3247" i="1" s="1"/>
  <c r="X3251" i="1"/>
  <c r="V3253" i="1"/>
  <c r="W3256" i="1"/>
  <c r="X3256" i="1" s="1"/>
  <c r="O3258" i="1"/>
  <c r="P3258" i="1" s="1"/>
  <c r="P3260" i="1"/>
  <c r="W3260" i="1"/>
  <c r="X3260" i="1" s="1"/>
  <c r="U3262" i="1"/>
  <c r="V3262" i="1" s="1"/>
  <c r="P3277" i="1"/>
  <c r="X3277" i="1"/>
  <c r="O3281" i="1"/>
  <c r="P3281" i="1" s="1"/>
  <c r="U3287" i="1"/>
  <c r="V3287" i="1" s="1"/>
  <c r="W3293" i="1"/>
  <c r="X3293" i="1" s="1"/>
  <c r="O3297" i="1"/>
  <c r="P3297" i="1" s="1"/>
  <c r="U3303" i="1"/>
  <c r="V3303" i="1" s="1"/>
  <c r="O3313" i="1"/>
  <c r="P3313" i="1" s="1"/>
  <c r="U3319" i="1"/>
  <c r="V3319" i="1" s="1"/>
  <c r="U3323" i="1"/>
  <c r="V3323" i="1" s="1"/>
  <c r="O3339" i="1"/>
  <c r="P3339" i="1" s="1"/>
  <c r="O3382" i="1"/>
  <c r="P3382" i="1" s="1"/>
  <c r="U3383" i="1"/>
  <c r="V3383" i="1" s="1"/>
  <c r="O3442" i="1"/>
  <c r="P3442" i="1" s="1"/>
  <c r="W3444" i="1"/>
  <c r="X3444" i="1" s="1"/>
  <c r="V3266" i="1"/>
  <c r="X3288" i="1"/>
  <c r="X3300" i="1"/>
  <c r="X3304" i="1"/>
  <c r="X3320" i="1"/>
  <c r="X3324" i="1"/>
  <c r="O3327" i="1"/>
  <c r="P3327" i="1" s="1"/>
  <c r="P3329" i="1"/>
  <c r="V3334" i="1"/>
  <c r="O3338" i="1"/>
  <c r="P3338" i="1" s="1"/>
  <c r="U3339" i="1"/>
  <c r="V3339" i="1" s="1"/>
  <c r="X3340" i="1"/>
  <c r="O3343" i="1"/>
  <c r="P3343" i="1" s="1"/>
  <c r="P3345" i="1"/>
  <c r="V3350" i="1"/>
  <c r="O3354" i="1"/>
  <c r="P3354" i="1" s="1"/>
  <c r="U3355" i="1"/>
  <c r="V3355" i="1" s="1"/>
  <c r="O3359" i="1"/>
  <c r="P3359" i="1" s="1"/>
  <c r="P3361" i="1"/>
  <c r="V3366" i="1"/>
  <c r="O3370" i="1"/>
  <c r="P3370" i="1" s="1"/>
  <c r="U3371" i="1"/>
  <c r="V3371" i="1" s="1"/>
  <c r="O3375" i="1"/>
  <c r="P3375" i="1" s="1"/>
  <c r="P3377" i="1"/>
  <c r="V3382" i="1"/>
  <c r="O3386" i="1"/>
  <c r="P3386" i="1" s="1"/>
  <c r="O3387" i="1"/>
  <c r="P3387" i="1" s="1"/>
  <c r="O3391" i="1"/>
  <c r="P3391" i="1" s="1"/>
  <c r="O3400" i="1"/>
  <c r="P3400" i="1" s="1"/>
  <c r="W3423" i="1"/>
  <c r="X3423" i="1" s="1"/>
  <c r="O3437" i="1"/>
  <c r="P3437" i="1" s="1"/>
  <c r="O3465" i="1"/>
  <c r="P3465" i="1" s="1"/>
  <c r="O3466" i="1"/>
  <c r="P3466" i="1" s="1"/>
  <c r="O3489" i="1"/>
  <c r="P3489" i="1" s="1"/>
  <c r="W3501" i="1"/>
  <c r="X3501" i="1" s="1"/>
  <c r="O3507" i="1"/>
  <c r="P3507" i="1" s="1"/>
  <c r="O3278" i="1"/>
  <c r="P3278" i="1" s="1"/>
  <c r="O3282" i="1"/>
  <c r="P3282" i="1" s="1"/>
  <c r="O3286" i="1"/>
  <c r="P3286" i="1" s="1"/>
  <c r="O3290" i="1"/>
  <c r="P3290" i="1" s="1"/>
  <c r="O3294" i="1"/>
  <c r="P3294" i="1" s="1"/>
  <c r="O3298" i="1"/>
  <c r="P3298" i="1" s="1"/>
  <c r="O3302" i="1"/>
  <c r="P3302" i="1" s="1"/>
  <c r="O3306" i="1"/>
  <c r="P3306" i="1" s="1"/>
  <c r="O3310" i="1"/>
  <c r="P3310" i="1" s="1"/>
  <c r="O3314" i="1"/>
  <c r="P3314" i="1" s="1"/>
  <c r="O3318" i="1"/>
  <c r="P3318" i="1" s="1"/>
  <c r="O3322" i="1"/>
  <c r="P3322" i="1" s="1"/>
  <c r="O3326" i="1"/>
  <c r="P3326" i="1" s="1"/>
  <c r="U3327" i="1"/>
  <c r="V3327" i="1" s="1"/>
  <c r="X3328" i="1"/>
  <c r="O3331" i="1"/>
  <c r="P3331" i="1" s="1"/>
  <c r="P3333" i="1"/>
  <c r="V3338" i="1"/>
  <c r="O3342" i="1"/>
  <c r="P3342" i="1" s="1"/>
  <c r="U3343" i="1"/>
  <c r="V3343" i="1" s="1"/>
  <c r="X3344" i="1"/>
  <c r="O3347" i="1"/>
  <c r="P3347" i="1" s="1"/>
  <c r="P3349" i="1"/>
  <c r="V3354" i="1"/>
  <c r="O3358" i="1"/>
  <c r="P3358" i="1" s="1"/>
  <c r="U3359" i="1"/>
  <c r="V3359" i="1" s="1"/>
  <c r="O3363" i="1"/>
  <c r="P3363" i="1" s="1"/>
  <c r="P3365" i="1"/>
  <c r="V3370" i="1"/>
  <c r="O3374" i="1"/>
  <c r="P3374" i="1" s="1"/>
  <c r="U3375" i="1"/>
  <c r="V3375" i="1" s="1"/>
  <c r="O3379" i="1"/>
  <c r="P3379" i="1" s="1"/>
  <c r="P3381" i="1"/>
  <c r="W3402" i="1"/>
  <c r="X3402" i="1" s="1"/>
  <c r="U3405" i="1"/>
  <c r="V3405" i="1" s="1"/>
  <c r="O3409" i="1"/>
  <c r="P3409" i="1" s="1"/>
  <c r="O3411" i="1"/>
  <c r="P3411" i="1" s="1"/>
  <c r="O3421" i="1"/>
  <c r="P3421" i="1" s="1"/>
  <c r="W3434" i="1"/>
  <c r="X3434" i="1" s="1"/>
  <c r="O3454" i="1"/>
  <c r="P3454" i="1" s="1"/>
  <c r="U3458" i="1"/>
  <c r="V3458" i="1" s="1"/>
  <c r="O3257" i="1"/>
  <c r="P3257" i="1" s="1"/>
  <c r="V3258" i="1"/>
  <c r="V3259" i="1"/>
  <c r="P3262" i="1"/>
  <c r="U3270" i="1"/>
  <c r="V3270" i="1" s="1"/>
  <c r="O3273" i="1"/>
  <c r="P3273" i="1" s="1"/>
  <c r="V3274" i="1"/>
  <c r="V3275" i="1"/>
  <c r="V3278" i="1"/>
  <c r="P3279" i="1"/>
  <c r="V3282" i="1"/>
  <c r="P3283" i="1"/>
  <c r="V3286" i="1"/>
  <c r="P3287" i="1"/>
  <c r="V3290" i="1"/>
  <c r="P3291" i="1"/>
  <c r="V3294" i="1"/>
  <c r="P3295" i="1"/>
  <c r="V3298" i="1"/>
  <c r="P3299" i="1"/>
  <c r="V3302" i="1"/>
  <c r="P3303" i="1"/>
  <c r="V3306" i="1"/>
  <c r="P3307" i="1"/>
  <c r="V3310" i="1"/>
  <c r="P3311" i="1"/>
  <c r="V3314" i="1"/>
  <c r="P3315" i="1"/>
  <c r="V3318" i="1"/>
  <c r="P3319" i="1"/>
  <c r="V3322" i="1"/>
  <c r="V3326" i="1"/>
  <c r="O3330" i="1"/>
  <c r="P3330" i="1" s="1"/>
  <c r="U3331" i="1"/>
  <c r="V3331" i="1" s="1"/>
  <c r="X3332" i="1"/>
  <c r="O3335" i="1"/>
  <c r="P3335" i="1" s="1"/>
  <c r="P3337" i="1"/>
  <c r="V3342" i="1"/>
  <c r="O3346" i="1"/>
  <c r="P3346" i="1" s="1"/>
  <c r="U3347" i="1"/>
  <c r="V3347" i="1" s="1"/>
  <c r="O3351" i="1"/>
  <c r="P3351" i="1" s="1"/>
  <c r="P3353" i="1"/>
  <c r="V3358" i="1"/>
  <c r="O3362" i="1"/>
  <c r="P3362" i="1" s="1"/>
  <c r="U3363" i="1"/>
  <c r="V3363" i="1" s="1"/>
  <c r="O3367" i="1"/>
  <c r="P3367" i="1" s="1"/>
  <c r="P3369" i="1"/>
  <c r="V3374" i="1"/>
  <c r="O3378" i="1"/>
  <c r="P3378" i="1" s="1"/>
  <c r="U3379" i="1"/>
  <c r="V3379" i="1" s="1"/>
  <c r="O3383" i="1"/>
  <c r="P3383" i="1" s="1"/>
  <c r="P3385" i="1"/>
  <c r="W3386" i="1"/>
  <c r="X3386" i="1" s="1"/>
  <c r="U3389" i="1"/>
  <c r="V3389" i="1" s="1"/>
  <c r="U3393" i="1"/>
  <c r="V3393" i="1" s="1"/>
  <c r="O3397" i="1"/>
  <c r="P3397" i="1" s="1"/>
  <c r="W3403" i="1"/>
  <c r="X3403" i="1" s="1"/>
  <c r="P3406" i="1"/>
  <c r="O3408" i="1"/>
  <c r="P3408" i="1" s="1"/>
  <c r="W3418" i="1"/>
  <c r="X3418" i="1" s="1"/>
  <c r="O3432" i="1"/>
  <c r="P3432" i="1" s="1"/>
  <c r="U3433" i="1"/>
  <c r="V3433" i="1" s="1"/>
  <c r="U3447" i="1"/>
  <c r="V3447" i="1" s="1"/>
  <c r="W3448" i="1"/>
  <c r="X3448" i="1" s="1"/>
  <c r="O3475" i="1"/>
  <c r="P3475" i="1" s="1"/>
  <c r="O3476" i="1"/>
  <c r="P3476" i="1" s="1"/>
  <c r="O3477" i="1"/>
  <c r="P3477" i="1" s="1"/>
  <c r="X3390" i="1"/>
  <c r="V3396" i="1"/>
  <c r="V3400" i="1"/>
  <c r="V3408" i="1"/>
  <c r="V3416" i="1"/>
  <c r="O3420" i="1"/>
  <c r="P3420" i="1" s="1"/>
  <c r="U3421" i="1"/>
  <c r="V3421" i="1" s="1"/>
  <c r="X3422" i="1"/>
  <c r="O3425" i="1"/>
  <c r="P3425" i="1" s="1"/>
  <c r="P3427" i="1"/>
  <c r="V3432" i="1"/>
  <c r="O3436" i="1"/>
  <c r="P3436" i="1" s="1"/>
  <c r="U3437" i="1"/>
  <c r="V3437" i="1" s="1"/>
  <c r="X3438" i="1"/>
  <c r="U3442" i="1"/>
  <c r="V3442" i="1" s="1"/>
  <c r="O3449" i="1"/>
  <c r="P3449" i="1" s="1"/>
  <c r="O3450" i="1"/>
  <c r="P3450" i="1" s="1"/>
  <c r="P3456" i="1"/>
  <c r="O3459" i="1"/>
  <c r="P3459" i="1" s="1"/>
  <c r="O3460" i="1"/>
  <c r="P3460" i="1" s="1"/>
  <c r="O3461" i="1"/>
  <c r="P3461" i="1" s="1"/>
  <c r="V3465" i="1"/>
  <c r="O3469" i="1"/>
  <c r="P3469" i="1" s="1"/>
  <c r="U3485" i="1"/>
  <c r="V3485" i="1" s="1"/>
  <c r="W3497" i="1"/>
  <c r="X3497" i="1" s="1"/>
  <c r="O3505" i="1"/>
  <c r="P3505" i="1" s="1"/>
  <c r="O3516" i="1"/>
  <c r="P3516" i="1" s="1"/>
  <c r="O3517" i="1"/>
  <c r="P3517" i="1" s="1"/>
  <c r="O3518" i="1"/>
  <c r="P3518" i="1" s="1"/>
  <c r="O3388" i="1"/>
  <c r="P3388" i="1" s="1"/>
  <c r="O3392" i="1"/>
  <c r="P3392" i="1" s="1"/>
  <c r="P3395" i="1"/>
  <c r="W3395" i="1"/>
  <c r="X3395" i="1" s="1"/>
  <c r="U3397" i="1"/>
  <c r="V3397" i="1" s="1"/>
  <c r="P3399" i="1"/>
  <c r="U3401" i="1"/>
  <c r="V3401" i="1" s="1"/>
  <c r="O3404" i="1"/>
  <c r="P3404" i="1" s="1"/>
  <c r="P3407" i="1"/>
  <c r="U3409" i="1"/>
  <c r="V3409" i="1" s="1"/>
  <c r="O3412" i="1"/>
  <c r="P3412" i="1" s="1"/>
  <c r="O3413" i="1"/>
  <c r="P3413" i="1" s="1"/>
  <c r="P3415" i="1"/>
  <c r="V3420" i="1"/>
  <c r="O3424" i="1"/>
  <c r="P3424" i="1" s="1"/>
  <c r="U3425" i="1"/>
  <c r="V3425" i="1" s="1"/>
  <c r="X3426" i="1"/>
  <c r="O3429" i="1"/>
  <c r="P3429" i="1" s="1"/>
  <c r="P3431" i="1"/>
  <c r="V3436" i="1"/>
  <c r="P3440" i="1"/>
  <c r="O3443" i="1"/>
  <c r="P3443" i="1" s="1"/>
  <c r="O3444" i="1"/>
  <c r="P3444" i="1" s="1"/>
  <c r="O3445" i="1"/>
  <c r="P3445" i="1" s="1"/>
  <c r="V3449" i="1"/>
  <c r="O3453" i="1"/>
  <c r="P3453" i="1" s="1"/>
  <c r="U3469" i="1"/>
  <c r="V3469" i="1" s="1"/>
  <c r="P3471" i="1"/>
  <c r="O3474" i="1"/>
  <c r="P3474" i="1" s="1"/>
  <c r="W3476" i="1"/>
  <c r="X3476" i="1" s="1"/>
  <c r="U3479" i="1"/>
  <c r="V3479" i="1" s="1"/>
  <c r="W3480" i="1"/>
  <c r="X3480" i="1" s="1"/>
  <c r="W3484" i="1"/>
  <c r="X3484" i="1" s="1"/>
  <c r="W3496" i="1"/>
  <c r="X3496" i="1" s="1"/>
  <c r="O3502" i="1"/>
  <c r="P3502" i="1" s="1"/>
  <c r="U3503" i="1"/>
  <c r="V3503" i="1" s="1"/>
  <c r="O3514" i="1"/>
  <c r="P3514" i="1" s="1"/>
  <c r="W3518" i="1"/>
  <c r="X3518" i="1" s="1"/>
  <c r="O3568" i="1"/>
  <c r="P3568" i="1" s="1"/>
  <c r="V3388" i="1"/>
  <c r="V3392" i="1"/>
  <c r="V3404" i="1"/>
  <c r="V3412" i="1"/>
  <c r="U3413" i="1"/>
  <c r="V3413" i="1" s="1"/>
  <c r="X3414" i="1"/>
  <c r="O3417" i="1"/>
  <c r="P3417" i="1" s="1"/>
  <c r="P3419" i="1"/>
  <c r="V3424" i="1"/>
  <c r="O3428" i="1"/>
  <c r="P3428" i="1" s="1"/>
  <c r="U3429" i="1"/>
  <c r="V3429" i="1" s="1"/>
  <c r="X3430" i="1"/>
  <c r="O3433" i="1"/>
  <c r="P3433" i="1" s="1"/>
  <c r="P3435" i="1"/>
  <c r="U3453" i="1"/>
  <c r="V3453" i="1" s="1"/>
  <c r="P3455" i="1"/>
  <c r="O3458" i="1"/>
  <c r="P3458" i="1" s="1"/>
  <c r="W3460" i="1"/>
  <c r="X3460" i="1" s="1"/>
  <c r="U3463" i="1"/>
  <c r="V3463" i="1" s="1"/>
  <c r="W3464" i="1"/>
  <c r="X3464" i="1" s="1"/>
  <c r="O3470" i="1"/>
  <c r="P3470" i="1" s="1"/>
  <c r="U3474" i="1"/>
  <c r="V3474" i="1" s="1"/>
  <c r="O3481" i="1"/>
  <c r="P3481" i="1" s="1"/>
  <c r="O3482" i="1"/>
  <c r="P3482" i="1" s="1"/>
  <c r="O3486" i="1"/>
  <c r="P3486" i="1" s="1"/>
  <c r="O3491" i="1"/>
  <c r="P3491" i="1" s="1"/>
  <c r="W3512" i="1"/>
  <c r="X3512" i="1" s="1"/>
  <c r="O3522" i="1"/>
  <c r="P3522" i="1" s="1"/>
  <c r="U3528" i="1"/>
  <c r="V3528" i="1" s="1"/>
  <c r="O3547" i="1"/>
  <c r="P3547" i="1" s="1"/>
  <c r="U3548" i="1"/>
  <c r="V3548" i="1" s="1"/>
  <c r="O3490" i="1"/>
  <c r="P3490" i="1" s="1"/>
  <c r="U3491" i="1"/>
  <c r="V3491" i="1" s="1"/>
  <c r="O3495" i="1"/>
  <c r="P3495" i="1" s="1"/>
  <c r="O3506" i="1"/>
  <c r="P3506" i="1" s="1"/>
  <c r="U3507" i="1"/>
  <c r="V3507" i="1" s="1"/>
  <c r="O3511" i="1"/>
  <c r="P3511" i="1" s="1"/>
  <c r="U3524" i="1"/>
  <c r="V3524" i="1" s="1"/>
  <c r="O3534" i="1"/>
  <c r="P3534" i="1" s="1"/>
  <c r="O3563" i="1"/>
  <c r="P3563" i="1" s="1"/>
  <c r="U3564" i="1"/>
  <c r="V3564" i="1" s="1"/>
  <c r="O3600" i="1"/>
  <c r="P3600" i="1" s="1"/>
  <c r="U3601" i="1"/>
  <c r="V3601" i="1" s="1"/>
  <c r="U3446" i="1"/>
  <c r="V3446" i="1" s="1"/>
  <c r="V3450" i="1"/>
  <c r="V3451" i="1"/>
  <c r="U3462" i="1"/>
  <c r="V3462" i="1" s="1"/>
  <c r="V3466" i="1"/>
  <c r="V3467" i="1"/>
  <c r="U3478" i="1"/>
  <c r="V3478" i="1" s="1"/>
  <c r="V3482" i="1"/>
  <c r="V3483" i="1"/>
  <c r="P3484" i="1"/>
  <c r="P3485" i="1"/>
  <c r="V3486" i="1"/>
  <c r="O3487" i="1"/>
  <c r="P3487" i="1" s="1"/>
  <c r="X3488" i="1"/>
  <c r="V3490" i="1"/>
  <c r="O3493" i="1"/>
  <c r="P3493" i="1" s="1"/>
  <c r="O3494" i="1"/>
  <c r="P3494" i="1" s="1"/>
  <c r="U3495" i="1"/>
  <c r="V3495" i="1" s="1"/>
  <c r="P3497" i="1"/>
  <c r="O3499" i="1"/>
  <c r="P3499" i="1" s="1"/>
  <c r="W3500" i="1"/>
  <c r="X3500" i="1" s="1"/>
  <c r="X3504" i="1"/>
  <c r="V3506" i="1"/>
  <c r="O3509" i="1"/>
  <c r="P3509" i="1" s="1"/>
  <c r="O3510" i="1"/>
  <c r="P3510" i="1" s="1"/>
  <c r="U3511" i="1"/>
  <c r="V3511" i="1" s="1"/>
  <c r="W3517" i="1"/>
  <c r="X3517" i="1" s="1"/>
  <c r="U3520" i="1"/>
  <c r="V3520" i="1" s="1"/>
  <c r="W3526" i="1"/>
  <c r="X3526" i="1" s="1"/>
  <c r="O3530" i="1"/>
  <c r="P3530" i="1" s="1"/>
  <c r="W3574" i="1"/>
  <c r="X3574" i="1" s="1"/>
  <c r="W3575" i="1"/>
  <c r="X3575" i="1" s="1"/>
  <c r="P3441" i="1"/>
  <c r="V3454" i="1"/>
  <c r="P3457" i="1"/>
  <c r="V3470" i="1"/>
  <c r="P3473" i="1"/>
  <c r="X3492" i="1"/>
  <c r="V3494" i="1"/>
  <c r="O3498" i="1"/>
  <c r="P3498" i="1" s="1"/>
  <c r="U3499" i="1"/>
  <c r="V3499" i="1" s="1"/>
  <c r="P3501" i="1"/>
  <c r="O3503" i="1"/>
  <c r="P3503" i="1" s="1"/>
  <c r="X3508" i="1"/>
  <c r="V3510" i="1"/>
  <c r="P3513" i="1"/>
  <c r="W3513" i="1"/>
  <c r="X3513" i="1" s="1"/>
  <c r="U3515" i="1"/>
  <c r="V3515" i="1" s="1"/>
  <c r="O3526" i="1"/>
  <c r="P3526" i="1" s="1"/>
  <c r="U3532" i="1"/>
  <c r="V3532" i="1" s="1"/>
  <c r="U3536" i="1"/>
  <c r="V3536" i="1" s="1"/>
  <c r="O3552" i="1"/>
  <c r="P3552" i="1" s="1"/>
  <c r="V3519" i="1"/>
  <c r="O3540" i="1"/>
  <c r="P3540" i="1" s="1"/>
  <c r="P3542" i="1"/>
  <c r="V3547" i="1"/>
  <c r="O3551" i="1"/>
  <c r="P3551" i="1" s="1"/>
  <c r="U3552" i="1"/>
  <c r="V3552" i="1" s="1"/>
  <c r="O3556" i="1"/>
  <c r="P3556" i="1" s="1"/>
  <c r="P3558" i="1"/>
  <c r="V3563" i="1"/>
  <c r="O3567" i="1"/>
  <c r="P3567" i="1" s="1"/>
  <c r="U3568" i="1"/>
  <c r="V3568" i="1" s="1"/>
  <c r="X3569" i="1"/>
  <c r="O3616" i="1"/>
  <c r="P3616" i="1" s="1"/>
  <c r="U3617" i="1"/>
  <c r="V3617" i="1" s="1"/>
  <c r="O3523" i="1"/>
  <c r="P3523" i="1" s="1"/>
  <c r="O3527" i="1"/>
  <c r="P3527" i="1" s="1"/>
  <c r="O3531" i="1"/>
  <c r="P3531" i="1" s="1"/>
  <c r="O3535" i="1"/>
  <c r="P3535" i="1" s="1"/>
  <c r="O3539" i="1"/>
  <c r="P3539" i="1" s="1"/>
  <c r="U3540" i="1"/>
  <c r="V3540" i="1" s="1"/>
  <c r="O3544" i="1"/>
  <c r="P3544" i="1" s="1"/>
  <c r="P3546" i="1"/>
  <c r="V3551" i="1"/>
  <c r="O3555" i="1"/>
  <c r="P3555" i="1" s="1"/>
  <c r="U3556" i="1"/>
  <c r="V3556" i="1" s="1"/>
  <c r="O3560" i="1"/>
  <c r="P3560" i="1" s="1"/>
  <c r="P3562" i="1"/>
  <c r="V3567" i="1"/>
  <c r="O3571" i="1"/>
  <c r="P3571" i="1" s="1"/>
  <c r="O3572" i="1"/>
  <c r="P3572" i="1" s="1"/>
  <c r="O3589" i="1"/>
  <c r="P3589" i="1" s="1"/>
  <c r="P3515" i="1"/>
  <c r="V3523" i="1"/>
  <c r="P3524" i="1"/>
  <c r="V3527" i="1"/>
  <c r="P3528" i="1"/>
  <c r="V3531" i="1"/>
  <c r="P3532" i="1"/>
  <c r="V3535" i="1"/>
  <c r="V3539" i="1"/>
  <c r="O3543" i="1"/>
  <c r="P3543" i="1" s="1"/>
  <c r="U3544" i="1"/>
  <c r="V3544" i="1" s="1"/>
  <c r="O3548" i="1"/>
  <c r="P3548" i="1" s="1"/>
  <c r="P3550" i="1"/>
  <c r="V3555" i="1"/>
  <c r="O3559" i="1"/>
  <c r="P3559" i="1" s="1"/>
  <c r="U3560" i="1"/>
  <c r="V3560" i="1" s="1"/>
  <c r="O3564" i="1"/>
  <c r="P3564" i="1" s="1"/>
  <c r="P3566" i="1"/>
  <c r="V3571" i="1"/>
  <c r="U3576" i="1"/>
  <c r="V3576" i="1" s="1"/>
  <c r="O3584" i="1"/>
  <c r="P3584" i="1" s="1"/>
  <c r="U3585" i="1"/>
  <c r="V3585" i="1" s="1"/>
  <c r="O3605" i="1"/>
  <c r="P3605" i="1" s="1"/>
  <c r="U3577" i="1"/>
  <c r="V3577" i="1" s="1"/>
  <c r="O3588" i="1"/>
  <c r="P3588" i="1" s="1"/>
  <c r="U3589" i="1"/>
  <c r="V3589" i="1" s="1"/>
  <c r="O3593" i="1"/>
  <c r="P3593" i="1" s="1"/>
  <c r="O3604" i="1"/>
  <c r="P3604" i="1" s="1"/>
  <c r="U3605" i="1"/>
  <c r="V3605" i="1" s="1"/>
  <c r="O3609" i="1"/>
  <c r="P3609" i="1" s="1"/>
  <c r="O3620" i="1"/>
  <c r="P3620" i="1" s="1"/>
  <c r="V3572" i="1"/>
  <c r="P3573" i="1"/>
  <c r="O3575" i="1"/>
  <c r="P3575" i="1" s="1"/>
  <c r="X3578" i="1"/>
  <c r="O3581" i="1"/>
  <c r="P3581" i="1" s="1"/>
  <c r="P3583" i="1"/>
  <c r="V3588" i="1"/>
  <c r="O3592" i="1"/>
  <c r="P3592" i="1" s="1"/>
  <c r="U3593" i="1"/>
  <c r="V3593" i="1" s="1"/>
  <c r="X3594" i="1"/>
  <c r="O3597" i="1"/>
  <c r="P3597" i="1" s="1"/>
  <c r="P3599" i="1"/>
  <c r="O3608" i="1"/>
  <c r="P3608" i="1" s="1"/>
  <c r="U3609" i="1"/>
  <c r="V3609" i="1" s="1"/>
  <c r="X3610" i="1"/>
  <c r="O3613" i="1"/>
  <c r="P3613" i="1" s="1"/>
  <c r="P3615" i="1"/>
  <c r="U3573" i="1"/>
  <c r="V3573" i="1" s="1"/>
  <c r="O3576" i="1"/>
  <c r="P3576" i="1" s="1"/>
  <c r="O3580" i="1"/>
  <c r="P3580" i="1" s="1"/>
  <c r="U3581" i="1"/>
  <c r="V3581" i="1" s="1"/>
  <c r="X3582" i="1"/>
  <c r="O3585" i="1"/>
  <c r="P3585" i="1" s="1"/>
  <c r="P3587" i="1"/>
  <c r="V3592" i="1"/>
  <c r="O3596" i="1"/>
  <c r="P3596" i="1" s="1"/>
  <c r="U3597" i="1"/>
  <c r="V3597" i="1" s="1"/>
  <c r="X3598" i="1"/>
  <c r="O3601" i="1"/>
  <c r="P3601" i="1" s="1"/>
  <c r="P3603" i="1"/>
  <c r="V3608" i="1"/>
  <c r="O3612" i="1"/>
  <c r="P3612" i="1" s="1"/>
  <c r="U3613" i="1"/>
  <c r="V3613" i="1" s="1"/>
  <c r="X3614" i="1"/>
  <c r="O3617" i="1"/>
  <c r="P3617" i="1" s="1"/>
  <c r="P3619" i="1"/>
  <c r="W137" i="1"/>
  <c r="X137" i="1" s="1"/>
  <c r="O50" i="1"/>
  <c r="P50" i="1" s="1"/>
  <c r="W87" i="1"/>
  <c r="X87" i="1" s="1"/>
  <c r="W120" i="1"/>
  <c r="X120" i="1" s="1"/>
  <c r="O506" i="1"/>
  <c r="P506" i="1" s="1"/>
  <c r="U573" i="1"/>
  <c r="V573" i="1" s="1"/>
  <c r="W573" i="1" s="1"/>
  <c r="X573" i="1" s="1"/>
  <c r="U602" i="1"/>
  <c r="V602" i="1" s="1"/>
  <c r="U608" i="1"/>
  <c r="V608" i="1" s="1"/>
  <c r="O886" i="1"/>
  <c r="P886" i="1" s="1"/>
  <c r="U933" i="1"/>
  <c r="V933" i="1" s="1"/>
  <c r="U983" i="1"/>
  <c r="V983" i="1" s="1"/>
  <c r="W983" i="1" s="1"/>
  <c r="X983" i="1" s="1"/>
  <c r="U1006" i="1"/>
  <c r="V1006" i="1" s="1"/>
  <c r="W1006" i="1" s="1"/>
  <c r="X1006" i="1" s="1"/>
  <c r="U1008" i="1"/>
  <c r="V1008" i="1" s="1"/>
  <c r="W1008" i="1" s="1"/>
  <c r="X1008" i="1" s="1"/>
  <c r="U1024" i="1"/>
  <c r="V1024" i="1" s="1"/>
  <c r="U1031" i="1"/>
  <c r="V1031" i="1" s="1"/>
  <c r="W1031" i="1" s="1"/>
  <c r="X1031" i="1" s="1"/>
  <c r="O1035" i="1"/>
  <c r="P1035" i="1" s="1"/>
  <c r="W1049" i="1"/>
  <c r="X1049" i="1" s="1"/>
  <c r="U1089" i="1"/>
  <c r="V1089" i="1" s="1"/>
  <c r="O1141" i="1"/>
  <c r="P1141" i="1" s="1"/>
  <c r="U1160" i="1"/>
  <c r="V1160" i="1" s="1"/>
  <c r="V67" i="1"/>
  <c r="W67" i="1" s="1"/>
  <c r="X623" i="1"/>
  <c r="X59" i="1"/>
  <c r="X1091" i="1"/>
  <c r="V561" i="1"/>
  <c r="W561" i="1" s="1"/>
  <c r="X561" i="1" s="1"/>
  <c r="V65" i="1"/>
  <c r="W65" i="1" s="1"/>
  <c r="X65" i="1" s="1"/>
  <c r="P430" i="1"/>
  <c r="P890" i="1"/>
  <c r="P148" i="1"/>
  <c r="X433" i="1"/>
  <c r="W240" i="1"/>
  <c r="X240" i="1" s="1"/>
  <c r="W485" i="1"/>
  <c r="X485" i="1" s="1"/>
  <c r="P124" i="1"/>
  <c r="O437" i="1"/>
  <c r="P437" i="1" s="1"/>
  <c r="U513" i="1"/>
  <c r="V513" i="1" s="1"/>
  <c r="U571" i="1"/>
  <c r="V571" i="1" s="1"/>
  <c r="W571" i="1" s="1"/>
  <c r="X571" i="1" s="1"/>
  <c r="W600" i="1"/>
  <c r="X600" i="1" s="1"/>
  <c r="U637" i="1"/>
  <c r="V637" i="1" s="1"/>
  <c r="U792" i="1"/>
  <c r="V792" i="1" s="1"/>
  <c r="W792" i="1" s="1"/>
  <c r="X792" i="1" s="1"/>
  <c r="U832" i="1"/>
  <c r="V832" i="1" s="1"/>
  <c r="W832" i="1" s="1"/>
  <c r="X832" i="1" s="1"/>
  <c r="O838" i="1"/>
  <c r="P838" i="1" s="1"/>
  <c r="U935" i="1"/>
  <c r="V935" i="1" s="1"/>
  <c r="U1047" i="1"/>
  <c r="V1047" i="1" s="1"/>
  <c r="W1047" i="1" s="1"/>
  <c r="X1047" i="1" s="1"/>
  <c r="U1101" i="1"/>
  <c r="V1101" i="1" s="1"/>
  <c r="W1101" i="1" s="1"/>
  <c r="X1101" i="1" s="1"/>
  <c r="O1122" i="1"/>
  <c r="P1122" i="1" s="1"/>
  <c r="O1126" i="1"/>
  <c r="P1126" i="1" s="1"/>
  <c r="O1137" i="1"/>
  <c r="P1137" i="1" s="1"/>
  <c r="P1149" i="1"/>
  <c r="X104" i="1"/>
  <c r="X88" i="1"/>
  <c r="X639" i="1"/>
  <c r="X838" i="1"/>
  <c r="X194" i="1"/>
  <c r="X548" i="1"/>
  <c r="V604" i="1"/>
  <c r="W604" i="1" s="1"/>
  <c r="X767" i="1"/>
  <c r="X108" i="1"/>
  <c r="X720" i="1"/>
  <c r="V554" i="1"/>
  <c r="W554" i="1" s="1"/>
  <c r="X554" i="1" s="1"/>
  <c r="P982" i="1"/>
  <c r="X794" i="1"/>
  <c r="W48" i="1"/>
  <c r="X48" i="1" s="1"/>
  <c r="U83" i="1"/>
  <c r="V83" i="1" s="1"/>
  <c r="O100" i="1"/>
  <c r="P100" i="1" s="1"/>
  <c r="U426" i="1"/>
  <c r="V426" i="1" s="1"/>
  <c r="W426" i="1" s="1"/>
  <c r="X426" i="1" s="1"/>
  <c r="U526" i="1"/>
  <c r="V526" i="1" s="1"/>
  <c r="W526" i="1" s="1"/>
  <c r="X526" i="1" s="1"/>
  <c r="U569" i="1"/>
  <c r="V569" i="1" s="1"/>
  <c r="W569" i="1" s="1"/>
  <c r="X569" i="1" s="1"/>
  <c r="U586" i="1"/>
  <c r="V586" i="1" s="1"/>
  <c r="W586" i="1" s="1"/>
  <c r="X586" i="1" s="1"/>
  <c r="U592" i="1"/>
  <c r="V592" i="1" s="1"/>
  <c r="X549" i="1"/>
  <c r="X62" i="1"/>
  <c r="X763" i="1"/>
  <c r="X1097" i="1"/>
  <c r="X824" i="1"/>
  <c r="P888" i="1"/>
  <c r="X590" i="1"/>
  <c r="P1026" i="1"/>
  <c r="V1051" i="1"/>
  <c r="W1051" i="1" s="1"/>
  <c r="W937" i="1"/>
  <c r="X937" i="1" s="1"/>
  <c r="U15" i="1"/>
  <c r="V15" i="1" s="1"/>
  <c r="W15" i="1" s="1"/>
  <c r="X15" i="1" s="1"/>
  <c r="U138" i="1"/>
  <c r="V138" i="1" s="1"/>
  <c r="W138" i="1" s="1"/>
  <c r="X138" i="1" s="1"/>
  <c r="U175" i="1"/>
  <c r="V175" i="1" s="1"/>
  <c r="O180" i="1"/>
  <c r="P180" i="1" s="1"/>
  <c r="V348" i="1"/>
  <c r="W348" i="1" s="1"/>
  <c r="O356" i="1"/>
  <c r="P356" i="1" s="1"/>
  <c r="V416" i="1"/>
  <c r="W416" i="1" s="1"/>
  <c r="X416" i="1" s="1"/>
  <c r="W173" i="1"/>
  <c r="X173" i="1" s="1"/>
  <c r="X265" i="1"/>
  <c r="V56" i="1"/>
  <c r="W56" i="1" s="1"/>
  <c r="X56" i="1" s="1"/>
  <c r="P258" i="1"/>
  <c r="O275" i="1"/>
  <c r="P275" i="1" s="1"/>
  <c r="U101" i="1"/>
  <c r="V101" i="1" s="1"/>
  <c r="U163" i="1"/>
  <c r="V163" i="1" s="1"/>
  <c r="P171" i="1"/>
  <c r="U297" i="1"/>
  <c r="V297" i="1" s="1"/>
  <c r="P32" i="1"/>
  <c r="U260" i="1"/>
  <c r="V260" i="1" s="1"/>
  <c r="W260" i="1" s="1"/>
  <c r="X260" i="1" s="1"/>
  <c r="O998" i="1"/>
  <c r="P998" i="1" s="1"/>
  <c r="X451" i="1"/>
  <c r="X1066" i="1"/>
  <c r="V81" i="1"/>
  <c r="W81" i="1" s="1"/>
  <c r="X81" i="1" s="1"/>
  <c r="P18" i="1"/>
  <c r="P42" i="1"/>
  <c r="P238" i="1"/>
  <c r="P370" i="1"/>
  <c r="V487" i="1"/>
  <c r="W487" i="1" s="1"/>
  <c r="X487" i="1" s="1"/>
  <c r="U431" i="1"/>
  <c r="V431" i="1" s="1"/>
  <c r="W431" i="1" s="1"/>
  <c r="X431" i="1" s="1"/>
  <c r="X1129" i="1"/>
  <c r="V1102" i="1"/>
  <c r="W482" i="1"/>
  <c r="X482" i="1" s="1"/>
  <c r="U436" i="1"/>
  <c r="V436" i="1" s="1"/>
  <c r="W436" i="1" s="1"/>
  <c r="W497" i="1"/>
  <c r="X497" i="1" s="1"/>
  <c r="X523" i="1"/>
  <c r="X756" i="1"/>
  <c r="X904" i="1"/>
  <c r="X421" i="1"/>
  <c r="W347" i="1"/>
  <c r="X347" i="1" s="1"/>
  <c r="W923" i="1"/>
  <c r="X923" i="1" s="1"/>
  <c r="W304" i="1"/>
  <c r="X304" i="1" s="1"/>
  <c r="W177" i="1"/>
  <c r="X177" i="1" s="1"/>
  <c r="X442" i="1"/>
  <c r="X251" i="1"/>
  <c r="X135" i="1"/>
  <c r="W1135" i="1"/>
  <c r="X1135" i="1" s="1"/>
  <c r="W859" i="1"/>
  <c r="X859" i="1" s="1"/>
  <c r="X300" i="1"/>
  <c r="W1120" i="1"/>
  <c r="X1120" i="1" s="1"/>
  <c r="W695" i="1"/>
  <c r="X695" i="1" s="1"/>
  <c r="W606" i="1"/>
  <c r="X606" i="1" s="1"/>
  <c r="W360" i="1"/>
  <c r="X360" i="1" s="1"/>
  <c r="W179" i="1"/>
  <c r="X179" i="1" s="1"/>
  <c r="W674" i="1"/>
  <c r="X674" i="1" s="1"/>
  <c r="W744" i="1"/>
  <c r="X744" i="1" s="1"/>
  <c r="W959" i="1"/>
  <c r="X959" i="1" s="1"/>
  <c r="W801" i="1"/>
  <c r="X801" i="1" s="1"/>
  <c r="V28" i="1"/>
  <c r="W28" i="1" s="1"/>
  <c r="X269" i="1"/>
  <c r="X789" i="1"/>
  <c r="W950" i="1"/>
  <c r="X950" i="1" s="1"/>
  <c r="W338" i="1"/>
  <c r="X338" i="1" s="1"/>
  <c r="W552" i="1"/>
  <c r="X552" i="1" s="1"/>
  <c r="W861" i="1"/>
  <c r="X861" i="1" s="1"/>
  <c r="W424" i="1"/>
  <c r="X424" i="1" s="1"/>
  <c r="W1025" i="1"/>
  <c r="X1025" i="1" s="1"/>
  <c r="U26" i="1"/>
  <c r="V26" i="1" s="1"/>
  <c r="W26" i="1" s="1"/>
  <c r="X26" i="1" s="1"/>
  <c r="U33" i="1"/>
  <c r="V33" i="1" s="1"/>
  <c r="U45" i="1"/>
  <c r="V45" i="1" s="1"/>
  <c r="W45" i="1" s="1"/>
  <c r="X45" i="1" s="1"/>
  <c r="O473" i="1"/>
  <c r="P473" i="1" s="1"/>
  <c r="O478" i="1"/>
  <c r="P478" i="1" s="1"/>
  <c r="W358" i="1"/>
  <c r="X358" i="1" s="1"/>
  <c r="W951" i="1"/>
  <c r="X951" i="1" s="1"/>
  <c r="X1005" i="1"/>
  <c r="P501" i="1"/>
  <c r="W353" i="1"/>
  <c r="X353" i="1" s="1"/>
  <c r="X936" i="1"/>
  <c r="X562" i="1"/>
  <c r="W217" i="1"/>
  <c r="X217" i="1" s="1"/>
  <c r="W665" i="1"/>
  <c r="X665" i="1" s="1"/>
  <c r="W520" i="1"/>
  <c r="X520" i="1" s="1"/>
  <c r="W315" i="1"/>
  <c r="X315" i="1" s="1"/>
  <c r="X210" i="1"/>
  <c r="W976" i="1"/>
  <c r="X976" i="1" s="1"/>
  <c r="W148" i="1"/>
  <c r="X148" i="1" s="1"/>
  <c r="W74" i="1"/>
  <c r="X74" i="1" s="1"/>
  <c r="W813" i="1"/>
  <c r="X813" i="1" s="1"/>
  <c r="W144" i="1"/>
  <c r="X144" i="1" s="1"/>
  <c r="W729" i="1"/>
  <c r="X729" i="1" s="1"/>
  <c r="W509" i="1"/>
  <c r="X509" i="1" s="1"/>
  <c r="X1165" i="1"/>
  <c r="W1168" i="1"/>
  <c r="X1168" i="1" s="1"/>
  <c r="W262" i="1"/>
  <c r="X262" i="1" s="1"/>
  <c r="W114" i="1"/>
  <c r="X114" i="1" s="1"/>
  <c r="W90" i="1"/>
  <c r="X90" i="1" s="1"/>
  <c r="W313" i="1"/>
  <c r="X313" i="1" s="1"/>
  <c r="W230" i="1"/>
  <c r="X230" i="1" s="1"/>
  <c r="O1131" i="1"/>
  <c r="P1131" i="1" s="1"/>
  <c r="O1136" i="1"/>
  <c r="P1136" i="1" s="1"/>
  <c r="X995" i="1"/>
  <c r="X647" i="1"/>
  <c r="X178" i="1"/>
  <c r="P664" i="1"/>
  <c r="V907" i="1"/>
  <c r="W907" i="1" s="1"/>
  <c r="V660" i="1"/>
  <c r="X662" i="1"/>
  <c r="W459" i="1"/>
  <c r="X459" i="1" s="1"/>
  <c r="W1048" i="1"/>
  <c r="X1048" i="1" s="1"/>
  <c r="O83" i="1"/>
  <c r="P83" i="1" s="1"/>
  <c r="O655" i="1"/>
  <c r="P655" i="1" s="1"/>
  <c r="U667" i="1"/>
  <c r="V667" i="1" s="1"/>
  <c r="W667" i="1" s="1"/>
  <c r="X667" i="1" s="1"/>
  <c r="W814" i="1"/>
  <c r="X814" i="1" s="1"/>
  <c r="O818" i="1"/>
  <c r="P818" i="1" s="1"/>
  <c r="P820" i="1"/>
  <c r="U866" i="1"/>
  <c r="V866" i="1" s="1"/>
  <c r="O899" i="1"/>
  <c r="P899" i="1" s="1"/>
  <c r="U900" i="1"/>
  <c r="V900" i="1" s="1"/>
  <c r="O904" i="1"/>
  <c r="P904" i="1" s="1"/>
  <c r="O949" i="1"/>
  <c r="P949" i="1" s="1"/>
  <c r="O979" i="1"/>
  <c r="P979" i="1" s="1"/>
  <c r="U990" i="1"/>
  <c r="V990" i="1" s="1"/>
  <c r="O1044" i="1"/>
  <c r="P1044" i="1" s="1"/>
  <c r="O1046" i="1"/>
  <c r="P1046" i="1" s="1"/>
  <c r="O1053" i="1"/>
  <c r="P1053" i="1" s="1"/>
  <c r="U1072" i="1"/>
  <c r="V1072" i="1" s="1"/>
  <c r="U1076" i="1"/>
  <c r="V1076" i="1" s="1"/>
  <c r="W1079" i="1"/>
  <c r="X1079" i="1" s="1"/>
  <c r="O1081" i="1"/>
  <c r="P1081" i="1" s="1"/>
  <c r="O1084" i="1"/>
  <c r="P1084" i="1" s="1"/>
  <c r="X1099" i="1"/>
  <c r="O1112" i="1"/>
  <c r="P1112" i="1" s="1"/>
  <c r="O1119" i="1"/>
  <c r="P1119" i="1" s="1"/>
  <c r="O1157" i="1"/>
  <c r="P1157" i="1" s="1"/>
  <c r="P1152" i="1"/>
  <c r="P1078" i="1"/>
  <c r="P994" i="1"/>
  <c r="O653" i="1"/>
  <c r="P653" i="1" s="1"/>
  <c r="X271" i="1"/>
  <c r="W550" i="1"/>
  <c r="X550" i="1" s="1"/>
  <c r="X1113" i="1"/>
  <c r="W203" i="1"/>
  <c r="X203" i="1" s="1"/>
  <c r="W383" i="1"/>
  <c r="X383" i="1" s="1"/>
  <c r="P24" i="1"/>
  <c r="P816" i="1"/>
  <c r="X86" i="1"/>
  <c r="W685" i="1"/>
  <c r="X685" i="1" s="1"/>
  <c r="W787" i="1"/>
  <c r="X787" i="1" s="1"/>
  <c r="W845" i="1"/>
  <c r="X845" i="1" s="1"/>
  <c r="W190" i="1"/>
  <c r="X190" i="1" s="1"/>
  <c r="X533" i="1"/>
  <c r="W768" i="1"/>
  <c r="X768" i="1" s="1"/>
  <c r="W220" i="1"/>
  <c r="X220" i="1" s="1"/>
  <c r="W478" i="1"/>
  <c r="X478" i="1" s="1"/>
  <c r="W283" i="1"/>
  <c r="X283" i="1" s="1"/>
  <c r="O666" i="1"/>
  <c r="P666" i="1" s="1"/>
  <c r="W1164" i="1"/>
  <c r="X1164" i="1" s="1"/>
  <c r="W588" i="1"/>
  <c r="X588" i="1" s="1"/>
  <c r="W1058" i="1"/>
  <c r="X1058" i="1" s="1"/>
  <c r="W1085" i="1"/>
  <c r="X1085" i="1" s="1"/>
  <c r="U10" i="1"/>
  <c r="X1012" i="1"/>
  <c r="X257" i="1"/>
  <c r="W66" i="1"/>
  <c r="X66" i="1" s="1"/>
  <c r="W501" i="1"/>
  <c r="X501" i="1" s="1"/>
  <c r="U80" i="1"/>
  <c r="V80" i="1" s="1"/>
  <c r="O411" i="1"/>
  <c r="P411" i="1" s="1"/>
  <c r="O421" i="1"/>
  <c r="P421" i="1" s="1"/>
  <c r="X666" i="1"/>
  <c r="O16" i="1"/>
  <c r="P16" i="1" s="1"/>
  <c r="U17" i="1"/>
  <c r="V17" i="1" s="1"/>
  <c r="U20" i="1"/>
  <c r="V20" i="1" s="1"/>
  <c r="O81" i="1"/>
  <c r="P81" i="1" s="1"/>
  <c r="O113" i="1"/>
  <c r="P113" i="1" s="1"/>
  <c r="U158" i="1"/>
  <c r="V158" i="1" s="1"/>
  <c r="O165" i="1"/>
  <c r="P165" i="1" s="1"/>
  <c r="U207" i="1"/>
  <c r="V207" i="1" s="1"/>
  <c r="W207" i="1" s="1"/>
  <c r="X207" i="1" s="1"/>
  <c r="V226" i="1"/>
  <c r="W226" i="1" s="1"/>
  <c r="X226" i="1" s="1"/>
  <c r="U246" i="1"/>
  <c r="V246" i="1" s="1"/>
  <c r="W246" i="1" s="1"/>
  <c r="X246" i="1" s="1"/>
  <c r="U322" i="1"/>
  <c r="V322" i="1" s="1"/>
  <c r="O33" i="1"/>
  <c r="P33" i="1" s="1"/>
  <c r="V49" i="1"/>
  <c r="O76" i="1"/>
  <c r="P76" i="1" s="1"/>
  <c r="U82" i="1"/>
  <c r="V82" i="1" s="1"/>
  <c r="U91" i="1"/>
  <c r="V91" i="1" s="1"/>
  <c r="W91" i="1" s="1"/>
  <c r="X91" i="1" s="1"/>
  <c r="O104" i="1"/>
  <c r="P104" i="1" s="1"/>
  <c r="O129" i="1"/>
  <c r="P129" i="1" s="1"/>
  <c r="O159" i="1"/>
  <c r="P159" i="1" s="1"/>
  <c r="O194" i="1"/>
  <c r="P194" i="1" s="1"/>
  <c r="U250" i="1"/>
  <c r="V250" i="1" s="1"/>
  <c r="O306" i="1"/>
  <c r="P306" i="1" s="1"/>
  <c r="P313" i="1"/>
  <c r="O327" i="1"/>
  <c r="P327" i="1" s="1"/>
  <c r="X538" i="1"/>
  <c r="O193" i="1"/>
  <c r="P193" i="1" s="1"/>
  <c r="P211" i="1"/>
  <c r="O424" i="1"/>
  <c r="P424" i="1" s="1"/>
  <c r="O426" i="1"/>
  <c r="P426" i="1" s="1"/>
  <c r="O445" i="1"/>
  <c r="P445" i="1" s="1"/>
  <c r="V110" i="1"/>
  <c r="W110" i="1" s="1"/>
  <c r="O416" i="1"/>
  <c r="P416" i="1" s="1"/>
  <c r="V130" i="1"/>
  <c r="P329" i="1"/>
  <c r="V344" i="1"/>
  <c r="P357" i="1"/>
  <c r="U503" i="1"/>
  <c r="V503" i="1" s="1"/>
  <c r="U539" i="1"/>
  <c r="V539" i="1" s="1"/>
  <c r="P116" i="1"/>
  <c r="V357" i="1"/>
  <c r="V452" i="1"/>
  <c r="U629" i="1"/>
  <c r="V629" i="1" s="1"/>
  <c r="U1059" i="1"/>
  <c r="V1059" i="1" s="1"/>
  <c r="W1059" i="1" s="1"/>
  <c r="X1059" i="1" s="1"/>
  <c r="U563" i="1"/>
  <c r="V563" i="1" s="1"/>
  <c r="P508" i="1"/>
  <c r="V652" i="1"/>
  <c r="P729" i="1"/>
  <c r="V800" i="1"/>
  <c r="U944" i="1"/>
  <c r="V944" i="1" s="1"/>
  <c r="W944" i="1" s="1"/>
  <c r="X944" i="1" s="1"/>
  <c r="U949" i="1"/>
  <c r="V949" i="1" s="1"/>
  <c r="V998" i="1"/>
  <c r="U1004" i="1"/>
  <c r="V1004" i="1" s="1"/>
  <c r="O1068" i="1"/>
  <c r="P1068" i="1" s="1"/>
  <c r="U1104" i="1"/>
  <c r="V1104" i="1" s="1"/>
  <c r="W1104" i="1" s="1"/>
  <c r="X1104" i="1" s="1"/>
  <c r="V1133" i="1"/>
  <c r="W1133" i="1" s="1"/>
  <c r="X1133" i="1" s="1"/>
  <c r="P1155" i="1"/>
  <c r="V869" i="1"/>
  <c r="W869" i="1" s="1"/>
  <c r="P1120" i="1"/>
  <c r="W1019" i="1"/>
  <c r="X1019" i="1" s="1"/>
  <c r="W441" i="1"/>
  <c r="X441" i="1" s="1"/>
  <c r="W241" i="1"/>
  <c r="X241" i="1" s="1"/>
  <c r="W418" i="1"/>
  <c r="X418" i="1" s="1"/>
  <c r="W221" i="1"/>
  <c r="X221" i="1" s="1"/>
  <c r="W817" i="1"/>
  <c r="X817" i="1" s="1"/>
  <c r="W761" i="1"/>
  <c r="X761" i="1" s="1"/>
  <c r="W546" i="1"/>
  <c r="X546" i="1" s="1"/>
  <c r="W823" i="1"/>
  <c r="X823" i="1" s="1"/>
  <c r="W296" i="1"/>
  <c r="X296" i="1" s="1"/>
  <c r="W1038" i="1"/>
  <c r="X1038" i="1" s="1"/>
  <c r="W601" i="1"/>
  <c r="X601" i="1" s="1"/>
  <c r="W234" i="1"/>
  <c r="X234" i="1" s="1"/>
  <c r="W827" i="1"/>
  <c r="X827" i="1" s="1"/>
  <c r="W235" i="1"/>
  <c r="X235" i="1" s="1"/>
  <c r="W881" i="1"/>
  <c r="X881" i="1" s="1"/>
  <c r="W98" i="1"/>
  <c r="X98" i="1" s="1"/>
  <c r="W849" i="1"/>
  <c r="X849" i="1" s="1"/>
  <c r="W1081" i="1"/>
  <c r="X1081" i="1" s="1"/>
  <c r="W567" i="1"/>
  <c r="X567" i="1" s="1"/>
  <c r="W355" i="1"/>
  <c r="X355" i="1" s="1"/>
  <c r="W804" i="1"/>
  <c r="X804" i="1" s="1"/>
  <c r="W758" i="1"/>
  <c r="X758" i="1" s="1"/>
  <c r="W863" i="1"/>
  <c r="X863" i="1" s="1"/>
  <c r="W788" i="1"/>
  <c r="X788" i="1" s="1"/>
  <c r="W216" i="1"/>
  <c r="X216" i="1" s="1"/>
  <c r="W871" i="1"/>
  <c r="X871" i="1" s="1"/>
  <c r="W1014" i="1"/>
  <c r="X1014" i="1" s="1"/>
  <c r="W122" i="1"/>
  <c r="X122" i="1" s="1"/>
  <c r="W145" i="1"/>
  <c r="X145" i="1" s="1"/>
  <c r="W58" i="1"/>
  <c r="X58" i="1" s="1"/>
  <c r="W428" i="1"/>
  <c r="X428" i="1" s="1"/>
  <c r="W702" i="1"/>
  <c r="X702" i="1" s="1"/>
  <c r="W298" i="1"/>
  <c r="X298" i="1" s="1"/>
  <c r="W382" i="1"/>
  <c r="X382" i="1" s="1"/>
  <c r="W643" i="1"/>
  <c r="X643" i="1" s="1"/>
  <c r="W558" i="1"/>
  <c r="X558" i="1" s="1"/>
  <c r="W223" i="1"/>
  <c r="X223" i="1" s="1"/>
  <c r="W465" i="1"/>
  <c r="X465" i="1" s="1"/>
  <c r="W303" i="1"/>
  <c r="X303" i="1" s="1"/>
  <c r="W369" i="1"/>
  <c r="X369" i="1" s="1"/>
  <c r="W1063" i="1"/>
  <c r="X1063" i="1" s="1"/>
  <c r="W515" i="1"/>
  <c r="X515" i="1" s="1"/>
  <c r="W116" i="1"/>
  <c r="X116" i="1" s="1"/>
  <c r="W902" i="1"/>
  <c r="X902" i="1" s="1"/>
  <c r="W971" i="1"/>
  <c r="X971" i="1" s="1"/>
  <c r="W274" i="1"/>
  <c r="X274" i="1" s="1"/>
  <c r="W716" i="1"/>
  <c r="X716" i="1" s="1"/>
  <c r="W566" i="1"/>
  <c r="X566" i="1" s="1"/>
  <c r="W258" i="1"/>
  <c r="X258" i="1" s="1"/>
  <c r="W1067" i="1"/>
  <c r="X1067" i="1" s="1"/>
  <c r="W1061" i="1"/>
  <c r="X1061" i="1" s="1"/>
  <c r="W414" i="1"/>
  <c r="X414" i="1" s="1"/>
  <c r="W830" i="1"/>
  <c r="X830" i="1" s="1"/>
  <c r="W1110" i="1"/>
  <c r="X1110" i="1" s="1"/>
  <c r="O281" i="1"/>
  <c r="P281" i="1" s="1"/>
  <c r="W286" i="1"/>
  <c r="X286" i="1" s="1"/>
  <c r="O325" i="1"/>
  <c r="P325" i="1" s="1"/>
  <c r="U326" i="1"/>
  <c r="V326" i="1" s="1"/>
  <c r="U334" i="1"/>
  <c r="V334" i="1" s="1"/>
  <c r="O368" i="1"/>
  <c r="P368" i="1" s="1"/>
  <c r="O485" i="1"/>
  <c r="P485" i="1" s="1"/>
  <c r="W812" i="1"/>
  <c r="X812" i="1" s="1"/>
  <c r="O1143" i="1"/>
  <c r="P1143" i="1" s="1"/>
  <c r="P374" i="1"/>
  <c r="X272" i="1"/>
  <c r="X775" i="1"/>
  <c r="X505" i="1"/>
  <c r="X658" i="1"/>
  <c r="X105" i="1"/>
  <c r="X644" i="1"/>
  <c r="P362" i="1"/>
  <c r="X167" i="1"/>
  <c r="W999" i="1"/>
  <c r="X999" i="1" s="1"/>
  <c r="W243" i="1"/>
  <c r="X243" i="1" s="1"/>
  <c r="X204" i="1"/>
  <c r="X880" i="1"/>
  <c r="X518" i="1"/>
  <c r="W361" i="1"/>
  <c r="X361" i="1" s="1"/>
  <c r="W646" i="1"/>
  <c r="X646" i="1" s="1"/>
  <c r="W1117" i="1"/>
  <c r="X1117" i="1" s="1"/>
  <c r="W321" i="1"/>
  <c r="X321" i="1" s="1"/>
  <c r="W732" i="1"/>
  <c r="X732" i="1" s="1"/>
  <c r="W795" i="1"/>
  <c r="X795" i="1" s="1"/>
  <c r="X1134" i="1"/>
  <c r="O112" i="1"/>
  <c r="P112" i="1" s="1"/>
  <c r="U113" i="1"/>
  <c r="V113" i="1" s="1"/>
  <c r="W895" i="1"/>
  <c r="X895" i="1" s="1"/>
  <c r="X1148" i="1"/>
  <c r="O285" i="1"/>
  <c r="P285" i="1" s="1"/>
  <c r="O297" i="1"/>
  <c r="P297" i="1" s="1"/>
  <c r="O323" i="1"/>
  <c r="P323" i="1" s="1"/>
  <c r="V327" i="1"/>
  <c r="O349" i="1"/>
  <c r="P349" i="1" s="1"/>
  <c r="U468" i="1"/>
  <c r="V468" i="1" s="1"/>
  <c r="O891" i="1"/>
  <c r="P891" i="1" s="1"/>
  <c r="O1156" i="1"/>
  <c r="P1156" i="1" s="1"/>
  <c r="X484" i="1"/>
  <c r="X559" i="1"/>
  <c r="X888" i="1"/>
  <c r="X273" i="1"/>
  <c r="X860" i="1"/>
  <c r="X284" i="1"/>
  <c r="X183" i="1"/>
  <c r="X1140" i="1"/>
  <c r="X808" i="1"/>
  <c r="X320" i="1"/>
  <c r="X229" i="1"/>
  <c r="X584" i="1"/>
  <c r="W406" i="1"/>
  <c r="X406" i="1" s="1"/>
  <c r="X957" i="1"/>
  <c r="X264" i="1"/>
  <c r="X373" i="1"/>
  <c r="P928" i="1"/>
  <c r="X1054" i="1"/>
  <c r="X819" i="1"/>
  <c r="X631" i="1"/>
  <c r="X992" i="1"/>
  <c r="X279" i="1"/>
  <c r="X411" i="1"/>
  <c r="X31" i="1"/>
  <c r="X598" i="1"/>
  <c r="X112" i="1"/>
  <c r="X1112" i="1"/>
  <c r="X68" i="1"/>
  <c r="X19" i="1"/>
  <c r="X649" i="1"/>
  <c r="X627" i="1"/>
  <c r="W1041" i="1"/>
  <c r="X1041" i="1" s="1"/>
  <c r="W329" i="1"/>
  <c r="X329" i="1" s="1"/>
  <c r="X55" i="1"/>
  <c r="X916" i="1"/>
  <c r="V502" i="1"/>
  <c r="X362" i="1"/>
  <c r="X759" i="1"/>
  <c r="X1118" i="1"/>
  <c r="X57" i="1"/>
  <c r="X997" i="1"/>
  <c r="X988" i="1"/>
  <c r="X500" i="1"/>
  <c r="X828" i="1"/>
  <c r="X213" i="1"/>
  <c r="X201" i="1"/>
  <c r="X570" i="1"/>
  <c r="X1125" i="1"/>
  <c r="X1152" i="1"/>
  <c r="X565" i="1"/>
  <c r="X437" i="1"/>
  <c r="X368" i="1"/>
  <c r="X330" i="1"/>
  <c r="X1003" i="1"/>
  <c r="X619" i="1"/>
  <c r="X392" i="1"/>
  <c r="X100" i="1"/>
  <c r="W676" i="1"/>
  <c r="X676" i="1" s="1"/>
  <c r="X405" i="1"/>
  <c r="V363" i="1"/>
  <c r="W514" i="1"/>
  <c r="X514" i="1" s="1"/>
  <c r="X899" i="1"/>
  <c r="X1132" i="1"/>
  <c r="W618" i="1"/>
  <c r="X618" i="1" s="1"/>
  <c r="W1015" i="1"/>
  <c r="X1015" i="1" s="1"/>
  <c r="W1071" i="1"/>
  <c r="X1071" i="1" s="1"/>
  <c r="W893" i="1"/>
  <c r="X893" i="1" s="1"/>
  <c r="W848" i="1"/>
  <c r="X848" i="1" s="1"/>
  <c r="W664" i="1"/>
  <c r="X664" i="1" s="1"/>
  <c r="W400" i="1"/>
  <c r="X400" i="1" s="1"/>
  <c r="X25" i="1"/>
  <c r="X952" i="1"/>
  <c r="X71" i="1"/>
  <c r="X803" i="1"/>
  <c r="X1093" i="1"/>
  <c r="O371" i="1"/>
  <c r="P371" i="1" s="1"/>
  <c r="W960" i="1"/>
  <c r="X960" i="1" s="1"/>
  <c r="W427" i="1"/>
  <c r="X427" i="1" s="1"/>
  <c r="W896" i="1"/>
  <c r="X896" i="1" s="1"/>
  <c r="U365" i="1"/>
  <c r="V365" i="1" s="1"/>
  <c r="X875" i="1"/>
  <c r="W718" i="1"/>
  <c r="X718" i="1" s="1"/>
  <c r="W839" i="1"/>
  <c r="X839" i="1" s="1"/>
  <c r="W506" i="1"/>
  <c r="X506" i="1" s="1"/>
  <c r="W32" i="1"/>
  <c r="X32" i="1" s="1"/>
  <c r="X182" i="1"/>
  <c r="W809" i="1"/>
  <c r="X809" i="1" s="1"/>
  <c r="X625" i="1"/>
  <c r="W129" i="1"/>
  <c r="X129" i="1" s="1"/>
  <c r="X1155" i="1"/>
  <c r="W737" i="1"/>
  <c r="X737" i="1" s="1"/>
  <c r="W146" i="1"/>
  <c r="X146" i="1" s="1"/>
  <c r="O38" i="1"/>
  <c r="P38" i="1" s="1"/>
  <c r="O41" i="1"/>
  <c r="P41" i="1" s="1"/>
  <c r="O43" i="1"/>
  <c r="P43" i="1" s="1"/>
  <c r="O55" i="1"/>
  <c r="P55" i="1" s="1"/>
  <c r="O62" i="1"/>
  <c r="P62" i="1" s="1"/>
  <c r="P79" i="1"/>
  <c r="O85" i="1"/>
  <c r="P85" i="1" s="1"/>
  <c r="U92" i="1"/>
  <c r="V92" i="1" s="1"/>
  <c r="O102" i="1"/>
  <c r="P102" i="1" s="1"/>
  <c r="P280" i="1"/>
  <c r="O296" i="1"/>
  <c r="P296" i="1" s="1"/>
  <c r="O315" i="1"/>
  <c r="P315" i="1" s="1"/>
  <c r="U430" i="1"/>
  <c r="V430" i="1" s="1"/>
  <c r="O490" i="1"/>
  <c r="P490" i="1" s="1"/>
  <c r="O724" i="1"/>
  <c r="P724" i="1" s="1"/>
  <c r="W1040" i="1"/>
  <c r="X1040" i="1" s="1"/>
  <c r="X24" i="1"/>
  <c r="O153" i="1"/>
  <c r="P153" i="1" s="1"/>
  <c r="O163" i="1"/>
  <c r="P163" i="1" s="1"/>
  <c r="W189" i="1"/>
  <c r="X189" i="1" s="1"/>
  <c r="U222" i="1"/>
  <c r="V222" i="1" s="1"/>
  <c r="O231" i="1"/>
  <c r="P231" i="1" s="1"/>
  <c r="P252" i="1"/>
  <c r="U255" i="1"/>
  <c r="V255" i="1" s="1"/>
  <c r="O314" i="1"/>
  <c r="P314" i="1" s="1"/>
  <c r="P517" i="1"/>
  <c r="U557" i="1"/>
  <c r="V557" i="1" s="1"/>
  <c r="U603" i="1"/>
  <c r="V603" i="1" s="1"/>
  <c r="P610" i="1"/>
  <c r="O613" i="1"/>
  <c r="P613" i="1" s="1"/>
  <c r="W614" i="1"/>
  <c r="X614" i="1" s="1"/>
  <c r="O616" i="1"/>
  <c r="P616" i="1" s="1"/>
  <c r="P619" i="1"/>
  <c r="U634" i="1"/>
  <c r="V634" i="1" s="1"/>
  <c r="U638" i="1"/>
  <c r="V638" i="1" s="1"/>
  <c r="O640" i="1"/>
  <c r="P640" i="1" s="1"/>
  <c r="P648" i="1"/>
  <c r="P652" i="1"/>
  <c r="O948" i="1"/>
  <c r="P948" i="1" s="1"/>
  <c r="O1011" i="1"/>
  <c r="P1011" i="1" s="1"/>
  <c r="X1034" i="1"/>
  <c r="U1037" i="1"/>
  <c r="V1037" i="1" s="1"/>
  <c r="W16" i="1"/>
  <c r="X16" i="1" s="1"/>
  <c r="W1069" i="1"/>
  <c r="X1069" i="1" s="1"/>
  <c r="X908" i="1"/>
  <c r="O128" i="1"/>
  <c r="P128" i="1" s="1"/>
  <c r="U136" i="1"/>
  <c r="V136" i="1" s="1"/>
  <c r="O146" i="1"/>
  <c r="P146" i="1" s="1"/>
  <c r="O152" i="1"/>
  <c r="P152" i="1" s="1"/>
  <c r="O167" i="1"/>
  <c r="P167" i="1" s="1"/>
  <c r="O310" i="1"/>
  <c r="P310" i="1" s="1"/>
  <c r="X295" i="1"/>
  <c r="P27" i="1"/>
  <c r="U51" i="1"/>
  <c r="V51" i="1" s="1"/>
  <c r="U85" i="1"/>
  <c r="V85" i="1" s="1"/>
  <c r="U95" i="1"/>
  <c r="V95" i="1" s="1"/>
  <c r="V96" i="1"/>
  <c r="V99" i="1"/>
  <c r="P107" i="1"/>
  <c r="P219" i="1"/>
  <c r="P232" i="1"/>
  <c r="U248" i="1"/>
  <c r="V248" i="1" s="1"/>
  <c r="V252" i="1"/>
  <c r="O254" i="1"/>
  <c r="P254" i="1" s="1"/>
  <c r="O256" i="1"/>
  <c r="P256" i="1" s="1"/>
  <c r="V278" i="1"/>
  <c r="U282" i="1"/>
  <c r="V282" i="1" s="1"/>
  <c r="U307" i="1"/>
  <c r="V307" i="1" s="1"/>
  <c r="P338" i="1"/>
  <c r="U349" i="1"/>
  <c r="V349" i="1" s="1"/>
  <c r="U354" i="1"/>
  <c r="V354" i="1" s="1"/>
  <c r="V364" i="1"/>
  <c r="O366" i="1"/>
  <c r="P366" i="1" s="1"/>
  <c r="U377" i="1"/>
  <c r="V377" i="1" s="1"/>
  <c r="O385" i="1"/>
  <c r="P385" i="1" s="1"/>
  <c r="U394" i="1"/>
  <c r="V394" i="1" s="1"/>
  <c r="O399" i="1"/>
  <c r="P399" i="1" s="1"/>
  <c r="O413" i="1"/>
  <c r="P413" i="1" s="1"/>
  <c r="V419" i="1"/>
  <c r="P425" i="1"/>
  <c r="O429" i="1"/>
  <c r="P429" i="1" s="1"/>
  <c r="O479" i="1"/>
  <c r="P479" i="1" s="1"/>
  <c r="U488" i="1"/>
  <c r="V488" i="1" s="1"/>
  <c r="P493" i="1"/>
  <c r="O540" i="1"/>
  <c r="P540" i="1" s="1"/>
  <c r="O551" i="1"/>
  <c r="P551" i="1" s="1"/>
  <c r="U556" i="1"/>
  <c r="V556" i="1" s="1"/>
  <c r="P566" i="1"/>
  <c r="O571" i="1"/>
  <c r="P571" i="1" s="1"/>
  <c r="U572" i="1"/>
  <c r="V572" i="1" s="1"/>
  <c r="W597" i="1"/>
  <c r="X597" i="1" s="1"/>
  <c r="O602" i="1"/>
  <c r="P602" i="1" s="1"/>
  <c r="P612" i="1"/>
  <c r="O715" i="1"/>
  <c r="P715" i="1" s="1"/>
  <c r="P717" i="1"/>
  <c r="O721" i="1"/>
  <c r="P721" i="1" s="1"/>
  <c r="U722" i="1"/>
  <c r="V722" i="1" s="1"/>
  <c r="O761" i="1"/>
  <c r="P761" i="1" s="1"/>
  <c r="U765" i="1"/>
  <c r="V765" i="1" s="1"/>
  <c r="O821" i="1"/>
  <c r="P821" i="1" s="1"/>
  <c r="P825" i="1"/>
  <c r="O835" i="1"/>
  <c r="P835" i="1" s="1"/>
  <c r="P847" i="1"/>
  <c r="O857" i="1"/>
  <c r="P857" i="1" s="1"/>
  <c r="U867" i="1"/>
  <c r="V867" i="1" s="1"/>
  <c r="U926" i="1"/>
  <c r="V926" i="1" s="1"/>
  <c r="U929" i="1"/>
  <c r="V929" i="1" s="1"/>
  <c r="O934" i="1"/>
  <c r="P934" i="1" s="1"/>
  <c r="O1006" i="1"/>
  <c r="P1006" i="1" s="1"/>
  <c r="O1008" i="1"/>
  <c r="P1008" i="1" s="1"/>
  <c r="W635" i="1"/>
  <c r="X635" i="1" s="1"/>
  <c r="W1147" i="1"/>
  <c r="X1147" i="1" s="1"/>
  <c r="W1090" i="1"/>
  <c r="X1090" i="1" s="1"/>
  <c r="X577" i="1"/>
  <c r="P26" i="1"/>
  <c r="V50" i="1"/>
  <c r="O64" i="1"/>
  <c r="P64" i="1" s="1"/>
  <c r="U75" i="1"/>
  <c r="V75" i="1" s="1"/>
  <c r="U124" i="1"/>
  <c r="V124" i="1" s="1"/>
  <c r="U154" i="1"/>
  <c r="V154" i="1" s="1"/>
  <c r="X170" i="1"/>
  <c r="O173" i="1"/>
  <c r="P173" i="1" s="1"/>
  <c r="U187" i="1"/>
  <c r="V187" i="1" s="1"/>
  <c r="O206" i="1"/>
  <c r="P206" i="1" s="1"/>
  <c r="U212" i="1"/>
  <c r="V212" i="1" s="1"/>
  <c r="P220" i="1"/>
  <c r="P222" i="1"/>
  <c r="U244" i="1"/>
  <c r="V244" i="1" s="1"/>
  <c r="O299" i="1"/>
  <c r="P299" i="1" s="1"/>
  <c r="U306" i="1"/>
  <c r="V306" i="1" s="1"/>
  <c r="O337" i="1"/>
  <c r="P337" i="1" s="1"/>
  <c r="O347" i="1"/>
  <c r="P347" i="1" s="1"/>
  <c r="V386" i="1"/>
  <c r="O392" i="1"/>
  <c r="P392" i="1" s="1"/>
  <c r="P396" i="1"/>
  <c r="O452" i="1"/>
  <c r="P452" i="1" s="1"/>
  <c r="U462" i="1"/>
  <c r="V462" i="1" s="1"/>
  <c r="O464" i="1"/>
  <c r="P464" i="1" s="1"/>
  <c r="P467" i="1"/>
  <c r="P468" i="1"/>
  <c r="U481" i="1"/>
  <c r="V481" i="1" s="1"/>
  <c r="P489" i="1"/>
  <c r="O522" i="1"/>
  <c r="P522" i="1" s="1"/>
  <c r="P531" i="1"/>
  <c r="P536" i="1"/>
  <c r="O550" i="1"/>
  <c r="P550" i="1" s="1"/>
  <c r="O561" i="1"/>
  <c r="P561" i="1" s="1"/>
  <c r="O563" i="1"/>
  <c r="P563" i="1" s="1"/>
  <c r="O575" i="1"/>
  <c r="P575" i="1" s="1"/>
  <c r="O578" i="1"/>
  <c r="P578" i="1" s="1"/>
  <c r="U580" i="1"/>
  <c r="V580" i="1" s="1"/>
  <c r="O583" i="1"/>
  <c r="P583" i="1" s="1"/>
  <c r="U594" i="1"/>
  <c r="V594" i="1" s="1"/>
  <c r="O668" i="1"/>
  <c r="P668" i="1" s="1"/>
  <c r="O687" i="1"/>
  <c r="P687" i="1" s="1"/>
  <c r="O714" i="1"/>
  <c r="P714" i="1" s="1"/>
  <c r="O726" i="1"/>
  <c r="P726" i="1" s="1"/>
  <c r="U730" i="1"/>
  <c r="V730" i="1" s="1"/>
  <c r="P736" i="1"/>
  <c r="O754" i="1"/>
  <c r="P754" i="1" s="1"/>
  <c r="O800" i="1"/>
  <c r="P800" i="1" s="1"/>
  <c r="O807" i="1"/>
  <c r="P807" i="1" s="1"/>
  <c r="V822" i="1"/>
  <c r="O842" i="1"/>
  <c r="P842" i="1" s="1"/>
  <c r="U844" i="1"/>
  <c r="V844" i="1" s="1"/>
  <c r="P849" i="1"/>
  <c r="O863" i="1"/>
  <c r="P863" i="1" s="1"/>
  <c r="P895" i="1"/>
  <c r="U909" i="1"/>
  <c r="V909" i="1" s="1"/>
  <c r="P930" i="1"/>
  <c r="P980" i="1"/>
  <c r="U1021" i="1"/>
  <c r="V1021" i="1" s="1"/>
  <c r="W341" i="1"/>
  <c r="X341" i="1" s="1"/>
  <c r="X534" i="1"/>
  <c r="V39" i="1"/>
  <c r="O59" i="1"/>
  <c r="P59" i="1" s="1"/>
  <c r="V69" i="1"/>
  <c r="U115" i="1"/>
  <c r="V115" i="1" s="1"/>
  <c r="U118" i="1"/>
  <c r="V118" i="1" s="1"/>
  <c r="V123" i="1"/>
  <c r="V168" i="1"/>
  <c r="X172" i="1"/>
  <c r="O203" i="1"/>
  <c r="P203" i="1" s="1"/>
  <c r="U232" i="1"/>
  <c r="V232" i="1" s="1"/>
  <c r="P245" i="1"/>
  <c r="O261" i="1"/>
  <c r="P261" i="1" s="1"/>
  <c r="U291" i="1"/>
  <c r="V291" i="1" s="1"/>
  <c r="U294" i="1"/>
  <c r="V294" i="1" s="1"/>
  <c r="P307" i="1"/>
  <c r="U316" i="1"/>
  <c r="V316" i="1" s="1"/>
  <c r="O331" i="1"/>
  <c r="P331" i="1" s="1"/>
  <c r="O375" i="1"/>
  <c r="P375" i="1" s="1"/>
  <c r="O405" i="1"/>
  <c r="P405" i="1" s="1"/>
  <c r="U435" i="1"/>
  <c r="V435" i="1" s="1"/>
  <c r="V443" i="1"/>
  <c r="U449" i="1"/>
  <c r="V449" i="1" s="1"/>
  <c r="O451" i="1"/>
  <c r="P451" i="1" s="1"/>
  <c r="U479" i="1"/>
  <c r="V479" i="1" s="1"/>
  <c r="U499" i="1"/>
  <c r="V499" i="1" s="1"/>
  <c r="P504" i="1"/>
  <c r="O509" i="1"/>
  <c r="P509" i="1" s="1"/>
  <c r="U519" i="1"/>
  <c r="V519" i="1" s="1"/>
  <c r="U524" i="1"/>
  <c r="V524" i="1" s="1"/>
  <c r="P527" i="1"/>
  <c r="O535" i="1"/>
  <c r="P535" i="1" s="1"/>
  <c r="O560" i="1"/>
  <c r="P560" i="1" s="1"/>
  <c r="U626" i="1"/>
  <c r="V626" i="1" s="1"/>
  <c r="U651" i="1"/>
  <c r="V651" i="1" s="1"/>
  <c r="U681" i="1"/>
  <c r="V681" i="1" s="1"/>
  <c r="O708" i="1"/>
  <c r="P708" i="1" s="1"/>
  <c r="O725" i="1"/>
  <c r="P725" i="1" s="1"/>
  <c r="O790" i="1"/>
  <c r="P790" i="1" s="1"/>
  <c r="V797" i="1"/>
  <c r="V970" i="1"/>
  <c r="O972" i="1"/>
  <c r="P972" i="1" s="1"/>
  <c r="U1013" i="1"/>
  <c r="V1013" i="1" s="1"/>
  <c r="O1017" i="1"/>
  <c r="P1017" i="1" s="1"/>
  <c r="X1050" i="1"/>
  <c r="P22" i="1"/>
  <c r="P34" i="1"/>
  <c r="P35" i="1"/>
  <c r="V42" i="1"/>
  <c r="V44" i="1"/>
  <c r="O61" i="1"/>
  <c r="P61" i="1" s="1"/>
  <c r="O86" i="1"/>
  <c r="P86" i="1" s="1"/>
  <c r="P115" i="1"/>
  <c r="V149" i="1"/>
  <c r="P176" i="1"/>
  <c r="U184" i="1"/>
  <c r="V184" i="1" s="1"/>
  <c r="O253" i="1"/>
  <c r="P253" i="1" s="1"/>
  <c r="U261" i="1"/>
  <c r="V261" i="1" s="1"/>
  <c r="W287" i="1"/>
  <c r="X287" i="1" s="1"/>
  <c r="P288" i="1"/>
  <c r="P320" i="1"/>
  <c r="O332" i="1"/>
  <c r="P332" i="1" s="1"/>
  <c r="P352" i="1"/>
  <c r="P361" i="1"/>
  <c r="P384" i="1"/>
  <c r="V388" i="1"/>
  <c r="V446" i="1"/>
  <c r="U460" i="1"/>
  <c r="V460" i="1" s="1"/>
  <c r="O523" i="1"/>
  <c r="P523" i="1" s="1"/>
  <c r="U551" i="1"/>
  <c r="V551" i="1" s="1"/>
  <c r="P555" i="1"/>
  <c r="V575" i="1"/>
  <c r="P577" i="1"/>
  <c r="U579" i="1"/>
  <c r="V579" i="1" s="1"/>
  <c r="P651" i="1"/>
  <c r="U698" i="1"/>
  <c r="V698" i="1" s="1"/>
  <c r="P707" i="1"/>
  <c r="V793" i="1"/>
  <c r="O859" i="1"/>
  <c r="P859" i="1" s="1"/>
  <c r="P861" i="1"/>
  <c r="U879" i="1"/>
  <c r="V879" i="1" s="1"/>
  <c r="V882" i="1"/>
  <c r="U924" i="1"/>
  <c r="V924" i="1" s="1"/>
  <c r="V925" i="1"/>
  <c r="U943" i="1"/>
  <c r="V943" i="1" s="1"/>
  <c r="O953" i="1"/>
  <c r="P953" i="1" s="1"/>
  <c r="P971" i="1"/>
  <c r="U975" i="1"/>
  <c r="V975" i="1" s="1"/>
  <c r="O1001" i="1"/>
  <c r="P1001" i="1" s="1"/>
  <c r="V1002" i="1"/>
  <c r="V37" i="1"/>
  <c r="P44" i="1"/>
  <c r="P47" i="1"/>
  <c r="P65" i="1"/>
  <c r="V84" i="1"/>
  <c r="V111" i="1"/>
  <c r="V121" i="1"/>
  <c r="P133" i="1"/>
  <c r="U171" i="1"/>
  <c r="V171" i="1" s="1"/>
  <c r="P190" i="1"/>
  <c r="V236" i="1"/>
  <c r="P339" i="1"/>
  <c r="V432" i="1"/>
  <c r="P435" i="1"/>
  <c r="O476" i="1"/>
  <c r="P476" i="1" s="1"/>
  <c r="P484" i="1"/>
  <c r="W517" i="1"/>
  <c r="X517" i="1" s="1"/>
  <c r="V553" i="1"/>
  <c r="O597" i="1"/>
  <c r="P597" i="1" s="1"/>
  <c r="U679" i="1"/>
  <c r="V679" i="1" s="1"/>
  <c r="P689" i="1"/>
  <c r="V710" i="1"/>
  <c r="O747" i="1"/>
  <c r="P747" i="1" s="1"/>
  <c r="V750" i="1"/>
  <c r="P780" i="1"/>
  <c r="O817" i="1"/>
  <c r="P817" i="1" s="1"/>
  <c r="P819" i="1"/>
  <c r="O873" i="1"/>
  <c r="P873" i="1" s="1"/>
  <c r="P918" i="1"/>
  <c r="O931" i="1"/>
  <c r="P931" i="1" s="1"/>
  <c r="P944" i="1"/>
  <c r="U1010" i="1"/>
  <c r="V1010" i="1" s="1"/>
  <c r="P444" i="1"/>
  <c r="O510" i="1"/>
  <c r="P510" i="1" s="1"/>
  <c r="O595" i="1"/>
  <c r="P595" i="1" s="1"/>
  <c r="U596" i="1"/>
  <c r="V596" i="1" s="1"/>
  <c r="V636" i="1"/>
  <c r="P704" i="1"/>
  <c r="U746" i="1"/>
  <c r="V746" i="1" s="1"/>
  <c r="V760" i="1"/>
  <c r="P806" i="1"/>
  <c r="O827" i="1"/>
  <c r="P827" i="1" s="1"/>
  <c r="O851" i="1"/>
  <c r="P851" i="1" s="1"/>
  <c r="U862" i="1"/>
  <c r="V862" i="1" s="1"/>
  <c r="V892" i="1"/>
  <c r="U968" i="1"/>
  <c r="V968" i="1" s="1"/>
  <c r="O1014" i="1"/>
  <c r="P1014" i="1" s="1"/>
  <c r="V423" i="1"/>
  <c r="V476" i="1"/>
  <c r="V582" i="1"/>
  <c r="P625" i="1"/>
  <c r="V688" i="1"/>
  <c r="U706" i="1"/>
  <c r="V706" i="1" s="1"/>
  <c r="P743" i="1"/>
  <c r="P762" i="1"/>
  <c r="V785" i="1"/>
  <c r="U835" i="1"/>
  <c r="V835" i="1" s="1"/>
  <c r="U857" i="1"/>
  <c r="V857" i="1" s="1"/>
  <c r="U876" i="1"/>
  <c r="V876" i="1" s="1"/>
  <c r="U913" i="1"/>
  <c r="V913" i="1" s="1"/>
  <c r="P924" i="1"/>
  <c r="V941" i="1"/>
  <c r="V964" i="1"/>
  <c r="P995" i="1"/>
  <c r="P1000" i="1"/>
  <c r="U1017" i="1"/>
  <c r="V1017" i="1" s="1"/>
  <c r="V1018" i="1"/>
  <c r="U1139" i="1"/>
  <c r="V1139" i="1" s="1"/>
  <c r="U1156" i="1"/>
  <c r="V1156" i="1" s="1"/>
  <c r="O1159" i="1"/>
  <c r="P1159" i="1" s="1"/>
  <c r="V1088" i="1"/>
  <c r="V1106" i="1"/>
  <c r="P1061" i="1"/>
  <c r="O1107" i="1"/>
  <c r="P1107" i="1" s="1"/>
  <c r="V1070" i="1"/>
  <c r="V1123" i="1"/>
  <c r="V1137" i="1"/>
  <c r="X1026" i="1" l="1"/>
  <c r="X931" i="1"/>
  <c r="U5" i="1"/>
  <c r="X1016" i="1"/>
  <c r="X159" i="1"/>
  <c r="X3348" i="1"/>
  <c r="X93" i="1"/>
  <c r="X751" i="1"/>
  <c r="X351" i="1"/>
  <c r="X868" i="1"/>
  <c r="X1158" i="1"/>
  <c r="X630" i="1"/>
  <c r="X162" i="1"/>
  <c r="X266" i="1"/>
  <c r="X564" i="1"/>
  <c r="X3003" i="1"/>
  <c r="X938" i="1"/>
  <c r="X978" i="1"/>
  <c r="X290" i="1"/>
  <c r="X169" i="1"/>
  <c r="X153" i="1"/>
  <c r="X3533" i="1"/>
  <c r="X3316" i="1"/>
  <c r="X199" i="1"/>
  <c r="X3118" i="1"/>
  <c r="X1405" i="1"/>
  <c r="X1178" i="1"/>
  <c r="X1731" i="1"/>
  <c r="X1283" i="1"/>
  <c r="X1711" i="1"/>
  <c r="X1688" i="1"/>
  <c r="X1437" i="1"/>
  <c r="X1373" i="1"/>
  <c r="X1695" i="1"/>
  <c r="X1153" i="1"/>
  <c r="X1747" i="1"/>
  <c r="X624" i="1"/>
  <c r="X64" i="1"/>
  <c r="X610" i="1"/>
  <c r="X375" i="1"/>
  <c r="X977" i="1"/>
  <c r="X389" i="1"/>
  <c r="X41" i="1"/>
  <c r="X1082" i="1"/>
  <c r="X782" i="1"/>
  <c r="X3553" i="1"/>
  <c r="X3529" i="1"/>
  <c r="X979" i="1"/>
  <c r="X3312" i="1"/>
  <c r="X3110" i="1"/>
  <c r="X492" i="1"/>
  <c r="X348" i="1"/>
  <c r="X749" i="1"/>
  <c r="X1127" i="1"/>
  <c r="X927" i="1"/>
  <c r="X366" i="1"/>
  <c r="X735" i="1"/>
  <c r="X208" i="1"/>
  <c r="X516" i="1"/>
  <c r="X3394" i="1"/>
  <c r="X3130" i="1"/>
  <c r="X301" i="1"/>
  <c r="X3545" i="1"/>
  <c r="X3150" i="1"/>
  <c r="X3162" i="1"/>
  <c r="X1759" i="1"/>
  <c r="X932" i="1"/>
  <c r="X3561" i="1"/>
  <c r="X3225" i="1"/>
  <c r="X196" i="1"/>
  <c r="X802" i="1"/>
  <c r="W14" i="1"/>
  <c r="X14" i="1" s="1"/>
  <c r="W11" i="1"/>
  <c r="X11" i="1" s="1"/>
  <c r="V10" i="1"/>
  <c r="V5" i="1" s="1"/>
  <c r="X920" i="1"/>
  <c r="X632" i="1"/>
  <c r="X700" i="1"/>
  <c r="X987" i="1"/>
  <c r="X3380" i="1"/>
  <c r="X3146" i="1"/>
  <c r="X1052" i="1"/>
  <c r="W2967" i="1"/>
  <c r="X2967" i="1" s="1"/>
  <c r="X843" i="1"/>
  <c r="X3284" i="1"/>
  <c r="X1683" i="1"/>
  <c r="X699" i="1"/>
  <c r="X934" i="1"/>
  <c r="X1122" i="1"/>
  <c r="X1096" i="1"/>
  <c r="X3356" i="1"/>
  <c r="X67" i="1"/>
  <c r="X3398" i="1"/>
  <c r="W1036" i="1"/>
  <c r="X1036" i="1" s="1"/>
  <c r="W1186" i="1"/>
  <c r="X1186" i="1" s="1"/>
  <c r="W1124" i="1"/>
  <c r="X1124" i="1" s="1"/>
  <c r="W684" i="1"/>
  <c r="X684" i="1" s="1"/>
  <c r="X774" i="1"/>
  <c r="X325" i="1"/>
  <c r="X3525" i="1"/>
  <c r="X3452" i="1"/>
  <c r="X1263" i="1"/>
  <c r="X352" i="1"/>
  <c r="X1169" i="1"/>
  <c r="X3521" i="1"/>
  <c r="X1930" i="1"/>
  <c r="X1555" i="1"/>
  <c r="X1219" i="1"/>
  <c r="X675" i="1"/>
  <c r="X628" i="1"/>
  <c r="X3214" i="1"/>
  <c r="X2987" i="1"/>
  <c r="X1619" i="1"/>
  <c r="X1327" i="1"/>
  <c r="X654" i="1"/>
  <c r="W323" i="1"/>
  <c r="X323" i="1" s="1"/>
  <c r="W61" i="1"/>
  <c r="X61" i="1" s="1"/>
  <c r="W174" i="1"/>
  <c r="X174" i="1" s="1"/>
  <c r="W412" i="1"/>
  <c r="X412" i="1" s="1"/>
  <c r="W914" i="1"/>
  <c r="X914" i="1" s="1"/>
  <c r="W141" i="1"/>
  <c r="X141" i="1" s="1"/>
  <c r="W308" i="1"/>
  <c r="X308" i="1" s="1"/>
  <c r="X617" i="1"/>
  <c r="X385" i="1"/>
  <c r="X410" i="1"/>
  <c r="X939" i="1"/>
  <c r="X73" i="1"/>
  <c r="X3471" i="1"/>
  <c r="X3360" i="1"/>
  <c r="W1163" i="1"/>
  <c r="X1163" i="1" s="1"/>
  <c r="X645" i="1"/>
  <c r="X270" i="1"/>
  <c r="X1035" i="1"/>
  <c r="X3541" i="1"/>
  <c r="X3468" i="1"/>
  <c r="X1829" i="1"/>
  <c r="X3559" i="1"/>
  <c r="X770" i="1"/>
  <c r="X281" i="1"/>
  <c r="X47" i="1"/>
  <c r="X604" i="1"/>
  <c r="X3292" i="1"/>
  <c r="X3209" i="1"/>
  <c r="W456" i="1"/>
  <c r="X456" i="1" s="1"/>
  <c r="W912" i="1"/>
  <c r="X912" i="1" s="1"/>
  <c r="W310" i="1"/>
  <c r="X310" i="1" s="1"/>
  <c r="W1100" i="1"/>
  <c r="X1100" i="1" s="1"/>
  <c r="X1078" i="1"/>
  <c r="X3280" i="1"/>
  <c r="X3222" i="1"/>
  <c r="X3206" i="1"/>
  <c r="X790" i="1"/>
  <c r="X142" i="1"/>
  <c r="X2971" i="1"/>
  <c r="W3035" i="1"/>
  <c r="X3035" i="1" s="1"/>
  <c r="X1635" i="1"/>
  <c r="X1571" i="1"/>
  <c r="X1507" i="1"/>
  <c r="X1491" i="1"/>
  <c r="X1808" i="1"/>
  <c r="X1623" i="1"/>
  <c r="W219" i="1"/>
  <c r="X219" i="1" s="1"/>
  <c r="X869" i="1"/>
  <c r="X1138" i="1"/>
  <c r="X198" i="1"/>
  <c r="X317" i="1"/>
  <c r="X736" i="1"/>
  <c r="X677" i="1"/>
  <c r="X615" i="1"/>
  <c r="X3372" i="1"/>
  <c r="X3166" i="1"/>
  <c r="X2699" i="1"/>
  <c r="X1479" i="1"/>
  <c r="X1743" i="1"/>
  <c r="X1098" i="1"/>
  <c r="X766" i="1"/>
  <c r="W3102" i="1"/>
  <c r="X3102" i="1" s="1"/>
  <c r="W714" i="1"/>
  <c r="X714" i="1" s="1"/>
  <c r="W2995" i="1"/>
  <c r="X2995" i="1" s="1"/>
  <c r="W404" i="1"/>
  <c r="X404" i="1" s="1"/>
  <c r="W455" i="1"/>
  <c r="X455" i="1" s="1"/>
  <c r="W856" i="1"/>
  <c r="X856" i="1" s="1"/>
  <c r="X799" i="1"/>
  <c r="X1231" i="1"/>
  <c r="X209" i="1"/>
  <c r="X504" i="1"/>
  <c r="X3406" i="1"/>
  <c r="X3134" i="1"/>
  <c r="X3113" i="1"/>
  <c r="X1715" i="1"/>
  <c r="X890" i="1"/>
  <c r="X907" i="1"/>
  <c r="X417" i="1"/>
  <c r="X3557" i="1"/>
  <c r="X3364" i="1"/>
  <c r="X155" i="1"/>
  <c r="X181" i="1"/>
  <c r="W1160" i="1"/>
  <c r="X1160" i="1" s="1"/>
  <c r="W245" i="1"/>
  <c r="X245" i="1" s="1"/>
  <c r="W1599" i="1"/>
  <c r="X1599" i="1" s="1"/>
  <c r="X2717" i="1"/>
  <c r="X2979" i="1"/>
  <c r="X1335" i="1"/>
  <c r="X1663" i="1"/>
  <c r="X1615" i="1"/>
  <c r="W1331" i="1"/>
  <c r="X1331" i="1" s="1"/>
  <c r="W1311" i="1"/>
  <c r="X1311" i="1" s="1"/>
  <c r="W1267" i="1"/>
  <c r="X1267" i="1" s="1"/>
  <c r="W1247" i="1"/>
  <c r="X1247" i="1" s="1"/>
  <c r="W1203" i="1"/>
  <c r="X1203" i="1" s="1"/>
  <c r="W671" i="1"/>
  <c r="X671" i="1" s="1"/>
  <c r="W1126" i="1"/>
  <c r="X1126" i="1" s="1"/>
  <c r="W1781" i="1"/>
  <c r="X1781" i="1" s="1"/>
  <c r="W1205" i="1"/>
  <c r="X1205" i="1" s="1"/>
  <c r="X312" i="1"/>
  <c r="X3455" i="1"/>
  <c r="X1051" i="1"/>
  <c r="X1144" i="1"/>
  <c r="X3439" i="1"/>
  <c r="W1185" i="1"/>
  <c r="X1185" i="1" s="1"/>
  <c r="W2440" i="1"/>
  <c r="X2440" i="1" s="1"/>
  <c r="W2320" i="1"/>
  <c r="X2320" i="1" s="1"/>
  <c r="W1719" i="1"/>
  <c r="X1719" i="1" s="1"/>
  <c r="X1560" i="1"/>
  <c r="W1699" i="1"/>
  <c r="X1699" i="1" s="1"/>
  <c r="W1647" i="1"/>
  <c r="X1647" i="1" s="1"/>
  <c r="W1583" i="1"/>
  <c r="X1583" i="1" s="1"/>
  <c r="X3537" i="1"/>
  <c r="X133" i="1"/>
  <c r="X3296" i="1"/>
  <c r="W1763" i="1"/>
  <c r="X1763" i="1" s="1"/>
  <c r="W1902" i="1"/>
  <c r="X1902" i="1" s="1"/>
  <c r="W1869" i="1"/>
  <c r="X1869" i="1" s="1"/>
  <c r="W1130" i="1"/>
  <c r="X1130" i="1" s="1"/>
  <c r="W1043" i="1"/>
  <c r="X1043" i="1" s="1"/>
  <c r="X247" i="1"/>
  <c r="W422" i="1"/>
  <c r="X422" i="1" s="1"/>
  <c r="W256" i="1"/>
  <c r="X256" i="1" s="1"/>
  <c r="W593" i="1"/>
  <c r="X593" i="1" s="1"/>
  <c r="X3249" i="1"/>
  <c r="W2693" i="1"/>
  <c r="X2693" i="1" s="1"/>
  <c r="W740" i="1"/>
  <c r="X740" i="1" s="1"/>
  <c r="X1320" i="1"/>
  <c r="X1296" i="1"/>
  <c r="W922" i="1"/>
  <c r="X922" i="1" s="1"/>
  <c r="W132" i="1"/>
  <c r="X132" i="1" s="1"/>
  <c r="W36" i="1"/>
  <c r="X36" i="1" s="1"/>
  <c r="W211" i="1"/>
  <c r="X211" i="1" s="1"/>
  <c r="W161" i="1"/>
  <c r="X161" i="1" s="1"/>
  <c r="W724" i="1"/>
  <c r="X724" i="1" s="1"/>
  <c r="W903" i="1"/>
  <c r="X903" i="1" s="1"/>
  <c r="W143" i="1"/>
  <c r="X143" i="1" s="1"/>
  <c r="W811" i="1"/>
  <c r="X811" i="1" s="1"/>
  <c r="W191" i="1"/>
  <c r="X191" i="1" s="1"/>
  <c r="X1429" i="1"/>
  <c r="X3138" i="1"/>
  <c r="W725" i="1"/>
  <c r="X725" i="1" s="1"/>
  <c r="W480" i="1"/>
  <c r="X480" i="1" s="1"/>
  <c r="W1255" i="1"/>
  <c r="X1255" i="1" s="1"/>
  <c r="W3217" i="1"/>
  <c r="X3217" i="1" s="1"/>
  <c r="W1655" i="1"/>
  <c r="X1655" i="1" s="1"/>
  <c r="W1639" i="1"/>
  <c r="X1639" i="1" s="1"/>
  <c r="W1527" i="1"/>
  <c r="X1527" i="1" s="1"/>
  <c r="W1495" i="1"/>
  <c r="X1495" i="1" s="1"/>
  <c r="W1199" i="1"/>
  <c r="X1199" i="1" s="1"/>
  <c r="W1343" i="1"/>
  <c r="X1343" i="1" s="1"/>
  <c r="W3600" i="1"/>
  <c r="X3600" i="1" s="1"/>
  <c r="X2603" i="1"/>
  <c r="X1559" i="1"/>
  <c r="W3368" i="1"/>
  <c r="X3368" i="1" s="1"/>
  <c r="X2849" i="1"/>
  <c r="W3204" i="1"/>
  <c r="X3204" i="1" s="1"/>
  <c r="W1667" i="1"/>
  <c r="X1667" i="1" s="1"/>
  <c r="W1603" i="1"/>
  <c r="X1603" i="1" s="1"/>
  <c r="W1539" i="1"/>
  <c r="X1539" i="1" s="1"/>
  <c r="W1475" i="1"/>
  <c r="X1475" i="1" s="1"/>
  <c r="W1587" i="1"/>
  <c r="X1587" i="1" s="1"/>
  <c r="W1299" i="1"/>
  <c r="X1299" i="1" s="1"/>
  <c r="W1279" i="1"/>
  <c r="X1279" i="1" s="1"/>
  <c r="W1235" i="1"/>
  <c r="X1235" i="1" s="1"/>
  <c r="W1215" i="1"/>
  <c r="X1215" i="1" s="1"/>
  <c r="W1182" i="1"/>
  <c r="X1182" i="1" s="1"/>
  <c r="X3308" i="1"/>
  <c r="X3106" i="1"/>
  <c r="W2208" i="1"/>
  <c r="X2208" i="1" s="1"/>
  <c r="W1703" i="1"/>
  <c r="X1703" i="1" s="1"/>
  <c r="X1503" i="1"/>
  <c r="X1355" i="1"/>
  <c r="W3352" i="1"/>
  <c r="X3352" i="1" s="1"/>
  <c r="W3098" i="1"/>
  <c r="X3098" i="1" s="1"/>
  <c r="W1679" i="1"/>
  <c r="X1679" i="1" s="1"/>
  <c r="W1551" i="1"/>
  <c r="X1551" i="1" s="1"/>
  <c r="W1535" i="1"/>
  <c r="X1535" i="1" s="1"/>
  <c r="W1487" i="1"/>
  <c r="X1487" i="1" s="1"/>
  <c r="W1471" i="1"/>
  <c r="X1471" i="1" s="1"/>
  <c r="W1631" i="1"/>
  <c r="X1631" i="1" s="1"/>
  <c r="W1523" i="1"/>
  <c r="X1523" i="1" s="1"/>
  <c r="W1347" i="1"/>
  <c r="X1347" i="1" s="1"/>
  <c r="X1898" i="1"/>
  <c r="W1287" i="1"/>
  <c r="X1287" i="1" s="1"/>
  <c r="W1591" i="1"/>
  <c r="X1591" i="1" s="1"/>
  <c r="W1511" i="1"/>
  <c r="X1511" i="1" s="1"/>
  <c r="W1651" i="1"/>
  <c r="X1651" i="1" s="1"/>
  <c r="X3376" i="1"/>
  <c r="X3105" i="1"/>
  <c r="X1363" i="1"/>
  <c r="X1223" i="1"/>
  <c r="W3565" i="1"/>
  <c r="X3565" i="1" s="1"/>
  <c r="W3549" i="1"/>
  <c r="X3549" i="1" s="1"/>
  <c r="W3066" i="1"/>
  <c r="X3066" i="1" s="1"/>
  <c r="W2707" i="1"/>
  <c r="X2707" i="1" s="1"/>
  <c r="W1727" i="1"/>
  <c r="X1727" i="1" s="1"/>
  <c r="X1397" i="1"/>
  <c r="W1567" i="1"/>
  <c r="X1567" i="1" s="1"/>
  <c r="W1459" i="1"/>
  <c r="X1459" i="1" s="1"/>
  <c r="W1304" i="1"/>
  <c r="X1304" i="1" s="1"/>
  <c r="W1359" i="1"/>
  <c r="X1359" i="1" s="1"/>
  <c r="W3384" i="1"/>
  <c r="X3384" i="1" s="1"/>
  <c r="W3271" i="1"/>
  <c r="X3271" i="1" s="1"/>
  <c r="X1315" i="1"/>
  <c r="W1275" i="1"/>
  <c r="X1275" i="1" s="1"/>
  <c r="X1251" i="1"/>
  <c r="W1248" i="1"/>
  <c r="X1248" i="1" s="1"/>
  <c r="X1239" i="1"/>
  <c r="X1519" i="1"/>
  <c r="X1455" i="1"/>
  <c r="X1295" i="1"/>
  <c r="W1191" i="1"/>
  <c r="X1191" i="1" s="1"/>
  <c r="W3593" i="1"/>
  <c r="X3593" i="1" s="1"/>
  <c r="W3478" i="1"/>
  <c r="X3478" i="1" s="1"/>
  <c r="W3397" i="1"/>
  <c r="X3397" i="1" s="1"/>
  <c r="W3197" i="1"/>
  <c r="X3197" i="1" s="1"/>
  <c r="W3295" i="1"/>
  <c r="X3295" i="1" s="1"/>
  <c r="W3065" i="1"/>
  <c r="X3065" i="1" s="1"/>
  <c r="W3068" i="1"/>
  <c r="X3068" i="1" s="1"/>
  <c r="W3009" i="1"/>
  <c r="X3009" i="1" s="1"/>
  <c r="W3299" i="1"/>
  <c r="X3299" i="1" s="1"/>
  <c r="W3157" i="1"/>
  <c r="X3157" i="1" s="1"/>
  <c r="W3017" i="1"/>
  <c r="X3017" i="1" s="1"/>
  <c r="W2989" i="1"/>
  <c r="X2989" i="1" s="1"/>
  <c r="W2678" i="1"/>
  <c r="X2678" i="1" s="1"/>
  <c r="W2606" i="1"/>
  <c r="X2606" i="1" s="1"/>
  <c r="W2558" i="1"/>
  <c r="X2558" i="1" s="1"/>
  <c r="W2510" i="1"/>
  <c r="X2510" i="1" s="1"/>
  <c r="W2875" i="1"/>
  <c r="X2875" i="1" s="1"/>
  <c r="W2597" i="1"/>
  <c r="X2597" i="1" s="1"/>
  <c r="W2457" i="1"/>
  <c r="X2457" i="1" s="1"/>
  <c r="W2660" i="1"/>
  <c r="X2660" i="1" s="1"/>
  <c r="W2589" i="1"/>
  <c r="X2589" i="1" s="1"/>
  <c r="W2286" i="1"/>
  <c r="X2286" i="1" s="1"/>
  <c r="W2254" i="1"/>
  <c r="X2254" i="1" s="1"/>
  <c r="W2222" i="1"/>
  <c r="X2222" i="1" s="1"/>
  <c r="W2121" i="1"/>
  <c r="X2121" i="1" s="1"/>
  <c r="W2057" i="1"/>
  <c r="X2057" i="1" s="1"/>
  <c r="W2025" i="1"/>
  <c r="X2025" i="1" s="1"/>
  <c r="W1961" i="1"/>
  <c r="X1961" i="1" s="1"/>
  <c r="W2390" i="1"/>
  <c r="X2390" i="1" s="1"/>
  <c r="W2246" i="1"/>
  <c r="X2246" i="1" s="1"/>
  <c r="W2426" i="1"/>
  <c r="X2426" i="1" s="1"/>
  <c r="W2282" i="1"/>
  <c r="X2282" i="1" s="1"/>
  <c r="W2072" i="1"/>
  <c r="X2072" i="1" s="1"/>
  <c r="W2024" i="1"/>
  <c r="X2024" i="1" s="1"/>
  <c r="W2493" i="1"/>
  <c r="X2493" i="1" s="1"/>
  <c r="W1908" i="1"/>
  <c r="X1908" i="1" s="1"/>
  <c r="W2096" i="1"/>
  <c r="X2096" i="1" s="1"/>
  <c r="W1798" i="1"/>
  <c r="X1798" i="1" s="1"/>
  <c r="W1558" i="1"/>
  <c r="X1558" i="1" s="1"/>
  <c r="W1298" i="1"/>
  <c r="X1298" i="1" s="1"/>
  <c r="W1865" i="1"/>
  <c r="X1865" i="1" s="1"/>
  <c r="W2687" i="1"/>
  <c r="X2687" i="1" s="1"/>
  <c r="W1214" i="1"/>
  <c r="X1214" i="1" s="1"/>
  <c r="W3589" i="1"/>
  <c r="X3589" i="1" s="1"/>
  <c r="W3585" i="1"/>
  <c r="X3585" i="1" s="1"/>
  <c r="W3556" i="1"/>
  <c r="X3556" i="1" s="1"/>
  <c r="W3520" i="1"/>
  <c r="X3520" i="1" s="1"/>
  <c r="W3474" i="1"/>
  <c r="X3474" i="1" s="1"/>
  <c r="W3401" i="1"/>
  <c r="X3401" i="1" s="1"/>
  <c r="W3437" i="1"/>
  <c r="X3437" i="1" s="1"/>
  <c r="W3383" i="1"/>
  <c r="X3383" i="1" s="1"/>
  <c r="W3287" i="1"/>
  <c r="X3287" i="1" s="1"/>
  <c r="W3262" i="1"/>
  <c r="X3262" i="1" s="1"/>
  <c r="W3311" i="1"/>
  <c r="X3311" i="1" s="1"/>
  <c r="W3273" i="1"/>
  <c r="X3273" i="1" s="1"/>
  <c r="W3189" i="1"/>
  <c r="X3189" i="1" s="1"/>
  <c r="W3246" i="1"/>
  <c r="X3246" i="1" s="1"/>
  <c r="W3005" i="1"/>
  <c r="X3005" i="1" s="1"/>
  <c r="W3194" i="1"/>
  <c r="X3194" i="1" s="1"/>
  <c r="W2997" i="1"/>
  <c r="X2997" i="1" s="1"/>
  <c r="W2903" i="1"/>
  <c r="X2903" i="1" s="1"/>
  <c r="W2839" i="1"/>
  <c r="X2839" i="1" s="1"/>
  <c r="W2775" i="1"/>
  <c r="X2775" i="1" s="1"/>
  <c r="W2851" i="1"/>
  <c r="X2851" i="1" s="1"/>
  <c r="W2723" i="1"/>
  <c r="X2723" i="1" s="1"/>
  <c r="W2673" i="1"/>
  <c r="X2673" i="1" s="1"/>
  <c r="W2657" i="1"/>
  <c r="X2657" i="1" s="1"/>
  <c r="W2642" i="1"/>
  <c r="X2642" i="1" s="1"/>
  <c r="W2634" i="1"/>
  <c r="X2634" i="1" s="1"/>
  <c r="W2618" i="1"/>
  <c r="X2618" i="1" s="1"/>
  <c r="W2602" i="1"/>
  <c r="X2602" i="1" s="1"/>
  <c r="W2586" i="1"/>
  <c r="X2586" i="1" s="1"/>
  <c r="W2570" i="1"/>
  <c r="X2570" i="1" s="1"/>
  <c r="W2554" i="1"/>
  <c r="X2554" i="1" s="1"/>
  <c r="W2538" i="1"/>
  <c r="X2538" i="1" s="1"/>
  <c r="W2522" i="1"/>
  <c r="X2522" i="1" s="1"/>
  <c r="W2506" i="1"/>
  <c r="X2506" i="1" s="1"/>
  <c r="W2490" i="1"/>
  <c r="X2490" i="1" s="1"/>
  <c r="W2474" i="1"/>
  <c r="X2474" i="1" s="1"/>
  <c r="W3073" i="1"/>
  <c r="X3073" i="1" s="1"/>
  <c r="W2863" i="1"/>
  <c r="X2863" i="1" s="1"/>
  <c r="W2831" i="1"/>
  <c r="X2831" i="1" s="1"/>
  <c r="W2735" i="1"/>
  <c r="X2735" i="1" s="1"/>
  <c r="W2445" i="1"/>
  <c r="X2445" i="1" s="1"/>
  <c r="W2795" i="1"/>
  <c r="X2795" i="1" s="1"/>
  <c r="W2713" i="1"/>
  <c r="X2713" i="1" s="1"/>
  <c r="W2613" i="1"/>
  <c r="X2613" i="1" s="1"/>
  <c r="W2427" i="1"/>
  <c r="X2427" i="1" s="1"/>
  <c r="W2411" i="1"/>
  <c r="X2411" i="1" s="1"/>
  <c r="W2395" i="1"/>
  <c r="X2395" i="1" s="1"/>
  <c r="W2347" i="1"/>
  <c r="X2347" i="1" s="1"/>
  <c r="W2331" i="1"/>
  <c r="X2331" i="1" s="1"/>
  <c r="W2315" i="1"/>
  <c r="X2315" i="1" s="1"/>
  <c r="W2299" i="1"/>
  <c r="X2299" i="1" s="1"/>
  <c r="W2283" i="1"/>
  <c r="X2283" i="1" s="1"/>
  <c r="W2251" i="1"/>
  <c r="X2251" i="1" s="1"/>
  <c r="W2235" i="1"/>
  <c r="X2235" i="1" s="1"/>
  <c r="W2219" i="1"/>
  <c r="X2219" i="1" s="1"/>
  <c r="W2203" i="1"/>
  <c r="X2203" i="1" s="1"/>
  <c r="W2843" i="1"/>
  <c r="X2843" i="1" s="1"/>
  <c r="W2685" i="1"/>
  <c r="X2685" i="1" s="1"/>
  <c r="W2625" i="1"/>
  <c r="X2625" i="1" s="1"/>
  <c r="W2469" i="1"/>
  <c r="X2469" i="1" s="1"/>
  <c r="W2187" i="1"/>
  <c r="X2187" i="1" s="1"/>
  <c r="W2178" i="1"/>
  <c r="X2178" i="1" s="1"/>
  <c r="W2434" i="1"/>
  <c r="X2434" i="1" s="1"/>
  <c r="W2370" i="1"/>
  <c r="X2370" i="1" s="1"/>
  <c r="W2306" i="1"/>
  <c r="X2306" i="1" s="1"/>
  <c r="W2242" i="1"/>
  <c r="X2242" i="1" s="1"/>
  <c r="W2133" i="1"/>
  <c r="X2133" i="1" s="1"/>
  <c r="W2117" i="1"/>
  <c r="X2117" i="1" s="1"/>
  <c r="W2101" i="1"/>
  <c r="X2101" i="1" s="1"/>
  <c r="W2085" i="1"/>
  <c r="X2085" i="1" s="1"/>
  <c r="W2069" i="1"/>
  <c r="X2069" i="1" s="1"/>
  <c r="W2053" i="1"/>
  <c r="X2053" i="1" s="1"/>
  <c r="W2037" i="1"/>
  <c r="X2037" i="1" s="1"/>
  <c r="W2021" i="1"/>
  <c r="X2021" i="1" s="1"/>
  <c r="W2005" i="1"/>
  <c r="X2005" i="1" s="1"/>
  <c r="W1989" i="1"/>
  <c r="X1989" i="1" s="1"/>
  <c r="W1973" i="1"/>
  <c r="X1973" i="1" s="1"/>
  <c r="W1957" i="1"/>
  <c r="X1957" i="1" s="1"/>
  <c r="W1941" i="1"/>
  <c r="X1941" i="1" s="1"/>
  <c r="W2541" i="1"/>
  <c r="X2541" i="1" s="1"/>
  <c r="W2477" i="1"/>
  <c r="X2477" i="1" s="1"/>
  <c r="W2448" i="1"/>
  <c r="X2448" i="1" s="1"/>
  <c r="W2358" i="1"/>
  <c r="X2358" i="1" s="1"/>
  <c r="W2342" i="1"/>
  <c r="X2342" i="1" s="1"/>
  <c r="W2230" i="1"/>
  <c r="X2230" i="1" s="1"/>
  <c r="W2214" i="1"/>
  <c r="X2214" i="1" s="1"/>
  <c r="W2052" i="1"/>
  <c r="X2052" i="1" s="1"/>
  <c r="W2378" i="1"/>
  <c r="X2378" i="1" s="1"/>
  <c r="W2064" i="1"/>
  <c r="X2064" i="1" s="1"/>
  <c r="W2032" i="1"/>
  <c r="X2032" i="1" s="1"/>
  <c r="W2000" i="1"/>
  <c r="X2000" i="1" s="1"/>
  <c r="W1968" i="1"/>
  <c r="X1968" i="1" s="1"/>
  <c r="W1936" i="1"/>
  <c r="X1936" i="1" s="1"/>
  <c r="W1871" i="1"/>
  <c r="X1871" i="1" s="1"/>
  <c r="W1830" i="1"/>
  <c r="X1830" i="1" s="1"/>
  <c r="W1734" i="1"/>
  <c r="X1734" i="1" s="1"/>
  <c r="W1670" i="1"/>
  <c r="X1670" i="1" s="1"/>
  <c r="W1606" i="1"/>
  <c r="X1606" i="1" s="1"/>
  <c r="W1542" i="1"/>
  <c r="X1542" i="1" s="1"/>
  <c r="W1478" i="1"/>
  <c r="X1478" i="1" s="1"/>
  <c r="W1382" i="1"/>
  <c r="X1382" i="1" s="1"/>
  <c r="W1658" i="1"/>
  <c r="X1658" i="1" s="1"/>
  <c r="W1642" i="1"/>
  <c r="X1642" i="1" s="1"/>
  <c r="W1258" i="1"/>
  <c r="X1258" i="1" s="1"/>
  <c r="W1920" i="1"/>
  <c r="X1920" i="1" s="1"/>
  <c r="W1876" i="1"/>
  <c r="X1876" i="1" s="1"/>
  <c r="W1666" i="1"/>
  <c r="X1666" i="1" s="1"/>
  <c r="W1314" i="1"/>
  <c r="X1314" i="1" s="1"/>
  <c r="W1546" i="1"/>
  <c r="X1546" i="1" s="1"/>
  <c r="W1386" i="1"/>
  <c r="X1386" i="1" s="1"/>
  <c r="W1774" i="1"/>
  <c r="X1774" i="1" s="1"/>
  <c r="W1662" i="1"/>
  <c r="X1662" i="1" s="1"/>
  <c r="W1486" i="1"/>
  <c r="X1486" i="1" s="1"/>
  <c r="W1246" i="1"/>
  <c r="X1246" i="1" s="1"/>
  <c r="W3495" i="1"/>
  <c r="X3495" i="1" s="1"/>
  <c r="W3491" i="1"/>
  <c r="X3491" i="1" s="1"/>
  <c r="W3409" i="1"/>
  <c r="X3409" i="1" s="1"/>
  <c r="W3270" i="1"/>
  <c r="X3270" i="1" s="1"/>
  <c r="W3307" i="1"/>
  <c r="X3307" i="1" s="1"/>
  <c r="W3200" i="1"/>
  <c r="X3200" i="1" s="1"/>
  <c r="W3165" i="1"/>
  <c r="X3165" i="1" s="1"/>
  <c r="W3173" i="1"/>
  <c r="X3173" i="1" s="1"/>
  <c r="W3062" i="1"/>
  <c r="X3062" i="1" s="1"/>
  <c r="W2771" i="1"/>
  <c r="X2771" i="1" s="1"/>
  <c r="W2646" i="1"/>
  <c r="X2646" i="1" s="1"/>
  <c r="W2574" i="1"/>
  <c r="X2574" i="1" s="1"/>
  <c r="W2494" i="1"/>
  <c r="X2494" i="1" s="1"/>
  <c r="W2468" i="1"/>
  <c r="X2468" i="1" s="1"/>
  <c r="W2621" i="1"/>
  <c r="X2621" i="1" s="1"/>
  <c r="W2170" i="1"/>
  <c r="X2170" i="1" s="1"/>
  <c r="W2226" i="1"/>
  <c r="X2226" i="1" s="1"/>
  <c r="W2105" i="1"/>
  <c r="X2105" i="1" s="1"/>
  <c r="W1993" i="1"/>
  <c r="X1993" i="1" s="1"/>
  <c r="W2891" i="1"/>
  <c r="X2891" i="1" s="1"/>
  <c r="W2374" i="1"/>
  <c r="X2374" i="1" s="1"/>
  <c r="W2190" i="1"/>
  <c r="X2190" i="1" s="1"/>
  <c r="W1916" i="1"/>
  <c r="X1916" i="1" s="1"/>
  <c r="W1992" i="1"/>
  <c r="X1992" i="1" s="1"/>
  <c r="W2394" i="1"/>
  <c r="X2394" i="1" s="1"/>
  <c r="W2128" i="1"/>
  <c r="X2128" i="1" s="1"/>
  <c r="W1750" i="1"/>
  <c r="X1750" i="1" s="1"/>
  <c r="W1686" i="1"/>
  <c r="X1686" i="1" s="1"/>
  <c r="W1706" i="1"/>
  <c r="X1706" i="1" s="1"/>
  <c r="W1762" i="1"/>
  <c r="X1762" i="1" s="1"/>
  <c r="W1838" i="1"/>
  <c r="X1838" i="1" s="1"/>
  <c r="W1358" i="1"/>
  <c r="X1358" i="1" s="1"/>
  <c r="W3532" i="1"/>
  <c r="X3532" i="1" s="1"/>
  <c r="W3446" i="1"/>
  <c r="X3446" i="1" s="1"/>
  <c r="W3429" i="1"/>
  <c r="X3429" i="1" s="1"/>
  <c r="W3413" i="1"/>
  <c r="X3413" i="1" s="1"/>
  <c r="W3503" i="1"/>
  <c r="X3503" i="1" s="1"/>
  <c r="W3447" i="1"/>
  <c r="X3447" i="1" s="1"/>
  <c r="W3371" i="1"/>
  <c r="X3371" i="1" s="1"/>
  <c r="W3355" i="1"/>
  <c r="X3355" i="1" s="1"/>
  <c r="W3323" i="1"/>
  <c r="X3323" i="1" s="1"/>
  <c r="W3303" i="1"/>
  <c r="X3303" i="1" s="1"/>
  <c r="W3367" i="1"/>
  <c r="X3367" i="1" s="1"/>
  <c r="W3230" i="1"/>
  <c r="X3230" i="1" s="1"/>
  <c r="W3081" i="1"/>
  <c r="X3081" i="1" s="1"/>
  <c r="W3133" i="1"/>
  <c r="X3133" i="1" s="1"/>
  <c r="W3178" i="1"/>
  <c r="X3178" i="1" s="1"/>
  <c r="W3145" i="1"/>
  <c r="X3145" i="1" s="1"/>
  <c r="W2964" i="1"/>
  <c r="X2964" i="1" s="1"/>
  <c r="W3084" i="1"/>
  <c r="X3084" i="1" s="1"/>
  <c r="W3033" i="1"/>
  <c r="X3033" i="1" s="1"/>
  <c r="W3045" i="1"/>
  <c r="X3045" i="1" s="1"/>
  <c r="W2956" i="1"/>
  <c r="X2956" i="1" s="1"/>
  <c r="W2919" i="1"/>
  <c r="X2919" i="1" s="1"/>
  <c r="W2887" i="1"/>
  <c r="X2887" i="1" s="1"/>
  <c r="W2855" i="1"/>
  <c r="X2855" i="1" s="1"/>
  <c r="W2823" i="1"/>
  <c r="X2823" i="1" s="1"/>
  <c r="W2791" i="1"/>
  <c r="X2791" i="1" s="1"/>
  <c r="W2759" i="1"/>
  <c r="X2759" i="1" s="1"/>
  <c r="W2727" i="1"/>
  <c r="X2727" i="1" s="1"/>
  <c r="W2931" i="1"/>
  <c r="X2931" i="1" s="1"/>
  <c r="W2835" i="1"/>
  <c r="X2835" i="1" s="1"/>
  <c r="W2669" i="1"/>
  <c r="X2669" i="1" s="1"/>
  <c r="W2638" i="1"/>
  <c r="X2638" i="1" s="1"/>
  <c r="W2630" i="1"/>
  <c r="X2630" i="1" s="1"/>
  <c r="W2598" i="1"/>
  <c r="X2598" i="1" s="1"/>
  <c r="W2582" i="1"/>
  <c r="X2582" i="1" s="1"/>
  <c r="W2566" i="1"/>
  <c r="X2566" i="1" s="1"/>
  <c r="W2550" i="1"/>
  <c r="X2550" i="1" s="1"/>
  <c r="W2534" i="1"/>
  <c r="X2534" i="1" s="1"/>
  <c r="W2518" i="1"/>
  <c r="X2518" i="1" s="1"/>
  <c r="W2502" i="1"/>
  <c r="X2502" i="1" s="1"/>
  <c r="W2486" i="1"/>
  <c r="X2486" i="1" s="1"/>
  <c r="W3013" i="1"/>
  <c r="X3013" i="1" s="1"/>
  <c r="W2461" i="1"/>
  <c r="X2461" i="1" s="1"/>
  <c r="W2923" i="1"/>
  <c r="X2923" i="1" s="1"/>
  <c r="W2679" i="1"/>
  <c r="X2679" i="1" s="1"/>
  <c r="W2653" i="1"/>
  <c r="X2653" i="1" s="1"/>
  <c r="W2436" i="1"/>
  <c r="X2436" i="1" s="1"/>
  <c r="W2423" i="1"/>
  <c r="X2423" i="1" s="1"/>
  <c r="W2407" i="1"/>
  <c r="X2407" i="1" s="1"/>
  <c r="W2391" i="1"/>
  <c r="X2391" i="1" s="1"/>
  <c r="W2375" i="1"/>
  <c r="X2375" i="1" s="1"/>
  <c r="W2359" i="1"/>
  <c r="X2359" i="1" s="1"/>
  <c r="W2343" i="1"/>
  <c r="X2343" i="1" s="1"/>
  <c r="W2327" i="1"/>
  <c r="X2327" i="1" s="1"/>
  <c r="W2311" i="1"/>
  <c r="X2311" i="1" s="1"/>
  <c r="W2295" i="1"/>
  <c r="X2295" i="1" s="1"/>
  <c r="W2279" i="1"/>
  <c r="X2279" i="1" s="1"/>
  <c r="W2263" i="1"/>
  <c r="X2263" i="1" s="1"/>
  <c r="W2247" i="1"/>
  <c r="X2247" i="1" s="1"/>
  <c r="W2231" i="1"/>
  <c r="X2231" i="1" s="1"/>
  <c r="W2215" i="1"/>
  <c r="X2215" i="1" s="1"/>
  <c r="W2779" i="1"/>
  <c r="X2779" i="1" s="1"/>
  <c r="W2593" i="1"/>
  <c r="X2593" i="1" s="1"/>
  <c r="W2561" i="1"/>
  <c r="X2561" i="1" s="1"/>
  <c r="W2645" i="1"/>
  <c r="X2645" i="1" s="1"/>
  <c r="W2637" i="1"/>
  <c r="X2637" i="1" s="1"/>
  <c r="W2605" i="1"/>
  <c r="X2605" i="1" s="1"/>
  <c r="W2573" i="1"/>
  <c r="X2573" i="1" s="1"/>
  <c r="W2430" i="1"/>
  <c r="X2430" i="1" s="1"/>
  <c r="W2398" i="1"/>
  <c r="X2398" i="1" s="1"/>
  <c r="W2366" i="1"/>
  <c r="X2366" i="1" s="1"/>
  <c r="W2334" i="1"/>
  <c r="X2334" i="1" s="1"/>
  <c r="W2302" i="1"/>
  <c r="X2302" i="1" s="1"/>
  <c r="W2270" i="1"/>
  <c r="X2270" i="1" s="1"/>
  <c r="W2238" i="1"/>
  <c r="X2238" i="1" s="1"/>
  <c r="W2206" i="1"/>
  <c r="X2206" i="1" s="1"/>
  <c r="W2195" i="1"/>
  <c r="X2195" i="1" s="1"/>
  <c r="W2186" i="1"/>
  <c r="X2186" i="1" s="1"/>
  <c r="W2163" i="1"/>
  <c r="X2163" i="1" s="1"/>
  <c r="W2143" i="1"/>
  <c r="X2143" i="1" s="1"/>
  <c r="W2386" i="1"/>
  <c r="X2386" i="1" s="1"/>
  <c r="W2322" i="1"/>
  <c r="X2322" i="1" s="1"/>
  <c r="W2258" i="1"/>
  <c r="X2258" i="1" s="1"/>
  <c r="W2155" i="1"/>
  <c r="X2155" i="1" s="1"/>
  <c r="W2129" i="1"/>
  <c r="X2129" i="1" s="1"/>
  <c r="W2113" i="1"/>
  <c r="X2113" i="1" s="1"/>
  <c r="W2081" i="1"/>
  <c r="X2081" i="1" s="1"/>
  <c r="W2049" i="1"/>
  <c r="X2049" i="1" s="1"/>
  <c r="W2033" i="1"/>
  <c r="X2033" i="1" s="1"/>
  <c r="W2017" i="1"/>
  <c r="X2017" i="1" s="1"/>
  <c r="W1985" i="1"/>
  <c r="X1985" i="1" s="1"/>
  <c r="W1969" i="1"/>
  <c r="X1969" i="1" s="1"/>
  <c r="W1953" i="1"/>
  <c r="X1953" i="1" s="1"/>
  <c r="W2326" i="1"/>
  <c r="X2326" i="1" s="1"/>
  <c r="W2310" i="1"/>
  <c r="X2310" i="1" s="1"/>
  <c r="W2199" i="1"/>
  <c r="X2199" i="1" s="1"/>
  <c r="W2175" i="1"/>
  <c r="X2175" i="1" s="1"/>
  <c r="W2557" i="1"/>
  <c r="X2557" i="1" s="1"/>
  <c r="W2362" i="1"/>
  <c r="X2362" i="1" s="1"/>
  <c r="W2174" i="1"/>
  <c r="X2174" i="1" s="1"/>
  <c r="W2076" i="1"/>
  <c r="X2076" i="1" s="1"/>
  <c r="W2060" i="1"/>
  <c r="X2060" i="1" s="1"/>
  <c r="W2044" i="1"/>
  <c r="X2044" i="1" s="1"/>
  <c r="W2028" i="1"/>
  <c r="X2028" i="1" s="1"/>
  <c r="W2012" i="1"/>
  <c r="X2012" i="1" s="1"/>
  <c r="W1996" i="1"/>
  <c r="X1996" i="1" s="1"/>
  <c r="W1980" i="1"/>
  <c r="X1980" i="1" s="1"/>
  <c r="W1964" i="1"/>
  <c r="X1964" i="1" s="1"/>
  <c r="W1948" i="1"/>
  <c r="X1948" i="1" s="1"/>
  <c r="W1932" i="1"/>
  <c r="X1932" i="1" s="1"/>
  <c r="W2410" i="1"/>
  <c r="X2410" i="1" s="1"/>
  <c r="W2218" i="1"/>
  <c r="X2218" i="1" s="1"/>
  <c r="W2135" i="1"/>
  <c r="X2135" i="1" s="1"/>
  <c r="W2088" i="1"/>
  <c r="X2088" i="1" s="1"/>
  <c r="W1896" i="1"/>
  <c r="X1896" i="1" s="1"/>
  <c r="W2151" i="1"/>
  <c r="X2151" i="1" s="1"/>
  <c r="W2084" i="1"/>
  <c r="X2084" i="1" s="1"/>
  <c r="W1956" i="1"/>
  <c r="X1956" i="1" s="1"/>
  <c r="W2250" i="1"/>
  <c r="X2250" i="1" s="1"/>
  <c r="W1718" i="1"/>
  <c r="X1718" i="1" s="1"/>
  <c r="W1654" i="1"/>
  <c r="X1654" i="1" s="1"/>
  <c r="W1590" i="1"/>
  <c r="X1590" i="1" s="1"/>
  <c r="W1526" i="1"/>
  <c r="X1526" i="1" s="1"/>
  <c r="W1462" i="1"/>
  <c r="X1462" i="1" s="1"/>
  <c r="W1414" i="1"/>
  <c r="X1414" i="1" s="1"/>
  <c r="W1786" i="1"/>
  <c r="X1786" i="1" s="1"/>
  <c r="W1770" i="1"/>
  <c r="X1770" i="1" s="1"/>
  <c r="W1674" i="1"/>
  <c r="X1674" i="1" s="1"/>
  <c r="W1226" i="1"/>
  <c r="X1226" i="1" s="1"/>
  <c r="W1746" i="1"/>
  <c r="X1746" i="1" s="1"/>
  <c r="W1650" i="1"/>
  <c r="X1650" i="1" s="1"/>
  <c r="W1282" i="1"/>
  <c r="X1282" i="1" s="1"/>
  <c r="W1202" i="1"/>
  <c r="X1202" i="1" s="1"/>
  <c r="W1194" i="1"/>
  <c r="X1194" i="1" s="1"/>
  <c r="W2697" i="1"/>
  <c r="X2697" i="1" s="1"/>
  <c r="W2314" i="1"/>
  <c r="X2314" i="1" s="1"/>
  <c r="W1806" i="1"/>
  <c r="X1806" i="1" s="1"/>
  <c r="W1598" i="1"/>
  <c r="X1598" i="1" s="1"/>
  <c r="W1534" i="1"/>
  <c r="X1534" i="1" s="1"/>
  <c r="W1406" i="1"/>
  <c r="X1406" i="1" s="1"/>
  <c r="W1294" i="1"/>
  <c r="X1294" i="1" s="1"/>
  <c r="W1278" i="1"/>
  <c r="X1278" i="1" s="1"/>
  <c r="W3576" i="1"/>
  <c r="X3576" i="1" s="1"/>
  <c r="W3568" i="1"/>
  <c r="X3568" i="1" s="1"/>
  <c r="W3511" i="1"/>
  <c r="X3511" i="1" s="1"/>
  <c r="W3417" i="1"/>
  <c r="X3417" i="1" s="1"/>
  <c r="W2948" i="1"/>
  <c r="X2948" i="1" s="1"/>
  <c r="W2899" i="1"/>
  <c r="X2899" i="1" s="1"/>
  <c r="W2590" i="1"/>
  <c r="X2590" i="1" s="1"/>
  <c r="W2526" i="1"/>
  <c r="X2526" i="1" s="1"/>
  <c r="W2478" i="1"/>
  <c r="X2478" i="1" s="1"/>
  <c r="W2981" i="1"/>
  <c r="X2981" i="1" s="1"/>
  <c r="W2907" i="1"/>
  <c r="X2907" i="1" s="1"/>
  <c r="W2664" i="1"/>
  <c r="X2664" i="1" s="1"/>
  <c r="W2513" i="1"/>
  <c r="X2513" i="1" s="1"/>
  <c r="W2763" i="1"/>
  <c r="X2763" i="1" s="1"/>
  <c r="W2414" i="1"/>
  <c r="X2414" i="1" s="1"/>
  <c r="W2382" i="1"/>
  <c r="X2382" i="1" s="1"/>
  <c r="W2350" i="1"/>
  <c r="X2350" i="1" s="1"/>
  <c r="W2318" i="1"/>
  <c r="X2318" i="1" s="1"/>
  <c r="W2179" i="1"/>
  <c r="X2179" i="1" s="1"/>
  <c r="W2418" i="1"/>
  <c r="X2418" i="1" s="1"/>
  <c r="W2354" i="1"/>
  <c r="X2354" i="1" s="1"/>
  <c r="W2290" i="1"/>
  <c r="X2290" i="1" s="1"/>
  <c r="W2089" i="1"/>
  <c r="X2089" i="1" s="1"/>
  <c r="W2041" i="1"/>
  <c r="X2041" i="1" s="1"/>
  <c r="W1977" i="1"/>
  <c r="X1977" i="1" s="1"/>
  <c r="W1929" i="1"/>
  <c r="X1929" i="1" s="1"/>
  <c r="W2262" i="1"/>
  <c r="X2262" i="1" s="1"/>
  <c r="W2464" i="1"/>
  <c r="X2464" i="1" s="1"/>
  <c r="W1868" i="1"/>
  <c r="X1868" i="1" s="1"/>
  <c r="W2120" i="1"/>
  <c r="X2120" i="1" s="1"/>
  <c r="W2020" i="1"/>
  <c r="X2020" i="1" s="1"/>
  <c r="W2112" i="1"/>
  <c r="X2112" i="1" s="1"/>
  <c r="W1622" i="1"/>
  <c r="X1622" i="1" s="1"/>
  <c r="W1494" i="1"/>
  <c r="X1494" i="1" s="1"/>
  <c r="W1190" i="1"/>
  <c r="X1190" i="1" s="1"/>
  <c r="W1434" i="1"/>
  <c r="X1434" i="1" s="1"/>
  <c r="W1844" i="1"/>
  <c r="X1844" i="1" s="1"/>
  <c r="W1210" i="1"/>
  <c r="X1210" i="1" s="1"/>
  <c r="W1758" i="1"/>
  <c r="X1758" i="1" s="1"/>
  <c r="W1566" i="1"/>
  <c r="X1566" i="1" s="1"/>
  <c r="W3581" i="1"/>
  <c r="X3581" i="1" s="1"/>
  <c r="W3609" i="1"/>
  <c r="X3609" i="1" s="1"/>
  <c r="W3577" i="1"/>
  <c r="X3577" i="1" s="1"/>
  <c r="W3560" i="1"/>
  <c r="X3560" i="1" s="1"/>
  <c r="W3544" i="1"/>
  <c r="X3544" i="1" s="1"/>
  <c r="W3601" i="1"/>
  <c r="X3601" i="1" s="1"/>
  <c r="W3507" i="1"/>
  <c r="X3507" i="1" s="1"/>
  <c r="W3548" i="1"/>
  <c r="X3548" i="1" s="1"/>
  <c r="W3528" i="1"/>
  <c r="X3528" i="1" s="1"/>
  <c r="W3453" i="1"/>
  <c r="X3453" i="1" s="1"/>
  <c r="W3479" i="1"/>
  <c r="X3479" i="1" s="1"/>
  <c r="W3425" i="1"/>
  <c r="X3425" i="1" s="1"/>
  <c r="W3442" i="1"/>
  <c r="X3442" i="1" s="1"/>
  <c r="W3433" i="1"/>
  <c r="X3433" i="1" s="1"/>
  <c r="W3389" i="1"/>
  <c r="X3389" i="1" s="1"/>
  <c r="W3363" i="1"/>
  <c r="X3363" i="1" s="1"/>
  <c r="W3347" i="1"/>
  <c r="X3347" i="1" s="1"/>
  <c r="W3331" i="1"/>
  <c r="X3331" i="1" s="1"/>
  <c r="W3375" i="1"/>
  <c r="X3375" i="1" s="1"/>
  <c r="W3359" i="1"/>
  <c r="X3359" i="1" s="1"/>
  <c r="W3327" i="1"/>
  <c r="X3327" i="1" s="1"/>
  <c r="W3319" i="1"/>
  <c r="X3319" i="1" s="1"/>
  <c r="W3242" i="1"/>
  <c r="X3242" i="1" s="1"/>
  <c r="W3291" i="1"/>
  <c r="X3291" i="1" s="1"/>
  <c r="W3257" i="1"/>
  <c r="X3257" i="1" s="1"/>
  <c r="W3351" i="1"/>
  <c r="X3351" i="1" s="1"/>
  <c r="W3279" i="1"/>
  <c r="X3279" i="1" s="1"/>
  <c r="W3234" i="1"/>
  <c r="X3234" i="1" s="1"/>
  <c r="W3169" i="1"/>
  <c r="X3169" i="1" s="1"/>
  <c r="W3153" i="1"/>
  <c r="X3153" i="1" s="1"/>
  <c r="W3137" i="1"/>
  <c r="X3137" i="1" s="1"/>
  <c r="W3121" i="1"/>
  <c r="X3121" i="1" s="1"/>
  <c r="W3177" i="1"/>
  <c r="X3177" i="1" s="1"/>
  <c r="W3141" i="1"/>
  <c r="X3141" i="1" s="1"/>
  <c r="W3112" i="1"/>
  <c r="X3112" i="1" s="1"/>
  <c r="W3089" i="1"/>
  <c r="X3089" i="1" s="1"/>
  <c r="W3041" i="1"/>
  <c r="X3041" i="1" s="1"/>
  <c r="W3025" i="1"/>
  <c r="X3025" i="1" s="1"/>
  <c r="W3037" i="1"/>
  <c r="X3037" i="1" s="1"/>
  <c r="W3021" i="1"/>
  <c r="X3021" i="1" s="1"/>
  <c r="W3100" i="1"/>
  <c r="X3100" i="1" s="1"/>
  <c r="W2945" i="1"/>
  <c r="X2945" i="1" s="1"/>
  <c r="W3029" i="1"/>
  <c r="X3029" i="1" s="1"/>
  <c r="W2915" i="1"/>
  <c r="X2915" i="1" s="1"/>
  <c r="W2787" i="1"/>
  <c r="X2787" i="1" s="1"/>
  <c r="W2665" i="1"/>
  <c r="X2665" i="1" s="1"/>
  <c r="W2650" i="1"/>
  <c r="X2650" i="1" s="1"/>
  <c r="W2626" i="1"/>
  <c r="X2626" i="1" s="1"/>
  <c r="W2610" i="1"/>
  <c r="X2610" i="1" s="1"/>
  <c r="W2594" i="1"/>
  <c r="X2594" i="1" s="1"/>
  <c r="W2578" i="1"/>
  <c r="X2578" i="1" s="1"/>
  <c r="W2562" i="1"/>
  <c r="X2562" i="1" s="1"/>
  <c r="W2546" i="1"/>
  <c r="X2546" i="1" s="1"/>
  <c r="W2530" i="1"/>
  <c r="X2530" i="1" s="1"/>
  <c r="W2514" i="1"/>
  <c r="X2514" i="1" s="1"/>
  <c r="W2498" i="1"/>
  <c r="X2498" i="1" s="1"/>
  <c r="W2482" i="1"/>
  <c r="X2482" i="1" s="1"/>
  <c r="W3205" i="1"/>
  <c r="X3205" i="1" s="1"/>
  <c r="W2927" i="1"/>
  <c r="X2927" i="1" s="1"/>
  <c r="W2895" i="1"/>
  <c r="X2895" i="1" s="1"/>
  <c r="W2799" i="1"/>
  <c r="X2799" i="1" s="1"/>
  <c r="W2767" i="1"/>
  <c r="X2767" i="1" s="1"/>
  <c r="W2747" i="1"/>
  <c r="X2747" i="1" s="1"/>
  <c r="W2940" i="1"/>
  <c r="X2940" i="1" s="1"/>
  <c r="W2470" i="1"/>
  <c r="X2470" i="1" s="1"/>
  <c r="W2435" i="1"/>
  <c r="X2435" i="1" s="1"/>
  <c r="W2419" i="1"/>
  <c r="X2419" i="1" s="1"/>
  <c r="W2403" i="1"/>
  <c r="X2403" i="1" s="1"/>
  <c r="W2387" i="1"/>
  <c r="X2387" i="1" s="1"/>
  <c r="W2371" i="1"/>
  <c r="X2371" i="1" s="1"/>
  <c r="W2355" i="1"/>
  <c r="X2355" i="1" s="1"/>
  <c r="W2339" i="1"/>
  <c r="X2339" i="1" s="1"/>
  <c r="W2323" i="1"/>
  <c r="X2323" i="1" s="1"/>
  <c r="W2307" i="1"/>
  <c r="X2307" i="1" s="1"/>
  <c r="W2291" i="1"/>
  <c r="X2291" i="1" s="1"/>
  <c r="W2275" i="1"/>
  <c r="X2275" i="1" s="1"/>
  <c r="W2259" i="1"/>
  <c r="X2259" i="1" s="1"/>
  <c r="W2243" i="1"/>
  <c r="X2243" i="1" s="1"/>
  <c r="W2227" i="1"/>
  <c r="X2227" i="1" s="1"/>
  <c r="W2211" i="1"/>
  <c r="X2211" i="1" s="1"/>
  <c r="W2577" i="1"/>
  <c r="X2577" i="1" s="1"/>
  <c r="W2529" i="1"/>
  <c r="X2529" i="1" s="1"/>
  <c r="W2497" i="1"/>
  <c r="X2497" i="1" s="1"/>
  <c r="W2194" i="1"/>
  <c r="X2194" i="1" s="1"/>
  <c r="W2171" i="1"/>
  <c r="X2171" i="1" s="1"/>
  <c r="W2159" i="1"/>
  <c r="X2159" i="1" s="1"/>
  <c r="W2525" i="1"/>
  <c r="X2525" i="1" s="1"/>
  <c r="W2402" i="1"/>
  <c r="X2402" i="1" s="1"/>
  <c r="W2338" i="1"/>
  <c r="X2338" i="1" s="1"/>
  <c r="W2274" i="1"/>
  <c r="X2274" i="1" s="1"/>
  <c r="W2210" i="1"/>
  <c r="X2210" i="1" s="1"/>
  <c r="W2150" i="1"/>
  <c r="X2150" i="1" s="1"/>
  <c r="W2125" i="1"/>
  <c r="X2125" i="1" s="1"/>
  <c r="W2093" i="1"/>
  <c r="X2093" i="1" s="1"/>
  <c r="W2437" i="1"/>
  <c r="X2437" i="1" s="1"/>
  <c r="W2422" i="1"/>
  <c r="X2422" i="1" s="1"/>
  <c r="W2406" i="1"/>
  <c r="X2406" i="1" s="1"/>
  <c r="W2294" i="1"/>
  <c r="X2294" i="1" s="1"/>
  <c r="W2278" i="1"/>
  <c r="X2278" i="1" s="1"/>
  <c r="W2191" i="1"/>
  <c r="X2191" i="1" s="1"/>
  <c r="W2167" i="1"/>
  <c r="X2167" i="1" s="1"/>
  <c r="W2298" i="1"/>
  <c r="X2298" i="1" s="1"/>
  <c r="W1884" i="1"/>
  <c r="X1884" i="1" s="1"/>
  <c r="W2104" i="1"/>
  <c r="X2104" i="1" s="1"/>
  <c r="W2056" i="1"/>
  <c r="X2056" i="1" s="1"/>
  <c r="W1960" i="1"/>
  <c r="X1960" i="1" s="1"/>
  <c r="W1928" i="1"/>
  <c r="X1928" i="1" s="1"/>
  <c r="W2266" i="1"/>
  <c r="X2266" i="1" s="1"/>
  <c r="W1988" i="1"/>
  <c r="X1988" i="1" s="1"/>
  <c r="W2080" i="1"/>
  <c r="X2080" i="1" s="1"/>
  <c r="W2048" i="1"/>
  <c r="X2048" i="1" s="1"/>
  <c r="W2016" i="1"/>
  <c r="X2016" i="1" s="1"/>
  <c r="W1984" i="1"/>
  <c r="X1984" i="1" s="1"/>
  <c r="W1952" i="1"/>
  <c r="X1952" i="1" s="1"/>
  <c r="W1766" i="1"/>
  <c r="X1766" i="1" s="1"/>
  <c r="W1702" i="1"/>
  <c r="X1702" i="1" s="1"/>
  <c r="W1638" i="1"/>
  <c r="X1638" i="1" s="1"/>
  <c r="W1574" i="1"/>
  <c r="X1574" i="1" s="1"/>
  <c r="W1510" i="1"/>
  <c r="X1510" i="1" s="1"/>
  <c r="W1446" i="1"/>
  <c r="X1446" i="1" s="1"/>
  <c r="W1610" i="1"/>
  <c r="X1610" i="1" s="1"/>
  <c r="W1826" i="1"/>
  <c r="X1826" i="1" s="1"/>
  <c r="W1810" i="1"/>
  <c r="X1810" i="1" s="1"/>
  <c r="W1794" i="1"/>
  <c r="X1794" i="1" s="1"/>
  <c r="W1778" i="1"/>
  <c r="X1778" i="1" s="1"/>
  <c r="W1682" i="1"/>
  <c r="X1682" i="1" s="1"/>
  <c r="W1634" i="1"/>
  <c r="X1634" i="1" s="1"/>
  <c r="W1570" i="1"/>
  <c r="X1570" i="1" s="1"/>
  <c r="W1554" i="1"/>
  <c r="X1554" i="1" s="1"/>
  <c r="W1466" i="1"/>
  <c r="X1466" i="1" s="1"/>
  <c r="W1370" i="1"/>
  <c r="X1370" i="1" s="1"/>
  <c r="W1904" i="1"/>
  <c r="X1904" i="1" s="1"/>
  <c r="W1860" i="1"/>
  <c r="X1860" i="1" s="1"/>
  <c r="W1710" i="1"/>
  <c r="X1710" i="1" s="1"/>
  <c r="W1630" i="1"/>
  <c r="X1630" i="1" s="1"/>
  <c r="W1454" i="1"/>
  <c r="X1454" i="1" s="1"/>
  <c r="W1326" i="1"/>
  <c r="X1326" i="1" s="1"/>
  <c r="W3573" i="1"/>
  <c r="X3573" i="1" s="1"/>
  <c r="W3605" i="1"/>
  <c r="X3605" i="1" s="1"/>
  <c r="W3551" i="1"/>
  <c r="X3551" i="1" s="1"/>
  <c r="W3540" i="1"/>
  <c r="X3540" i="1" s="1"/>
  <c r="W3617" i="1"/>
  <c r="X3617" i="1" s="1"/>
  <c r="W3563" i="1"/>
  <c r="X3563" i="1" s="1"/>
  <c r="W3552" i="1"/>
  <c r="X3552" i="1" s="1"/>
  <c r="W3536" i="1"/>
  <c r="X3536" i="1" s="1"/>
  <c r="W3510" i="1"/>
  <c r="X3510" i="1" s="1"/>
  <c r="W3499" i="1"/>
  <c r="X3499" i="1" s="1"/>
  <c r="W3462" i="1"/>
  <c r="X3462" i="1" s="1"/>
  <c r="W3463" i="1"/>
  <c r="X3463" i="1" s="1"/>
  <c r="W3392" i="1"/>
  <c r="X3392" i="1" s="1"/>
  <c r="W3469" i="1"/>
  <c r="X3469" i="1" s="1"/>
  <c r="W3485" i="1"/>
  <c r="X3485" i="1" s="1"/>
  <c r="W3421" i="1"/>
  <c r="X3421" i="1" s="1"/>
  <c r="W3393" i="1"/>
  <c r="X3393" i="1" s="1"/>
  <c r="W3275" i="1"/>
  <c r="X3275" i="1" s="1"/>
  <c r="W3343" i="1"/>
  <c r="X3343" i="1" s="1"/>
  <c r="W3185" i="1"/>
  <c r="X3185" i="1" s="1"/>
  <c r="W3267" i="1"/>
  <c r="X3267" i="1" s="1"/>
  <c r="W3254" i="1"/>
  <c r="X3254" i="1" s="1"/>
  <c r="W3238" i="1"/>
  <c r="X3238" i="1" s="1"/>
  <c r="W3250" i="1"/>
  <c r="X3250" i="1" s="1"/>
  <c r="W3229" i="1"/>
  <c r="X3229" i="1" s="1"/>
  <c r="W3216" i="1"/>
  <c r="X3216" i="1" s="1"/>
  <c r="W3108" i="1"/>
  <c r="X3108" i="1" s="1"/>
  <c r="W3052" i="1"/>
  <c r="X3052" i="1" s="1"/>
  <c r="W2996" i="1"/>
  <c r="X2996" i="1" s="1"/>
  <c r="W3335" i="1"/>
  <c r="X3335" i="1" s="1"/>
  <c r="W3184" i="1"/>
  <c r="X3184" i="1" s="1"/>
  <c r="W2984" i="1"/>
  <c r="X2984" i="1" s="1"/>
  <c r="W2935" i="1"/>
  <c r="X2935" i="1" s="1"/>
  <c r="W2882" i="1"/>
  <c r="X2882" i="1" s="1"/>
  <c r="W2818" i="1"/>
  <c r="X2818" i="1" s="1"/>
  <c r="W2807" i="1"/>
  <c r="X2807" i="1" s="1"/>
  <c r="W2951" i="1"/>
  <c r="X2951" i="1" s="1"/>
  <c r="W2883" i="1"/>
  <c r="X2883" i="1" s="1"/>
  <c r="W2819" i="1"/>
  <c r="X2819" i="1" s="1"/>
  <c r="W2714" i="1"/>
  <c r="X2714" i="1" s="1"/>
  <c r="W2698" i="1"/>
  <c r="X2698" i="1" s="1"/>
  <c r="W2672" i="1"/>
  <c r="X2672" i="1" s="1"/>
  <c r="W2569" i="1"/>
  <c r="X2569" i="1" s="1"/>
  <c r="W2553" i="1"/>
  <c r="X2553" i="1" s="1"/>
  <c r="W2537" i="1"/>
  <c r="X2537" i="1" s="1"/>
  <c r="W2521" i="1"/>
  <c r="X2521" i="1" s="1"/>
  <c r="W2489" i="1"/>
  <c r="X2489" i="1" s="1"/>
  <c r="W2859" i="1"/>
  <c r="X2859" i="1" s="1"/>
  <c r="W2654" i="1"/>
  <c r="X2654" i="1" s="1"/>
  <c r="W2614" i="1"/>
  <c r="X2614" i="1" s="1"/>
  <c r="W2581" i="1"/>
  <c r="X2581" i="1" s="1"/>
  <c r="W2533" i="1"/>
  <c r="X2533" i="1" s="1"/>
  <c r="W2501" i="1"/>
  <c r="X2501" i="1" s="1"/>
  <c r="W2485" i="1"/>
  <c r="X2485" i="1" s="1"/>
  <c r="W2545" i="1"/>
  <c r="X2545" i="1" s="1"/>
  <c r="W2542" i="1"/>
  <c r="X2542" i="1" s="1"/>
  <c r="W2383" i="1"/>
  <c r="X2383" i="1" s="1"/>
  <c r="W2303" i="1"/>
  <c r="X2303" i="1" s="1"/>
  <c r="W2287" i="1"/>
  <c r="X2287" i="1" s="1"/>
  <c r="W2239" i="1"/>
  <c r="X2239" i="1" s="1"/>
  <c r="W2223" i="1"/>
  <c r="X2223" i="1" s="1"/>
  <c r="W2973" i="1"/>
  <c r="X2973" i="1" s="1"/>
  <c r="W2622" i="1"/>
  <c r="X2622" i="1" s="1"/>
  <c r="W2458" i="1"/>
  <c r="X2458" i="1" s="1"/>
  <c r="W2452" i="1"/>
  <c r="X2452" i="1" s="1"/>
  <c r="W2267" i="1"/>
  <c r="X2267" i="1" s="1"/>
  <c r="W2234" i="1"/>
  <c r="X2234" i="1" s="1"/>
  <c r="W2116" i="1"/>
  <c r="X2116" i="1" s="1"/>
  <c r="W2100" i="1"/>
  <c r="X2100" i="1" s="1"/>
  <c r="W1900" i="1"/>
  <c r="X1900" i="1" s="1"/>
  <c r="W1873" i="1"/>
  <c r="X1873" i="1" s="1"/>
  <c r="W2146" i="1"/>
  <c r="X2146" i="1" s="1"/>
  <c r="W2073" i="1"/>
  <c r="X2073" i="1" s="1"/>
  <c r="W2040" i="1"/>
  <c r="X2040" i="1" s="1"/>
  <c r="W2009" i="1"/>
  <c r="X2009" i="1" s="1"/>
  <c r="W1912" i="1"/>
  <c r="X1912" i="1" s="1"/>
  <c r="W2453" i="1"/>
  <c r="X2453" i="1" s="1"/>
  <c r="W2363" i="1"/>
  <c r="X2363" i="1" s="1"/>
  <c r="W2109" i="1"/>
  <c r="X2109" i="1" s="1"/>
  <c r="W1903" i="1"/>
  <c r="X1903" i="1" s="1"/>
  <c r="W1809" i="1"/>
  <c r="X1809" i="1" s="1"/>
  <c r="W1430" i="1"/>
  <c r="X1430" i="1" s="1"/>
  <c r="W1366" i="1"/>
  <c r="X1366" i="1" s="1"/>
  <c r="W1286" i="1"/>
  <c r="X1286" i="1" s="1"/>
  <c r="W1270" i="1"/>
  <c r="X1270" i="1" s="1"/>
  <c r="W1254" i="1"/>
  <c r="X1254" i="1" s="1"/>
  <c r="W1238" i="1"/>
  <c r="X1238" i="1" s="1"/>
  <c r="W1855" i="1"/>
  <c r="X1855" i="1" s="1"/>
  <c r="W1754" i="1"/>
  <c r="X1754" i="1" s="1"/>
  <c r="W1498" i="1"/>
  <c r="X1498" i="1" s="1"/>
  <c r="W1306" i="1"/>
  <c r="X1306" i="1" s="1"/>
  <c r="W1602" i="1"/>
  <c r="X1602" i="1" s="1"/>
  <c r="W1586" i="1"/>
  <c r="X1586" i="1" s="1"/>
  <c r="W1394" i="1"/>
  <c r="X1394" i="1" s="1"/>
  <c r="W1378" i="1"/>
  <c r="X1378" i="1" s="1"/>
  <c r="W1690" i="1"/>
  <c r="X1690" i="1" s="1"/>
  <c r="W1354" i="1"/>
  <c r="X1354" i="1" s="1"/>
  <c r="W2097" i="1"/>
  <c r="X2097" i="1" s="1"/>
  <c r="W1937" i="1"/>
  <c r="X1937" i="1" s="1"/>
  <c r="W1822" i="1"/>
  <c r="X1822" i="1" s="1"/>
  <c r="W1742" i="1"/>
  <c r="X1742" i="1" s="1"/>
  <c r="W1694" i="1"/>
  <c r="X1694" i="1" s="1"/>
  <c r="W1518" i="1"/>
  <c r="X1518" i="1" s="1"/>
  <c r="W1242" i="1"/>
  <c r="X1242" i="1" s="1"/>
  <c r="W3588" i="1"/>
  <c r="X3588" i="1" s="1"/>
  <c r="W3555" i="1"/>
  <c r="X3555" i="1" s="1"/>
  <c r="W3535" i="1"/>
  <c r="X3535" i="1" s="1"/>
  <c r="W3527" i="1"/>
  <c r="X3527" i="1" s="1"/>
  <c r="W3567" i="1"/>
  <c r="X3567" i="1" s="1"/>
  <c r="W3486" i="1"/>
  <c r="X3486" i="1" s="1"/>
  <c r="W3482" i="1"/>
  <c r="X3482" i="1" s="1"/>
  <c r="W3404" i="1"/>
  <c r="X3404" i="1" s="1"/>
  <c r="W3388" i="1"/>
  <c r="X3388" i="1" s="1"/>
  <c r="W3420" i="1"/>
  <c r="X3420" i="1" s="1"/>
  <c r="W3465" i="1"/>
  <c r="X3465" i="1" s="1"/>
  <c r="W3400" i="1"/>
  <c r="X3400" i="1" s="1"/>
  <c r="W3342" i="1"/>
  <c r="X3342" i="1" s="1"/>
  <c r="W3322" i="1"/>
  <c r="X3322" i="1" s="1"/>
  <c r="W3314" i="1"/>
  <c r="X3314" i="1" s="1"/>
  <c r="W3306" i="1"/>
  <c r="X3306" i="1" s="1"/>
  <c r="W3298" i="1"/>
  <c r="X3298" i="1" s="1"/>
  <c r="W3290" i="1"/>
  <c r="X3290" i="1" s="1"/>
  <c r="W3282" i="1"/>
  <c r="X3282" i="1" s="1"/>
  <c r="W3274" i="1"/>
  <c r="X3274" i="1" s="1"/>
  <c r="W3370" i="1"/>
  <c r="X3370" i="1" s="1"/>
  <c r="W3366" i="1"/>
  <c r="X3366" i="1" s="1"/>
  <c r="W3266" i="1"/>
  <c r="X3266" i="1" s="1"/>
  <c r="W3237" i="1"/>
  <c r="X3237" i="1" s="1"/>
  <c r="W3220" i="1"/>
  <c r="X3220" i="1" s="1"/>
  <c r="W3202" i="1"/>
  <c r="X3202" i="1" s="1"/>
  <c r="W3193" i="1"/>
  <c r="X3193" i="1" s="1"/>
  <c r="W3101" i="1"/>
  <c r="X3101" i="1" s="1"/>
  <c r="W3069" i="1"/>
  <c r="X3069" i="1" s="1"/>
  <c r="W3093" i="1"/>
  <c r="X3093" i="1" s="1"/>
  <c r="W3078" i="1"/>
  <c r="X3078" i="1" s="1"/>
  <c r="W3004" i="1"/>
  <c r="X3004" i="1" s="1"/>
  <c r="W3001" i="1"/>
  <c r="X3001" i="1" s="1"/>
  <c r="W2972" i="1"/>
  <c r="X2972" i="1" s="1"/>
  <c r="W2969" i="1"/>
  <c r="X2969" i="1" s="1"/>
  <c r="W2937" i="1"/>
  <c r="X2937" i="1" s="1"/>
  <c r="W3094" i="1"/>
  <c r="X3094" i="1" s="1"/>
  <c r="W3012" i="1"/>
  <c r="X3012" i="1" s="1"/>
  <c r="W2992" i="1"/>
  <c r="X2992" i="1" s="1"/>
  <c r="W2947" i="1"/>
  <c r="X2947" i="1" s="1"/>
  <c r="W2898" i="1"/>
  <c r="X2898" i="1" s="1"/>
  <c r="W2834" i="1"/>
  <c r="X2834" i="1" s="1"/>
  <c r="W2770" i="1"/>
  <c r="X2770" i="1" s="1"/>
  <c r="W2894" i="1"/>
  <c r="X2894" i="1" s="1"/>
  <c r="W2830" i="1"/>
  <c r="X2830" i="1" s="1"/>
  <c r="W2766" i="1"/>
  <c r="X2766" i="1" s="1"/>
  <c r="W2703" i="1"/>
  <c r="X2703" i="1" s="1"/>
  <c r="W2683" i="1"/>
  <c r="X2683" i="1" s="1"/>
  <c r="W2462" i="1"/>
  <c r="X2462" i="1" s="1"/>
  <c r="W2148" i="1"/>
  <c r="X2148" i="1" s="1"/>
  <c r="W2442" i="1"/>
  <c r="X2442" i="1" s="1"/>
  <c r="W2139" i="1"/>
  <c r="X2139" i="1" s="1"/>
  <c r="W2134" i="1"/>
  <c r="X2134" i="1" s="1"/>
  <c r="W2077" i="1"/>
  <c r="X2077" i="1" s="1"/>
  <c r="W2061" i="1"/>
  <c r="X2061" i="1" s="1"/>
  <c r="W2045" i="1"/>
  <c r="X2045" i="1" s="1"/>
  <c r="W2029" i="1"/>
  <c r="X2029" i="1" s="1"/>
  <c r="W2013" i="1"/>
  <c r="X2013" i="1" s="1"/>
  <c r="W1997" i="1"/>
  <c r="X1997" i="1" s="1"/>
  <c r="W1981" i="1"/>
  <c r="X1981" i="1" s="1"/>
  <c r="W1965" i="1"/>
  <c r="X1965" i="1" s="1"/>
  <c r="W1949" i="1"/>
  <c r="X1949" i="1" s="1"/>
  <c r="W1933" i="1"/>
  <c r="X1933" i="1" s="1"/>
  <c r="W1872" i="1"/>
  <c r="X1872" i="1" s="1"/>
  <c r="W1919" i="1"/>
  <c r="X1919" i="1" s="1"/>
  <c r="W1848" i="1"/>
  <c r="X1848" i="1" s="1"/>
  <c r="W1825" i="1"/>
  <c r="X1825" i="1" s="1"/>
  <c r="W1441" i="1"/>
  <c r="X1441" i="1" s="1"/>
  <c r="W1377" i="1"/>
  <c r="X1377" i="1" s="1"/>
  <c r="W1175" i="1"/>
  <c r="X1175" i="1" s="1"/>
  <c r="W1833" i="1"/>
  <c r="X1833" i="1" s="1"/>
  <c r="W1401" i="1"/>
  <c r="X1401" i="1" s="1"/>
  <c r="W1187" i="1"/>
  <c r="X1187" i="1" s="1"/>
  <c r="W1184" i="1"/>
  <c r="X1184" i="1" s="1"/>
  <c r="W3515" i="1"/>
  <c r="X3515" i="1" s="1"/>
  <c r="W3470" i="1"/>
  <c r="X3470" i="1" s="1"/>
  <c r="W3483" i="1"/>
  <c r="X3483" i="1" s="1"/>
  <c r="W3379" i="1"/>
  <c r="X3379" i="1" s="1"/>
  <c r="W3326" i="1"/>
  <c r="X3326" i="1" s="1"/>
  <c r="W3458" i="1"/>
  <c r="X3458" i="1" s="1"/>
  <c r="W3405" i="1"/>
  <c r="X3405" i="1" s="1"/>
  <c r="W3354" i="1"/>
  <c r="X3354" i="1" s="1"/>
  <c r="W3350" i="1"/>
  <c r="X3350" i="1" s="1"/>
  <c r="W3208" i="1"/>
  <c r="X3208" i="1" s="1"/>
  <c r="W3149" i="1"/>
  <c r="X3149" i="1" s="1"/>
  <c r="W3097" i="1"/>
  <c r="X3097" i="1" s="1"/>
  <c r="W3161" i="1"/>
  <c r="X3161" i="1" s="1"/>
  <c r="W3129" i="1"/>
  <c r="X3129" i="1" s="1"/>
  <c r="W3283" i="1"/>
  <c r="X3283" i="1" s="1"/>
  <c r="W3125" i="1"/>
  <c r="X3125" i="1" s="1"/>
  <c r="W3049" i="1"/>
  <c r="X3049" i="1" s="1"/>
  <c r="W3028" i="1"/>
  <c r="X3028" i="1" s="1"/>
  <c r="W2750" i="1"/>
  <c r="X2750" i="1" s="1"/>
  <c r="W2656" i="1"/>
  <c r="X2656" i="1" s="1"/>
  <c r="W2641" i="1"/>
  <c r="X2641" i="1" s="1"/>
  <c r="W2633" i="1"/>
  <c r="X2633" i="1" s="1"/>
  <c r="W2617" i="1"/>
  <c r="X2617" i="1" s="1"/>
  <c r="W2505" i="1"/>
  <c r="X2505" i="1" s="1"/>
  <c r="W2465" i="1"/>
  <c r="X2465" i="1" s="1"/>
  <c r="W2731" i="1"/>
  <c r="X2731" i="1" s="1"/>
  <c r="W2649" i="1"/>
  <c r="X2649" i="1" s="1"/>
  <c r="W2609" i="1"/>
  <c r="X2609" i="1" s="1"/>
  <c r="W2441" i="1"/>
  <c r="X2441" i="1" s="1"/>
  <c r="W2509" i="1"/>
  <c r="X2509" i="1" s="1"/>
  <c r="W2367" i="1"/>
  <c r="X2367" i="1" s="1"/>
  <c r="W2319" i="1"/>
  <c r="X2319" i="1" s="1"/>
  <c r="W2207" i="1"/>
  <c r="X2207" i="1" s="1"/>
  <c r="W2661" i="1"/>
  <c r="X2661" i="1" s="1"/>
  <c r="W2183" i="1"/>
  <c r="X2183" i="1" s="1"/>
  <c r="W2140" i="1"/>
  <c r="X2140" i="1" s="1"/>
  <c r="W2132" i="1"/>
  <c r="X2132" i="1" s="1"/>
  <c r="W2827" i="1"/>
  <c r="X2827" i="1" s="1"/>
  <c r="W1852" i="1"/>
  <c r="X1852" i="1" s="1"/>
  <c r="W2124" i="1"/>
  <c r="X2124" i="1" s="1"/>
  <c r="W1350" i="1"/>
  <c r="X1350" i="1" s="1"/>
  <c r="W1302" i="1"/>
  <c r="X1302" i="1" s="1"/>
  <c r="W1222" i="1"/>
  <c r="X1222" i="1" s="1"/>
  <c r="W1834" i="1"/>
  <c r="X1834" i="1" s="1"/>
  <c r="W1290" i="1"/>
  <c r="X1290" i="1" s="1"/>
  <c r="W1426" i="1"/>
  <c r="X1426" i="1" s="1"/>
  <c r="W1410" i="1"/>
  <c r="X1410" i="1" s="1"/>
  <c r="W1330" i="1"/>
  <c r="X1330" i="1" s="1"/>
  <c r="W1888" i="1"/>
  <c r="X1888" i="1" s="1"/>
  <c r="W1790" i="1"/>
  <c r="X1790" i="1" s="1"/>
  <c r="W1582" i="1"/>
  <c r="X1582" i="1" s="1"/>
  <c r="W1470" i="1"/>
  <c r="X1470" i="1" s="1"/>
  <c r="W1198" i="1"/>
  <c r="X1198" i="1" s="1"/>
  <c r="W3592" i="1"/>
  <c r="X3592" i="1" s="1"/>
  <c r="W3572" i="1"/>
  <c r="X3572" i="1" s="1"/>
  <c r="W3571" i="1"/>
  <c r="X3571" i="1" s="1"/>
  <c r="W3519" i="1"/>
  <c r="X3519" i="1" s="1"/>
  <c r="W3490" i="1"/>
  <c r="X3490" i="1" s="1"/>
  <c r="W3451" i="1"/>
  <c r="X3451" i="1" s="1"/>
  <c r="W3424" i="1"/>
  <c r="X3424" i="1" s="1"/>
  <c r="W3436" i="1"/>
  <c r="X3436" i="1" s="1"/>
  <c r="W3396" i="1"/>
  <c r="X3396" i="1" s="1"/>
  <c r="W3358" i="1"/>
  <c r="X3358" i="1" s="1"/>
  <c r="W3259" i="1"/>
  <c r="X3259" i="1" s="1"/>
  <c r="W3382" i="1"/>
  <c r="X3382" i="1" s="1"/>
  <c r="W3253" i="1"/>
  <c r="X3253" i="1" s="1"/>
  <c r="W3201" i="1"/>
  <c r="X3201" i="1" s="1"/>
  <c r="W3116" i="1"/>
  <c r="X3116" i="1" s="1"/>
  <c r="W3086" i="1"/>
  <c r="X3086" i="1" s="1"/>
  <c r="W3054" i="1"/>
  <c r="X3054" i="1" s="1"/>
  <c r="W3077" i="1"/>
  <c r="X3077" i="1" s="1"/>
  <c r="W3104" i="1"/>
  <c r="X3104" i="1" s="1"/>
  <c r="W3020" i="1"/>
  <c r="X3020" i="1" s="1"/>
  <c r="W2980" i="1"/>
  <c r="X2980" i="1" s="1"/>
  <c r="W2977" i="1"/>
  <c r="X2977" i="1" s="1"/>
  <c r="W2968" i="1"/>
  <c r="X2968" i="1" s="1"/>
  <c r="W2936" i="1"/>
  <c r="X2936" i="1" s="1"/>
  <c r="W3000" i="1"/>
  <c r="X3000" i="1" s="1"/>
  <c r="W2960" i="1"/>
  <c r="X2960" i="1" s="1"/>
  <c r="W2914" i="1"/>
  <c r="X2914" i="1" s="1"/>
  <c r="W2850" i="1"/>
  <c r="X2850" i="1" s="1"/>
  <c r="W2786" i="1"/>
  <c r="X2786" i="1" s="1"/>
  <c r="W2722" i="1"/>
  <c r="X2722" i="1" s="1"/>
  <c r="W2910" i="1"/>
  <c r="X2910" i="1" s="1"/>
  <c r="W2846" i="1"/>
  <c r="X2846" i="1" s="1"/>
  <c r="W2782" i="1"/>
  <c r="X2782" i="1" s="1"/>
  <c r="W2706" i="1"/>
  <c r="X2706" i="1" s="1"/>
  <c r="W2690" i="1"/>
  <c r="X2690" i="1" s="1"/>
  <c r="W2682" i="1"/>
  <c r="X2682" i="1" s="1"/>
  <c r="W2450" i="1"/>
  <c r="X2450" i="1" s="1"/>
  <c r="W2705" i="1"/>
  <c r="X2705" i="1" s="1"/>
  <c r="W2147" i="1"/>
  <c r="X2147" i="1" s="1"/>
  <c r="W2144" i="1"/>
  <c r="X2144" i="1" s="1"/>
  <c r="W1927" i="1"/>
  <c r="X1927" i="1" s="1"/>
  <c r="W1857" i="1"/>
  <c r="X1857" i="1" s="1"/>
  <c r="W2156" i="1"/>
  <c r="X2156" i="1" s="1"/>
  <c r="W2008" i="1"/>
  <c r="X2008" i="1" s="1"/>
  <c r="W1944" i="1"/>
  <c r="X1944" i="1" s="1"/>
  <c r="W1880" i="1"/>
  <c r="X1880" i="1" s="1"/>
  <c r="W2202" i="1"/>
  <c r="X2202" i="1" s="1"/>
  <c r="W2198" i="1"/>
  <c r="X2198" i="1" s="1"/>
  <c r="W2182" i="1"/>
  <c r="X2182" i="1" s="1"/>
  <c r="W2166" i="1"/>
  <c r="X2166" i="1" s="1"/>
  <c r="W2108" i="1"/>
  <c r="X2108" i="1" s="1"/>
  <c r="W2068" i="1"/>
  <c r="X2068" i="1" s="1"/>
  <c r="W2004" i="1"/>
  <c r="X2004" i="1" s="1"/>
  <c r="W1940" i="1"/>
  <c r="X1940" i="1" s="1"/>
  <c r="W1924" i="1"/>
  <c r="X1924" i="1" s="1"/>
  <c r="W1782" i="1"/>
  <c r="X1782" i="1" s="1"/>
  <c r="W1777" i="1"/>
  <c r="X1777" i="1" s="1"/>
  <c r="W1398" i="1"/>
  <c r="X1398" i="1" s="1"/>
  <c r="W1393" i="1"/>
  <c r="X1393" i="1" s="1"/>
  <c r="W1183" i="1"/>
  <c r="X1183" i="1" s="1"/>
  <c r="W1180" i="1"/>
  <c r="X1180" i="1" s="1"/>
  <c r="W1722" i="1"/>
  <c r="X1722" i="1" s="1"/>
  <c r="W1538" i="1"/>
  <c r="X1538" i="1" s="1"/>
  <c r="W1801" i="1"/>
  <c r="X1801" i="1" s="1"/>
  <c r="W1433" i="1"/>
  <c r="X1433" i="1" s="1"/>
  <c r="W1385" i="1"/>
  <c r="X1385" i="1" s="1"/>
  <c r="W1209" i="1"/>
  <c r="X1209" i="1" s="1"/>
  <c r="W1418" i="1"/>
  <c r="X1418" i="1" s="1"/>
  <c r="W3613" i="1"/>
  <c r="X3613" i="1" s="1"/>
  <c r="W3539" i="1"/>
  <c r="X3539" i="1" s="1"/>
  <c r="W3466" i="1"/>
  <c r="X3466" i="1" s="1"/>
  <c r="W3564" i="1"/>
  <c r="X3564" i="1" s="1"/>
  <c r="W3524" i="1"/>
  <c r="X3524" i="1" s="1"/>
  <c r="W3449" i="1"/>
  <c r="X3449" i="1" s="1"/>
  <c r="W3432" i="1"/>
  <c r="X3432" i="1" s="1"/>
  <c r="W3408" i="1"/>
  <c r="X3408" i="1" s="1"/>
  <c r="W3339" i="1"/>
  <c r="X3339" i="1" s="1"/>
  <c r="W3226" i="1"/>
  <c r="X3226" i="1" s="1"/>
  <c r="W3181" i="1"/>
  <c r="X3181" i="1" s="1"/>
  <c r="W3224" i="1"/>
  <c r="X3224" i="1" s="1"/>
  <c r="W3070" i="1"/>
  <c r="X3070" i="1" s="1"/>
  <c r="W3080" i="1"/>
  <c r="X3080" i="1" s="1"/>
  <c r="W2993" i="1"/>
  <c r="X2993" i="1" s="1"/>
  <c r="W2952" i="1"/>
  <c r="X2952" i="1" s="1"/>
  <c r="W3315" i="1"/>
  <c r="X3315" i="1" s="1"/>
  <c r="W3057" i="1"/>
  <c r="X3057" i="1" s="1"/>
  <c r="W2871" i="1"/>
  <c r="X2871" i="1" s="1"/>
  <c r="W2754" i="1"/>
  <c r="X2754" i="1" s="1"/>
  <c r="W2743" i="1"/>
  <c r="X2743" i="1" s="1"/>
  <c r="W2686" i="1"/>
  <c r="X2686" i="1" s="1"/>
  <c r="W2961" i="1"/>
  <c r="X2961" i="1" s="1"/>
  <c r="W2878" i="1"/>
  <c r="X2878" i="1" s="1"/>
  <c r="W2814" i="1"/>
  <c r="X2814" i="1" s="1"/>
  <c r="W2755" i="1"/>
  <c r="X2755" i="1" s="1"/>
  <c r="W2811" i="1"/>
  <c r="X2811" i="1" s="1"/>
  <c r="W2601" i="1"/>
  <c r="X2601" i="1" s="1"/>
  <c r="W2585" i="1"/>
  <c r="X2585" i="1" s="1"/>
  <c r="W2473" i="1"/>
  <c r="X2473" i="1" s="1"/>
  <c r="W2565" i="1"/>
  <c r="X2565" i="1" s="1"/>
  <c r="W2549" i="1"/>
  <c r="X2549" i="1" s="1"/>
  <c r="W2517" i="1"/>
  <c r="X2517" i="1" s="1"/>
  <c r="W2481" i="1"/>
  <c r="X2481" i="1" s="1"/>
  <c r="W2431" i="1"/>
  <c r="X2431" i="1" s="1"/>
  <c r="W2415" i="1"/>
  <c r="X2415" i="1" s="1"/>
  <c r="W2399" i="1"/>
  <c r="X2399" i="1" s="1"/>
  <c r="W2351" i="1"/>
  <c r="X2351" i="1" s="1"/>
  <c r="W2335" i="1"/>
  <c r="X2335" i="1" s="1"/>
  <c r="W2271" i="1"/>
  <c r="X2271" i="1" s="1"/>
  <c r="W2255" i="1"/>
  <c r="X2255" i="1" s="1"/>
  <c r="W2160" i="1"/>
  <c r="X2160" i="1" s="1"/>
  <c r="W1895" i="1"/>
  <c r="X1895" i="1" s="1"/>
  <c r="W1841" i="1"/>
  <c r="X1841" i="1" s="1"/>
  <c r="W2379" i="1"/>
  <c r="X2379" i="1" s="1"/>
  <c r="W2346" i="1"/>
  <c r="X2346" i="1" s="1"/>
  <c r="W1976" i="1"/>
  <c r="X1976" i="1" s="1"/>
  <c r="W1945" i="1"/>
  <c r="X1945" i="1" s="1"/>
  <c r="W2330" i="1"/>
  <c r="X2330" i="1" s="1"/>
  <c r="W2162" i="1"/>
  <c r="X2162" i="1" s="1"/>
  <c r="W2092" i="1"/>
  <c r="X2092" i="1" s="1"/>
  <c r="W2036" i="1"/>
  <c r="X2036" i="1" s="1"/>
  <c r="W1972" i="1"/>
  <c r="X1972" i="1" s="1"/>
  <c r="W1892" i="1"/>
  <c r="X1892" i="1" s="1"/>
  <c r="W1864" i="1"/>
  <c r="X1864" i="1" s="1"/>
  <c r="W1814" i="1"/>
  <c r="X1814" i="1" s="1"/>
  <c r="W1425" i="1"/>
  <c r="X1425" i="1" s="1"/>
  <c r="W1334" i="1"/>
  <c r="X1334" i="1" s="1"/>
  <c r="W1318" i="1"/>
  <c r="X1318" i="1" s="1"/>
  <c r="W1206" i="1"/>
  <c r="X1206" i="1" s="1"/>
  <c r="W1188" i="1"/>
  <c r="X1188" i="1" s="1"/>
  <c r="W1594" i="1"/>
  <c r="X1594" i="1" s="1"/>
  <c r="W1322" i="1"/>
  <c r="X1322" i="1" s="1"/>
  <c r="W1698" i="1"/>
  <c r="X1698" i="1" s="1"/>
  <c r="W1458" i="1"/>
  <c r="X1458" i="1" s="1"/>
  <c r="W1442" i="1"/>
  <c r="X1442" i="1" s="1"/>
  <c r="W1346" i="1"/>
  <c r="X1346" i="1" s="1"/>
  <c r="W1274" i="1"/>
  <c r="X1274" i="1" s="1"/>
  <c r="W2065" i="1"/>
  <c r="X2065" i="1" s="1"/>
  <c r="W2001" i="1"/>
  <c r="X2001" i="1" s="1"/>
  <c r="W1849" i="1"/>
  <c r="X1849" i="1" s="1"/>
  <c r="W1550" i="1"/>
  <c r="X1550" i="1" s="1"/>
  <c r="W1422" i="1"/>
  <c r="X1422" i="1" s="1"/>
  <c r="W1374" i="1"/>
  <c r="X1374" i="1" s="1"/>
  <c r="W1310" i="1"/>
  <c r="X1310" i="1" s="1"/>
  <c r="W1193" i="1"/>
  <c r="X1193" i="1" s="1"/>
  <c r="W3608" i="1"/>
  <c r="X3608" i="1" s="1"/>
  <c r="W3597" i="1"/>
  <c r="X3597" i="1" s="1"/>
  <c r="W3531" i="1"/>
  <c r="X3531" i="1" s="1"/>
  <c r="W3523" i="1"/>
  <c r="X3523" i="1" s="1"/>
  <c r="W3547" i="1"/>
  <c r="X3547" i="1" s="1"/>
  <c r="W3494" i="1"/>
  <c r="X3494" i="1" s="1"/>
  <c r="W3454" i="1"/>
  <c r="X3454" i="1" s="1"/>
  <c r="W3506" i="1"/>
  <c r="X3506" i="1" s="1"/>
  <c r="W3467" i="1"/>
  <c r="X3467" i="1" s="1"/>
  <c r="W3450" i="1"/>
  <c r="X3450" i="1" s="1"/>
  <c r="W3412" i="1"/>
  <c r="X3412" i="1" s="1"/>
  <c r="W3416" i="1"/>
  <c r="X3416" i="1" s="1"/>
  <c r="W3374" i="1"/>
  <c r="X3374" i="1" s="1"/>
  <c r="W3318" i="1"/>
  <c r="X3318" i="1" s="1"/>
  <c r="W3310" i="1"/>
  <c r="X3310" i="1" s="1"/>
  <c r="W3302" i="1"/>
  <c r="X3302" i="1" s="1"/>
  <c r="W3294" i="1"/>
  <c r="X3294" i="1" s="1"/>
  <c r="W3286" i="1"/>
  <c r="X3286" i="1" s="1"/>
  <c r="W3278" i="1"/>
  <c r="X3278" i="1" s="1"/>
  <c r="W3258" i="1"/>
  <c r="X3258" i="1" s="1"/>
  <c r="W3338" i="1"/>
  <c r="X3338" i="1" s="1"/>
  <c r="W3334" i="1"/>
  <c r="X3334" i="1" s="1"/>
  <c r="W3212" i="1"/>
  <c r="X3212" i="1" s="1"/>
  <c r="W3186" i="1"/>
  <c r="X3186" i="1" s="1"/>
  <c r="W3245" i="1"/>
  <c r="X3245" i="1" s="1"/>
  <c r="W3085" i="1"/>
  <c r="X3085" i="1" s="1"/>
  <c r="W3053" i="1"/>
  <c r="X3053" i="1" s="1"/>
  <c r="W3061" i="1"/>
  <c r="X3061" i="1" s="1"/>
  <c r="W3036" i="1"/>
  <c r="X3036" i="1" s="1"/>
  <c r="W2988" i="1"/>
  <c r="X2988" i="1" s="1"/>
  <c r="W2985" i="1"/>
  <c r="X2985" i="1" s="1"/>
  <c r="W2953" i="1"/>
  <c r="X2953" i="1" s="1"/>
  <c r="W3044" i="1"/>
  <c r="X3044" i="1" s="1"/>
  <c r="W2976" i="1"/>
  <c r="X2976" i="1" s="1"/>
  <c r="W2944" i="1"/>
  <c r="X2944" i="1" s="1"/>
  <c r="W2930" i="1"/>
  <c r="X2930" i="1" s="1"/>
  <c r="W2866" i="1"/>
  <c r="X2866" i="1" s="1"/>
  <c r="W2802" i="1"/>
  <c r="X2802" i="1" s="1"/>
  <c r="W2738" i="1"/>
  <c r="X2738" i="1" s="1"/>
  <c r="W2963" i="1"/>
  <c r="X2963" i="1" s="1"/>
  <c r="W2926" i="1"/>
  <c r="X2926" i="1" s="1"/>
  <c r="W2867" i="1"/>
  <c r="X2867" i="1" s="1"/>
  <c r="W2862" i="1"/>
  <c r="X2862" i="1" s="1"/>
  <c r="W2803" i="1"/>
  <c r="X2803" i="1" s="1"/>
  <c r="W2798" i="1"/>
  <c r="X2798" i="1" s="1"/>
  <c r="W2739" i="1"/>
  <c r="X2739" i="1" s="1"/>
  <c r="W2734" i="1"/>
  <c r="X2734" i="1" s="1"/>
  <c r="W2711" i="1"/>
  <c r="X2711" i="1" s="1"/>
  <c r="W2695" i="1"/>
  <c r="X2695" i="1" s="1"/>
  <c r="W2911" i="1"/>
  <c r="X2911" i="1" s="1"/>
  <c r="W2879" i="1"/>
  <c r="X2879" i="1" s="1"/>
  <c r="W2847" i="1"/>
  <c r="X2847" i="1" s="1"/>
  <c r="W2815" i="1"/>
  <c r="X2815" i="1" s="1"/>
  <c r="W2783" i="1"/>
  <c r="X2783" i="1" s="1"/>
  <c r="W2751" i="1"/>
  <c r="X2751" i="1" s="1"/>
  <c r="W2719" i="1"/>
  <c r="X2719" i="1" s="1"/>
  <c r="W2466" i="1"/>
  <c r="X2466" i="1" s="1"/>
  <c r="W2449" i="1"/>
  <c r="X2449" i="1" s="1"/>
  <c r="W2668" i="1"/>
  <c r="X2668" i="1" s="1"/>
  <c r="W2629" i="1"/>
  <c r="X2629" i="1" s="1"/>
  <c r="W2446" i="1"/>
  <c r="X2446" i="1" s="1"/>
  <c r="W1911" i="1"/>
  <c r="X1911" i="1" s="1"/>
  <c r="W1875" i="1"/>
  <c r="X1875" i="1" s="1"/>
  <c r="W1856" i="1"/>
  <c r="X1856" i="1" s="1"/>
  <c r="W1887" i="1"/>
  <c r="X1887" i="1" s="1"/>
  <c r="W1879" i="1"/>
  <c r="X1879" i="1" s="1"/>
  <c r="W1793" i="1"/>
  <c r="X1793" i="1" s="1"/>
  <c r="W1409" i="1"/>
  <c r="X1409" i="1" s="1"/>
  <c r="W1802" i="1"/>
  <c r="X1802" i="1" s="1"/>
  <c r="W1578" i="1"/>
  <c r="X1578" i="1" s="1"/>
  <c r="W1562" i="1"/>
  <c r="X1562" i="1" s="1"/>
  <c r="W1514" i="1"/>
  <c r="X1514" i="1" s="1"/>
  <c r="W1482" i="1"/>
  <c r="X1482" i="1" s="1"/>
  <c r="W1450" i="1"/>
  <c r="X1450" i="1" s="1"/>
  <c r="W1338" i="1"/>
  <c r="X1338" i="1" s="1"/>
  <c r="W1730" i="1"/>
  <c r="X1730" i="1" s="1"/>
  <c r="W1714" i="1"/>
  <c r="X1714" i="1" s="1"/>
  <c r="W1618" i="1"/>
  <c r="X1618" i="1" s="1"/>
  <c r="W1522" i="1"/>
  <c r="X1522" i="1" s="1"/>
  <c r="W1506" i="1"/>
  <c r="X1506" i="1" s="1"/>
  <c r="W1490" i="1"/>
  <c r="X1490" i="1" s="1"/>
  <c r="W1474" i="1"/>
  <c r="X1474" i="1" s="1"/>
  <c r="W1362" i="1"/>
  <c r="X1362" i="1" s="1"/>
  <c r="W1266" i="1"/>
  <c r="X1266" i="1" s="1"/>
  <c r="W1250" i="1"/>
  <c r="X1250" i="1" s="1"/>
  <c r="W1234" i="1"/>
  <c r="X1234" i="1" s="1"/>
  <c r="W1218" i="1"/>
  <c r="X1218" i="1" s="1"/>
  <c r="W1818" i="1"/>
  <c r="X1818" i="1" s="1"/>
  <c r="W1738" i="1"/>
  <c r="X1738" i="1" s="1"/>
  <c r="W1626" i="1"/>
  <c r="X1626" i="1" s="1"/>
  <c r="W1530" i="1"/>
  <c r="X1530" i="1" s="1"/>
  <c r="W1402" i="1"/>
  <c r="X1402" i="1" s="1"/>
  <c r="W1851" i="1"/>
  <c r="X1851" i="1" s="1"/>
  <c r="W1817" i="1"/>
  <c r="X1817" i="1" s="1"/>
  <c r="W1785" i="1"/>
  <c r="X1785" i="1" s="1"/>
  <c r="W1726" i="1"/>
  <c r="X1726" i="1" s="1"/>
  <c r="W1678" i="1"/>
  <c r="X1678" i="1" s="1"/>
  <c r="W1646" i="1"/>
  <c r="X1646" i="1" s="1"/>
  <c r="W1614" i="1"/>
  <c r="X1614" i="1" s="1"/>
  <c r="W1502" i="1"/>
  <c r="X1502" i="1" s="1"/>
  <c r="W1438" i="1"/>
  <c r="X1438" i="1" s="1"/>
  <c r="W1417" i="1"/>
  <c r="X1417" i="1" s="1"/>
  <c r="W1390" i="1"/>
  <c r="X1390" i="1" s="1"/>
  <c r="W1342" i="1"/>
  <c r="X1342" i="1" s="1"/>
  <c r="W1262" i="1"/>
  <c r="X1262" i="1" s="1"/>
  <c r="W1230" i="1"/>
  <c r="X1230" i="1" s="1"/>
  <c r="W1179" i="1"/>
  <c r="X1179" i="1" s="1"/>
  <c r="W602" i="1"/>
  <c r="X602" i="1" s="1"/>
  <c r="W163" i="1"/>
  <c r="X163" i="1" s="1"/>
  <c r="W592" i="1"/>
  <c r="X592" i="1" s="1"/>
  <c r="W101" i="1"/>
  <c r="X101" i="1" s="1"/>
  <c r="W175" i="1"/>
  <c r="X175" i="1" s="1"/>
  <c r="W83" i="1"/>
  <c r="X83" i="1" s="1"/>
  <c r="W935" i="1"/>
  <c r="X935" i="1" s="1"/>
  <c r="W1089" i="1"/>
  <c r="X1089" i="1" s="1"/>
  <c r="W1024" i="1"/>
  <c r="X1024" i="1" s="1"/>
  <c r="W933" i="1"/>
  <c r="X933" i="1" s="1"/>
  <c r="W608" i="1"/>
  <c r="X608" i="1" s="1"/>
  <c r="W1102" i="1"/>
  <c r="X1102" i="1" s="1"/>
  <c r="W297" i="1"/>
  <c r="X297" i="1" s="1"/>
  <c r="W513" i="1"/>
  <c r="X513" i="1" s="1"/>
  <c r="X110" i="1"/>
  <c r="W637" i="1"/>
  <c r="X637" i="1" s="1"/>
  <c r="W322" i="1"/>
  <c r="X322" i="1" s="1"/>
  <c r="W949" i="1"/>
  <c r="X949" i="1" s="1"/>
  <c r="W629" i="1"/>
  <c r="X629" i="1" s="1"/>
  <c r="W866" i="1"/>
  <c r="X866" i="1" s="1"/>
  <c r="W990" i="1"/>
  <c r="X990" i="1" s="1"/>
  <c r="W900" i="1"/>
  <c r="X900" i="1" s="1"/>
  <c r="W563" i="1"/>
  <c r="X563" i="1" s="1"/>
  <c r="W1004" i="1"/>
  <c r="X1004" i="1" s="1"/>
  <c r="W539" i="1"/>
  <c r="X539" i="1" s="1"/>
  <c r="W20" i="1"/>
  <c r="X20" i="1" s="1"/>
  <c r="W652" i="1"/>
  <c r="X652" i="1" s="1"/>
  <c r="W452" i="1"/>
  <c r="X452" i="1" s="1"/>
  <c r="W344" i="1"/>
  <c r="X344" i="1" s="1"/>
  <c r="W660" i="1"/>
  <c r="X660" i="1" s="1"/>
  <c r="W1072" i="1"/>
  <c r="X1072" i="1" s="1"/>
  <c r="X436" i="1"/>
  <c r="W998" i="1"/>
  <c r="X998" i="1" s="1"/>
  <c r="W357" i="1"/>
  <c r="X357" i="1" s="1"/>
  <c r="W503" i="1"/>
  <c r="X503" i="1" s="1"/>
  <c r="W250" i="1"/>
  <c r="X250" i="1" s="1"/>
  <c r="W82" i="1"/>
  <c r="X82" i="1" s="1"/>
  <c r="W49" i="1"/>
  <c r="X49" i="1" s="1"/>
  <c r="W158" i="1"/>
  <c r="X158" i="1" s="1"/>
  <c r="W17" i="1"/>
  <c r="X17" i="1" s="1"/>
  <c r="W80" i="1"/>
  <c r="X80" i="1" s="1"/>
  <c r="W1076" i="1"/>
  <c r="X1076" i="1" s="1"/>
  <c r="W33" i="1"/>
  <c r="X33" i="1" s="1"/>
  <c r="X28" i="1"/>
  <c r="W800" i="1"/>
  <c r="X800" i="1" s="1"/>
  <c r="W130" i="1"/>
  <c r="X130" i="1" s="1"/>
  <c r="W1139" i="1"/>
  <c r="X1139" i="1" s="1"/>
  <c r="W291" i="1"/>
  <c r="X291" i="1" s="1"/>
  <c r="W462" i="1"/>
  <c r="X462" i="1" s="1"/>
  <c r="W212" i="1"/>
  <c r="X212" i="1" s="1"/>
  <c r="W136" i="1"/>
  <c r="X136" i="1" s="1"/>
  <c r="W1156" i="1"/>
  <c r="X1156" i="1" s="1"/>
  <c r="W857" i="1"/>
  <c r="X857" i="1" s="1"/>
  <c r="W698" i="1"/>
  <c r="X698" i="1" s="1"/>
  <c r="W524" i="1"/>
  <c r="X524" i="1" s="1"/>
  <c r="W316" i="1"/>
  <c r="X316" i="1" s="1"/>
  <c r="W1021" i="1"/>
  <c r="X1021" i="1" s="1"/>
  <c r="W844" i="1"/>
  <c r="X844" i="1" s="1"/>
  <c r="W730" i="1"/>
  <c r="X730" i="1" s="1"/>
  <c r="W244" i="1"/>
  <c r="X244" i="1" s="1"/>
  <c r="W557" i="1"/>
  <c r="X557" i="1" s="1"/>
  <c r="W479" i="1"/>
  <c r="X479" i="1" s="1"/>
  <c r="W124" i="1"/>
  <c r="X124" i="1" s="1"/>
  <c r="W913" i="1"/>
  <c r="X913" i="1" s="1"/>
  <c r="W968" i="1"/>
  <c r="X968" i="1" s="1"/>
  <c r="W943" i="1"/>
  <c r="X943" i="1" s="1"/>
  <c r="W519" i="1"/>
  <c r="X519" i="1" s="1"/>
  <c r="W449" i="1"/>
  <c r="X449" i="1" s="1"/>
  <c r="W115" i="1"/>
  <c r="X115" i="1" s="1"/>
  <c r="W926" i="1"/>
  <c r="X926" i="1" s="1"/>
  <c r="W722" i="1"/>
  <c r="X722" i="1" s="1"/>
  <c r="W488" i="1"/>
  <c r="X488" i="1" s="1"/>
  <c r="W377" i="1"/>
  <c r="X377" i="1" s="1"/>
  <c r="W354" i="1"/>
  <c r="X354" i="1" s="1"/>
  <c r="W307" i="1"/>
  <c r="X307" i="1" s="1"/>
  <c r="W638" i="1"/>
  <c r="X638" i="1" s="1"/>
  <c r="W222" i="1"/>
  <c r="X222" i="1" s="1"/>
  <c r="W468" i="1"/>
  <c r="X468" i="1" s="1"/>
  <c r="W334" i="1"/>
  <c r="X334" i="1" s="1"/>
  <c r="W679" i="1"/>
  <c r="X679" i="1" s="1"/>
  <c r="W435" i="1"/>
  <c r="X435" i="1" s="1"/>
  <c r="W594" i="1"/>
  <c r="X594" i="1" s="1"/>
  <c r="W365" i="1"/>
  <c r="X365" i="1" s="1"/>
  <c r="W706" i="1"/>
  <c r="X706" i="1" s="1"/>
  <c r="W1010" i="1"/>
  <c r="X1010" i="1" s="1"/>
  <c r="W579" i="1"/>
  <c r="X579" i="1" s="1"/>
  <c r="W460" i="1"/>
  <c r="X460" i="1" s="1"/>
  <c r="W1013" i="1"/>
  <c r="X1013" i="1" s="1"/>
  <c r="W651" i="1"/>
  <c r="X651" i="1" s="1"/>
  <c r="W294" i="1"/>
  <c r="X294" i="1" s="1"/>
  <c r="W232" i="1"/>
  <c r="X232" i="1" s="1"/>
  <c r="W481" i="1"/>
  <c r="X481" i="1" s="1"/>
  <c r="W306" i="1"/>
  <c r="X306" i="1" s="1"/>
  <c r="W187" i="1"/>
  <c r="X187" i="1" s="1"/>
  <c r="W154" i="1"/>
  <c r="X154" i="1" s="1"/>
  <c r="W867" i="1"/>
  <c r="X867" i="1" s="1"/>
  <c r="W765" i="1"/>
  <c r="X765" i="1" s="1"/>
  <c r="W572" i="1"/>
  <c r="X572" i="1" s="1"/>
  <c r="W394" i="1"/>
  <c r="X394" i="1" s="1"/>
  <c r="W282" i="1"/>
  <c r="X282" i="1" s="1"/>
  <c r="W85" i="1"/>
  <c r="X85" i="1" s="1"/>
  <c r="W634" i="1"/>
  <c r="X634" i="1" s="1"/>
  <c r="W92" i="1"/>
  <c r="X92" i="1" s="1"/>
  <c r="W1017" i="1"/>
  <c r="X1017" i="1" s="1"/>
  <c r="W423" i="1"/>
  <c r="X423" i="1" s="1"/>
  <c r="W862" i="1"/>
  <c r="X862" i="1" s="1"/>
  <c r="W596" i="1"/>
  <c r="X596" i="1" s="1"/>
  <c r="W925" i="1"/>
  <c r="X925" i="1" s="1"/>
  <c r="W551" i="1"/>
  <c r="X551" i="1" s="1"/>
  <c r="W184" i="1"/>
  <c r="X184" i="1" s="1"/>
  <c r="W681" i="1"/>
  <c r="X681" i="1" s="1"/>
  <c r="W580" i="1"/>
  <c r="X580" i="1" s="1"/>
  <c r="W75" i="1"/>
  <c r="X75" i="1" s="1"/>
  <c r="W1037" i="1"/>
  <c r="X1037" i="1" s="1"/>
  <c r="W326" i="1"/>
  <c r="X326" i="1" s="1"/>
  <c r="W1137" i="1"/>
  <c r="X1137" i="1" s="1"/>
  <c r="W1088" i="1"/>
  <c r="X1088" i="1" s="1"/>
  <c r="W941" i="1"/>
  <c r="X941" i="1" s="1"/>
  <c r="W876" i="1"/>
  <c r="X876" i="1" s="1"/>
  <c r="W835" i="1"/>
  <c r="X835" i="1" s="1"/>
  <c r="W892" i="1"/>
  <c r="X892" i="1" s="1"/>
  <c r="W750" i="1"/>
  <c r="X750" i="1" s="1"/>
  <c r="W432" i="1"/>
  <c r="X432" i="1" s="1"/>
  <c r="W171" i="1"/>
  <c r="X171" i="1" s="1"/>
  <c r="W111" i="1"/>
  <c r="X111" i="1" s="1"/>
  <c r="W975" i="1"/>
  <c r="X975" i="1" s="1"/>
  <c r="W924" i="1"/>
  <c r="X924" i="1" s="1"/>
  <c r="W793" i="1"/>
  <c r="X793" i="1" s="1"/>
  <c r="W575" i="1"/>
  <c r="X575" i="1" s="1"/>
  <c r="W446" i="1"/>
  <c r="X446" i="1" s="1"/>
  <c r="W44" i="1"/>
  <c r="X44" i="1" s="1"/>
  <c r="W499" i="1"/>
  <c r="X499" i="1" s="1"/>
  <c r="W443" i="1"/>
  <c r="X443" i="1" s="1"/>
  <c r="W118" i="1"/>
  <c r="X118" i="1" s="1"/>
  <c r="W69" i="1"/>
  <c r="X69" i="1" s="1"/>
  <c r="W419" i="1"/>
  <c r="X419" i="1" s="1"/>
  <c r="W349" i="1"/>
  <c r="X349" i="1" s="1"/>
  <c r="W252" i="1"/>
  <c r="X252" i="1" s="1"/>
  <c r="W95" i="1"/>
  <c r="X95" i="1" s="1"/>
  <c r="W430" i="1"/>
  <c r="X430" i="1" s="1"/>
  <c r="W363" i="1"/>
  <c r="X363" i="1" s="1"/>
  <c r="W502" i="1"/>
  <c r="X502" i="1" s="1"/>
  <c r="W113" i="1"/>
  <c r="X113" i="1" s="1"/>
  <c r="W688" i="1"/>
  <c r="X688" i="1" s="1"/>
  <c r="W710" i="1"/>
  <c r="X710" i="1" s="1"/>
  <c r="W879" i="1"/>
  <c r="X879" i="1" s="1"/>
  <c r="W797" i="1"/>
  <c r="X797" i="1" s="1"/>
  <c r="W626" i="1"/>
  <c r="X626" i="1" s="1"/>
  <c r="W39" i="1"/>
  <c r="X39" i="1" s="1"/>
  <c r="W909" i="1"/>
  <c r="X909" i="1" s="1"/>
  <c r="W929" i="1"/>
  <c r="X929" i="1" s="1"/>
  <c r="W556" i="1"/>
  <c r="X556" i="1" s="1"/>
  <c r="W96" i="1"/>
  <c r="X96" i="1" s="1"/>
  <c r="W603" i="1"/>
  <c r="X603" i="1" s="1"/>
  <c r="W1123" i="1"/>
  <c r="X1123" i="1" s="1"/>
  <c r="W1106" i="1"/>
  <c r="X1106" i="1" s="1"/>
  <c r="W582" i="1"/>
  <c r="X582" i="1" s="1"/>
  <c r="W553" i="1"/>
  <c r="X553" i="1" s="1"/>
  <c r="W84" i="1"/>
  <c r="X84" i="1" s="1"/>
  <c r="W37" i="1"/>
  <c r="X37" i="1" s="1"/>
  <c r="W1002" i="1"/>
  <c r="X1002" i="1" s="1"/>
  <c r="W388" i="1"/>
  <c r="X388" i="1" s="1"/>
  <c r="W42" i="1"/>
  <c r="X42" i="1" s="1"/>
  <c r="W822" i="1"/>
  <c r="X822" i="1" s="1"/>
  <c r="W386" i="1"/>
  <c r="X386" i="1" s="1"/>
  <c r="W364" i="1"/>
  <c r="X364" i="1" s="1"/>
  <c r="W248" i="1"/>
  <c r="X248" i="1" s="1"/>
  <c r="W51" i="1"/>
  <c r="X51" i="1" s="1"/>
  <c r="W964" i="1"/>
  <c r="X964" i="1" s="1"/>
  <c r="W746" i="1"/>
  <c r="X746" i="1" s="1"/>
  <c r="W121" i="1"/>
  <c r="X121" i="1" s="1"/>
  <c r="W261" i="1"/>
  <c r="X261" i="1" s="1"/>
  <c r="W123" i="1"/>
  <c r="X123" i="1" s="1"/>
  <c r="W50" i="1"/>
  <c r="X50" i="1" s="1"/>
  <c r="W278" i="1"/>
  <c r="X278" i="1" s="1"/>
  <c r="W255" i="1"/>
  <c r="X255" i="1" s="1"/>
  <c r="W327" i="1"/>
  <c r="X327" i="1" s="1"/>
  <c r="W1070" i="1"/>
  <c r="X1070" i="1" s="1"/>
  <c r="W1018" i="1"/>
  <c r="X1018" i="1" s="1"/>
  <c r="W785" i="1"/>
  <c r="X785" i="1" s="1"/>
  <c r="W476" i="1"/>
  <c r="X476" i="1" s="1"/>
  <c r="W760" i="1"/>
  <c r="X760" i="1" s="1"/>
  <c r="W636" i="1"/>
  <c r="X636" i="1" s="1"/>
  <c r="W236" i="1"/>
  <c r="X236" i="1" s="1"/>
  <c r="W882" i="1"/>
  <c r="X882" i="1" s="1"/>
  <c r="W149" i="1"/>
  <c r="X149" i="1" s="1"/>
  <c r="W970" i="1"/>
  <c r="X970" i="1" s="1"/>
  <c r="W168" i="1"/>
  <c r="X168" i="1" s="1"/>
  <c r="W99" i="1"/>
  <c r="X99" i="1" s="1"/>
  <c r="W10" i="1" l="1"/>
  <c r="W5" i="1" s="1"/>
  <c r="X10" i="1" l="1"/>
  <c r="X5" i="1" s="1"/>
</calcChain>
</file>

<file path=xl/sharedStrings.xml><?xml version="1.0" encoding="utf-8"?>
<sst xmlns="http://schemas.openxmlformats.org/spreadsheetml/2006/main" count="29945" uniqueCount="10067">
  <si>
    <t>PEDIDO</t>
  </si>
  <si>
    <t>POR UNIDAD</t>
  </si>
  <si>
    <t>BRAND</t>
  </si>
  <si>
    <t>RANGE</t>
  </si>
  <si>
    <t>SUB-RANGE</t>
  </si>
  <si>
    <t>BAR CODE</t>
  </si>
  <si>
    <t>REF</t>
  </si>
  <si>
    <t>DESCRIPTION</t>
  </si>
  <si>
    <t>LISTA
$</t>
  </si>
  <si>
    <t>DSCTO
%</t>
  </si>
  <si>
    <t>DSCTO
$</t>
  </si>
  <si>
    <t>COSTO
TIENDA</t>
  </si>
  <si>
    <t>IVA
%</t>
  </si>
  <si>
    <t>IVA
$</t>
  </si>
  <si>
    <t>NETO
$</t>
  </si>
  <si>
    <t>CANTIDAD A SOLICITAR</t>
  </si>
  <si>
    <t>SCALE75</t>
  </si>
  <si>
    <t>SCALE COLOR</t>
  </si>
  <si>
    <t>SUPER-MATT</t>
  </si>
  <si>
    <t>8412548245591</t>
  </si>
  <si>
    <t>SC-00</t>
  </si>
  <si>
    <t>Bottles
(17 mL)</t>
  </si>
  <si>
    <t>1</t>
  </si>
  <si>
    <t>BLACK</t>
  </si>
  <si>
    <t xml:space="preserve"> </t>
  </si>
  <si>
    <t>8412548244204</t>
  </si>
  <si>
    <t>SC-01</t>
  </si>
  <si>
    <t>WHITE</t>
  </si>
  <si>
    <t>8412548244211</t>
  </si>
  <si>
    <t>SC-02</t>
  </si>
  <si>
    <t>NACAR</t>
  </si>
  <si>
    <t>8412548244228</t>
  </si>
  <si>
    <t>SC-03</t>
  </si>
  <si>
    <t>GRAPHITE</t>
  </si>
  <si>
    <t>8412548244235</t>
  </si>
  <si>
    <t>SC-04</t>
  </si>
  <si>
    <t>ANTHRACITE GREY</t>
  </si>
  <si>
    <t>8412548244242</t>
  </si>
  <si>
    <t>SC-05</t>
  </si>
  <si>
    <t>ARCTIC BLUE</t>
  </si>
  <si>
    <t>8412548244259</t>
  </si>
  <si>
    <t>SC-06</t>
  </si>
  <si>
    <t>BERING BLUE</t>
  </si>
  <si>
    <t>8412548244266</t>
  </si>
  <si>
    <t>SC-07</t>
  </si>
  <si>
    <t>CASPIAN BLUE</t>
  </si>
  <si>
    <t>8412548244273</t>
  </si>
  <si>
    <t>SC-08</t>
  </si>
  <si>
    <t>ABYSSAL BLUE</t>
  </si>
  <si>
    <t>8412548245430</t>
  </si>
  <si>
    <t>SC-09</t>
  </si>
  <si>
    <t>WHITE SANDS</t>
  </si>
  <si>
    <t>8412548245522</t>
  </si>
  <si>
    <t>SC-10</t>
  </si>
  <si>
    <t>TENERE YELLOW</t>
  </si>
  <si>
    <t>8412548245539</t>
  </si>
  <si>
    <t>SC-11</t>
  </si>
  <si>
    <t>SAHARA YELLOW</t>
  </si>
  <si>
    <t>8412548245546</t>
  </si>
  <si>
    <t>SC-12</t>
  </si>
  <si>
    <t>GOBI BROWN</t>
  </si>
  <si>
    <t>8412548245553</t>
  </si>
  <si>
    <t>SC-13</t>
  </si>
  <si>
    <t>DUBAI BROWN</t>
  </si>
  <si>
    <t>8412548245560</t>
  </si>
  <si>
    <t>SC-14</t>
  </si>
  <si>
    <t>KALAHARI ORANGE</t>
  </si>
  <si>
    <t>8412548245577</t>
  </si>
  <si>
    <t>SC-15</t>
  </si>
  <si>
    <t>ADRIATIC BLUE</t>
  </si>
  <si>
    <t>8412548245584</t>
  </si>
  <si>
    <t>SC-16</t>
  </si>
  <si>
    <t>ECLIPSE GREY</t>
  </si>
  <si>
    <t>8412548247120</t>
  </si>
  <si>
    <t>SC-17</t>
  </si>
  <si>
    <t>PALE SKIN</t>
  </si>
  <si>
    <t>8412548247137</t>
  </si>
  <si>
    <t>SC-18</t>
  </si>
  <si>
    <t>LIGHT SKIN</t>
  </si>
  <si>
    <t>8412548247144</t>
  </si>
  <si>
    <t>SC-19</t>
  </si>
  <si>
    <t>GOLDEN SKIN</t>
  </si>
  <si>
    <t>8412548247151</t>
  </si>
  <si>
    <t>SC-20</t>
  </si>
  <si>
    <t>BASIC FLESH</t>
  </si>
  <si>
    <t>8412548247168</t>
  </si>
  <si>
    <t>SC-21</t>
  </si>
  <si>
    <t>PINK FLESH</t>
  </si>
  <si>
    <t>8412548247175</t>
  </si>
  <si>
    <t>SC-22</t>
  </si>
  <si>
    <t>ARABIC SHADOW</t>
  </si>
  <si>
    <t>8412548247182</t>
  </si>
  <si>
    <t>SC-23</t>
  </si>
  <si>
    <t>INDIAN SHADOW</t>
  </si>
  <si>
    <t>8412548247199</t>
  </si>
  <si>
    <t>SC-24</t>
  </si>
  <si>
    <t>AFRICAN SHADOW</t>
  </si>
  <si>
    <t>8412548248110</t>
  </si>
  <si>
    <t>SC-25</t>
  </si>
  <si>
    <t>BIRCH</t>
  </si>
  <si>
    <t>8412548248127</t>
  </si>
  <si>
    <t>SC-26</t>
  </si>
  <si>
    <t>SANDALWOOD</t>
  </si>
  <si>
    <t>8412548248134</t>
  </si>
  <si>
    <t>SC-27</t>
  </si>
  <si>
    <t>IROKO</t>
  </si>
  <si>
    <t>8412548248141</t>
  </si>
  <si>
    <t>SC-28</t>
  </si>
  <si>
    <t>ORANGE LEATHER</t>
  </si>
  <si>
    <t>8412548248158</t>
  </si>
  <si>
    <t>SC-29</t>
  </si>
  <si>
    <t>WALNUT</t>
  </si>
  <si>
    <t>8412548248165</t>
  </si>
  <si>
    <t>SC-30</t>
  </si>
  <si>
    <t>RED LEATHER</t>
  </si>
  <si>
    <t>8412548248172</t>
  </si>
  <si>
    <t>SC-31</t>
  </si>
  <si>
    <t>BROWN LEATHER</t>
  </si>
  <si>
    <t>8412548248189</t>
  </si>
  <si>
    <t>SC-32</t>
  </si>
  <si>
    <t>BLACK LEATHER</t>
  </si>
  <si>
    <t>8412548250205</t>
  </si>
  <si>
    <t>SC-33</t>
  </si>
  <si>
    <t>SUNSET PURPLE</t>
  </si>
  <si>
    <t>8412548250212</t>
  </si>
  <si>
    <t>SC-34</t>
  </si>
  <si>
    <t>FUCHSIA</t>
  </si>
  <si>
    <t>8412548250229</t>
  </si>
  <si>
    <t>SC-35</t>
  </si>
  <si>
    <t>DEEP RED</t>
  </si>
  <si>
    <t>8412548250236</t>
  </si>
  <si>
    <t>SC-36</t>
  </si>
  <si>
    <t>BLOOD RED</t>
  </si>
  <si>
    <t>8412548250243</t>
  </si>
  <si>
    <t>SC-37</t>
  </si>
  <si>
    <t>ANTARES RED</t>
  </si>
  <si>
    <t>8412548250250</t>
  </si>
  <si>
    <t>SC-38</t>
  </si>
  <si>
    <t>ALDEBARAN RED</t>
  </si>
  <si>
    <t>8412548250267</t>
  </si>
  <si>
    <t>SC-39</t>
  </si>
  <si>
    <t>MARS ORANGE</t>
  </si>
  <si>
    <t>8412548250274</t>
  </si>
  <si>
    <t>SC-40</t>
  </si>
  <si>
    <t>SOL YELLOW</t>
  </si>
  <si>
    <t>8412548251417</t>
  </si>
  <si>
    <t>SC-41</t>
  </si>
  <si>
    <t>BLACK FOREST GREEN</t>
  </si>
  <si>
    <t>8412548251424</t>
  </si>
  <si>
    <t>SC-42</t>
  </si>
  <si>
    <t>BOREAL GREEN</t>
  </si>
  <si>
    <t>8412548251431</t>
  </si>
  <si>
    <t>SC-43</t>
  </si>
  <si>
    <t>IRATI GREEN</t>
  </si>
  <si>
    <t>8412548251448</t>
  </si>
  <si>
    <t>SC-44</t>
  </si>
  <si>
    <t>SHERWOOD GREEN</t>
  </si>
  <si>
    <t>8412548251455</t>
  </si>
  <si>
    <t>SC-45</t>
  </si>
  <si>
    <t>ARDENNES GREEN</t>
  </si>
  <si>
    <t>8412548251462</t>
  </si>
  <si>
    <t>SC-46</t>
  </si>
  <si>
    <t>FIELD GREY</t>
  </si>
  <si>
    <t>8412548251479</t>
  </si>
  <si>
    <t>SC-47</t>
  </si>
  <si>
    <t>SPRING GREEN</t>
  </si>
  <si>
    <t>8412548251486</t>
  </si>
  <si>
    <t>SC-48</t>
  </si>
  <si>
    <t>FALL GREEN</t>
  </si>
  <si>
    <t>8412548251943</t>
  </si>
  <si>
    <t>SC-49</t>
  </si>
  <si>
    <t>CARIBBEAN BLUE</t>
  </si>
  <si>
    <t>8412548251967</t>
  </si>
  <si>
    <t>SC-50</t>
  </si>
  <si>
    <t>SKI BLUE</t>
  </si>
  <si>
    <t>8412548251981</t>
  </si>
  <si>
    <t>SC-51</t>
  </si>
  <si>
    <t>MEDITERRANEAN BLUE</t>
  </si>
  <si>
    <t>8412548252049</t>
  </si>
  <si>
    <t>SC-52</t>
  </si>
  <si>
    <t>TESLA BLUE</t>
  </si>
  <si>
    <t>8412548252056</t>
  </si>
  <si>
    <t>SC-53</t>
  </si>
  <si>
    <t>CANTABRIC BLUE</t>
  </si>
  <si>
    <t>8412548252063</t>
  </si>
  <si>
    <t>SC-54</t>
  </si>
  <si>
    <t>NAVY BLUE</t>
  </si>
  <si>
    <t>8412548252070</t>
  </si>
  <si>
    <t>SC-55</t>
  </si>
  <si>
    <t>DEEP BLUE</t>
  </si>
  <si>
    <t>8412548252087</t>
  </si>
  <si>
    <t>SC-56</t>
  </si>
  <si>
    <t xml:space="preserve">VIOLET </t>
  </si>
  <si>
    <t>8412548252957</t>
  </si>
  <si>
    <t>SC-57</t>
  </si>
  <si>
    <t>PETROLEUM GREY</t>
  </si>
  <si>
    <t>8412548252964</t>
  </si>
  <si>
    <t>SC-58</t>
  </si>
  <si>
    <t>GRAPHENE GREY</t>
  </si>
  <si>
    <t>8412548252971</t>
  </si>
  <si>
    <t>SC-59</t>
  </si>
  <si>
    <t>BROWN GREY</t>
  </si>
  <si>
    <t>8412548252988</t>
  </si>
  <si>
    <t>SC-60</t>
  </si>
  <si>
    <t>RAINY GREY</t>
  </si>
  <si>
    <t>8412548252995</t>
  </si>
  <si>
    <t>SC-61</t>
  </si>
  <si>
    <t>THAR BROWN</t>
  </si>
  <si>
    <t>8412548253008</t>
  </si>
  <si>
    <t>SC-62</t>
  </si>
  <si>
    <t>MOJAVE WHITE</t>
  </si>
  <si>
    <t>METAL N' ALCHEMY</t>
  </si>
  <si>
    <t>8412548257334</t>
  </si>
  <si>
    <t>SC-63</t>
  </si>
  <si>
    <t>BLACK METAL</t>
  </si>
  <si>
    <t>8412548257341</t>
  </si>
  <si>
    <t>SC-64</t>
  </si>
  <si>
    <t>THRASH METAL</t>
  </si>
  <si>
    <t>8412548257358</t>
  </si>
  <si>
    <t>SC-65</t>
  </si>
  <si>
    <t>HEAVY METAL</t>
  </si>
  <si>
    <t>8412548257365</t>
  </si>
  <si>
    <t>SC-66</t>
  </si>
  <si>
    <t>SPEED METAL</t>
  </si>
  <si>
    <t>8412548257372</t>
  </si>
  <si>
    <t>SC-67</t>
  </si>
  <si>
    <t>WHITE METAL</t>
  </si>
  <si>
    <t>8412548257389</t>
  </si>
  <si>
    <t>SC-68</t>
  </si>
  <si>
    <t>COBALT METAL</t>
  </si>
  <si>
    <t>8412548257396</t>
  </si>
  <si>
    <t>SC-69</t>
  </si>
  <si>
    <t>EMERALD ALCHEMY</t>
  </si>
  <si>
    <t>8412548257402</t>
  </si>
  <si>
    <t>SC-70</t>
  </si>
  <si>
    <t>AMETHYST ALCHEMY</t>
  </si>
  <si>
    <t>8412548259444</t>
  </si>
  <si>
    <t>SC-71</t>
  </si>
  <si>
    <t>NECRO GOLD</t>
  </si>
  <si>
    <t>8412548259451</t>
  </si>
  <si>
    <t>SC-72</t>
  </si>
  <si>
    <t>VIKING GOLD</t>
  </si>
  <si>
    <t>8412548259475</t>
  </si>
  <si>
    <t>SC-73</t>
  </si>
  <si>
    <t>DWARVEN GOLD</t>
  </si>
  <si>
    <t>8412548259468</t>
  </si>
  <si>
    <t>SC-74</t>
  </si>
  <si>
    <t>ELVEN GOLD</t>
  </si>
  <si>
    <t>8412548259482</t>
  </si>
  <si>
    <t>SC-75</t>
  </si>
  <si>
    <t>CITRINE ALCHEMY</t>
  </si>
  <si>
    <t>8412548259505</t>
  </si>
  <si>
    <t>SC-76</t>
  </si>
  <si>
    <t>TOURMALINE ALCHEMY</t>
  </si>
  <si>
    <t>8412548259512</t>
  </si>
  <si>
    <t>SC-77</t>
  </si>
  <si>
    <t>KUNZITE ALCHEMY</t>
  </si>
  <si>
    <t>8412548259499</t>
  </si>
  <si>
    <t>SC-78</t>
  </si>
  <si>
    <t>PERIDOT ALCHEMY</t>
  </si>
  <si>
    <t>INKTENSITY</t>
  </si>
  <si>
    <t>8412548260785</t>
  </si>
  <si>
    <t>SC-79</t>
  </si>
  <si>
    <t>INKTENSE BLACK</t>
  </si>
  <si>
    <t>8412548260792</t>
  </si>
  <si>
    <t>SC-80</t>
  </si>
  <si>
    <t>INKTENSE WOOD</t>
  </si>
  <si>
    <t>8412548260808</t>
  </si>
  <si>
    <t>SC-81</t>
  </si>
  <si>
    <t>INKTENSE CHESTNUT</t>
  </si>
  <si>
    <t>8412548260815</t>
  </si>
  <si>
    <t>SC-82</t>
  </si>
  <si>
    <t>INKTENSE VIOLET</t>
  </si>
  <si>
    <t>8412548260822</t>
  </si>
  <si>
    <t>SC-83</t>
  </si>
  <si>
    <t>INKTENSE BLUE</t>
  </si>
  <si>
    <t>8412548260839</t>
  </si>
  <si>
    <t>SC-84</t>
  </si>
  <si>
    <t>INKTENSE GREEN</t>
  </si>
  <si>
    <t>8412548260846</t>
  </si>
  <si>
    <t>SC-85</t>
  </si>
  <si>
    <t>INKTENSE RED</t>
  </si>
  <si>
    <t>8412548260853</t>
  </si>
  <si>
    <t>SC-86</t>
  </si>
  <si>
    <t>INKTENSE YELLOW</t>
  </si>
  <si>
    <t>8412548275208</t>
  </si>
  <si>
    <t>SC-87</t>
  </si>
  <si>
    <t>DECAYED METAL</t>
  </si>
  <si>
    <t>8412548275215</t>
  </si>
  <si>
    <t>SC-88</t>
  </si>
  <si>
    <t>OLD COPPER</t>
  </si>
  <si>
    <t>8412548275222</t>
  </si>
  <si>
    <t>SC-89</t>
  </si>
  <si>
    <t>GARNET ALCHEMY</t>
  </si>
  <si>
    <t>8412548275239</t>
  </si>
  <si>
    <t>SC-90</t>
  </si>
  <si>
    <t>RUBY ALCHEMY</t>
  </si>
  <si>
    <t>8412548275246</t>
  </si>
  <si>
    <t>SC-91</t>
  </si>
  <si>
    <t>PURE COPPER</t>
  </si>
  <si>
    <t>8412548275253</t>
  </si>
  <si>
    <t>SC-92</t>
  </si>
  <si>
    <t>VICTORIAN BRASS</t>
  </si>
  <si>
    <t>8412548275260</t>
  </si>
  <si>
    <t>SC-93</t>
  </si>
  <si>
    <t>AMBER ALCHEMY</t>
  </si>
  <si>
    <t>8412548275277</t>
  </si>
  <si>
    <t>SC-94</t>
  </si>
  <si>
    <t>MOONSTONE ALCHEMY</t>
  </si>
  <si>
    <t>8412548890500</t>
  </si>
  <si>
    <t>SC-95</t>
  </si>
  <si>
    <t>INKTENSE BROWN</t>
  </si>
  <si>
    <t>8412548890524</t>
  </si>
  <si>
    <t>SC-96</t>
  </si>
  <si>
    <t>INKTENSE CRIMSON</t>
  </si>
  <si>
    <t>8412548890548</t>
  </si>
  <si>
    <t>SC-97</t>
  </si>
  <si>
    <t>INKTENSE OXIDE</t>
  </si>
  <si>
    <t>8412548890579</t>
  </si>
  <si>
    <t>SC-98</t>
  </si>
  <si>
    <t>INKTENSE OCHRE</t>
  </si>
  <si>
    <t>8412548890609</t>
  </si>
  <si>
    <t>SC-99</t>
  </si>
  <si>
    <t>INKTENSE CYAN</t>
  </si>
  <si>
    <t>8412548890623</t>
  </si>
  <si>
    <t>SC-100</t>
  </si>
  <si>
    <t>INKTENSE LIME</t>
  </si>
  <si>
    <t>8412548890647</t>
  </si>
  <si>
    <t>SC-101</t>
  </si>
  <si>
    <t>INKTENSE OLIVE</t>
  </si>
  <si>
    <t>8412548890661</t>
  </si>
  <si>
    <t>SC-102</t>
  </si>
  <si>
    <t>INKTENSE WHITE</t>
  </si>
  <si>
    <t>FX FLOUR EXPERIENCE</t>
  </si>
  <si>
    <t>8423153061520</t>
  </si>
  <si>
    <t>SFX-00</t>
  </si>
  <si>
    <t>BRILLI WHITE</t>
  </si>
  <si>
    <t>8423153061513</t>
  </si>
  <si>
    <t>SFX-01</t>
  </si>
  <si>
    <t>ORANGE NEON</t>
  </si>
  <si>
    <t>8423153061483</t>
  </si>
  <si>
    <t>SFX-02</t>
  </si>
  <si>
    <t>ACID PINK</t>
  </si>
  <si>
    <t>8423153061544</t>
  </si>
  <si>
    <t>SFX-03</t>
  </si>
  <si>
    <t>PSYCHEDELIC PURPLE</t>
  </si>
  <si>
    <t>8423153061537</t>
  </si>
  <si>
    <t>SFX-04</t>
  </si>
  <si>
    <t>ELECTRIC BLUE</t>
  </si>
  <si>
    <t>8423153061506</t>
  </si>
  <si>
    <t>SFX-05</t>
  </si>
  <si>
    <t>TECHNO GREEN</t>
  </si>
  <si>
    <t>8423153061476</t>
  </si>
  <si>
    <t>SFX-06</t>
  </si>
  <si>
    <t>SPEED YELLOW</t>
  </si>
  <si>
    <t>8423153061490</t>
  </si>
  <si>
    <t>SFX-07</t>
  </si>
  <si>
    <t>RED ECSTASY</t>
  </si>
  <si>
    <t>SCALE COLOR SETS</t>
  </si>
  <si>
    <t>SSE-000</t>
  </si>
  <si>
    <t>63</t>
  </si>
  <si>
    <t>SCALECOLOR COLLECTION</t>
  </si>
  <si>
    <t>8412548209531</t>
  </si>
  <si>
    <t>SSE-001</t>
  </si>
  <si>
    <t>8</t>
  </si>
  <si>
    <t>NMM (STEEL)</t>
  </si>
  <si>
    <t>8412548245515</t>
  </si>
  <si>
    <t>SSE-002</t>
  </si>
  <si>
    <t>NMM (GOLD AND COPPER)</t>
  </si>
  <si>
    <t>8412548222554</t>
  </si>
  <si>
    <t>SSE-003</t>
  </si>
  <si>
    <t xml:space="preserve">FLESH </t>
  </si>
  <si>
    <t>8412548222547</t>
  </si>
  <si>
    <t>SSE-004</t>
  </si>
  <si>
    <t>WOOD and LEATHER</t>
  </si>
  <si>
    <t>8412548213163</t>
  </si>
  <si>
    <t>SSE-005</t>
  </si>
  <si>
    <t xml:space="preserve">BLOOD and FIRE </t>
  </si>
  <si>
    <t>8412548244396</t>
  </si>
  <si>
    <t>SSE-006</t>
  </si>
  <si>
    <t xml:space="preserve">COLORS of NATURE </t>
  </si>
  <si>
    <t>8412548252032</t>
  </si>
  <si>
    <t>SSE-007</t>
  </si>
  <si>
    <t xml:space="preserve">SKY and ICE </t>
  </si>
  <si>
    <t>8412548252896</t>
  </si>
  <si>
    <t>SSE-008</t>
  </si>
  <si>
    <t xml:space="preserve">BLACK and WHITE </t>
  </si>
  <si>
    <t>8412548257266</t>
  </si>
  <si>
    <t>SSE-009</t>
  </si>
  <si>
    <t>METAL'N ALCHEMY STEEL SERIES</t>
  </si>
  <si>
    <t>8412548257426</t>
  </si>
  <si>
    <t>SSE-010</t>
  </si>
  <si>
    <t>METAL'N ALCHEMY GOLDEN SERIES</t>
  </si>
  <si>
    <t>8412548259369</t>
  </si>
  <si>
    <t>SSE-011</t>
  </si>
  <si>
    <t>8412548271545</t>
  </si>
  <si>
    <t>SSE-021</t>
  </si>
  <si>
    <t xml:space="preserve">METAL'N ALCHEMY COPPER SERIES </t>
  </si>
  <si>
    <t>8423153061445</t>
  </si>
  <si>
    <t>SSE-052</t>
  </si>
  <si>
    <t>FX FLUOR EXPERIENCE</t>
  </si>
  <si>
    <t>FANTASY &amp; SC-RETARDER</t>
  </si>
  <si>
    <t>8423153062343</t>
  </si>
  <si>
    <t>SSE-056</t>
  </si>
  <si>
    <t>HUMAN EYES</t>
  </si>
  <si>
    <t>SUPER-MATT &amp; FANTASY</t>
  </si>
  <si>
    <t>7426974774069</t>
  </si>
  <si>
    <t>SSE-059</t>
  </si>
  <si>
    <t>VELVET SKIN</t>
  </si>
  <si>
    <t>7426974774076</t>
  </si>
  <si>
    <t>SSE-062</t>
  </si>
  <si>
    <t>INKTENSITY 2</t>
  </si>
  <si>
    <t>METALICS &amp; FLUOR &amp; INKS</t>
  </si>
  <si>
    <t>7426974774106</t>
  </si>
  <si>
    <t>SSE-063</t>
  </si>
  <si>
    <t>48</t>
  </si>
  <si>
    <t>COLOR FORGE COLLECTION</t>
  </si>
  <si>
    <t>SSE-075</t>
  </si>
  <si>
    <t>ESSENTIALS</t>
  </si>
  <si>
    <t>SSE-076</t>
  </si>
  <si>
    <t>ESSENTIALS 2</t>
  </si>
  <si>
    <t>COLOR THEORY</t>
  </si>
  <si>
    <t>7427047969146</t>
  </si>
  <si>
    <t>SBA-001</t>
  </si>
  <si>
    <t>Bottles /Tubes</t>
  </si>
  <si>
    <t>7 (17mL) / 11 (20mL)</t>
  </si>
  <si>
    <t>FANTASY &amp; GAMES</t>
  </si>
  <si>
    <t>8412548271569</t>
  </si>
  <si>
    <t>SFG-00</t>
  </si>
  <si>
    <t>Bottles (17 mL)</t>
  </si>
  <si>
    <t>DECAY BLACK</t>
  </si>
  <si>
    <t>8412548271637</t>
  </si>
  <si>
    <t>SFG-01</t>
  </si>
  <si>
    <t>PURITY WHITE</t>
  </si>
  <si>
    <t>8412548267982</t>
  </si>
  <si>
    <t>SFG-02</t>
  </si>
  <si>
    <t>HASTUR PURPLE</t>
  </si>
  <si>
    <t>8412548268095</t>
  </si>
  <si>
    <t>SFG-03</t>
  </si>
  <si>
    <t>MAYHEM RED</t>
  </si>
  <si>
    <t>8412548268101</t>
  </si>
  <si>
    <t>SFG-04</t>
  </si>
  <si>
    <t>BAAL CRIMSON</t>
  </si>
  <si>
    <t>8412548268118</t>
  </si>
  <si>
    <t>SFG-05</t>
  </si>
  <si>
    <t>BEHERIT RED</t>
  </si>
  <si>
    <t>8412548268163</t>
  </si>
  <si>
    <t>SFG-06</t>
  </si>
  <si>
    <t>TIAMAT ORANGE</t>
  </si>
  <si>
    <t>8412548268170</t>
  </si>
  <si>
    <t>SFG-07</t>
  </si>
  <si>
    <t>ISHTAR PINK</t>
  </si>
  <si>
    <t>8412548268149</t>
  </si>
  <si>
    <t>SFG-08</t>
  </si>
  <si>
    <t>MARDUK YELLOW</t>
  </si>
  <si>
    <t>8412548268156</t>
  </si>
  <si>
    <t>SFG-09</t>
  </si>
  <si>
    <t>LILITH YELLOW</t>
  </si>
  <si>
    <t>8412548267883</t>
  </si>
  <si>
    <t>SFG-10</t>
  </si>
  <si>
    <t>MISFITS GREEN</t>
  </si>
  <si>
    <t>8412548267890</t>
  </si>
  <si>
    <t>SFG-11</t>
  </si>
  <si>
    <t>BLOODFEST CRIMSON</t>
  </si>
  <si>
    <t>8412548267906</t>
  </si>
  <si>
    <t>SFG-12</t>
  </si>
  <si>
    <t>BRAINEATER AZURE</t>
  </si>
  <si>
    <t>8412548267913</t>
  </si>
  <si>
    <t>SFG-13</t>
  </si>
  <si>
    <t>UNDEAD FLESH</t>
  </si>
  <si>
    <t>8412548267920</t>
  </si>
  <si>
    <t>SFG-14</t>
  </si>
  <si>
    <t>RESURRECTION FLESH</t>
  </si>
  <si>
    <t>8412548267937</t>
  </si>
  <si>
    <t>SFG-15</t>
  </si>
  <si>
    <t>HARVESTER FLESH</t>
  </si>
  <si>
    <t>8412548267944</t>
  </si>
  <si>
    <t>SFG-16</t>
  </si>
  <si>
    <t>HELLBOUND FLESH</t>
  </si>
  <si>
    <t>8412548267951</t>
  </si>
  <si>
    <t>SFG-17</t>
  </si>
  <si>
    <t>MOONRAY FLESH</t>
  </si>
  <si>
    <t>8412548269030</t>
  </si>
  <si>
    <t>SFG-18</t>
  </si>
  <si>
    <t>RIFF GREEN</t>
  </si>
  <si>
    <t>8412548269047</t>
  </si>
  <si>
    <t>SFG-19</t>
  </si>
  <si>
    <t>ORCISH DERMIS</t>
  </si>
  <si>
    <t>8412548269054</t>
  </si>
  <si>
    <t>SFG-20</t>
  </si>
  <si>
    <t>MERM GREEN</t>
  </si>
  <si>
    <t>8412548269061</t>
  </si>
  <si>
    <t>SFG-21</t>
  </si>
  <si>
    <t>GREENSKIN FLESH</t>
  </si>
  <si>
    <t>8412548269078</t>
  </si>
  <si>
    <t>SFG-22</t>
  </si>
  <si>
    <t>SURFER ORC FLESH</t>
  </si>
  <si>
    <t>8412548269085</t>
  </si>
  <si>
    <t>SFG-23</t>
  </si>
  <si>
    <t>SLIMER GREEN</t>
  </si>
  <si>
    <t>8412548269092</t>
  </si>
  <si>
    <t>SFG-24</t>
  </si>
  <si>
    <t>GOBLIN FLESH</t>
  </si>
  <si>
    <t>8412548269108</t>
  </si>
  <si>
    <t>SFG-25</t>
  </si>
  <si>
    <t>TOXIC WASTE GREEN</t>
  </si>
  <si>
    <t>8412548270128</t>
  </si>
  <si>
    <t>SFG-26</t>
  </si>
  <si>
    <t>HULDRA BLUE</t>
  </si>
  <si>
    <t>8412548270135</t>
  </si>
  <si>
    <t>SFG-27</t>
  </si>
  <si>
    <t>ELDANDIL VIOLET</t>
  </si>
  <si>
    <t>8412548270142</t>
  </si>
  <si>
    <t>SFG-28</t>
  </si>
  <si>
    <t>ARPHEN JADE</t>
  </si>
  <si>
    <t>8412548270159</t>
  </si>
  <si>
    <t>SFG-29</t>
  </si>
  <si>
    <t>ARIANRHOD BLUE</t>
  </si>
  <si>
    <t>8412548270166</t>
  </si>
  <si>
    <t>SFG-30</t>
  </si>
  <si>
    <t>AMARTH BLUE</t>
  </si>
  <si>
    <t>8412548270173</t>
  </si>
  <si>
    <t>SFG-31</t>
  </si>
  <si>
    <t>JORILDYN TURQUOISE</t>
  </si>
  <si>
    <t>8412548270180</t>
  </si>
  <si>
    <t>SFG-32</t>
  </si>
  <si>
    <t>LENDANIS GREY</t>
  </si>
  <si>
    <t>8412548270197</t>
  </si>
  <si>
    <t>SFG-33</t>
  </si>
  <si>
    <t>HIRIL BLUE</t>
  </si>
  <si>
    <t>8412548270883</t>
  </si>
  <si>
    <t>SFG-34</t>
  </si>
  <si>
    <t>ARBUCKLES BROWN</t>
  </si>
  <si>
    <t>8412548270890</t>
  </si>
  <si>
    <t>SFG-35</t>
  </si>
  <si>
    <t>BOSH CHESNUT</t>
  </si>
  <si>
    <t>8412548270906</t>
  </si>
  <si>
    <t>SFG-36</t>
  </si>
  <si>
    <t>SHARPNEL RED</t>
  </si>
  <si>
    <t>8412548270913</t>
  </si>
  <si>
    <t>SFG-37</t>
  </si>
  <si>
    <t>VULCAN ORANGE</t>
  </si>
  <si>
    <t>8412548270920</t>
  </si>
  <si>
    <t>SFG-38</t>
  </si>
  <si>
    <t>COKUM COPPER</t>
  </si>
  <si>
    <t>8412548270937</t>
  </si>
  <si>
    <t>SFG-39</t>
  </si>
  <si>
    <t>PEANUT BUTTER</t>
  </si>
  <si>
    <t>8412548270944</t>
  </si>
  <si>
    <t>SFG-40</t>
  </si>
  <si>
    <t>BLACKERT BROWN</t>
  </si>
  <si>
    <t>8412548270951</t>
  </si>
  <si>
    <t>SFG-41</t>
  </si>
  <si>
    <t>HYKEY YELLOW</t>
  </si>
  <si>
    <t>8412548271576</t>
  </si>
  <si>
    <t>SFG-42</t>
  </si>
  <si>
    <t>NECRO GREY</t>
  </si>
  <si>
    <t>8412548271583</t>
  </si>
  <si>
    <t>SFG-43</t>
  </si>
  <si>
    <t>DESPAIR GREEN</t>
  </si>
  <si>
    <t>8412548271590</t>
  </si>
  <si>
    <t>SFG-44</t>
  </si>
  <si>
    <t>TINDALOS RED</t>
  </si>
  <si>
    <t>8412548271606</t>
  </si>
  <si>
    <t>SFG-45</t>
  </si>
  <si>
    <t>RLYEH GREY</t>
  </si>
  <si>
    <t>8412548271613</t>
  </si>
  <si>
    <t>SFG-46</t>
  </si>
  <si>
    <t>INNSMOUTH BLUE</t>
  </si>
  <si>
    <t>8412548271620</t>
  </si>
  <si>
    <t>SFG-47</t>
  </si>
  <si>
    <t>MISKATONIC GREY</t>
  </si>
  <si>
    <t>FANTASY &amp; GAMES SETS</t>
  </si>
  <si>
    <t>8412548267807</t>
  </si>
  <si>
    <t>SSE-014</t>
  </si>
  <si>
    <t>CRIATURES FROM HELL</t>
  </si>
  <si>
    <t>8412548267814</t>
  </si>
  <si>
    <t>SSE-015</t>
  </si>
  <si>
    <t xml:space="preserve">UNNATURAL FLESH </t>
  </si>
  <si>
    <t>8412548268972</t>
  </si>
  <si>
    <t>SSE-016</t>
  </si>
  <si>
    <t xml:space="preserve">ORCS AND GOBLINS </t>
  </si>
  <si>
    <t>8412548270050</t>
  </si>
  <si>
    <t>SSE-017</t>
  </si>
  <si>
    <t xml:space="preserve">ELVEN COLOURS </t>
  </si>
  <si>
    <t>8412548270807</t>
  </si>
  <si>
    <t>SSE-018</t>
  </si>
  <si>
    <t xml:space="preserve">STEAM AND PUNK </t>
  </si>
  <si>
    <t>8412548271484</t>
  </si>
  <si>
    <t>SSE-019</t>
  </si>
  <si>
    <t>SHADES OF DOOM</t>
  </si>
  <si>
    <t>8412548244129</t>
  </si>
  <si>
    <t>SSE-020</t>
  </si>
  <si>
    <t xml:space="preserve">FANTASY &amp; GAMES COLLECTION </t>
  </si>
  <si>
    <t>8423153061018</t>
  </si>
  <si>
    <t>SSE-048</t>
  </si>
  <si>
    <t>MAKEUP</t>
  </si>
  <si>
    <t>SSE-078</t>
  </si>
  <si>
    <t>BASIC COLORS</t>
  </si>
  <si>
    <t>SSE-079</t>
  </si>
  <si>
    <t>BASIC COLORS 2</t>
  </si>
  <si>
    <t>WARFRONT</t>
  </si>
  <si>
    <t>SW-00</t>
  </si>
  <si>
    <t>DUNKELGELB</t>
  </si>
  <si>
    <t>SW-01</t>
  </si>
  <si>
    <t>OLIVGRÜN</t>
  </si>
  <si>
    <t>SW-02</t>
  </si>
  <si>
    <t>ROTBRAUN</t>
  </si>
  <si>
    <t>SW-03</t>
  </si>
  <si>
    <t>ROTBRAUN PRIMER</t>
  </si>
  <si>
    <t>SW-04</t>
  </si>
  <si>
    <t>DUNKELGRAU</t>
  </si>
  <si>
    <t>SW-05</t>
  </si>
  <si>
    <t>DUNKELBRAUN</t>
  </si>
  <si>
    <t>SW-06</t>
  </si>
  <si>
    <t>GELBBRAUN</t>
  </si>
  <si>
    <t>SW-07</t>
  </si>
  <si>
    <t>GRAUGRUN</t>
  </si>
  <si>
    <t>SW-08</t>
  </si>
  <si>
    <t>CAMO MEDIUM BROWN</t>
  </si>
  <si>
    <t>SW-09</t>
  </si>
  <si>
    <t>CAMO DARK GREEN</t>
  </si>
  <si>
    <t>SW-10</t>
  </si>
  <si>
    <t>CAMO MEDIUM GREEN</t>
  </si>
  <si>
    <t>SW-11</t>
  </si>
  <si>
    <t>CAMO LIGHT GREEN</t>
  </si>
  <si>
    <t>SW-12</t>
  </si>
  <si>
    <t>CAMO OCHRE BROWN</t>
  </si>
  <si>
    <t>SW-13</t>
  </si>
  <si>
    <t>CAMO GREY BROWN</t>
  </si>
  <si>
    <t>SW-14</t>
  </si>
  <si>
    <t>CAMO HIGHLIGHTS</t>
  </si>
  <si>
    <t>SW-15</t>
  </si>
  <si>
    <t>FLAT BLACK</t>
  </si>
  <si>
    <t>SW-16</t>
  </si>
  <si>
    <t>CAMO GREY</t>
  </si>
  <si>
    <t>SW-17</t>
  </si>
  <si>
    <t>CAMO RED BROWN</t>
  </si>
  <si>
    <t>SW-18</t>
  </si>
  <si>
    <t>CAMO DARK BROWN</t>
  </si>
  <si>
    <t>SW-19</t>
  </si>
  <si>
    <t>CAMO GOLDEN BROWN</t>
  </si>
  <si>
    <t>SW-20</t>
  </si>
  <si>
    <t xml:space="preserve">CAMO ITALIAN GREEN </t>
  </si>
  <si>
    <t>SW-21</t>
  </si>
  <si>
    <t>CAMO YELLOW SAND</t>
  </si>
  <si>
    <t>SW-22</t>
  </si>
  <si>
    <t>CAMO TOP LIGHTS</t>
  </si>
  <si>
    <t>SW-23</t>
  </si>
  <si>
    <t>CAMO TOP SHADOWS</t>
  </si>
  <si>
    <t>SW-24</t>
  </si>
  <si>
    <t>DUNKELGELB 44</t>
  </si>
  <si>
    <t>SW-25</t>
  </si>
  <si>
    <t>ROTBRAUN 44</t>
  </si>
  <si>
    <t>SW-26</t>
  </si>
  <si>
    <t>OLIVGRÜN 44</t>
  </si>
  <si>
    <t>SW-27</t>
  </si>
  <si>
    <t>CREMEWEISS 44</t>
  </si>
  <si>
    <t>SW-28</t>
  </si>
  <si>
    <t>BRAUN</t>
  </si>
  <si>
    <t>SW-29</t>
  </si>
  <si>
    <t>GRAU</t>
  </si>
  <si>
    <t>SW-30</t>
  </si>
  <si>
    <t>GREEN OCHRE</t>
  </si>
  <si>
    <t>SW-31</t>
  </si>
  <si>
    <t>DESERT YELLOW</t>
  </si>
  <si>
    <t>SW-32</t>
  </si>
  <si>
    <t>SAND YELLOW</t>
  </si>
  <si>
    <t>SW-33</t>
  </si>
  <si>
    <t>DARK EARTH</t>
  </si>
  <si>
    <t>SW-34</t>
  </si>
  <si>
    <t>PALE EARTH</t>
  </si>
  <si>
    <t>SW-35</t>
  </si>
  <si>
    <t>OLIVE BROWN</t>
  </si>
  <si>
    <t>SW-36</t>
  </si>
  <si>
    <t>SAHARA SAND</t>
  </si>
  <si>
    <t>SW-37</t>
  </si>
  <si>
    <t>LEADEN SKY</t>
  </si>
  <si>
    <t>SW-38</t>
  </si>
  <si>
    <t>FIELD GREY 1</t>
  </si>
  <si>
    <t>SW-39</t>
  </si>
  <si>
    <t>FIELD GREY 2</t>
  </si>
  <si>
    <t>SW-40</t>
  </si>
  <si>
    <t>TITANIUM GREY</t>
  </si>
  <si>
    <t>SW-41</t>
  </si>
  <si>
    <t>SMOKE GREY</t>
  </si>
  <si>
    <t>SW-42</t>
  </si>
  <si>
    <t>SLATE GREY</t>
  </si>
  <si>
    <t>SW-43</t>
  </si>
  <si>
    <t>RUSSIAN GREEN</t>
  </si>
  <si>
    <t>SW-44</t>
  </si>
  <si>
    <t>RUSSIAN LIGHT GREEN</t>
  </si>
  <si>
    <t>SW-45</t>
  </si>
  <si>
    <t>RUSSIAN UNIFORM</t>
  </si>
  <si>
    <t>SW-46</t>
  </si>
  <si>
    <t>PANZER GREY</t>
  </si>
  <si>
    <t>SW-47</t>
  </si>
  <si>
    <t>PANZER YELLOW</t>
  </si>
  <si>
    <t>SW-48</t>
  </si>
  <si>
    <t>AMERICAN OLIVE</t>
  </si>
  <si>
    <t>SW-49</t>
  </si>
  <si>
    <t>OCEAN GREY</t>
  </si>
  <si>
    <t>SW-50</t>
  </si>
  <si>
    <t>US MEDIUM BROWN</t>
  </si>
  <si>
    <t>SW-51</t>
  </si>
  <si>
    <t>US DARK BROWN</t>
  </si>
  <si>
    <t>SW-52</t>
  </si>
  <si>
    <t>US GREEN</t>
  </si>
  <si>
    <t>SW-53</t>
  </si>
  <si>
    <t>RED LABEL</t>
  </si>
  <si>
    <t>SW-54</t>
  </si>
  <si>
    <t>YELLOW CODE</t>
  </si>
  <si>
    <t>SW-55</t>
  </si>
  <si>
    <t>FLIGHT BLUE</t>
  </si>
  <si>
    <t>SW-56</t>
  </si>
  <si>
    <t>LIGHT SKY</t>
  </si>
  <si>
    <t>SW-57</t>
  </si>
  <si>
    <t>SHADOW BLUE</t>
  </si>
  <si>
    <t>SW-58</t>
  </si>
  <si>
    <t>SW-59</t>
  </si>
  <si>
    <t>ORANGE</t>
  </si>
  <si>
    <t>SW-60</t>
  </si>
  <si>
    <t>OCEAN BLUE</t>
  </si>
  <si>
    <t>SW-61</t>
  </si>
  <si>
    <t>DEEP OCEAN</t>
  </si>
  <si>
    <t>SW-62</t>
  </si>
  <si>
    <t>WINTER SHADOW</t>
  </si>
  <si>
    <t>SW-63</t>
  </si>
  <si>
    <t>WINTER GREY</t>
  </si>
  <si>
    <t>WARFRONT SETS</t>
  </si>
  <si>
    <t>FOR AFV</t>
  </si>
  <si>
    <t>8423153054003</t>
  </si>
  <si>
    <t>SSE-022</t>
  </si>
  <si>
    <t xml:space="preserve">GERMAN VEHICLES CAMO </t>
  </si>
  <si>
    <t>FOR UNIFORMS</t>
  </si>
  <si>
    <t>8423153054010</t>
  </si>
  <si>
    <t>SSE-023</t>
  </si>
  <si>
    <t xml:space="preserve">WAFFEN SS CAMO I </t>
  </si>
  <si>
    <t>8423153054560</t>
  </si>
  <si>
    <t>SSE-024</t>
  </si>
  <si>
    <t xml:space="preserve">WAFFEN SS CAMO II </t>
  </si>
  <si>
    <t>8423153054577</t>
  </si>
  <si>
    <t>SSE-025</t>
  </si>
  <si>
    <t>4</t>
  </si>
  <si>
    <t xml:space="preserve">AMBUSH </t>
  </si>
  <si>
    <t>8423153054584</t>
  </si>
  <si>
    <t>SSE-026</t>
  </si>
  <si>
    <t xml:space="preserve">D.A.K. COLORS FOR AFV </t>
  </si>
  <si>
    <t>8423153055000</t>
  </si>
  <si>
    <t>SSE-027</t>
  </si>
  <si>
    <t xml:space="preserve">DAK  1 </t>
  </si>
  <si>
    <t>8423153055017</t>
  </si>
  <si>
    <t>SSE-028</t>
  </si>
  <si>
    <t xml:space="preserve">DAK  2 </t>
  </si>
  <si>
    <t>8423153055024</t>
  </si>
  <si>
    <t>SSE-029</t>
  </si>
  <si>
    <t xml:space="preserve">FELDGRAU </t>
  </si>
  <si>
    <t>SSE-030</t>
  </si>
  <si>
    <t xml:space="preserve">PANZER TRUPPEN </t>
  </si>
  <si>
    <t>8423153056502</t>
  </si>
  <si>
    <t>SSE-031</t>
  </si>
  <si>
    <t xml:space="preserve">SOVIET ARMY </t>
  </si>
  <si>
    <t>SSE-032</t>
  </si>
  <si>
    <t xml:space="preserve">RED TANKS </t>
  </si>
  <si>
    <t>8423153056700</t>
  </si>
  <si>
    <t>SSE-033</t>
  </si>
  <si>
    <t xml:space="preserve">GERMAN LATE WAR </t>
  </si>
  <si>
    <t>8423153056717</t>
  </si>
  <si>
    <t>SSE-034</t>
  </si>
  <si>
    <t>US ARMY</t>
  </si>
  <si>
    <t>8423153057202</t>
  </si>
  <si>
    <t>SSE-035</t>
  </si>
  <si>
    <t>US ARMY &amp; MARINES</t>
  </si>
  <si>
    <t>8423153057219</t>
  </si>
  <si>
    <t>SSE-036</t>
  </si>
  <si>
    <t xml:space="preserve">US ARMY 1942-1944 </t>
  </si>
  <si>
    <t>SSE-037</t>
  </si>
  <si>
    <t xml:space="preserve">US ARMY 1944-1945 </t>
  </si>
  <si>
    <t>8423153057622</t>
  </si>
  <si>
    <t>SSE-038</t>
  </si>
  <si>
    <t>COLORS FOR LUFTWAFFE CREW</t>
  </si>
  <si>
    <t>8423153057639</t>
  </si>
  <si>
    <t>SSE-039</t>
  </si>
  <si>
    <t xml:space="preserve">COLORS FOR AFV-BLITZ 1939-42 </t>
  </si>
  <si>
    <t>8423153057646</t>
  </si>
  <si>
    <t>SSE-040</t>
  </si>
  <si>
    <t xml:space="preserve">AIRBORNE 1943-44 </t>
  </si>
  <si>
    <t>8423153058087</t>
  </si>
  <si>
    <t>SSE-041</t>
  </si>
  <si>
    <t xml:space="preserve">BOCAGE BATTLE OF NORMANDY </t>
  </si>
  <si>
    <t>8423153058360</t>
  </si>
  <si>
    <t>SSE-042</t>
  </si>
  <si>
    <t>COLORS FOR AFV-UTILITIES</t>
  </si>
  <si>
    <t>8423153058643</t>
  </si>
  <si>
    <t>SSE-043</t>
  </si>
  <si>
    <t>RIBBONS, MEDALS AND REWARDS</t>
  </si>
  <si>
    <t>8423153060028</t>
  </si>
  <si>
    <t>SSE-044</t>
  </si>
  <si>
    <t xml:space="preserve">SCRAP </t>
  </si>
  <si>
    <t>BUILDINGS&amp;COMPLEMENTS</t>
  </si>
  <si>
    <t>8423153059268</t>
  </si>
  <si>
    <t>SSE-045</t>
  </si>
  <si>
    <t>FULL METAL</t>
  </si>
  <si>
    <t>8423153060080</t>
  </si>
  <si>
    <t>SSE-046</t>
  </si>
  <si>
    <t>IN THE NAVY</t>
  </si>
  <si>
    <t>8423153060097</t>
  </si>
  <si>
    <t>SSE-047</t>
  </si>
  <si>
    <t>WINTER CAMOS</t>
  </si>
  <si>
    <t>COLLECTION</t>
  </si>
  <si>
    <t>8423153061322</t>
  </si>
  <si>
    <t>SSE-049</t>
  </si>
  <si>
    <t>64</t>
  </si>
  <si>
    <t>WARFRONT COLLECTION</t>
  </si>
  <si>
    <t>SSE-050</t>
  </si>
  <si>
    <t xml:space="preserve">BRITISH &amp; COMMONWEALTH ARMIES </t>
  </si>
  <si>
    <t>8423153061421</t>
  </si>
  <si>
    <t>SSE-051</t>
  </si>
  <si>
    <t>SOVIET ARMORED CREW</t>
  </si>
  <si>
    <t>8423153061568</t>
  </si>
  <si>
    <t>SSE-053</t>
  </si>
  <si>
    <t>3</t>
  </si>
  <si>
    <t>FUEL AND GREASE</t>
  </si>
  <si>
    <t>8423153061575</t>
  </si>
  <si>
    <t>SSE-054</t>
  </si>
  <si>
    <t>GRAYSCALE</t>
  </si>
  <si>
    <t>8423153061872</t>
  </si>
  <si>
    <t>SSE-055</t>
  </si>
  <si>
    <t>BRITISH &amp; COMMONWEALTH AFV</t>
  </si>
  <si>
    <t>8423153062350</t>
  </si>
  <si>
    <t>SSE-057</t>
  </si>
  <si>
    <t>GERMAN HELMETS</t>
  </si>
  <si>
    <t>7426974773963</t>
  </si>
  <si>
    <t>SSE-058</t>
  </si>
  <si>
    <t>SPLINTER</t>
  </si>
  <si>
    <t>7426974774052</t>
  </si>
  <si>
    <t>SSE-060</t>
  </si>
  <si>
    <t>PANZER CREW - SUMMERTIME</t>
  </si>
  <si>
    <t>7426974774045</t>
  </si>
  <si>
    <t>SSE-061</t>
  </si>
  <si>
    <t>DUST IN SUMMERTIME</t>
  </si>
  <si>
    <t>7427047969153</t>
  </si>
  <si>
    <t>SSE-064</t>
  </si>
  <si>
    <t>6</t>
  </si>
  <si>
    <t>VIII ARMY</t>
  </si>
  <si>
    <t>7427047969160</t>
  </si>
  <si>
    <t>SSE-065</t>
  </si>
  <si>
    <t>BRITISH DESERT ARMOUR</t>
  </si>
  <si>
    <t>7427047969191</t>
  </si>
  <si>
    <t>SSE-066</t>
  </si>
  <si>
    <t>WINTER COAT</t>
  </si>
  <si>
    <t>7427047969184</t>
  </si>
  <si>
    <t>SSE-067</t>
  </si>
  <si>
    <t>WEAPONS</t>
  </si>
  <si>
    <t>7427129409911</t>
  </si>
  <si>
    <t>SSE-068</t>
  </si>
  <si>
    <t>WOOD FACTORY</t>
  </si>
  <si>
    <t>7427129409904</t>
  </si>
  <si>
    <t>SSE-069</t>
  </si>
  <si>
    <t>GET DIRTY - MUD IN WINTER</t>
  </si>
  <si>
    <t>7427129409935</t>
  </si>
  <si>
    <t>SSE-070</t>
  </si>
  <si>
    <t>CANVAS EQUIPMENT</t>
  </si>
  <si>
    <t>SSE-071</t>
  </si>
  <si>
    <t>LEATHER EQUIPMENT</t>
  </si>
  <si>
    <t>SSE-072</t>
  </si>
  <si>
    <t>BRICKS AND ROOFS</t>
  </si>
  <si>
    <t>SSE-073</t>
  </si>
  <si>
    <t>URBAN DIRT</t>
  </si>
  <si>
    <t>SSE-074</t>
  </si>
  <si>
    <t>MARINES ON DUTY</t>
  </si>
  <si>
    <t>SSE-077</t>
  </si>
  <si>
    <t>US TANKER JACKET</t>
  </si>
  <si>
    <t>SSE-082</t>
  </si>
  <si>
    <t>SET BASIC COLORS</t>
  </si>
  <si>
    <t>SSE-083</t>
  </si>
  <si>
    <t>SET BLACK &amp; WHITE</t>
  </si>
  <si>
    <t>SSE-127</t>
  </si>
  <si>
    <t>SOLDIERS - COLORS FOR UNIFORM</t>
  </si>
  <si>
    <t>SSE-128</t>
  </si>
  <si>
    <t>ARMOR -COORS FOR AFV AND ACCESORIES</t>
  </si>
  <si>
    <t>SSE-129</t>
  </si>
  <si>
    <t>BATTLEFRONT - COLORS FOR AFV AND UNIFORMS</t>
  </si>
  <si>
    <t>INSTANT</t>
  </si>
  <si>
    <t>SIN-00</t>
  </si>
  <si>
    <t>SHADOW BLACK</t>
  </si>
  <si>
    <t>SIN-01</t>
  </si>
  <si>
    <t>WEREWOLF BROWN</t>
  </si>
  <si>
    <t>SIN-02</t>
  </si>
  <si>
    <t>DRAGON BLOOD</t>
  </si>
  <si>
    <t>SIN-03</t>
  </si>
  <si>
    <t>HEALTH RED</t>
  </si>
  <si>
    <t>SIN-04</t>
  </si>
  <si>
    <t>LOVE AFFAIR</t>
  </si>
  <si>
    <t>SIN-05</t>
  </si>
  <si>
    <t>LIFE RED</t>
  </si>
  <si>
    <t>SIN-06</t>
  </si>
  <si>
    <t>RAGWEED ORANGE</t>
  </si>
  <si>
    <t>SIN-07</t>
  </si>
  <si>
    <t>DRAIN LIFE</t>
  </si>
  <si>
    <t>SIN-08</t>
  </si>
  <si>
    <t>FULL HEALING</t>
  </si>
  <si>
    <t>SIN-09</t>
  </si>
  <si>
    <t>ESTUS YELLOW</t>
  </si>
  <si>
    <t>SIN-10</t>
  </si>
  <si>
    <t>ZUCCHINI SKIN</t>
  </si>
  <si>
    <t>SIN-11</t>
  </si>
  <si>
    <t>DEAD FLESH</t>
  </si>
  <si>
    <t>SIN-12</t>
  </si>
  <si>
    <t>FAIRY BLOOD</t>
  </si>
  <si>
    <t>SIN-13</t>
  </si>
  <si>
    <t>ZOMBIE SKIN</t>
  </si>
  <si>
    <t>SIN-14</t>
  </si>
  <si>
    <t>PHOENIX FEATHER</t>
  </si>
  <si>
    <t>SIN-15</t>
  </si>
  <si>
    <t>HUMAN FLESH</t>
  </si>
  <si>
    <t>SIN-16</t>
  </si>
  <si>
    <t>UNDEAD DRAGON</t>
  </si>
  <si>
    <t>SIN-17</t>
  </si>
  <si>
    <t>PHOENIX EGG</t>
  </si>
  <si>
    <t>SIN-18</t>
  </si>
  <si>
    <t>PARALYZE BLUE</t>
  </si>
  <si>
    <t>SIN-19</t>
  </si>
  <si>
    <t>EVIL ROOT</t>
  </si>
  <si>
    <t>SIN-20</t>
  </si>
  <si>
    <t>TOAD GREEN</t>
  </si>
  <si>
    <t>SIN-21</t>
  </si>
  <si>
    <t>SULFUR YELLOW</t>
  </si>
  <si>
    <t>SIN-22</t>
  </si>
  <si>
    <t>BELLADONNA GREEN</t>
  </si>
  <si>
    <t>SIN-23</t>
  </si>
  <si>
    <t>CORRUPTED STAMINA</t>
  </si>
  <si>
    <t>SIN-24</t>
  </si>
  <si>
    <t>ROTTEN PUS</t>
  </si>
  <si>
    <t>SIN-25</t>
  </si>
  <si>
    <t>ACID GREEN</t>
  </si>
  <si>
    <t>SIN-26</t>
  </si>
  <si>
    <t>REMOVE MANA</t>
  </si>
  <si>
    <t>SIN-27</t>
  </si>
  <si>
    <t>ARCANE PURPLE</t>
  </si>
  <si>
    <t>SIN-28</t>
  </si>
  <si>
    <t>ELIXIR GREEN</t>
  </si>
  <si>
    <t>SIN-29</t>
  </si>
  <si>
    <t>REPLENISH BLUE</t>
  </si>
  <si>
    <t>SIN-30</t>
  </si>
  <si>
    <t>MANA REGENERATION</t>
  </si>
  <si>
    <t>SIN-31</t>
  </si>
  <si>
    <t>MAGIC BLUE</t>
  </si>
  <si>
    <t>SIN-32</t>
  </si>
  <si>
    <t>GREY SPELL</t>
  </si>
  <si>
    <t>SIN-33</t>
  </si>
  <si>
    <t>ANCESTRAL BLUE</t>
  </si>
  <si>
    <t>SIN-34</t>
  </si>
  <si>
    <t>GRIZZLY BROWN</t>
  </si>
  <si>
    <t>SIN-35</t>
  </si>
  <si>
    <t>ENDURANCE BROWN</t>
  </si>
  <si>
    <t>SIN-36</t>
  </si>
  <si>
    <t>RAGE BROWN</t>
  </si>
  <si>
    <t>SIN-37</t>
  </si>
  <si>
    <t>FRENZY ORANGE</t>
  </si>
  <si>
    <t>SIN-38</t>
  </si>
  <si>
    <t>OGRE BROWN</t>
  </si>
  <si>
    <t>SIN-39</t>
  </si>
  <si>
    <t>SALMON FURY</t>
  </si>
  <si>
    <t>SIN-40</t>
  </si>
  <si>
    <t>WILD BEAST</t>
  </si>
  <si>
    <t>SIN-41</t>
  </si>
  <si>
    <t>SAVAGE BEIGE</t>
  </si>
  <si>
    <t>SIN-42</t>
  </si>
  <si>
    <t>GOLEM GREY</t>
  </si>
  <si>
    <t>SIN-43</t>
  </si>
  <si>
    <t>BASILISK GREEN</t>
  </si>
  <si>
    <t>SIN-44</t>
  </si>
  <si>
    <t>DEMON BROWN</t>
  </si>
  <si>
    <t>SIN-45</t>
  </si>
  <si>
    <t>DARK KRAKEN</t>
  </si>
  <si>
    <t>SIN-46</t>
  </si>
  <si>
    <t>LEVIATHAN BLUE</t>
  </si>
  <si>
    <t>SIN-47</t>
  </si>
  <si>
    <t>SPECTRAL WOLF</t>
  </si>
  <si>
    <t>INSTANT SETS</t>
  </si>
  <si>
    <t>SSE-100</t>
  </si>
  <si>
    <t>HEALING POTIONS</t>
  </si>
  <si>
    <t>SSE-101</t>
  </si>
  <si>
    <t>REVIVE POTIONS</t>
  </si>
  <si>
    <t>SSE-102</t>
  </si>
  <si>
    <t>POSION FLASKS</t>
  </si>
  <si>
    <t>SSE-103</t>
  </si>
  <si>
    <t>MANA ELIXIR</t>
  </si>
  <si>
    <t>SSE-104</t>
  </si>
  <si>
    <t>BERSERK POTIONS</t>
  </si>
  <si>
    <t>SSE-105</t>
  </si>
  <si>
    <t>SUMMON POTIONS</t>
  </si>
  <si>
    <t>SSE-106</t>
  </si>
  <si>
    <t>THE SECRETS OF ALCHEMY (WOODEN BOX)</t>
  </si>
  <si>
    <t>SSE-107</t>
  </si>
  <si>
    <t>MIMIC CHEST</t>
  </si>
  <si>
    <t>SSE-098</t>
  </si>
  <si>
    <t>ALCHEMY LAB</t>
  </si>
  <si>
    <t>SSE-099</t>
  </si>
  <si>
    <t>SWIFTNESS POTIONS</t>
  </si>
  <si>
    <t>ARTIST</t>
  </si>
  <si>
    <t>ARTIST - MATTE</t>
  </si>
  <si>
    <t>SART-01</t>
  </si>
  <si>
    <t>Tubes (20 mL)</t>
  </si>
  <si>
    <t>ART WHITE</t>
  </si>
  <si>
    <t>SART-02</t>
  </si>
  <si>
    <t>ART BLACK</t>
  </si>
  <si>
    <t>SART-03</t>
  </si>
  <si>
    <t>PRIMARY BLUE</t>
  </si>
  <si>
    <t>SART-04</t>
  </si>
  <si>
    <t>PRIMARY YELLOW</t>
  </si>
  <si>
    <t>SART-05</t>
  </si>
  <si>
    <t>PRIMARY RED</t>
  </si>
  <si>
    <t>SART-06</t>
  </si>
  <si>
    <t>BURNT SIENNA UMBER</t>
  </si>
  <si>
    <t>SART-07</t>
  </si>
  <si>
    <t>SART-08</t>
  </si>
  <si>
    <t>GOLDEN FLESH</t>
  </si>
  <si>
    <t>SART-09</t>
  </si>
  <si>
    <t>SART-10</t>
  </si>
  <si>
    <t>CRIMSON</t>
  </si>
  <si>
    <t>SART-11</t>
  </si>
  <si>
    <t>MOSS GREEN</t>
  </si>
  <si>
    <t>SART-12</t>
  </si>
  <si>
    <t>BURNT SKIN</t>
  </si>
  <si>
    <t>SART-13</t>
  </si>
  <si>
    <t>BUFF</t>
  </si>
  <si>
    <t>SART-14</t>
  </si>
  <si>
    <t>PEARL GREY</t>
  </si>
  <si>
    <t>SART-15</t>
  </si>
  <si>
    <t>VIOLET GREY</t>
  </si>
  <si>
    <t>SART-16</t>
  </si>
  <si>
    <t>GREEN GREY</t>
  </si>
  <si>
    <t>SART-17</t>
  </si>
  <si>
    <t>VANILLA YELLOW</t>
  </si>
  <si>
    <t>SART-18</t>
  </si>
  <si>
    <t>YELLOW NAPLES</t>
  </si>
  <si>
    <t>SART-19</t>
  </si>
  <si>
    <t>INTENSE YELLOW</t>
  </si>
  <si>
    <t>SART-20</t>
  </si>
  <si>
    <t>YELLOW OCHRE</t>
  </si>
  <si>
    <t>SART-21</t>
  </si>
  <si>
    <t>RAW SIENNA</t>
  </si>
  <si>
    <t>SART-22</t>
  </si>
  <si>
    <t>SART-23</t>
  </si>
  <si>
    <t>MAGENTA</t>
  </si>
  <si>
    <t>SART-24</t>
  </si>
  <si>
    <t>PURPLE</t>
  </si>
  <si>
    <t>SART-25</t>
  </si>
  <si>
    <t>DARK VIOLET</t>
  </si>
  <si>
    <t>SART-26</t>
  </si>
  <si>
    <t>TURQUOISE BLUE</t>
  </si>
  <si>
    <t>SART-27</t>
  </si>
  <si>
    <t>COBALT BLUE</t>
  </si>
  <si>
    <t>SART-28</t>
  </si>
  <si>
    <t>LIGHT ULTRAMARINE</t>
  </si>
  <si>
    <t>SART-29</t>
  </si>
  <si>
    <t>DARK ULTRAMARINE</t>
  </si>
  <si>
    <t>SART-30</t>
  </si>
  <si>
    <t>PRUSSIAN BLUE</t>
  </si>
  <si>
    <t>SART-31</t>
  </si>
  <si>
    <t>LIGHT MOSS GREEN</t>
  </si>
  <si>
    <t>SART-32</t>
  </si>
  <si>
    <t>SART-33</t>
  </si>
  <si>
    <t>EMERALD GREEN</t>
  </si>
  <si>
    <t>SART-34</t>
  </si>
  <si>
    <t>SAP GREEN</t>
  </si>
  <si>
    <t>SART-35</t>
  </si>
  <si>
    <t>OLIVE GREEN</t>
  </si>
  <si>
    <t>SART-36</t>
  </si>
  <si>
    <t>EARTH GREEN</t>
  </si>
  <si>
    <t>SART-37</t>
  </si>
  <si>
    <t>RED OCHRE</t>
  </si>
  <si>
    <t>SART-38</t>
  </si>
  <si>
    <t>BURNT UMBER</t>
  </si>
  <si>
    <t>SART-39</t>
  </si>
  <si>
    <t>WOOD</t>
  </si>
  <si>
    <t>SART-40</t>
  </si>
  <si>
    <t>RAW UMBER</t>
  </si>
  <si>
    <t>SART-41</t>
  </si>
  <si>
    <t>DARK BROWN OCHRE</t>
  </si>
  <si>
    <t>SART-42</t>
  </si>
  <si>
    <t>BURNT SIENNA</t>
  </si>
  <si>
    <t>SART-43</t>
  </si>
  <si>
    <t>VANILLA WHITE</t>
  </si>
  <si>
    <t>SART-44</t>
  </si>
  <si>
    <t>SART-45</t>
  </si>
  <si>
    <t>PASTEL VIOLET</t>
  </si>
  <si>
    <t>SART-46</t>
  </si>
  <si>
    <t>PASTEL GREEN</t>
  </si>
  <si>
    <t>SART-47</t>
  </si>
  <si>
    <t>OFF WHITE</t>
  </si>
  <si>
    <t>SART-48</t>
  </si>
  <si>
    <t>PASTEL BLUE</t>
  </si>
  <si>
    <t>8435635306012</t>
  </si>
  <si>
    <t>SART-49</t>
  </si>
  <si>
    <t>CORK BROWN</t>
  </si>
  <si>
    <t>8435635306013</t>
  </si>
  <si>
    <t>SART-50</t>
  </si>
  <si>
    <t>PASTEL PINK</t>
  </si>
  <si>
    <t>8435635306014</t>
  </si>
  <si>
    <t>SART-51</t>
  </si>
  <si>
    <t>8435635306015</t>
  </si>
  <si>
    <t>SART-52</t>
  </si>
  <si>
    <t>SKY BLUE</t>
  </si>
  <si>
    <t>8435635306016</t>
  </si>
  <si>
    <t>SART-53</t>
  </si>
  <si>
    <t>COBALT VIOLET GREY</t>
  </si>
  <si>
    <t>8435635306017</t>
  </si>
  <si>
    <t>SART-54</t>
  </si>
  <si>
    <t>BURGUNDY WINE RED</t>
  </si>
  <si>
    <t>8435635306018</t>
  </si>
  <si>
    <t>SART-55</t>
  </si>
  <si>
    <t>LEMON YELLOW</t>
  </si>
  <si>
    <t>8435635306019</t>
  </si>
  <si>
    <t>SART-56</t>
  </si>
  <si>
    <t>YELLOW OXIDE</t>
  </si>
  <si>
    <t>8435635306020</t>
  </si>
  <si>
    <t>SART-57</t>
  </si>
  <si>
    <t>PERMANENT ORANGE</t>
  </si>
  <si>
    <t>8435635306021</t>
  </si>
  <si>
    <t>SART-58</t>
  </si>
  <si>
    <t>CORAL RED</t>
  </si>
  <si>
    <t>8435635306022</t>
  </si>
  <si>
    <t>SART-59</t>
  </si>
  <si>
    <t>VIOLET</t>
  </si>
  <si>
    <t>8435635306023</t>
  </si>
  <si>
    <t>SART-60</t>
  </si>
  <si>
    <t>8435635306024</t>
  </si>
  <si>
    <t>SART-61</t>
  </si>
  <si>
    <t>LIME GREEN</t>
  </si>
  <si>
    <t>8435635306025</t>
  </si>
  <si>
    <t>SART-62</t>
  </si>
  <si>
    <t>ALIZARIN GREEN</t>
  </si>
  <si>
    <t>8435635306026</t>
  </si>
  <si>
    <t>SART-63</t>
  </si>
  <si>
    <t>JADE GREEN</t>
  </si>
  <si>
    <t>8435635306027</t>
  </si>
  <si>
    <t>SART-64</t>
  </si>
  <si>
    <t>TURQUOISE</t>
  </si>
  <si>
    <t>8435635306028</t>
  </si>
  <si>
    <t>SART-65</t>
  </si>
  <si>
    <t>OXFORD BLUE</t>
  </si>
  <si>
    <t>8435635306029</t>
  </si>
  <si>
    <t>SART-66</t>
  </si>
  <si>
    <t>DARK PRUSSIAN BLUE</t>
  </si>
  <si>
    <t>ARTIST - FLUOR</t>
  </si>
  <si>
    <t>8435635306030</t>
  </si>
  <si>
    <t>SART-67</t>
  </si>
  <si>
    <t>NEON ORANGE</t>
  </si>
  <si>
    <t>8435635306031</t>
  </si>
  <si>
    <t>SART-68</t>
  </si>
  <si>
    <t>NEON PINK</t>
  </si>
  <si>
    <t>8435635306032</t>
  </si>
  <si>
    <t>SART-69</t>
  </si>
  <si>
    <t>NEON RED</t>
  </si>
  <si>
    <t>8435635306033</t>
  </si>
  <si>
    <t>SART-70</t>
  </si>
  <si>
    <t>NEON YELLOW</t>
  </si>
  <si>
    <t>8435635306034</t>
  </si>
  <si>
    <t>SART-71</t>
  </si>
  <si>
    <t>NEON GREEN</t>
  </si>
  <si>
    <t>8435635306035</t>
  </si>
  <si>
    <t>SART-72</t>
  </si>
  <si>
    <t>NEON BLUE</t>
  </si>
  <si>
    <t>ARTIST - INK</t>
  </si>
  <si>
    <t>8435635306036</t>
  </si>
  <si>
    <t>SART-73</t>
  </si>
  <si>
    <t>YELLOW INK</t>
  </si>
  <si>
    <t>8435635306037</t>
  </si>
  <si>
    <t>SART-74</t>
  </si>
  <si>
    <t>RED INK</t>
  </si>
  <si>
    <t>8435635306038</t>
  </si>
  <si>
    <t>SART-75</t>
  </si>
  <si>
    <t>BLUE INK</t>
  </si>
  <si>
    <t>8435635306039</t>
  </si>
  <si>
    <t>SART-76</t>
  </si>
  <si>
    <t>GREEN INK</t>
  </si>
  <si>
    <t>8435635306040</t>
  </si>
  <si>
    <t>SART-77</t>
  </si>
  <si>
    <t>ORANGE INK</t>
  </si>
  <si>
    <t>8435635306041</t>
  </si>
  <si>
    <t>SART-78</t>
  </si>
  <si>
    <t>VIOLET INK</t>
  </si>
  <si>
    <t>8435635306042</t>
  </si>
  <si>
    <t>SART-79</t>
  </si>
  <si>
    <t>BLACK INK</t>
  </si>
  <si>
    <t>8435635306043</t>
  </si>
  <si>
    <t>SART-80</t>
  </si>
  <si>
    <t>WHITE INK</t>
  </si>
  <si>
    <t>8435635306044</t>
  </si>
  <si>
    <t>SART-81</t>
  </si>
  <si>
    <t>CRIMSON INK</t>
  </si>
  <si>
    <t>8435635306045</t>
  </si>
  <si>
    <t>SART-82</t>
  </si>
  <si>
    <t>PISTACHIO GREEN INK</t>
  </si>
  <si>
    <t>8435635306046</t>
  </si>
  <si>
    <t>SART-83</t>
  </si>
  <si>
    <t>TURQUOISE INK</t>
  </si>
  <si>
    <t>8435635306047</t>
  </si>
  <si>
    <t>SART-84</t>
  </si>
  <si>
    <t>CHESTNUT INK</t>
  </si>
  <si>
    <t>ARTIST SETS</t>
  </si>
  <si>
    <t>7426974774144</t>
  </si>
  <si>
    <t>SSAR-000</t>
  </si>
  <si>
    <t>SCALECOLOR ARTIST LUXURY BOX</t>
  </si>
  <si>
    <t>8423153061896</t>
  </si>
  <si>
    <t>SSAR-001</t>
  </si>
  <si>
    <t>8423153061902</t>
  </si>
  <si>
    <t>SSAR-002</t>
  </si>
  <si>
    <t>SKIN TONES</t>
  </si>
  <si>
    <t>7426974773970</t>
  </si>
  <si>
    <t>SSAR-003</t>
  </si>
  <si>
    <t>SHADES OF GREY</t>
  </si>
  <si>
    <t>7426974773987</t>
  </si>
  <si>
    <t>SSAR-004</t>
  </si>
  <si>
    <t>EMPIRE OF THE SUN</t>
  </si>
  <si>
    <t>7426974773994</t>
  </si>
  <si>
    <t>SSAR-005</t>
  </si>
  <si>
    <t>THIN RED LINE</t>
  </si>
  <si>
    <t>7426974774007</t>
  </si>
  <si>
    <t>SSAR-006</t>
  </si>
  <si>
    <t>OCEAN´S SIX</t>
  </si>
  <si>
    <t>7426974774014</t>
  </si>
  <si>
    <t>SSAR-007</t>
  </si>
  <si>
    <t>GREEN MILE</t>
  </si>
  <si>
    <t>7426974774021</t>
  </si>
  <si>
    <t>SSAR-008</t>
  </si>
  <si>
    <t>WUTHERING HEIGHTS</t>
  </si>
  <si>
    <t>7426974774038</t>
  </si>
  <si>
    <t>SSAR-009</t>
  </si>
  <si>
    <t>SWEET DREAMS</t>
  </si>
  <si>
    <t>SSAR-010</t>
  </si>
  <si>
    <t>CHARMED</t>
  </si>
  <si>
    <t>SSAR-011</t>
  </si>
  <si>
    <t>VOLCANO</t>
  </si>
  <si>
    <t>SSAR-012</t>
  </si>
  <si>
    <t>THE EMERALD FOREST</t>
  </si>
  <si>
    <t>SSAR-013</t>
  </si>
  <si>
    <t>READY PAINTER ONE</t>
  </si>
  <si>
    <t>SSAR-014</t>
  </si>
  <si>
    <t>INKSIDE OUT</t>
  </si>
  <si>
    <t>SSAR-015</t>
  </si>
  <si>
    <t>GAME OF INKS</t>
  </si>
  <si>
    <t>SSAR-016</t>
  </si>
  <si>
    <t>SMALL LUXURY BOX</t>
  </si>
  <si>
    <t>SSAR-020</t>
  </si>
  <si>
    <t xml:space="preserve">DISPLAY STAND ARTIST </t>
  </si>
  <si>
    <t>SSAR-021</t>
  </si>
  <si>
    <t xml:space="preserve">BASICS AND CLASSICS </t>
  </si>
  <si>
    <t>SSAR-022</t>
  </si>
  <si>
    <t>SHED MY SKIN</t>
  </si>
  <si>
    <t>SSAR-023</t>
  </si>
  <si>
    <t>THEY LIVE IN THE GREY</t>
  </si>
  <si>
    <t>SSAR-024</t>
  </si>
  <si>
    <t>SSAR-025</t>
  </si>
  <si>
    <t>THE SEA PURPPLE</t>
  </si>
  <si>
    <t>SSAR-026</t>
  </si>
  <si>
    <t xml:space="preserve">INTO THE WOODS </t>
  </si>
  <si>
    <t>SSAR-027</t>
  </si>
  <si>
    <t>MONSTER´S INK</t>
  </si>
  <si>
    <t>FLOW</t>
  </si>
  <si>
    <t>SFLOW-000</t>
  </si>
  <si>
    <t>DR. FLOW´S PAINT CASE</t>
  </si>
  <si>
    <t>SFLOW-001</t>
  </si>
  <si>
    <t>PRIMARY</t>
  </si>
  <si>
    <t>SFLOW-002</t>
  </si>
  <si>
    <t>CORE</t>
  </si>
  <si>
    <t>SFLOW-003</t>
  </si>
  <si>
    <t>SKIN</t>
  </si>
  <si>
    <t>SFLOW-004</t>
  </si>
  <si>
    <t>SCENERY</t>
  </si>
  <si>
    <t>SFL-01</t>
  </si>
  <si>
    <t>TITANIUM WHITE</t>
  </si>
  <si>
    <t>SFL-02</t>
  </si>
  <si>
    <t>MEDIUM YELLOW</t>
  </si>
  <si>
    <t>SFL-03</t>
  </si>
  <si>
    <t>VERMILION (OLEO)</t>
  </si>
  <si>
    <t>SFL-04</t>
  </si>
  <si>
    <t>COBALT BLUE LIGHT</t>
  </si>
  <si>
    <t>SFL-05</t>
  </si>
  <si>
    <t>IVORY BLACK</t>
  </si>
  <si>
    <t>SFL-06</t>
  </si>
  <si>
    <t>SFL-07</t>
  </si>
  <si>
    <t>PARIS RED</t>
  </si>
  <si>
    <t>SFL-08</t>
  </si>
  <si>
    <t>PERSIAN YELLOW</t>
  </si>
  <si>
    <t>SFL-09</t>
  </si>
  <si>
    <t>SFL-10</t>
  </si>
  <si>
    <t>STENCIL YELLOW</t>
  </si>
  <si>
    <t>SFL-11</t>
  </si>
  <si>
    <t>SFL-12</t>
  </si>
  <si>
    <t>STONE GREY</t>
  </si>
  <si>
    <t>SFL-13</t>
  </si>
  <si>
    <t>SFL-14</t>
  </si>
  <si>
    <t>ANTIQUE PINK</t>
  </si>
  <si>
    <t>SFL-15</t>
  </si>
  <si>
    <t>MOIST SOIL</t>
  </si>
  <si>
    <t>SFL-16</t>
  </si>
  <si>
    <t>RED MAUVE</t>
  </si>
  <si>
    <t>SFL-17</t>
  </si>
  <si>
    <t>SCROLL WHITE</t>
  </si>
  <si>
    <t>SFL-18</t>
  </si>
  <si>
    <t>BRONZED SKIN</t>
  </si>
  <si>
    <t>SFL-19</t>
  </si>
  <si>
    <t>RUSTY BROWN</t>
  </si>
  <si>
    <t>SFL-20</t>
  </si>
  <si>
    <t>SFL-21</t>
  </si>
  <si>
    <t>SFL-22</t>
  </si>
  <si>
    <t>BROWN SIENNA</t>
  </si>
  <si>
    <t>SFL-23</t>
  </si>
  <si>
    <t>SWAMP GREEN</t>
  </si>
  <si>
    <t xml:space="preserve">SFL-24 </t>
  </si>
  <si>
    <t>MYSTIC SET</t>
  </si>
  <si>
    <t>MYSTIC</t>
  </si>
  <si>
    <t>SSE-108</t>
  </si>
  <si>
    <t>CELESTIAL VAULT - MYSTIC COLORS</t>
  </si>
  <si>
    <t>PRISM SETS</t>
  </si>
  <si>
    <t>PRISM EFFECT</t>
  </si>
  <si>
    <t>SSE-080</t>
  </si>
  <si>
    <t>BOREAL LIGHTS</t>
  </si>
  <si>
    <t>SSE-081</t>
  </si>
  <si>
    <t>SOLAR FLARES</t>
  </si>
  <si>
    <t>DROP &amp; PAINT</t>
  </si>
  <si>
    <t>DROP&amp;PAINT</t>
  </si>
  <si>
    <t>SDP-01</t>
  </si>
  <si>
    <t>Tubes (17 mL)</t>
  </si>
  <si>
    <t>SDP-02</t>
  </si>
  <si>
    <t>MEDIUM SKIN</t>
  </si>
  <si>
    <t>SDP-03</t>
  </si>
  <si>
    <t>TANNED SKIN</t>
  </si>
  <si>
    <t>SDP-04</t>
  </si>
  <si>
    <t>CAUCASIAN SKIN</t>
  </si>
  <si>
    <t>SDP-05</t>
  </si>
  <si>
    <t>BROWN SKIN</t>
  </si>
  <si>
    <t>SDP-06</t>
  </si>
  <si>
    <t>COLD SKIN</t>
  </si>
  <si>
    <t>SDP-07</t>
  </si>
  <si>
    <t>SDP-08</t>
  </si>
  <si>
    <t>SDP-09</t>
  </si>
  <si>
    <t>SDP-10</t>
  </si>
  <si>
    <t>SDP-11</t>
  </si>
  <si>
    <t>SDP-12</t>
  </si>
  <si>
    <t>COMPLEMENTARY GREEN</t>
  </si>
  <si>
    <t>SDP-13</t>
  </si>
  <si>
    <t>COMPLEMENTARY ORANGE</t>
  </si>
  <si>
    <t>SDP-14</t>
  </si>
  <si>
    <t>COMPLEMENTARY VIOLET</t>
  </si>
  <si>
    <t>SDP-15</t>
  </si>
  <si>
    <t>SDP-16</t>
  </si>
  <si>
    <t>SDP-17</t>
  </si>
  <si>
    <t>AQUAMARINE BLUE</t>
  </si>
  <si>
    <t>SDP-18</t>
  </si>
  <si>
    <t>SDP-19</t>
  </si>
  <si>
    <t>LIGHT ULTRAMARINE BLUE</t>
  </si>
  <si>
    <t>SDP-20</t>
  </si>
  <si>
    <t xml:space="preserve">BASIC BLUE </t>
  </si>
  <si>
    <t>SDP-21</t>
  </si>
  <si>
    <t>SDP-22</t>
  </si>
  <si>
    <t>SDP-23</t>
  </si>
  <si>
    <t>SDP-24</t>
  </si>
  <si>
    <t>ULTRAMARINE BLUE</t>
  </si>
  <si>
    <t>SDP-25</t>
  </si>
  <si>
    <t>GREENISH BLUE</t>
  </si>
  <si>
    <t>SDP-26</t>
  </si>
  <si>
    <t>CHALK BLUE</t>
  </si>
  <si>
    <t>SDP-27</t>
  </si>
  <si>
    <t>FIJI BLUE</t>
  </si>
  <si>
    <t>SDP-28</t>
  </si>
  <si>
    <t xml:space="preserve">GREYISH BLUE </t>
  </si>
  <si>
    <t>SDP-29</t>
  </si>
  <si>
    <t xml:space="preserve">VENUS BLUE </t>
  </si>
  <si>
    <t>SDP-30</t>
  </si>
  <si>
    <t xml:space="preserve">CARIBBEAN BLUE </t>
  </si>
  <si>
    <t>SDP-31</t>
  </si>
  <si>
    <t xml:space="preserve">VIOLET BLUE </t>
  </si>
  <si>
    <t>SDP-32</t>
  </si>
  <si>
    <t>FOREST BLUE</t>
  </si>
  <si>
    <t>SDP-33</t>
  </si>
  <si>
    <t xml:space="preserve">MC QUEEN </t>
  </si>
  <si>
    <t>SDP-34</t>
  </si>
  <si>
    <t>SDP-35</t>
  </si>
  <si>
    <t>IMPERIAL RED</t>
  </si>
  <si>
    <t>SDP-36</t>
  </si>
  <si>
    <t>SDP-37</t>
  </si>
  <si>
    <t>DARK MAUVE</t>
  </si>
  <si>
    <t>SDP-38</t>
  </si>
  <si>
    <t>RED ANGER</t>
  </si>
  <si>
    <t>SDP-39</t>
  </si>
  <si>
    <t>SDP-40</t>
  </si>
  <si>
    <t>RED WINE</t>
  </si>
  <si>
    <t>SDP-41</t>
  </si>
  <si>
    <t>SUNSET YELLOW</t>
  </si>
  <si>
    <t>SDP-42</t>
  </si>
  <si>
    <t xml:space="preserve">GLORIOUS YELLOW </t>
  </si>
  <si>
    <t>SDP-43</t>
  </si>
  <si>
    <t xml:space="preserve">SAND YELLOW </t>
  </si>
  <si>
    <t>SDP-44</t>
  </si>
  <si>
    <t xml:space="preserve">LEMON YELLOW </t>
  </si>
  <si>
    <t>SDP-45</t>
  </si>
  <si>
    <t>GOLDEN YELLOW</t>
  </si>
  <si>
    <t>SDP-46</t>
  </si>
  <si>
    <t>LIME YELLOW</t>
  </si>
  <si>
    <t>SDP-47</t>
  </si>
  <si>
    <t>YELLOW PARCHMENT</t>
  </si>
  <si>
    <t>SDP-48</t>
  </si>
  <si>
    <t>NOSTALGIA YELLOW</t>
  </si>
  <si>
    <t>SDP-49</t>
  </si>
  <si>
    <t>SDP-50</t>
  </si>
  <si>
    <t>SDP-51</t>
  </si>
  <si>
    <t>COLD PINK</t>
  </si>
  <si>
    <t>SDP-52</t>
  </si>
  <si>
    <t>SDP-53</t>
  </si>
  <si>
    <t>CARDINAL PURPLE</t>
  </si>
  <si>
    <t>SDP-54</t>
  </si>
  <si>
    <t>NATURAL PURPLE</t>
  </si>
  <si>
    <t>SDP-55</t>
  </si>
  <si>
    <t>MAUVE</t>
  </si>
  <si>
    <t>SDP-56</t>
  </si>
  <si>
    <t>LAVENDER</t>
  </si>
  <si>
    <t>SDP-57</t>
  </si>
  <si>
    <t>MIAMI ORANGE</t>
  </si>
  <si>
    <t>SDP-58</t>
  </si>
  <si>
    <t>BURNT ORANGE</t>
  </si>
  <si>
    <t>SDP-59</t>
  </si>
  <si>
    <t>LIQUIDAMBAR OCHRE</t>
  </si>
  <si>
    <t>SDP-60</t>
  </si>
  <si>
    <t xml:space="preserve">GREENISH OCHRE </t>
  </si>
  <si>
    <t>SDP-61</t>
  </si>
  <si>
    <t>DIABOLIC ORANGE</t>
  </si>
  <si>
    <t>SDP-62</t>
  </si>
  <si>
    <t xml:space="preserve">ORANGE OXIDE </t>
  </si>
  <si>
    <t>SDP-63</t>
  </si>
  <si>
    <t>LEAF OCHRE</t>
  </si>
  <si>
    <t>SDP-64</t>
  </si>
  <si>
    <t xml:space="preserve">NOSTALGIA OCHRE </t>
  </si>
  <si>
    <t>SDP-65</t>
  </si>
  <si>
    <t>SDP-66</t>
  </si>
  <si>
    <t>LIGHT OLIVE GREEN</t>
  </si>
  <si>
    <t>SDP-67</t>
  </si>
  <si>
    <t xml:space="preserve">SPRING GREEN </t>
  </si>
  <si>
    <t>SDP-68</t>
  </si>
  <si>
    <t xml:space="preserve">JADE GREEN </t>
  </si>
  <si>
    <t>SDP-69</t>
  </si>
  <si>
    <t xml:space="preserve">PINE GREEN </t>
  </si>
  <si>
    <t>SDP-70</t>
  </si>
  <si>
    <t>SDP-71</t>
  </si>
  <si>
    <t>SDP-72</t>
  </si>
  <si>
    <t>SDP-73</t>
  </si>
  <si>
    <t>GREEN TOAD</t>
  </si>
  <si>
    <t>SDP-74</t>
  </si>
  <si>
    <t>BLACK JUNGLE GREEN</t>
  </si>
  <si>
    <t>SDP-75</t>
  </si>
  <si>
    <t>PEAR GREEN</t>
  </si>
  <si>
    <t>SDP-76</t>
  </si>
  <si>
    <t xml:space="preserve">SPEARMINT </t>
  </si>
  <si>
    <t>SDP-77</t>
  </si>
  <si>
    <t>SDP-78</t>
  </si>
  <si>
    <t>GREYISH GREEN</t>
  </si>
  <si>
    <t>SDP-79</t>
  </si>
  <si>
    <t xml:space="preserve">OLIVE GREEN </t>
  </si>
  <si>
    <t>SDP-80</t>
  </si>
  <si>
    <t>CATERPILLAR GREEN</t>
  </si>
  <si>
    <t>SDP-81</t>
  </si>
  <si>
    <t>DARK BROWN</t>
  </si>
  <si>
    <t>SDP-82</t>
  </si>
  <si>
    <t xml:space="preserve">CHOCOLATE BROWN </t>
  </si>
  <si>
    <t>SDP-83</t>
  </si>
  <si>
    <t>BURNT SIENA UMBER</t>
  </si>
  <si>
    <t>SDP-84</t>
  </si>
  <si>
    <t>BURNT SHADE</t>
  </si>
  <si>
    <t>SDP-85</t>
  </si>
  <si>
    <t xml:space="preserve">LIGHT BROWN </t>
  </si>
  <si>
    <t>SDP-86</t>
  </si>
  <si>
    <t xml:space="preserve">JUMENTO BROWN </t>
  </si>
  <si>
    <t>SDP-87</t>
  </si>
  <si>
    <t>NATURAL SHADE</t>
  </si>
  <si>
    <t>SDP-88</t>
  </si>
  <si>
    <t xml:space="preserve">GREEN EARTH </t>
  </si>
  <si>
    <t>SDP-89</t>
  </si>
  <si>
    <t>ARCTIC GREY</t>
  </si>
  <si>
    <t>SDP-90</t>
  </si>
  <si>
    <t>GRAPHITE GREY</t>
  </si>
  <si>
    <t>SDP-91</t>
  </si>
  <si>
    <t>CONFEDERATE GREY</t>
  </si>
  <si>
    <t>SDP-92</t>
  </si>
  <si>
    <t>U.F.O GREY</t>
  </si>
  <si>
    <t>SDP-93</t>
  </si>
  <si>
    <t>BLUISH GREY</t>
  </si>
  <si>
    <t>SDP-94</t>
  </si>
  <si>
    <t>GREENISH GREY</t>
  </si>
  <si>
    <t>SDP-95</t>
  </si>
  <si>
    <t>GREY FOX</t>
  </si>
  <si>
    <t>SDP-96</t>
  </si>
  <si>
    <t>SDP-97</t>
  </si>
  <si>
    <t>SDP-98</t>
  </si>
  <si>
    <t>PASTEL TUQUOISE</t>
  </si>
  <si>
    <t>SDP-99</t>
  </si>
  <si>
    <t>SDP-100</t>
  </si>
  <si>
    <t>PASTEL GREY</t>
  </si>
  <si>
    <t>SDP-101</t>
  </si>
  <si>
    <t>MUMMY WHITE</t>
  </si>
  <si>
    <t>SDP-102</t>
  </si>
  <si>
    <t xml:space="preserve">PASTEL YELLOW </t>
  </si>
  <si>
    <t>SDP-103</t>
  </si>
  <si>
    <t>SDP-104</t>
  </si>
  <si>
    <t>PASTEL RED</t>
  </si>
  <si>
    <t>SDP-105</t>
  </si>
  <si>
    <t xml:space="preserve">BLACK METAL </t>
  </si>
  <si>
    <t>SDP-106</t>
  </si>
  <si>
    <t>BURNISHED STEEL</t>
  </si>
  <si>
    <t>SDP-107</t>
  </si>
  <si>
    <t>STEEL</t>
  </si>
  <si>
    <t>SDP-108</t>
  </si>
  <si>
    <t>ALUMINIUM</t>
  </si>
  <si>
    <t>SDP-109</t>
  </si>
  <si>
    <t>WHITE STEEL</t>
  </si>
  <si>
    <t>SDP-110</t>
  </si>
  <si>
    <t xml:space="preserve">BLUISH METAL </t>
  </si>
  <si>
    <t>SDP-111</t>
  </si>
  <si>
    <t>GREENISH METAL</t>
  </si>
  <si>
    <t>SDP-112</t>
  </si>
  <si>
    <t>PURPLISH METAL</t>
  </si>
  <si>
    <t>SDP-113</t>
  </si>
  <si>
    <t xml:space="preserve">BLACK GOLD </t>
  </si>
  <si>
    <t>SDP-114</t>
  </si>
  <si>
    <t xml:space="preserve">VIKING GOLD </t>
  </si>
  <si>
    <t>SDP-115</t>
  </si>
  <si>
    <t>BURNT GOLD</t>
  </si>
  <si>
    <t>SDP-116</t>
  </si>
  <si>
    <t xml:space="preserve">NEW GOLD </t>
  </si>
  <si>
    <t>SDP-117</t>
  </si>
  <si>
    <t>WHITE GOLD</t>
  </si>
  <si>
    <t>SDP-118</t>
  </si>
  <si>
    <t>PINKY GOLD</t>
  </si>
  <si>
    <t>SDP-119</t>
  </si>
  <si>
    <t>KUNZITE GOLD</t>
  </si>
  <si>
    <t>SDP-120</t>
  </si>
  <si>
    <t>LIGHT BRASS</t>
  </si>
  <si>
    <t>SDP-121</t>
  </si>
  <si>
    <t xml:space="preserve">OLD METAL </t>
  </si>
  <si>
    <t>SDP-122</t>
  </si>
  <si>
    <t xml:space="preserve">OLD COPPER </t>
  </si>
  <si>
    <t>SDP-123</t>
  </si>
  <si>
    <t>GARNET METAL</t>
  </si>
  <si>
    <t>SDP-124</t>
  </si>
  <si>
    <t>RUBY METAL</t>
  </si>
  <si>
    <t>SDP-125</t>
  </si>
  <si>
    <t xml:space="preserve">PURE COPPER </t>
  </si>
  <si>
    <t>SDP-126</t>
  </si>
  <si>
    <t>DARK BRASS</t>
  </si>
  <si>
    <t>SDP-127</t>
  </si>
  <si>
    <t xml:space="preserve">AMBER METAL </t>
  </si>
  <si>
    <t>SDP-128</t>
  </si>
  <si>
    <t xml:space="preserve">MOON METAL </t>
  </si>
  <si>
    <t>DROP &amp; PAINT SETS</t>
  </si>
  <si>
    <t>SSE-109</t>
  </si>
  <si>
    <t>NAKED</t>
  </si>
  <si>
    <t>SSE-110</t>
  </si>
  <si>
    <t>TRUE COLORS</t>
  </si>
  <si>
    <t>SSE-111</t>
  </si>
  <si>
    <t>BLUE MOON</t>
  </si>
  <si>
    <t>SSE-112</t>
  </si>
  <si>
    <t>BLUE MOON 2</t>
  </si>
  <si>
    <t>SSE-113</t>
  </si>
  <si>
    <t>RED BALLOONS</t>
  </si>
  <si>
    <t>SSE-114</t>
  </si>
  <si>
    <t>YELLOW SUBMARINE</t>
  </si>
  <si>
    <t>SSE-115</t>
  </si>
  <si>
    <t>PURPLE RAIN</t>
  </si>
  <si>
    <t>SSE-116</t>
  </si>
  <si>
    <t>ORANGE CRUSH</t>
  </si>
  <si>
    <t>SSE-117</t>
  </si>
  <si>
    <t>GREEN MANALISHI</t>
  </si>
  <si>
    <t>SSE-118</t>
  </si>
  <si>
    <t>GREEN MANALISHI 2</t>
  </si>
  <si>
    <t>SSE-119</t>
  </si>
  <si>
    <t>SUGAR BROWN</t>
  </si>
  <si>
    <t>SSE-120</t>
  </si>
  <si>
    <t>BACK TO BLACK</t>
  </si>
  <si>
    <t>SSE-121</t>
  </si>
  <si>
    <t>CANDYMAN</t>
  </si>
  <si>
    <t>SSE-122</t>
  </si>
  <si>
    <t>TUBULAR BELLS</t>
  </si>
  <si>
    <t>SSE-123</t>
  </si>
  <si>
    <t>GOLDENEYE</t>
  </si>
  <si>
    <t>SSE-124</t>
  </si>
  <si>
    <t>COPPER KETTLE</t>
  </si>
  <si>
    <t>SSE-125</t>
  </si>
  <si>
    <t>COLOR PALACE VOL 1</t>
  </si>
  <si>
    <t>SSE-126</t>
  </si>
  <si>
    <t>COLOR PALACE VOL 2</t>
  </si>
  <si>
    <t>ACCESORIES</t>
  </si>
  <si>
    <t>SCTH-001</t>
  </si>
  <si>
    <t>VOLUME / UNITS</t>
  </si>
  <si>
    <t>250 mL</t>
  </si>
  <si>
    <t>ACRYLIC THINNER</t>
  </si>
  <si>
    <t>SCTH-002</t>
  </si>
  <si>
    <t>60 mL</t>
  </si>
  <si>
    <t>ACRYLIC THINNER (SMALL BOTTLE)</t>
  </si>
  <si>
    <t>8435635303080</t>
  </si>
  <si>
    <t>SAR-001</t>
  </si>
  <si>
    <t>ACRYLIC RETARDER</t>
  </si>
  <si>
    <t>8435635303332</t>
  </si>
  <si>
    <t>SCC-010</t>
  </si>
  <si>
    <t>39g (20 ml)</t>
  </si>
  <si>
    <t>ACRYLIC PUTTY</t>
  </si>
  <si>
    <t>SCC-012</t>
  </si>
  <si>
    <t>CUTTING PLIER</t>
  </si>
  <si>
    <t>SCC-013</t>
  </si>
  <si>
    <t>HAND DRILL</t>
  </si>
  <si>
    <t>SCC-014</t>
  </si>
  <si>
    <t>CUTTER</t>
  </si>
  <si>
    <t>SCC-015</t>
  </si>
  <si>
    <t>POWER TACK</t>
  </si>
  <si>
    <t>8435635303097</t>
  </si>
  <si>
    <t>SCPS-001</t>
  </si>
  <si>
    <t xml:space="preserve">50 </t>
  </si>
  <si>
    <t>PAINT SHAKERS</t>
  </si>
  <si>
    <t>8435635303134</t>
  </si>
  <si>
    <t>SPC-004</t>
  </si>
  <si>
    <t>*</t>
  </si>
  <si>
    <t>WET PALETTE PACK</t>
  </si>
  <si>
    <t>8435635303141</t>
  </si>
  <si>
    <t>SPC-005</t>
  </si>
  <si>
    <t>WATERCOLOR BRUSH PEN</t>
  </si>
  <si>
    <t>7427047969078</t>
  </si>
  <si>
    <t>SPC-006</t>
  </si>
  <si>
    <t>100 gr</t>
  </si>
  <si>
    <t>CREAM SOAP</t>
  </si>
  <si>
    <t>SPC-007</t>
  </si>
  <si>
    <t>ACRYLIC MEDIUM</t>
  </si>
  <si>
    <t>SPC-008</t>
  </si>
  <si>
    <t>VARNISH ULTRA-MATT</t>
  </si>
  <si>
    <t>SPC-009</t>
  </si>
  <si>
    <t>VARNISH GLOSS</t>
  </si>
  <si>
    <t>PRIMERS</t>
  </si>
  <si>
    <t>8412548244426</t>
  </si>
  <si>
    <t>SCPR-001</t>
  </si>
  <si>
    <t>VOLUME</t>
  </si>
  <si>
    <t>PRIMER SURFACE WHITE</t>
  </si>
  <si>
    <t>8412548244457</t>
  </si>
  <si>
    <t>SCPR-002</t>
  </si>
  <si>
    <t>PRIMER SURFACE BLACK</t>
  </si>
  <si>
    <t>8412548253336</t>
  </si>
  <si>
    <t>SCPR-003</t>
  </si>
  <si>
    <t>PRIMER SURFACE GREY</t>
  </si>
  <si>
    <t>SCPR-004</t>
  </si>
  <si>
    <t>PRIMER ICE CHARM</t>
  </si>
  <si>
    <t>SCPR-005</t>
  </si>
  <si>
    <t>PRIMER BONE CHARM</t>
  </si>
  <si>
    <t>SCPR-006</t>
  </si>
  <si>
    <t>PRIMER HOLY CHARM</t>
  </si>
  <si>
    <t>SCPR-007</t>
  </si>
  <si>
    <t>PRIMER SURFACE SAND</t>
  </si>
  <si>
    <t>SCPR-008</t>
  </si>
  <si>
    <t>PRIMER SURFACE OLIVE</t>
  </si>
  <si>
    <t>SCPR-009</t>
  </si>
  <si>
    <t>PRIMER SURFACE HULL RED</t>
  </si>
  <si>
    <t>BRUSHES</t>
  </si>
  <si>
    <t>8435635303165</t>
  </si>
  <si>
    <t>SBR-000</t>
  </si>
  <si>
    <t>UNITS</t>
  </si>
  <si>
    <t>KOLYNSKI TAJMYR Nº 0</t>
  </si>
  <si>
    <t>8435635303172</t>
  </si>
  <si>
    <t>SBR-001</t>
  </si>
  <si>
    <t>KOLYNSKI TAJMYR Nº 1</t>
  </si>
  <si>
    <t>7427047969061</t>
  </si>
  <si>
    <t>SBR-002</t>
  </si>
  <si>
    <t>MINIATURES BASIC BRUSHES</t>
  </si>
  <si>
    <t>7427047969085</t>
  </si>
  <si>
    <t>SBR-003</t>
  </si>
  <si>
    <t>MINIATURES LUXURY BRUSHES</t>
  </si>
  <si>
    <t>7427047969108</t>
  </si>
  <si>
    <t>SBR-004</t>
  </si>
  <si>
    <t>SCENERIES &amp; TERRAINS I BRUSHES</t>
  </si>
  <si>
    <t>7427047969115</t>
  </si>
  <si>
    <t>SBR-005</t>
  </si>
  <si>
    <t>SCENERIES &amp; TERRAINS II BRUSHES</t>
  </si>
  <si>
    <t>7427047969122</t>
  </si>
  <si>
    <t>SBR-006</t>
  </si>
  <si>
    <t>WEATHERING I BRUSHES</t>
  </si>
  <si>
    <t>7427047969139</t>
  </si>
  <si>
    <t>SBR-007</t>
  </si>
  <si>
    <t>WEATHERING II BRUSHES</t>
  </si>
  <si>
    <t>SBR-008</t>
  </si>
  <si>
    <t>MINIATURES BASIC-KOLINSKY SABLE 0</t>
  </si>
  <si>
    <t>SBR-009</t>
  </si>
  <si>
    <t>MINIATURES BASIC-KOLINSKY SABLE 1</t>
  </si>
  <si>
    <t>SBR-010</t>
  </si>
  <si>
    <t>MINIATURES BASIC-KOLINSKY SABLE 2</t>
  </si>
  <si>
    <t>SBR-011</t>
  </si>
  <si>
    <t>MINIATURES BASIC-KOLINSKY SABLE 4</t>
  </si>
  <si>
    <t>SBR-012</t>
  </si>
  <si>
    <t>MINIATURES LUXURY-KOLINSKY-TAJMIR SABLE 0</t>
  </si>
  <si>
    <t>SBR-013</t>
  </si>
  <si>
    <t>MINIATURES LUXURY-KOLINSKY-TAJMIR SABLE 1</t>
  </si>
  <si>
    <t>SBR-014</t>
  </si>
  <si>
    <t>MINIATURES LUXURY-KOLINSKY-TAJMIR SABLE 2</t>
  </si>
  <si>
    <t>SBR-015</t>
  </si>
  <si>
    <t>MINIATURES LUXURY-KOLINSKY-TAJMIR SABLE 4</t>
  </si>
  <si>
    <t>SOILWORKS</t>
  </si>
  <si>
    <t>SOILWORKS: SCENERY</t>
  </si>
  <si>
    <t>SWA-01</t>
  </si>
  <si>
    <t xml:space="preserve">VOLUME </t>
  </si>
  <si>
    <t>30 mL</t>
  </si>
  <si>
    <t>WET</t>
  </si>
  <si>
    <t>SWA-02</t>
  </si>
  <si>
    <t>WATER AND PUDDLES</t>
  </si>
  <si>
    <t>8435635303202</t>
  </si>
  <si>
    <t>SGR-001</t>
  </si>
  <si>
    <t>50 gr</t>
  </si>
  <si>
    <t>ROCK AND GRAVEL</t>
  </si>
  <si>
    <t>8412548265728</t>
  </si>
  <si>
    <t>SAP-001</t>
  </si>
  <si>
    <t>100 mL</t>
  </si>
  <si>
    <t>ACRYLIC PASTE FLAT</t>
  </si>
  <si>
    <t>8412548265735</t>
  </si>
  <si>
    <t>SAP-002</t>
  </si>
  <si>
    <t>ACRYLIC PASTE MEDIUM</t>
  </si>
  <si>
    <t>8412548265742</t>
  </si>
  <si>
    <t>SAP-003</t>
  </si>
  <si>
    <t>ACRYLIC PASTE ROUGH</t>
  </si>
  <si>
    <t>7427047968996</t>
  </si>
  <si>
    <t>SAP-004</t>
  </si>
  <si>
    <t>SPRING SOIL</t>
  </si>
  <si>
    <t>7427047969009</t>
  </si>
  <si>
    <t>SAP-005</t>
  </si>
  <si>
    <t>DRY SOIL</t>
  </si>
  <si>
    <t>7427047969016</t>
  </si>
  <si>
    <t>SAP-006</t>
  </si>
  <si>
    <t>SUMMER GROUND</t>
  </si>
  <si>
    <t>7427047969023</t>
  </si>
  <si>
    <t>SAP-007</t>
  </si>
  <si>
    <t>AUTUMN GROUND</t>
  </si>
  <si>
    <t>7427047969030</t>
  </si>
  <si>
    <t>SAP-008</t>
  </si>
  <si>
    <t>SOILED SNOW</t>
  </si>
  <si>
    <t>7427047969047</t>
  </si>
  <si>
    <t>SAP-009</t>
  </si>
  <si>
    <t>WINTER GROUND</t>
  </si>
  <si>
    <t>SAP-010</t>
  </si>
  <si>
    <t>101 mL</t>
  </si>
  <si>
    <t>ASPHALT</t>
  </si>
  <si>
    <t>SAP-011</t>
  </si>
  <si>
    <t>102 mL</t>
  </si>
  <si>
    <t>CONCRETE</t>
  </si>
  <si>
    <t>SAP-012</t>
  </si>
  <si>
    <t>103 mL</t>
  </si>
  <si>
    <t>JUNGLE SOIL</t>
  </si>
  <si>
    <t>SAP-013</t>
  </si>
  <si>
    <t>104 mL</t>
  </si>
  <si>
    <t>FRESH SNOW</t>
  </si>
  <si>
    <t>SAP-014</t>
  </si>
  <si>
    <t>105 mL</t>
  </si>
  <si>
    <t>LIFE ON MARS</t>
  </si>
  <si>
    <t>SAP-015</t>
  </si>
  <si>
    <t>106 mL</t>
  </si>
  <si>
    <t>PANDORA BLUE</t>
  </si>
  <si>
    <t>SAP-016</t>
  </si>
  <si>
    <t>107 mL</t>
  </si>
  <si>
    <t>PURPLE SUNS</t>
  </si>
  <si>
    <t>SAPACK-001</t>
  </si>
  <si>
    <t>3 (100mL)</t>
  </si>
  <si>
    <t>BASICS</t>
  </si>
  <si>
    <t>SAPACK-002</t>
  </si>
  <si>
    <t>WARM&amp;DRY</t>
  </si>
  <si>
    <t>SAPACK-003</t>
  </si>
  <si>
    <t>COLD&amp;WET</t>
  </si>
  <si>
    <t>SAPACK-004</t>
  </si>
  <si>
    <t>SNOWFALL</t>
  </si>
  <si>
    <t>SAPACK-005</t>
  </si>
  <si>
    <t>URBAN</t>
  </si>
  <si>
    <t>SAPACK-006</t>
  </si>
  <si>
    <t>SCI-FI</t>
  </si>
  <si>
    <t>7426974774151</t>
  </si>
  <si>
    <t>SEN-001</t>
  </si>
  <si>
    <t>4 (17mL) / 2 (20mL)</t>
  </si>
  <si>
    <t>ENVIRONMENTS SPRING</t>
  </si>
  <si>
    <t>7426974774168</t>
  </si>
  <si>
    <t>SEN-002</t>
  </si>
  <si>
    <t>2 (17mL) / 4 (20mL)</t>
  </si>
  <si>
    <t>ENVIRONMENTS SUMMER</t>
  </si>
  <si>
    <t>7426974774175</t>
  </si>
  <si>
    <t>SEN-003</t>
  </si>
  <si>
    <t>3 (17mL) / 3 (20mL)</t>
  </si>
  <si>
    <t>ENVIRONMENTS AUTUMN</t>
  </si>
  <si>
    <t>7426974774182</t>
  </si>
  <si>
    <t>SEN-004</t>
  </si>
  <si>
    <t>ENVIRONMENTS WINTER</t>
  </si>
  <si>
    <t>SEN-005</t>
  </si>
  <si>
    <t>ENVIRONMENTS URBAN</t>
  </si>
  <si>
    <t>SEN-006</t>
  </si>
  <si>
    <t>ENVIRONMENTS JUNGLE</t>
  </si>
  <si>
    <t>SEN-007</t>
  </si>
  <si>
    <t>ENVIRONMENTS COLD</t>
  </si>
  <si>
    <t>SEN-009</t>
  </si>
  <si>
    <t>ENVIRONMENTS SCI FI</t>
  </si>
  <si>
    <t>SEN-010</t>
  </si>
  <si>
    <t>5 (17mL) / 2 (20mL)</t>
  </si>
  <si>
    <t>ENVIRONMENT DESERT</t>
  </si>
  <si>
    <t>SEN-011</t>
  </si>
  <si>
    <t>4 (17mL) / 1 (20mL)</t>
  </si>
  <si>
    <t>RAINY SPRING - QUICK ENVIRONMENT</t>
  </si>
  <si>
    <t>SEN-012</t>
  </si>
  <si>
    <t>ARID SUMMER - QUICK ENVIRONMENT</t>
  </si>
  <si>
    <t>CAST WHITE METAL KIT</t>
  </si>
  <si>
    <t>SOILWORKS: PIGMENTS</t>
  </si>
  <si>
    <t>8412548263045</t>
  </si>
  <si>
    <t>SPG-01</t>
  </si>
  <si>
    <t>35 mL</t>
  </si>
  <si>
    <t>SIENNA</t>
  </si>
  <si>
    <t>8412548263069</t>
  </si>
  <si>
    <t>SPG-02</t>
  </si>
  <si>
    <t>NATURAL SOIL</t>
  </si>
  <si>
    <t>8412548263076</t>
  </si>
  <si>
    <t>SPG-03</t>
  </si>
  <si>
    <t>DARK MUD</t>
  </si>
  <si>
    <t>8412548263083</t>
  </si>
  <si>
    <t>SPG-04</t>
  </si>
  <si>
    <t>REDDISH BROWN</t>
  </si>
  <si>
    <t>8412548264196</t>
  </si>
  <si>
    <t>SPG-05</t>
  </si>
  <si>
    <t>MARS</t>
  </si>
  <si>
    <t>8412548264202</t>
  </si>
  <si>
    <t>SPG-06</t>
  </si>
  <si>
    <t>8412548264219</t>
  </si>
  <si>
    <t>SPG-07</t>
  </si>
  <si>
    <t>ASH</t>
  </si>
  <si>
    <t>8412548264226</t>
  </si>
  <si>
    <t>SPG-08</t>
  </si>
  <si>
    <t>GYPSUM</t>
  </si>
  <si>
    <t>8412548264189</t>
  </si>
  <si>
    <t>SPG-09</t>
  </si>
  <si>
    <t>SAND</t>
  </si>
  <si>
    <t>8412548263014</t>
  </si>
  <si>
    <t>SPG-10</t>
  </si>
  <si>
    <t>SPG-11</t>
  </si>
  <si>
    <t>36 mL</t>
  </si>
  <si>
    <t>ALIEN PINK</t>
  </si>
  <si>
    <t>SPG-12</t>
  </si>
  <si>
    <t>37 mL</t>
  </si>
  <si>
    <t>NEBULA BLUE</t>
  </si>
  <si>
    <t>8412548263090</t>
  </si>
  <si>
    <t>SR-01P</t>
  </si>
  <si>
    <t>MUD EFFECT</t>
  </si>
  <si>
    <t>SFP-01P</t>
  </si>
  <si>
    <t>PIGMENT FIXER</t>
  </si>
  <si>
    <t>PAINTING GUIDES</t>
  </si>
  <si>
    <t>9788461763603</t>
  </si>
  <si>
    <t>SEB-001</t>
  </si>
  <si>
    <t>SIZE / LANGUAGE</t>
  </si>
  <si>
    <t>A4 / -</t>
  </si>
  <si>
    <t xml:space="preserve">STEAM PUNK IN MINIATURE </t>
  </si>
  <si>
    <t>9788461799817</t>
  </si>
  <si>
    <t>SEB-002</t>
  </si>
  <si>
    <t>A4 / ENG, ITA, FRA, SPA</t>
  </si>
  <si>
    <t xml:space="preserve">EASY PAINTING PROCESES </t>
  </si>
  <si>
    <t>9788409113040</t>
  </si>
  <si>
    <t>SEB-006ES</t>
  </si>
  <si>
    <t>A4 / SPA</t>
  </si>
  <si>
    <t xml:space="preserve">PAINTING WITH ACRYLICS - FANTASY BUSTS </t>
  </si>
  <si>
    <t>SEB-006EN</t>
  </si>
  <si>
    <t>9788409148769</t>
  </si>
  <si>
    <t>SEB-009</t>
  </si>
  <si>
    <t>A4 / ENG, SPA</t>
  </si>
  <si>
    <t xml:space="preserve">THE SMOG RIDERS - PAINTING CHIBIS </t>
  </si>
  <si>
    <t>SEB-010ES</t>
  </si>
  <si>
    <t>- / SPA</t>
  </si>
  <si>
    <t>MINIPEDIA COLLECTION (SPANISH)</t>
  </si>
  <si>
    <t>SEB-010EN</t>
  </si>
  <si>
    <t>- / ENG</t>
  </si>
  <si>
    <t>MINIPEDIA COLLECTION (ENGLISH)</t>
  </si>
  <si>
    <t>SEB-010AL</t>
  </si>
  <si>
    <t>- / GER</t>
  </si>
  <si>
    <t>MINIPEDIA COLLECTION (GERMAN)</t>
  </si>
  <si>
    <t>SEB-010IT</t>
  </si>
  <si>
    <t>- / ITA</t>
  </si>
  <si>
    <t>MINIPEDIA COLLECTION (ITALIAN)</t>
  </si>
  <si>
    <t>SEB-010FR</t>
  </si>
  <si>
    <t>- / FRA</t>
  </si>
  <si>
    <t>MINIPEDIA COLLECTION (FRENCH)</t>
  </si>
  <si>
    <t>SEB-010JP</t>
  </si>
  <si>
    <t>- / JAP</t>
  </si>
  <si>
    <t>MINIPEDIA COLLECTION (JAPANESE)</t>
  </si>
  <si>
    <t>SEB-013ES</t>
  </si>
  <si>
    <t>MINIPEDIA FOR GAMERS COLLECTION (SPANISH)</t>
  </si>
  <si>
    <t>SEB-013EN</t>
  </si>
  <si>
    <t>MINIPEDIA FOR GAMERS COLLECTION (ENGLISH)</t>
  </si>
  <si>
    <t>SEB-013AL</t>
  </si>
  <si>
    <t>MINIPEDIA FOR GAMERS COLLECTION (GERMAN)</t>
  </si>
  <si>
    <t>SEB-013FR</t>
  </si>
  <si>
    <t>- / FRE</t>
  </si>
  <si>
    <t>MINIPEDIA FOR GAMERS COLLECTION (FRENCH)</t>
  </si>
  <si>
    <t>SEB-013JP</t>
  </si>
  <si>
    <t>MINIPEDIA FOR GAMERS COLLECTION (JAPANESE)</t>
  </si>
  <si>
    <t>SEB-014</t>
  </si>
  <si>
    <t>A4 / SPA, ENG</t>
  </si>
  <si>
    <t>EASY PAINTING PROCESES II</t>
  </si>
  <si>
    <t>HISTORY BOOKS</t>
  </si>
  <si>
    <t>SVD-003</t>
  </si>
  <si>
    <t>DVD / -</t>
  </si>
  <si>
    <t xml:space="preserve">BATTLE OF MOSCOW 1941 PROCESS </t>
  </si>
  <si>
    <t>8423153061384</t>
  </si>
  <si>
    <t>SEB-003ES</t>
  </si>
  <si>
    <t xml:space="preserve">WOLFE THE BATTLE OF ATLANTIC </t>
  </si>
  <si>
    <t>SEB-003EN</t>
  </si>
  <si>
    <t>A4 / ENG</t>
  </si>
  <si>
    <t>9788494942310</t>
  </si>
  <si>
    <t>SEB-004ES</t>
  </si>
  <si>
    <t xml:space="preserve">SPANISH BLUE DIVISION COMMEMORATIVE MEDALS  </t>
  </si>
  <si>
    <t>SEB-004EN</t>
  </si>
  <si>
    <t xml:space="preserve">SPANISH BLUE DIVISION COMMEMORATIVE MEDALS </t>
  </si>
  <si>
    <t>ART BOOKS</t>
  </si>
  <si>
    <t>9788409084630</t>
  </si>
  <si>
    <t>SEB-005ES</t>
  </si>
  <si>
    <t xml:space="preserve"> / -</t>
  </si>
  <si>
    <t xml:space="preserve">BANSHEE - A COLOURFUL MIND </t>
  </si>
  <si>
    <t>SEB-005EN</t>
  </si>
  <si>
    <t xml:space="preserve"> / ENG</t>
  </si>
  <si>
    <t>8423153061377</t>
  </si>
  <si>
    <t>SEB-007</t>
  </si>
  <si>
    <t xml:space="preserve">FALLEN FRONTIERS - ART BOOK </t>
  </si>
  <si>
    <t>9788409136124</t>
  </si>
  <si>
    <t>SEB-008ES</t>
  </si>
  <si>
    <t>MIKE BLANK - COLOUR HARMONY</t>
  </si>
  <si>
    <t>SEB-008EN</t>
  </si>
  <si>
    <t>SEB-012ES</t>
  </si>
  <si>
    <t>PEPE GALLARDO - TIMELINE COLORS</t>
  </si>
  <si>
    <t>SEB-012EN</t>
  </si>
  <si>
    <t>SEB-011</t>
  </si>
  <si>
    <t>THE ART OF ZODIAC MYSTIC SIGNS</t>
  </si>
  <si>
    <t>ART FIGURES</t>
  </si>
  <si>
    <t>FIGURES</t>
  </si>
  <si>
    <t>8435635300034</t>
  </si>
  <si>
    <t>SCM-003</t>
  </si>
  <si>
    <t>ML / Units</t>
  </si>
  <si>
    <t>1:24(75 mm)</t>
  </si>
  <si>
    <t>GRAND MASTER</t>
  </si>
  <si>
    <t>8435635300058</t>
  </si>
  <si>
    <t>SCM-005</t>
  </si>
  <si>
    <t>EXECUTIONER</t>
  </si>
  <si>
    <t>8435635300065</t>
  </si>
  <si>
    <t>SCM-006</t>
  </si>
  <si>
    <t>MEDIEVAL KNIGHT</t>
  </si>
  <si>
    <t>8435635300089</t>
  </si>
  <si>
    <t>SCM-008</t>
  </si>
  <si>
    <t>NOBUNAGA WARRIOR</t>
  </si>
  <si>
    <t>8435635300096</t>
  </si>
  <si>
    <t>SCM-009</t>
  </si>
  <si>
    <t>GUARDIAN OF HEAVEN</t>
  </si>
  <si>
    <t>SCM-010</t>
  </si>
  <si>
    <t>MEDIEVAL HUNTER</t>
  </si>
  <si>
    <t>SCM-014</t>
  </si>
  <si>
    <t>VIKING RUS</t>
  </si>
  <si>
    <t>8435635300171</t>
  </si>
  <si>
    <t>SCW-002</t>
  </si>
  <si>
    <t>LT. WINTERS</t>
  </si>
  <si>
    <t>8435635300218</t>
  </si>
  <si>
    <t>SCW-006</t>
  </si>
  <si>
    <t>GEORGE S. PATTON 1945</t>
  </si>
  <si>
    <t>8435635300263</t>
  </si>
  <si>
    <t>SCW-011</t>
  </si>
  <si>
    <t xml:space="preserve">ROMMEL, LYBIA 1941 </t>
  </si>
  <si>
    <t>8435635300270</t>
  </si>
  <si>
    <t>SNW-001</t>
  </si>
  <si>
    <t>IMPERIAL GUARD</t>
  </si>
  <si>
    <t>8435635300287</t>
  </si>
  <si>
    <t>SNW-002</t>
  </si>
  <si>
    <t>HUSSAR OFFICER,BRUNSWICK 1815</t>
  </si>
  <si>
    <t>8435635300294</t>
  </si>
  <si>
    <t>SNW-003</t>
  </si>
  <si>
    <t xml:space="preserve">FUSILIER-GRENADIER, 1808 </t>
  </si>
  <si>
    <t>8435635300300</t>
  </si>
  <si>
    <t>SNW-004</t>
  </si>
  <si>
    <t>BATTLE OF BEREZINA,  1812</t>
  </si>
  <si>
    <t>8435635300317</t>
  </si>
  <si>
    <t>SCR-001</t>
  </si>
  <si>
    <t>CENTURION</t>
  </si>
  <si>
    <t>8435635300331</t>
  </si>
  <si>
    <t>SCR-003</t>
  </si>
  <si>
    <t>THRACIAN GLADIATOR</t>
  </si>
  <si>
    <t>8435635300348</t>
  </si>
  <si>
    <t>SCR-004</t>
  </si>
  <si>
    <t>JULIO CESAR IN ALESIA</t>
  </si>
  <si>
    <t>8435635300355</t>
  </si>
  <si>
    <t>SCR-005</t>
  </si>
  <si>
    <t>PRAETORIAN GUARD</t>
  </si>
  <si>
    <t>8435635300362</t>
  </si>
  <si>
    <t>SCR-006</t>
  </si>
  <si>
    <t>DUEL OF BEAST</t>
  </si>
  <si>
    <t>SCR-010</t>
  </si>
  <si>
    <t>CENTVRIO TITVS ET ALQVILIFER LEPIDVS</t>
  </si>
  <si>
    <t>8435635300409</t>
  </si>
  <si>
    <t>SCH-001</t>
  </si>
  <si>
    <t>LEONIDAS</t>
  </si>
  <si>
    <t>8435635300447</t>
  </si>
  <si>
    <t>SCH-005</t>
  </si>
  <si>
    <t>BLACKBEARD</t>
  </si>
  <si>
    <t>8435635300461</t>
  </si>
  <si>
    <t>SCH-007</t>
  </si>
  <si>
    <t>RAGNAR LODBROK</t>
  </si>
  <si>
    <t>8435635300478</t>
  </si>
  <si>
    <t>SCH-008</t>
  </si>
  <si>
    <t>ANNE BONNY</t>
  </si>
  <si>
    <t>8435635300485</t>
  </si>
  <si>
    <t>SCH-010</t>
  </si>
  <si>
    <t>ROLLO LODBROK</t>
  </si>
  <si>
    <t>8435635300492</t>
  </si>
  <si>
    <t>SCH-011</t>
  </si>
  <si>
    <t>MARY READ</t>
  </si>
  <si>
    <t>8435635300515</t>
  </si>
  <si>
    <t>SCA-002</t>
  </si>
  <si>
    <t>CASUALTY TOLL</t>
  </si>
  <si>
    <t>8435635300553</t>
  </si>
  <si>
    <t>SPS-003</t>
  </si>
  <si>
    <t>CAPTAIN AMELIA STEAM</t>
  </si>
  <si>
    <t>8435635300560</t>
  </si>
  <si>
    <t>SPS-004</t>
  </si>
  <si>
    <t>MOHAWK MILITIA</t>
  </si>
  <si>
    <t>8435635300577</t>
  </si>
  <si>
    <t>SPS-005</t>
  </si>
  <si>
    <t>HOPLITE 480 BC</t>
  </si>
  <si>
    <t>8435635300591</t>
  </si>
  <si>
    <t>SPS-007</t>
  </si>
  <si>
    <t xml:space="preserve">GOLD RUSH, CALIFORNIA 1849 </t>
  </si>
  <si>
    <t>8435635300614</t>
  </si>
  <si>
    <t>SCF-002</t>
  </si>
  <si>
    <t>INVOCATIO</t>
  </si>
  <si>
    <t>8435635300621</t>
  </si>
  <si>
    <t>SCF-003</t>
  </si>
  <si>
    <t>ABYSSAL WARLORD</t>
  </si>
  <si>
    <t>8435635300669</t>
  </si>
  <si>
    <t>SCF-007</t>
  </si>
  <si>
    <t>KHALGRIM GUNNARSON</t>
  </si>
  <si>
    <t>8435635300683</t>
  </si>
  <si>
    <t>SCF-009</t>
  </si>
  <si>
    <t>LISBETH</t>
  </si>
  <si>
    <t>8435635300720</t>
  </si>
  <si>
    <t>SCF-015</t>
  </si>
  <si>
    <t>LORD OF CHAOS</t>
  </si>
  <si>
    <t>8435635300737</t>
  </si>
  <si>
    <t>SCF-017</t>
  </si>
  <si>
    <t>ARUH´KA, THE SHAMAN ORC</t>
  </si>
  <si>
    <t>8435635300744</t>
  </si>
  <si>
    <t>SCF-018</t>
  </si>
  <si>
    <t>BROIN BEARSONN</t>
  </si>
  <si>
    <t>8435635300751</t>
  </si>
  <si>
    <t>SCF-019</t>
  </si>
  <si>
    <t>JYNZ, THE SCOUNDREL</t>
  </si>
  <si>
    <t>8435635300768</t>
  </si>
  <si>
    <t>SCF-020</t>
  </si>
  <si>
    <t>KEERA, BLADE OF JUSTICE</t>
  </si>
  <si>
    <t>8435635300775</t>
  </si>
  <si>
    <t>SCF-021</t>
  </si>
  <si>
    <t>DAMNED LUST</t>
  </si>
  <si>
    <t>8435635300799</t>
  </si>
  <si>
    <t>SCF-023</t>
  </si>
  <si>
    <t>HEATHER CROWLEY</t>
  </si>
  <si>
    <t>SCF-024</t>
  </si>
  <si>
    <t>THALGRIN STRONGHOLD</t>
  </si>
  <si>
    <t>SCF-025</t>
  </si>
  <si>
    <t>ULRUK LUK´TRAH</t>
  </si>
  <si>
    <t>SCF-026</t>
  </si>
  <si>
    <t>1:24(75mm)</t>
  </si>
  <si>
    <t>ULHÚ, DRAGON TRAINER</t>
  </si>
  <si>
    <t>8435635300836</t>
  </si>
  <si>
    <t>SCN-003</t>
  </si>
  <si>
    <t>JACK THE RIPPER</t>
  </si>
  <si>
    <t>8435635300874</t>
  </si>
  <si>
    <t>SSP-001</t>
  </si>
  <si>
    <t>"FIX IT" SAM</t>
  </si>
  <si>
    <t>8435635300881</t>
  </si>
  <si>
    <t>SSP-002</t>
  </si>
  <si>
    <t>KITTY REIMER</t>
  </si>
  <si>
    <t>8435635300898</t>
  </si>
  <si>
    <t>SSP-003</t>
  </si>
  <si>
    <t>ILSA´S MECH LAB</t>
  </si>
  <si>
    <t>8435635300904</t>
  </si>
  <si>
    <t>SSP-004</t>
  </si>
  <si>
    <t>SARAH KILMISTER</t>
  </si>
  <si>
    <t>8435635300928</t>
  </si>
  <si>
    <t>SSP-006</t>
  </si>
  <si>
    <t>CAPTAIN AHAB</t>
  </si>
  <si>
    <t>8435635300935</t>
  </si>
  <si>
    <t>SSP-007</t>
  </si>
  <si>
    <t>JESSICA THUNDERHAWK</t>
  </si>
  <si>
    <t>8435635300959</t>
  </si>
  <si>
    <t>SSP-009</t>
  </si>
  <si>
    <t>NANCY STEELPUNCH</t>
  </si>
  <si>
    <t>8435635300997</t>
  </si>
  <si>
    <t>SSP-013</t>
  </si>
  <si>
    <t>BRIGITTE LAFAYETTE</t>
  </si>
  <si>
    <t>8435635301000</t>
  </si>
  <si>
    <t>SSP-014</t>
  </si>
  <si>
    <t>LADY VALERIOUS</t>
  </si>
  <si>
    <t>8435635301024</t>
  </si>
  <si>
    <t>SSP-016</t>
  </si>
  <si>
    <t xml:space="preserve">AUDREY D. &amp; RUMBLEPOP </t>
  </si>
  <si>
    <t>8435635301079</t>
  </si>
  <si>
    <t>SFF-005</t>
  </si>
  <si>
    <t>DIANNE TIANSEEN</t>
  </si>
  <si>
    <t>8435635301116</t>
  </si>
  <si>
    <t>HFF-001</t>
  </si>
  <si>
    <t>1:12</t>
  </si>
  <si>
    <t>8435635301178</t>
  </si>
  <si>
    <t>STCR-001</t>
  </si>
  <si>
    <t>BROIN, THE DRAGON HUNTER</t>
  </si>
  <si>
    <t>8435635301185</t>
  </si>
  <si>
    <t>STCR-002</t>
  </si>
  <si>
    <t>LOREEN, DAMNED LUST</t>
  </si>
  <si>
    <t>8435635301208</t>
  </si>
  <si>
    <t>STCR-004</t>
  </si>
  <si>
    <t>BORT, THE IRON BUTCHER</t>
  </si>
  <si>
    <t>8435635301215</t>
  </si>
  <si>
    <t>STCR-005</t>
  </si>
  <si>
    <t>THENIDIEL, THE RAPTURE OF THE FOREST</t>
  </si>
  <si>
    <t>8435635301239</t>
  </si>
  <si>
    <t>STCR-007</t>
  </si>
  <si>
    <t>THAAL, DRAGON FURY</t>
  </si>
  <si>
    <t>8435635301253</t>
  </si>
  <si>
    <t>STCR-009</t>
  </si>
  <si>
    <t>THE REVENGE, LAST BLOOD</t>
  </si>
  <si>
    <t>8435635301284</t>
  </si>
  <si>
    <t>SCB-003</t>
  </si>
  <si>
    <t>1:10</t>
  </si>
  <si>
    <t>8435635301291</t>
  </si>
  <si>
    <t>SCB-004</t>
  </si>
  <si>
    <t>8435635301307</t>
  </si>
  <si>
    <t>SCB-005</t>
  </si>
  <si>
    <t>NAPOLEORK</t>
  </si>
  <si>
    <t>8435635301321</t>
  </si>
  <si>
    <t>SCB-008</t>
  </si>
  <si>
    <t>JESSICA THUNDER</t>
  </si>
  <si>
    <t>8435635301338</t>
  </si>
  <si>
    <t>SCB-010</t>
  </si>
  <si>
    <t>ADOLFORC</t>
  </si>
  <si>
    <t>SCB-011</t>
  </si>
  <si>
    <t>WITCH TALES</t>
  </si>
  <si>
    <t>SCB-012</t>
  </si>
  <si>
    <t>ELLIOT "LUCKY SHOT" MANYARD</t>
  </si>
  <si>
    <t>8435635301345</t>
  </si>
  <si>
    <t>SNG-001</t>
  </si>
  <si>
    <t>8435635301369</t>
  </si>
  <si>
    <t>SNG-003</t>
  </si>
  <si>
    <t>8435635301383</t>
  </si>
  <si>
    <t>SNG-005</t>
  </si>
  <si>
    <t>8435635301406</t>
  </si>
  <si>
    <t>SNG-007</t>
  </si>
  <si>
    <t>8435635301413</t>
  </si>
  <si>
    <t>SNG-008</t>
  </si>
  <si>
    <t>8435635301420</t>
  </si>
  <si>
    <t>SSN-001</t>
  </si>
  <si>
    <t>PHIGGER</t>
  </si>
  <si>
    <t>SSN-002</t>
  </si>
  <si>
    <t>WRECKING MAXINE</t>
  </si>
  <si>
    <t>SSN-003</t>
  </si>
  <si>
    <t>KITSUNE &amp; HANIBARU</t>
  </si>
  <si>
    <t>8435635301437</t>
  </si>
  <si>
    <t>SFD-001</t>
  </si>
  <si>
    <t>2º TERCIO DE ASTURIAS</t>
  </si>
  <si>
    <t>8435635301482</t>
  </si>
  <si>
    <t>SFD-006</t>
  </si>
  <si>
    <t>SPANISH MUSKETEER, ROCROI 1643</t>
  </si>
  <si>
    <t>8435635301499</t>
  </si>
  <si>
    <t>SFD-007</t>
  </si>
  <si>
    <t>SPANISH TERCIOS, VETERAN SERGEANT</t>
  </si>
  <si>
    <t>8435635301505</t>
  </si>
  <si>
    <t xml:space="preserve">SKR-001 </t>
  </si>
  <si>
    <t xml:space="preserve">LEE’S MISERABLES </t>
  </si>
  <si>
    <t>8435635301512</t>
  </si>
  <si>
    <t xml:space="preserve">SKR-002 </t>
  </si>
  <si>
    <t xml:space="preserve">COLDSTREAM GUARD, 1815 </t>
  </si>
  <si>
    <t>8435635301529</t>
  </si>
  <si>
    <t>SKR-003</t>
  </si>
  <si>
    <t>US 14TH INFANTRY REGIMENT</t>
  </si>
  <si>
    <t>SKR-004</t>
  </si>
  <si>
    <t>4TH REGIMENT DUCHY OF WARSAW</t>
  </si>
  <si>
    <t>SKR-005</t>
  </si>
  <si>
    <t>PRIVATE 3RD GEORGIA INFANTRY, 1862</t>
  </si>
  <si>
    <t>8435635301673</t>
  </si>
  <si>
    <t>SWS-003</t>
  </si>
  <si>
    <t>1:48(35 mm)</t>
  </si>
  <si>
    <t>8435635301680</t>
  </si>
  <si>
    <t>SWS-004</t>
  </si>
  <si>
    <t>8435635301697</t>
  </si>
  <si>
    <t>SWS-005</t>
  </si>
  <si>
    <t>8435635301703</t>
  </si>
  <si>
    <t>SWS-006</t>
  </si>
  <si>
    <t>CARLA MC CARTHY</t>
  </si>
  <si>
    <t>8435635301710</t>
  </si>
  <si>
    <t>SWS-007</t>
  </si>
  <si>
    <t>HELGA BLITZHAMMER</t>
  </si>
  <si>
    <t>8435635301727</t>
  </si>
  <si>
    <t>SWS-008</t>
  </si>
  <si>
    <t>8435635301550</t>
  </si>
  <si>
    <t>SWF-001</t>
  </si>
  <si>
    <t>SHARGH ORC CHAMPION</t>
  </si>
  <si>
    <t>8435635301567</t>
  </si>
  <si>
    <t>SWF-002</t>
  </si>
  <si>
    <t>IRINA SACRED BLADE</t>
  </si>
  <si>
    <t>8435635301574</t>
  </si>
  <si>
    <t>SWF-003</t>
  </si>
  <si>
    <t>LISBETH SHADOWMANCER</t>
  </si>
  <si>
    <t>8435635301581</t>
  </si>
  <si>
    <t>SWF-004</t>
  </si>
  <si>
    <t>KALGRIN STORM HAMMER</t>
  </si>
  <si>
    <t>8435635301598</t>
  </si>
  <si>
    <t>SWF-005</t>
  </si>
  <si>
    <t>THENIDIEL, AUTUM LEAF</t>
  </si>
  <si>
    <t>8435635301604</t>
  </si>
  <si>
    <t>SWF-006</t>
  </si>
  <si>
    <t>RAGNAR THE VIKING</t>
  </si>
  <si>
    <t>8435635301611</t>
  </si>
  <si>
    <t>SWF-007</t>
  </si>
  <si>
    <t>8435635301628</t>
  </si>
  <si>
    <t>SWF-010</t>
  </si>
  <si>
    <t xml:space="preserve">ROLLO </t>
  </si>
  <si>
    <t>8435635301642</t>
  </si>
  <si>
    <t>SWF-012</t>
  </si>
  <si>
    <t>8435635301734</t>
  </si>
  <si>
    <t>SW35-001</t>
  </si>
  <si>
    <t>1:35(50 mm)</t>
  </si>
  <si>
    <t>SS TANKER OFFICER</t>
  </si>
  <si>
    <t>8435635301741</t>
  </si>
  <si>
    <t>SW35-002</t>
  </si>
  <si>
    <t>SS TANKER NCO</t>
  </si>
  <si>
    <t>8435635301758</t>
  </si>
  <si>
    <t>SW35-003</t>
  </si>
  <si>
    <t>PANZERGRENADIER ARDENNES</t>
  </si>
  <si>
    <t>8435635301765</t>
  </si>
  <si>
    <t>SW35-004</t>
  </si>
  <si>
    <t>GERMAN SUPPLIES - FUEL DRUMS AND JERRYCANS</t>
  </si>
  <si>
    <t>8435635301772</t>
  </si>
  <si>
    <t>SW35-005</t>
  </si>
  <si>
    <t>GERMAN SUPPLIES - AMMO BOXES AND AMMUNITIONS</t>
  </si>
  <si>
    <t>8435635301789</t>
  </si>
  <si>
    <t>SW35-006</t>
  </si>
  <si>
    <t>ROTTENFUHRER</t>
  </si>
  <si>
    <t>8435635301796</t>
  </si>
  <si>
    <t>SW35-007</t>
  </si>
  <si>
    <t>OBERSCHUTZE DAK</t>
  </si>
  <si>
    <t>8435635301802</t>
  </si>
  <si>
    <t>SW35-008</t>
  </si>
  <si>
    <t>GEFREITER DAK</t>
  </si>
  <si>
    <t>8435635301819</t>
  </si>
  <si>
    <t>SW35-009</t>
  </si>
  <si>
    <t>GERMAN SUPPLIES - AMMO BOXES AND AMMUNITIONS 2</t>
  </si>
  <si>
    <t>8435635301826</t>
  </si>
  <si>
    <t>SW35-010</t>
  </si>
  <si>
    <t>WWII GERMAN HEAD SET</t>
  </si>
  <si>
    <t>8435635301833</t>
  </si>
  <si>
    <t>SW35-011</t>
  </si>
  <si>
    <t>TANKER TOTENKOPF</t>
  </si>
  <si>
    <t>8435635301840</t>
  </si>
  <si>
    <t>SW35-012</t>
  </si>
  <si>
    <t>FRONTOVIK</t>
  </si>
  <si>
    <t>8435635301857</t>
  </si>
  <si>
    <t>SW35-013</t>
  </si>
  <si>
    <t>GERMAN SUPPLIES - WHEELS</t>
  </si>
  <si>
    <t>8435635301864</t>
  </si>
  <si>
    <t>SW35-014</t>
  </si>
  <si>
    <t>US CORPORAL</t>
  </si>
  <si>
    <t>8435635301871</t>
  </si>
  <si>
    <t>SW35-015</t>
  </si>
  <si>
    <t>US SUPPLIES - US ARMY DEPOT</t>
  </si>
  <si>
    <t>8435635301888</t>
  </si>
  <si>
    <t>SW35-016</t>
  </si>
  <si>
    <t>US LIEUTENANT</t>
  </si>
  <si>
    <t>8435635301895</t>
  </si>
  <si>
    <t>SW35-017</t>
  </si>
  <si>
    <t>ERICH "BUBI" HARTMANN</t>
  </si>
  <si>
    <t>8435635301901</t>
  </si>
  <si>
    <t>SW35-018</t>
  </si>
  <si>
    <t>LANDSER</t>
  </si>
  <si>
    <t>8435635301918</t>
  </si>
  <si>
    <t>SW35-019</t>
  </si>
  <si>
    <t>FELDGENDARME</t>
  </si>
  <si>
    <t>8435635301925</t>
  </si>
  <si>
    <t>SW35-020</t>
  </si>
  <si>
    <t>GENERALMAJOR</t>
  </si>
  <si>
    <t>8435635301932</t>
  </si>
  <si>
    <t>SW35-021</t>
  </si>
  <si>
    <t>TRAFFIC FELDGENDARME</t>
  </si>
  <si>
    <t>8435635301949</t>
  </si>
  <si>
    <t>SW35-022</t>
  </si>
  <si>
    <t>ROAD SIGNS WWII</t>
  </si>
  <si>
    <t>8435635301956</t>
  </si>
  <si>
    <t>SW35-023</t>
  </si>
  <si>
    <t xml:space="preserve">GENERALFELDMARSHALL ROMMEL </t>
  </si>
  <si>
    <t>8435635301963</t>
  </si>
  <si>
    <t>SW35-024</t>
  </si>
  <si>
    <t>US SERGEANT</t>
  </si>
  <si>
    <t>8435635301970</t>
  </si>
  <si>
    <t>SW35-025</t>
  </si>
  <si>
    <t>GRENADIER</t>
  </si>
  <si>
    <t>8435635301987</t>
  </si>
  <si>
    <t>SW35-026</t>
  </si>
  <si>
    <t>GEFREITER GRENADIER</t>
  </si>
  <si>
    <t>8435635301994</t>
  </si>
  <si>
    <t>SW35-027</t>
  </si>
  <si>
    <t>TANK &amp; COKE</t>
  </si>
  <si>
    <t>8435635302007</t>
  </si>
  <si>
    <t>SW35-028</t>
  </si>
  <si>
    <t>MASTER SERGEANT</t>
  </si>
  <si>
    <t>8435635302014</t>
  </si>
  <si>
    <t>SW35-029</t>
  </si>
  <si>
    <t>TECHNICAL CORPORAL</t>
  </si>
  <si>
    <t>8435635302021</t>
  </si>
  <si>
    <t>SW35-030</t>
  </si>
  <si>
    <t>LANCE CORPORAL</t>
  </si>
  <si>
    <t>8435635302038</t>
  </si>
  <si>
    <t>SW35-031</t>
  </si>
  <si>
    <t>SOVIET TANKER</t>
  </si>
  <si>
    <t>8435635302045</t>
  </si>
  <si>
    <t>SW35-032</t>
  </si>
  <si>
    <t>US PRIVATE</t>
  </si>
  <si>
    <t>8435635302052</t>
  </si>
  <si>
    <t>SW35-033</t>
  </si>
  <si>
    <t xml:space="preserve">U-69 LA VACHE QUI RIT </t>
  </si>
  <si>
    <t>8435635302069</t>
  </si>
  <si>
    <t>SW35-034</t>
  </si>
  <si>
    <t>WARRANT OFFICER I</t>
  </si>
  <si>
    <t>8435635302076</t>
  </si>
  <si>
    <t>SW35-035</t>
  </si>
  <si>
    <t>WARRANT OFFICER II</t>
  </si>
  <si>
    <t>8435635302083</t>
  </si>
  <si>
    <t>SW35-036</t>
  </si>
  <si>
    <t>SPECIALIST MACHINEMEN</t>
  </si>
  <si>
    <t>8435635302090</t>
  </si>
  <si>
    <t>SW35-037</t>
  </si>
  <si>
    <t>U-BOAT COMMANDER</t>
  </si>
  <si>
    <t>8435635302106</t>
  </si>
  <si>
    <t>SW35-038</t>
  </si>
  <si>
    <t>FIRST WATCH OFFICER</t>
  </si>
  <si>
    <t>8435635302113</t>
  </si>
  <si>
    <t>SW35-039</t>
  </si>
  <si>
    <t>BRITISH TANKER</t>
  </si>
  <si>
    <t>8435635302120</t>
  </si>
  <si>
    <t>SW35-040</t>
  </si>
  <si>
    <t xml:space="preserve">JAGER 5.FALLSCHIRMJAGER-DIVISION </t>
  </si>
  <si>
    <t>8435635302137</t>
  </si>
  <si>
    <t>SW35-041</t>
  </si>
  <si>
    <t xml:space="preserve">UNTEROFFIIER 3.FALLSCHIRMJAGER-DIVISION </t>
  </si>
  <si>
    <t>8435635302144</t>
  </si>
  <si>
    <t>SW35-042</t>
  </si>
  <si>
    <t>OPERATION ZITADELLE</t>
  </si>
  <si>
    <t>8435635302151</t>
  </si>
  <si>
    <t>SW35-043</t>
  </si>
  <si>
    <t>STURMMANN</t>
  </si>
  <si>
    <t>8435635302168</t>
  </si>
  <si>
    <t>SW35-044</t>
  </si>
  <si>
    <t>UNTERSCHARFÜHRER</t>
  </si>
  <si>
    <t>8435635302175</t>
  </si>
  <si>
    <t>SW35-045</t>
  </si>
  <si>
    <t>DESERT RATS</t>
  </si>
  <si>
    <t>8435635302182</t>
  </si>
  <si>
    <t>SW35-046</t>
  </si>
  <si>
    <t>US SOLDIERS AT WINTER</t>
  </si>
  <si>
    <t>8435635302199</t>
  </si>
  <si>
    <t>SW35-047</t>
  </si>
  <si>
    <t>RADIO OPERATOR US ARMORED INFANTRY</t>
  </si>
  <si>
    <t>8435635302205</t>
  </si>
  <si>
    <t>SW35-048</t>
  </si>
  <si>
    <t>PFC US ARMORED INFANTRY</t>
  </si>
  <si>
    <t>SW35-049</t>
  </si>
  <si>
    <t>THE FLAG OVER BERLIN</t>
  </si>
  <si>
    <t>SW35-050</t>
  </si>
  <si>
    <t>KESSEL (STALINGRAD 1942)</t>
  </si>
  <si>
    <t>SW35-051</t>
  </si>
  <si>
    <t>BUNKER RUN (THE PACIFIC 1944-1945)</t>
  </si>
  <si>
    <t>SW35-052</t>
  </si>
  <si>
    <t>WAFFEN OFFICER</t>
  </si>
  <si>
    <t>SW35-053</t>
  </si>
  <si>
    <t>WAFFEN SOLDIER</t>
  </si>
  <si>
    <t>SW35-054</t>
  </si>
  <si>
    <t>BROCKEN TRACKS (NW EUROPE 1944-45)</t>
  </si>
  <si>
    <t>SW35-055</t>
  </si>
  <si>
    <t>DOWNFALL (BERLIN, 1945)</t>
  </si>
  <si>
    <t>SW35-056</t>
  </si>
  <si>
    <t>BIENVENUE MR YANKEE</t>
  </si>
  <si>
    <t>SW35-057</t>
  </si>
  <si>
    <t>ALICE &amp; JOHNNY (CHARING CROSS, 1940)</t>
  </si>
  <si>
    <t>SW35-058</t>
  </si>
  <si>
    <t>IWOJIMA</t>
  </si>
  <si>
    <t>SW35-059</t>
  </si>
  <si>
    <t>TANKBUSTERS</t>
  </si>
  <si>
    <t>8435635302212</t>
  </si>
  <si>
    <t>S35-001</t>
  </si>
  <si>
    <t>101 AIRBORNE 1944</t>
  </si>
  <si>
    <t>8435635302229</t>
  </si>
  <si>
    <t>S35-002</t>
  </si>
  <si>
    <t>CRETE´S TEARS</t>
  </si>
  <si>
    <t>8425635308337</t>
  </si>
  <si>
    <t>SW35-060</t>
  </si>
  <si>
    <t>1:35(50mm)</t>
  </si>
  <si>
    <t>SCREAMIG EAGLES (D-Day)</t>
  </si>
  <si>
    <t>8435635308375</t>
  </si>
  <si>
    <t>SW10-004</t>
  </si>
  <si>
    <t>HANS-JOACHIM MARSEILLE</t>
  </si>
  <si>
    <t>8435635302236</t>
  </si>
  <si>
    <t>SW48-001</t>
  </si>
  <si>
    <t>1:48</t>
  </si>
  <si>
    <t>GERMAN TANKERS</t>
  </si>
  <si>
    <t>8435635302243</t>
  </si>
  <si>
    <t>SW48-002</t>
  </si>
  <si>
    <t>DAK SOLDIERS</t>
  </si>
  <si>
    <t>8435635302250</t>
  </si>
  <si>
    <t>SW48-003</t>
  </si>
  <si>
    <t>FELDGENDARMERIE</t>
  </si>
  <si>
    <t>8435635302267</t>
  </si>
  <si>
    <t>SW48-004</t>
  </si>
  <si>
    <t>US ARMY ETO</t>
  </si>
  <si>
    <t>8435635302274</t>
  </si>
  <si>
    <t>SW48-005</t>
  </si>
  <si>
    <t>US TANKERS</t>
  </si>
  <si>
    <t>8435635302281</t>
  </si>
  <si>
    <t>SW48-006</t>
  </si>
  <si>
    <t>GERMAN TANKERS 2</t>
  </si>
  <si>
    <t>8435635302298</t>
  </si>
  <si>
    <t>SW48-007</t>
  </si>
  <si>
    <t xml:space="preserve">PANZERGRENADIERS </t>
  </si>
  <si>
    <t>8435635302304</t>
  </si>
  <si>
    <t>SW48-008</t>
  </si>
  <si>
    <t>SOVIET TROOPS</t>
  </si>
  <si>
    <t>8435635302311</t>
  </si>
  <si>
    <t>SW48-009</t>
  </si>
  <si>
    <t>US INFANTRYMEN</t>
  </si>
  <si>
    <t>8435635302328</t>
  </si>
  <si>
    <t>SW48-010</t>
  </si>
  <si>
    <t>BRITISH TROOPS</t>
  </si>
  <si>
    <t>8435635302335</t>
  </si>
  <si>
    <t>SW48-011</t>
  </si>
  <si>
    <t>GERMAN STAFF</t>
  </si>
  <si>
    <t>8435635302342</t>
  </si>
  <si>
    <t>SW48-012</t>
  </si>
  <si>
    <t>FALLSCHIRMJAGER</t>
  </si>
  <si>
    <t>8435635302489</t>
  </si>
  <si>
    <t>SW10-001</t>
  </si>
  <si>
    <t>BLAUE DIVISION OFFICER</t>
  </si>
  <si>
    <t>8435635302496</t>
  </si>
  <si>
    <t>SW10-002</t>
  </si>
  <si>
    <t>WARRANT OFFICER</t>
  </si>
  <si>
    <t>8435635302502</t>
  </si>
  <si>
    <t>SW10-003</t>
  </si>
  <si>
    <t>8435635302519</t>
  </si>
  <si>
    <t>SCB-007</t>
  </si>
  <si>
    <t>BATTLE OF MOSCOW, 1941</t>
  </si>
  <si>
    <t>8435635302526</t>
  </si>
  <si>
    <t>SCB-009</t>
  </si>
  <si>
    <t>TOTENKOPF, 1942</t>
  </si>
  <si>
    <t>8435635302533</t>
  </si>
  <si>
    <t>SWPACK-001</t>
  </si>
  <si>
    <t>PACK ROTTENFÜHRER + FELDGRAU PAINT SET</t>
  </si>
  <si>
    <t>8435635302540</t>
  </si>
  <si>
    <t>SWPACK-002</t>
  </si>
  <si>
    <t>PACK OBERSHUTZE DAK + DAK PAINT SET 2</t>
  </si>
  <si>
    <t>8435635302557</t>
  </si>
  <si>
    <t>SWPACK-003</t>
  </si>
  <si>
    <t>PACK GEFREITER DAK + DAK PAINT SET 1</t>
  </si>
  <si>
    <t>8435635302564</t>
  </si>
  <si>
    <t>SWPACK-004</t>
  </si>
  <si>
    <t>PACK TANKER TOTENKOPF + PANZER TRUPPEN SET</t>
  </si>
  <si>
    <t>8435635302571</t>
  </si>
  <si>
    <t>SWPACK-005</t>
  </si>
  <si>
    <t xml:space="preserve">PACK FRONTOVIK + SOVIET ARMY PAINT SET </t>
  </si>
  <si>
    <t>SWPACK-006</t>
  </si>
  <si>
    <t xml:space="preserve">PACK US CORPORAL + US ARMY 1942-1944 PAINT SET </t>
  </si>
  <si>
    <t>SWPACK-007</t>
  </si>
  <si>
    <t xml:space="preserve">PACK US LIEUTENANT + US ARMY 1944-1945 PAINT SET </t>
  </si>
  <si>
    <t>SWPACK-008</t>
  </si>
  <si>
    <t xml:space="preserve">PACK ERICH "BUBI" HATMANN + LUFTWAFFE CREW PAINT SET </t>
  </si>
  <si>
    <t>SW32-001</t>
  </si>
  <si>
    <t>1:32</t>
  </si>
  <si>
    <t>MARSEILLE ACE OF BF109</t>
  </si>
  <si>
    <t>8435635302588</t>
  </si>
  <si>
    <t>SSS-002</t>
  </si>
  <si>
    <t>1:100</t>
  </si>
  <si>
    <t>WAR TANKS STARTER SET</t>
  </si>
  <si>
    <t>8435635302595</t>
  </si>
  <si>
    <t>SWT-001</t>
  </si>
  <si>
    <t>TIGER I</t>
  </si>
  <si>
    <t>8435635302601</t>
  </si>
  <si>
    <t>SWT-002</t>
  </si>
  <si>
    <t>SHERMAN M4A3</t>
  </si>
  <si>
    <t>8435635302618</t>
  </si>
  <si>
    <t>SWT-003</t>
  </si>
  <si>
    <t>T34/85</t>
  </si>
  <si>
    <t>8435635302625</t>
  </si>
  <si>
    <t>SWT-004</t>
  </si>
  <si>
    <t>PANTHER G</t>
  </si>
  <si>
    <t>8423153059282</t>
  </si>
  <si>
    <t>SSS-001</t>
  </si>
  <si>
    <t>SMOG RIDERS STARTER KIT</t>
  </si>
  <si>
    <t>8435635302632</t>
  </si>
  <si>
    <t>SSR-001</t>
  </si>
  <si>
    <t>MATT DARCY</t>
  </si>
  <si>
    <t>8435635302649</t>
  </si>
  <si>
    <t>SSR-002</t>
  </si>
  <si>
    <t>AMELIA STEAM</t>
  </si>
  <si>
    <t>8435635302656</t>
  </si>
  <si>
    <t>SSR-003</t>
  </si>
  <si>
    <t>COLONEL CLAYTON</t>
  </si>
  <si>
    <t>8435635302663</t>
  </si>
  <si>
    <t>SSR-004</t>
  </si>
  <si>
    <t>8435635302670</t>
  </si>
  <si>
    <t>SSR-005</t>
  </si>
  <si>
    <t>PATTY WRENCH</t>
  </si>
  <si>
    <t>8435635302687</t>
  </si>
  <si>
    <t>SSR-006</t>
  </si>
  <si>
    <t>OCTOPITI &amp; RAFTER</t>
  </si>
  <si>
    <t>8435635302694</t>
  </si>
  <si>
    <t>SSR-007</t>
  </si>
  <si>
    <t>DR. MORSIARTY</t>
  </si>
  <si>
    <t>8435635302700</t>
  </si>
  <si>
    <t>SSR-008</t>
  </si>
  <si>
    <t>KELLY KRAKEN</t>
  </si>
  <si>
    <t>8435635302717</t>
  </si>
  <si>
    <t>SSR-009</t>
  </si>
  <si>
    <t>JANE COPPERPOT</t>
  </si>
  <si>
    <t>8435635302724</t>
  </si>
  <si>
    <t>SSR-010</t>
  </si>
  <si>
    <t>CHARLOTTE PAGE</t>
  </si>
  <si>
    <t>8435635302731</t>
  </si>
  <si>
    <t>SSR-011</t>
  </si>
  <si>
    <t>SCYLLA</t>
  </si>
  <si>
    <t>8435635302748</t>
  </si>
  <si>
    <t>SSR-012</t>
  </si>
  <si>
    <t>DUANE VAN DER SHARK</t>
  </si>
  <si>
    <t>8435635302755</t>
  </si>
  <si>
    <t>SSR-013</t>
  </si>
  <si>
    <t>CLAWFINGER JACK</t>
  </si>
  <si>
    <t>8435635302762</t>
  </si>
  <si>
    <t>SSR-014</t>
  </si>
  <si>
    <t>MIRABELLA MILLER</t>
  </si>
  <si>
    <t>8435635302779</t>
  </si>
  <si>
    <t>SSR-015</t>
  </si>
  <si>
    <t>BORIS DOROSHENKO</t>
  </si>
  <si>
    <t>8435635302786</t>
  </si>
  <si>
    <t>SSR-016</t>
  </si>
  <si>
    <t>MAGDA VON SHRAPNEL</t>
  </si>
  <si>
    <t>8435635302793</t>
  </si>
  <si>
    <t>SSR-017</t>
  </si>
  <si>
    <t>REIKO TAKEDA</t>
  </si>
  <si>
    <t>8435635302809</t>
  </si>
  <si>
    <t>SSR-018</t>
  </si>
  <si>
    <t>HANS P. KRUGER</t>
  </si>
  <si>
    <t>8435635302816</t>
  </si>
  <si>
    <t>SSR-019</t>
  </si>
  <si>
    <t>MAPUCHE</t>
  </si>
  <si>
    <t>8435635302823</t>
  </si>
  <si>
    <t>SSR-020</t>
  </si>
  <si>
    <t>FU CAT CHU</t>
  </si>
  <si>
    <t>8435635302830</t>
  </si>
  <si>
    <t>SSR-021</t>
  </si>
  <si>
    <t>STEAMPUNKZER</t>
  </si>
  <si>
    <t>8435635302847</t>
  </si>
  <si>
    <t>SSR-022</t>
  </si>
  <si>
    <t>SHARKTILUS</t>
  </si>
  <si>
    <t>8435635302854</t>
  </si>
  <si>
    <t>SSR-023</t>
  </si>
  <si>
    <t>"FAT BOB" MECHA</t>
  </si>
  <si>
    <t>8435635302861</t>
  </si>
  <si>
    <t>SSR-024</t>
  </si>
  <si>
    <t>PELICOPTER</t>
  </si>
  <si>
    <t>8435635302878</t>
  </si>
  <si>
    <t>SSR-025</t>
  </si>
  <si>
    <t>DOLLY</t>
  </si>
  <si>
    <t>8435635302885</t>
  </si>
  <si>
    <t>SSR-026</t>
  </si>
  <si>
    <t>ARCTURUS</t>
  </si>
  <si>
    <t>8435635302892</t>
  </si>
  <si>
    <t>SSR-027</t>
  </si>
  <si>
    <t>VIKKA</t>
  </si>
  <si>
    <t>8435635302908</t>
  </si>
  <si>
    <t>SSR-028</t>
  </si>
  <si>
    <t>ANNE READ</t>
  </si>
  <si>
    <t>8435635302915</t>
  </si>
  <si>
    <t>SSR-029</t>
  </si>
  <si>
    <t>JENNA JUNGLE</t>
  </si>
  <si>
    <t>8435635302922</t>
  </si>
  <si>
    <t>SSR-030</t>
  </si>
  <si>
    <t>SALLY WATSON</t>
  </si>
  <si>
    <t>8435635302939</t>
  </si>
  <si>
    <t>SRW-001</t>
  </si>
  <si>
    <t>ROCKY "STAR" COOPER</t>
  </si>
  <si>
    <t>8435635302946</t>
  </si>
  <si>
    <t>SRW-002</t>
  </si>
  <si>
    <t>OTTO VON LOKIMERG</t>
  </si>
  <si>
    <t>8435635302953</t>
  </si>
  <si>
    <t>SRW-003</t>
  </si>
  <si>
    <t>KENJI KIMURA</t>
  </si>
  <si>
    <t>8435635302960</t>
  </si>
  <si>
    <t>SRW-004</t>
  </si>
  <si>
    <t>KATYA MOSINA</t>
  </si>
  <si>
    <t>8435635302977</t>
  </si>
  <si>
    <t>SRW-005</t>
  </si>
  <si>
    <t>HARRY CANE</t>
  </si>
  <si>
    <t>8435635302984</t>
  </si>
  <si>
    <t>SAE-001</t>
  </si>
  <si>
    <t>INSIDIA</t>
  </si>
  <si>
    <t>SAE-002</t>
  </si>
  <si>
    <t>INDOMITA</t>
  </si>
  <si>
    <t>SAE-003</t>
  </si>
  <si>
    <t>IMPERATOR</t>
  </si>
  <si>
    <t>SAE-004</t>
  </si>
  <si>
    <t>REGINA</t>
  </si>
  <si>
    <t>SAE-005</t>
  </si>
  <si>
    <t>1:24 (75 mm)</t>
  </si>
  <si>
    <t>DARK POPE</t>
  </si>
  <si>
    <t>SSG-001</t>
  </si>
  <si>
    <t>THE CHOICE</t>
  </si>
  <si>
    <t>SSG-002</t>
  </si>
  <si>
    <t>ONI KOUCHOKUJIN</t>
  </si>
  <si>
    <t>SZ75-001</t>
  </si>
  <si>
    <t>ARIES</t>
  </si>
  <si>
    <t>SZ75-002</t>
  </si>
  <si>
    <t>TAURUS</t>
  </si>
  <si>
    <t>SZ75-003</t>
  </si>
  <si>
    <t>GEMINI</t>
  </si>
  <si>
    <t>SZ75-004</t>
  </si>
  <si>
    <t>CANCER</t>
  </si>
  <si>
    <t>SZ75-005</t>
  </si>
  <si>
    <t>LEO</t>
  </si>
  <si>
    <t>SZ75-006</t>
  </si>
  <si>
    <t>VIRGO</t>
  </si>
  <si>
    <t>SZ75-007</t>
  </si>
  <si>
    <t>LIBRA</t>
  </si>
  <si>
    <t>SZ75-008</t>
  </si>
  <si>
    <t>SCORPIO</t>
  </si>
  <si>
    <t>SZ75-009</t>
  </si>
  <si>
    <t>SAGITTAIRUS</t>
  </si>
  <si>
    <t>SZ75-010</t>
  </si>
  <si>
    <t>CAPRICORN</t>
  </si>
  <si>
    <t>SZ75-011</t>
  </si>
  <si>
    <t>AQUARIUS</t>
  </si>
  <si>
    <t>SZ75-012</t>
  </si>
  <si>
    <t>PISCES</t>
  </si>
  <si>
    <t>0 652931976444</t>
  </si>
  <si>
    <t>SDG-001</t>
  </si>
  <si>
    <t>FALBERG</t>
  </si>
  <si>
    <t>0 652931976451</t>
  </si>
  <si>
    <t>SDG-002</t>
  </si>
  <si>
    <t>1:24(90 mm)</t>
  </si>
  <si>
    <t>BIOKINETIC</t>
  </si>
  <si>
    <t>8435635302991</t>
  </si>
  <si>
    <t>SDG-003</t>
  </si>
  <si>
    <t>CHRONICLER</t>
  </si>
  <si>
    <t>SCHA-001</t>
  </si>
  <si>
    <t>ÍÑIGO</t>
  </si>
  <si>
    <t>SCHA-002</t>
  </si>
  <si>
    <t>THE THINKER</t>
  </si>
  <si>
    <t>AK INTERACTIVE</t>
  </si>
  <si>
    <t>AK012</t>
  </si>
  <si>
    <t>35 ml</t>
  </si>
  <si>
    <t>STREAKING GRIME GENERAL</t>
  </si>
  <si>
    <t>AK013</t>
  </si>
  <si>
    <t>RUST STREAKS</t>
  </si>
  <si>
    <t>AK014</t>
  </si>
  <si>
    <t>STREAKING GRIME FOR WINTER VEHICLES</t>
  </si>
  <si>
    <t>AK015</t>
  </si>
  <si>
    <t>DUST EFFECTS</t>
  </si>
  <si>
    <t>AK016</t>
  </si>
  <si>
    <t>FRESH MUD EFFECTS</t>
  </si>
  <si>
    <t>AK017</t>
  </si>
  <si>
    <t>EARTH EFFECTS</t>
  </si>
  <si>
    <t>AK022</t>
  </si>
  <si>
    <t>AFRICA DUST EFFECTS</t>
  </si>
  <si>
    <t>AK023</t>
  </si>
  <si>
    <t>DARK MUD EFFECTS</t>
  </si>
  <si>
    <t>AK024</t>
  </si>
  <si>
    <t>STREAKING GRIME FOR DARK VEHICLES</t>
  </si>
  <si>
    <t>AK025</t>
  </si>
  <si>
    <t>FUEL STAINS</t>
  </si>
  <si>
    <t>AK026</t>
  </si>
  <si>
    <t>SLIMY GRIME DARK</t>
  </si>
  <si>
    <t>AK027</t>
  </si>
  <si>
    <t>SLIMY GRIME LIGHT</t>
  </si>
  <si>
    <t>AK045</t>
  </si>
  <si>
    <t>WASH FOR GREEN VEHICLES</t>
  </si>
  <si>
    <t>AK046</t>
  </si>
  <si>
    <t>LIGHT RUST WASH</t>
  </si>
  <si>
    <t>AK065</t>
  </si>
  <si>
    <t>FILTER FOR AFRIKA KORPS VEHICLES</t>
  </si>
  <si>
    <t>AK066</t>
  </si>
  <si>
    <t>WASH FOR AFRIKA KORPS VEHICLES</t>
  </si>
  <si>
    <t>AK067</t>
  </si>
  <si>
    <t>STREAKING GRIME FOR AFRIKA KORPS VEHICLES</t>
  </si>
  <si>
    <t>AK069</t>
  </si>
  <si>
    <t>STREAKING GRIME FOR PANZER GREY VEHICLES</t>
  </si>
  <si>
    <t>AK070</t>
  </si>
  <si>
    <t>WASH FOR PANZER GREY VEHICLES</t>
  </si>
  <si>
    <t>AK071</t>
  </si>
  <si>
    <t xml:space="preserve">FILTER FOR PANZER GREY VEHICLES </t>
  </si>
  <si>
    <t>AK074</t>
  </si>
  <si>
    <t>RAINMARKS EFFECTS</t>
  </si>
  <si>
    <t>AK075</t>
  </si>
  <si>
    <t>WASH FOR NATO VEHICLES</t>
  </si>
  <si>
    <t>AK076</t>
  </si>
  <si>
    <t>FILTER FOR NATO VEHICLES</t>
  </si>
  <si>
    <t>AK078</t>
  </si>
  <si>
    <t>DAMP EARTH EFFECTS</t>
  </si>
  <si>
    <t>AK079</t>
  </si>
  <si>
    <t>WET EFFECTS FLUID</t>
  </si>
  <si>
    <t>AK080</t>
  </si>
  <si>
    <t>SUMMER KURSK EARTH EFFECTS</t>
  </si>
  <si>
    <t>AK082</t>
  </si>
  <si>
    <t>ENGINE GRIME</t>
  </si>
  <si>
    <t>AK083</t>
  </si>
  <si>
    <t>TRACK WASH</t>
  </si>
  <si>
    <t>AK084</t>
  </si>
  <si>
    <t>ENGINE OIL</t>
  </si>
  <si>
    <t>AK088</t>
  </si>
  <si>
    <t>CHIPPING EFFECTS ACRYLIC FLUID</t>
  </si>
  <si>
    <t>AK089</t>
  </si>
  <si>
    <t>HEAVY CHIPPING EFFECTS ACRYLIC FLUID</t>
  </si>
  <si>
    <t>AK093</t>
  </si>
  <si>
    <t>WASH FOR INTERIORS</t>
  </si>
  <si>
    <t>AK094</t>
  </si>
  <si>
    <t>INTERIOR STREAKING GRIME</t>
  </si>
  <si>
    <t>AK121</t>
  </si>
  <si>
    <t>WASH FOR OIF &amp; OEF - US VEHICLES</t>
  </si>
  <si>
    <t>AK123</t>
  </si>
  <si>
    <t>STREAKING EFFECTS FOR OIF &amp; OEF - US VEHICLES</t>
  </si>
  <si>
    <t>AK261</t>
  </si>
  <si>
    <t>LIGHT FILTER FOR WOOD</t>
  </si>
  <si>
    <t>AK262</t>
  </si>
  <si>
    <t>DARK FILTER FOR WOOD</t>
  </si>
  <si>
    <t>AK263</t>
  </si>
  <si>
    <t>WASH FOR WOOD</t>
  </si>
  <si>
    <t>AK300</t>
  </si>
  <si>
    <t>WASH FOR DARK YELLOW VEHICLES</t>
  </si>
  <si>
    <t>8435568337527</t>
  </si>
  <si>
    <t>AK324</t>
  </si>
  <si>
    <t>Dark Sepia PIN WASH</t>
  </si>
  <si>
    <t>8435568337534</t>
  </si>
  <si>
    <t>AK325</t>
  </si>
  <si>
    <t>Dark Umber PIN WASH</t>
  </si>
  <si>
    <t>8435568337541</t>
  </si>
  <si>
    <t>AK326</t>
  </si>
  <si>
    <t>Black PIN WASH</t>
  </si>
  <si>
    <t>AK4061</t>
  </si>
  <si>
    <t xml:space="preserve">SAND YELLOW DEPOSIT </t>
  </si>
  <si>
    <t>AK4062</t>
  </si>
  <si>
    <t>LIGHT DUST DEPOSIT</t>
  </si>
  <si>
    <t>AK4063</t>
  </si>
  <si>
    <t>BROWN EARTH DEPOSIT</t>
  </si>
  <si>
    <t>AK4111</t>
  </si>
  <si>
    <t>LIGHT RUST DEPOSIT</t>
  </si>
  <si>
    <t>AK4112</t>
  </si>
  <si>
    <t>MEDIUM RUST DEPOSIT</t>
  </si>
  <si>
    <t>AK4113</t>
  </si>
  <si>
    <t>DARK RUST DEPOSIT</t>
  </si>
  <si>
    <t>AK4161</t>
  </si>
  <si>
    <t xml:space="preserve">NEUTRAL GREY FILTER </t>
  </si>
  <si>
    <t>AK4162</t>
  </si>
  <si>
    <t>LIGHT FILTER FOR GREEN VEHICLES</t>
  </si>
  <si>
    <t>8435568326446</t>
  </si>
  <si>
    <t>AK636</t>
  </si>
  <si>
    <t>Starship Detail Wash</t>
  </si>
  <si>
    <t>8435568326453</t>
  </si>
  <si>
    <t>AK637</t>
  </si>
  <si>
    <t>Starship Streaking Grime</t>
  </si>
  <si>
    <t>8435568326460</t>
  </si>
  <si>
    <t>AK638</t>
  </si>
  <si>
    <t xml:space="preserve">Starship Atmospheric Dirt </t>
  </si>
  <si>
    <t>AK675</t>
  </si>
  <si>
    <t>DECAY DEPOSIT FOR ABANDONED VEHICLES</t>
  </si>
  <si>
    <t>AK676</t>
  </si>
  <si>
    <t>MOSS DEPOSIT</t>
  </si>
  <si>
    <t>AK677</t>
  </si>
  <si>
    <t>NEUTRAL GREY FOR WHITE/BLACK WASH</t>
  </si>
  <si>
    <t>AK2019</t>
  </si>
  <si>
    <t>AIRCRAFT ENGINE OIL</t>
  </si>
  <si>
    <t>AK2029</t>
  </si>
  <si>
    <t>WASH FOR LANDING GEAR</t>
  </si>
  <si>
    <t>AK2031</t>
  </si>
  <si>
    <t>LANDING GEAR DUST</t>
  </si>
  <si>
    <t>AK2032</t>
  </si>
  <si>
    <t>GREASE SHAFTS &amp; BEARINGS</t>
  </si>
  <si>
    <t>AK2033</t>
  </si>
  <si>
    <t>WASH FOR AIRCRAFT ENGINE</t>
  </si>
  <si>
    <t>AK2039</t>
  </si>
  <si>
    <t>KEROSENE LEAKS &amp; STAINS</t>
  </si>
  <si>
    <t>AK2040</t>
  </si>
  <si>
    <t>WASH FOR EXHAUST</t>
  </si>
  <si>
    <t>AK2071</t>
  </si>
  <si>
    <t>Paneliner for brown and green camouflage 35ml</t>
  </si>
  <si>
    <t>AK2072</t>
  </si>
  <si>
    <t>Paneliner for grey and blue camouflage 35ml</t>
  </si>
  <si>
    <t>AK2073</t>
  </si>
  <si>
    <t>Paneliner for sand and desert camouflage 35ml</t>
  </si>
  <si>
    <t>AK2074</t>
  </si>
  <si>
    <t>Paneliner for white and winter camouflage 35ml</t>
  </si>
  <si>
    <t>AK2075</t>
  </si>
  <si>
    <t>Paneliner for black camouflage 35ml</t>
  </si>
  <si>
    <t>AK060</t>
  </si>
  <si>
    <t xml:space="preserve">DUST EFFECTS AND WHITE SPIRIT SET   </t>
  </si>
  <si>
    <t>AK061</t>
  </si>
  <si>
    <t xml:space="preserve">MUD SET   </t>
  </si>
  <si>
    <t>AK062</t>
  </si>
  <si>
    <t>STREAKS SET</t>
  </si>
  <si>
    <t>AK063</t>
  </si>
  <si>
    <t xml:space="preserve">SLIMY GRIME AND FUEL SET   </t>
  </si>
  <si>
    <t>AK064</t>
  </si>
  <si>
    <t>GREEN VEHICLES WEATHERING SET</t>
  </si>
  <si>
    <t>AK068</t>
  </si>
  <si>
    <t>AFRIKA KORPS WEATHERING SET</t>
  </si>
  <si>
    <t>AK072</t>
  </si>
  <si>
    <t>EARLY PANZERS WEATHERING SET</t>
  </si>
  <si>
    <t>AK073</t>
  </si>
  <si>
    <t>NATO WEATHERING SET</t>
  </si>
  <si>
    <t>AK077</t>
  </si>
  <si>
    <t>HEAVY MUDDY SET</t>
  </si>
  <si>
    <t>AK087</t>
  </si>
  <si>
    <t>ENGINES AND METAL WEATHERING SET</t>
  </si>
  <si>
    <t>AK091</t>
  </si>
  <si>
    <t>INTERIOR WEATHERING SET</t>
  </si>
  <si>
    <t>AK120</t>
  </si>
  <si>
    <t>OIF &amp; OEF - US VEHICLES WEATHERING SET</t>
  </si>
  <si>
    <t>AK138</t>
  </si>
  <si>
    <t>CHIPPING ESSENTIALS WEATHERING SET</t>
  </si>
  <si>
    <t>AK260</t>
  </si>
  <si>
    <t>WOOD WEATHERING SET</t>
  </si>
  <si>
    <t>AK4060</t>
  </si>
  <si>
    <t>DUST AND DIRT DEPOSITS WEATHERING SET</t>
  </si>
  <si>
    <t>AK4110</t>
  </si>
  <si>
    <t xml:space="preserve">CRUSTED RUST DEPOSITS </t>
  </si>
  <si>
    <t>AK4120</t>
  </si>
  <si>
    <t>BURNT VEHICLES SET</t>
  </si>
  <si>
    <t>AK4160</t>
  </si>
  <si>
    <t>MODERN RUSSIAN WEATHERING SET</t>
  </si>
  <si>
    <t>AK4180</t>
  </si>
  <si>
    <t>DECAY &amp; ABANDONED WEATHERING SET</t>
  </si>
  <si>
    <t>AK4270</t>
  </si>
  <si>
    <t xml:space="preserve">WINTER WEATHERING SET </t>
  </si>
  <si>
    <t>AK555</t>
  </si>
  <si>
    <t xml:space="preserve">SHIPS VOL.1 WEATHERING SET </t>
  </si>
  <si>
    <t>AK556</t>
  </si>
  <si>
    <t>SHIPS VOL.2 WEATHERING SET</t>
  </si>
  <si>
    <t>AK688</t>
  </si>
  <si>
    <t>BASIC WEATHERING SET</t>
  </si>
  <si>
    <t>8435568327320</t>
  </si>
  <si>
    <t>AK639</t>
  </si>
  <si>
    <t>WEATHERING SCI-FI SET</t>
  </si>
  <si>
    <t>AK2000</t>
  </si>
  <si>
    <t>AIRCRAFT ENGINE WEATHERING SET</t>
  </si>
  <si>
    <t>AK2030</t>
  </si>
  <si>
    <t>AIRCRAFT LANDING GEAR WEATHERING SET</t>
  </si>
  <si>
    <t>AK2037</t>
  </si>
  <si>
    <t>EXAUSTS &amp; STAINS WEATHERING SET</t>
  </si>
  <si>
    <t>AK2070</t>
  </si>
  <si>
    <t xml:space="preserve">PANELINERS WEATHERING SET </t>
  </si>
  <si>
    <t>AK301</t>
  </si>
  <si>
    <t>DARK WASH FOR WOOD DECKS</t>
  </si>
  <si>
    <t>AK302</t>
  </si>
  <si>
    <t>WASH FOR GREY DECKS</t>
  </si>
  <si>
    <t>AK303</t>
  </si>
  <si>
    <t xml:space="preserve">GREY WASH FOR KRIEGSMARINE SHIPS </t>
  </si>
  <si>
    <t>AK304</t>
  </si>
  <si>
    <t xml:space="preserve">BROWN STREAKING GRIME FOR RED HULLS </t>
  </si>
  <si>
    <t>AK305</t>
  </si>
  <si>
    <t xml:space="preserve">STREAKING GRIME FOR LIGHT GREY SHIPS </t>
  </si>
  <si>
    <t>AK306</t>
  </si>
  <si>
    <t xml:space="preserve">SALT STREAKS FOR SHIPS </t>
  </si>
  <si>
    <t>AK7000</t>
  </si>
  <si>
    <t>LOCOMOTIVE &amp; WAGON</t>
  </si>
  <si>
    <t>AK7010</t>
  </si>
  <si>
    <t>UNDERCARRIAGE</t>
  </si>
  <si>
    <t>AK7020</t>
  </si>
  <si>
    <t>BASIC DIRT EFFECTS WEATHERING SET TRAIN SERIES</t>
  </si>
  <si>
    <t>AK7023</t>
  </si>
  <si>
    <t>ROLLING STOCK WEATHERING SET TRAIN SERIES</t>
  </si>
  <si>
    <t>AK8090</t>
  </si>
  <si>
    <t>Asphalt Effects (Race Set)</t>
  </si>
  <si>
    <t>AK8091</t>
  </si>
  <si>
    <t>Snow Effects (Rally Set)</t>
  </si>
  <si>
    <t>AK039</t>
  </si>
  <si>
    <t>AK040</t>
  </si>
  <si>
    <t>LIGH DUST</t>
  </si>
  <si>
    <t>AK041</t>
  </si>
  <si>
    <t>NORTH AFRICA DUST</t>
  </si>
  <si>
    <t>AK042</t>
  </si>
  <si>
    <t>EUROPE EARTH</t>
  </si>
  <si>
    <t>AK043</t>
  </si>
  <si>
    <t>MEDIUM RUST</t>
  </si>
  <si>
    <t>AK044</t>
  </si>
  <si>
    <t>LIGH RUST</t>
  </si>
  <si>
    <t>AK048</t>
  </si>
  <si>
    <t>AK081</t>
  </si>
  <si>
    <t>AK085</t>
  </si>
  <si>
    <t>TRACK RUST</t>
  </si>
  <si>
    <t>AK086</t>
  </si>
  <si>
    <t>DARK STEEL</t>
  </si>
  <si>
    <t>AK140</t>
  </si>
  <si>
    <t>SIENNA SOIL</t>
  </si>
  <si>
    <t>AK141</t>
  </si>
  <si>
    <t>VIETNAM EARTH</t>
  </si>
  <si>
    <t>AK142</t>
  </si>
  <si>
    <t>WHITE ASHES</t>
  </si>
  <si>
    <t>AK143</t>
  </si>
  <si>
    <t>AK144</t>
  </si>
  <si>
    <t>BRUNT RUST RED</t>
  </si>
  <si>
    <t>AK145</t>
  </si>
  <si>
    <t>CITY DIRT</t>
  </si>
  <si>
    <t>AK146</t>
  </si>
  <si>
    <t>ASPHALT ROAD DIRT</t>
  </si>
  <si>
    <t>AK147</t>
  </si>
  <si>
    <t>MIDDLE EAST SOIL</t>
  </si>
  <si>
    <t>AK148</t>
  </si>
  <si>
    <t>FADED GREEN</t>
  </si>
  <si>
    <t>AK2038</t>
  </si>
  <si>
    <t>SMOKE</t>
  </si>
  <si>
    <t>AK2041</t>
  </si>
  <si>
    <t>BURNT JET ENGINE</t>
  </si>
  <si>
    <t>AK2042</t>
  </si>
  <si>
    <t>DARK RUST</t>
  </si>
  <si>
    <t>AK2043</t>
  </si>
  <si>
    <t>OCHER RUST</t>
  </si>
  <si>
    <t>8435568334526</t>
  </si>
  <si>
    <t>AK14001</t>
  </si>
  <si>
    <t>Standard Rust - Liquid Pigment</t>
  </si>
  <si>
    <t>AK14002</t>
  </si>
  <si>
    <t>Ochre Rust - Liquid Pigment</t>
  </si>
  <si>
    <t>8435568334540</t>
  </si>
  <si>
    <t>AK14003</t>
  </si>
  <si>
    <t>Old Rust - Liquid Pigment</t>
  </si>
  <si>
    <t>8435568334557</t>
  </si>
  <si>
    <t>AK14004</t>
  </si>
  <si>
    <t>Dark Eartht - Liquid Pigment</t>
  </si>
  <si>
    <t>8435568334564</t>
  </si>
  <si>
    <t>AK14005</t>
  </si>
  <si>
    <t>Rubble Dust - Liquid Pigment</t>
  </si>
  <si>
    <t>8435568334571</t>
  </si>
  <si>
    <t>AK14006</t>
  </si>
  <si>
    <t>Concrete - Liquid Pigment</t>
  </si>
  <si>
    <t>8435568334588</t>
  </si>
  <si>
    <t>AK14007</t>
  </si>
  <si>
    <t>Beach Sand - Liquid Pigment</t>
  </si>
  <si>
    <t>8435568334595</t>
  </si>
  <si>
    <t>AK14008</t>
  </si>
  <si>
    <t>Vietnam Earth - Liquid Pigment</t>
  </si>
  <si>
    <t>8435568334601</t>
  </si>
  <si>
    <t>AK14009</t>
  </si>
  <si>
    <t>Light European Earth - Liquid Pigment</t>
  </si>
  <si>
    <t>8435568334618</t>
  </si>
  <si>
    <t>AK14010</t>
  </si>
  <si>
    <t>Ochre Earth - Liquid Pigment</t>
  </si>
  <si>
    <t>8435568334625</t>
  </si>
  <si>
    <t>AK14011</t>
  </si>
  <si>
    <t>Brick Dust - Liquid Pigment</t>
  </si>
  <si>
    <t>8435568334632</t>
  </si>
  <si>
    <t>AK14012</t>
  </si>
  <si>
    <t>Dry Mud - Liquid Pigment</t>
  </si>
  <si>
    <t>8435568334649</t>
  </si>
  <si>
    <t>AK14013</t>
  </si>
  <si>
    <t>Dark Mud - Liquid Pigment</t>
  </si>
  <si>
    <t>8435568334656</t>
  </si>
  <si>
    <t>AK14014</t>
  </si>
  <si>
    <t>Dust - Liquid Pigment</t>
  </si>
  <si>
    <t>8435568334915</t>
  </si>
  <si>
    <t>AK14031</t>
  </si>
  <si>
    <t>(3 ref x 1unit)</t>
  </si>
  <si>
    <t xml:space="preserve">RUST &amp; EXHAUST SET - Liquid Pigment  </t>
  </si>
  <si>
    <t>8435568334922</t>
  </si>
  <si>
    <t>AK14032</t>
  </si>
  <si>
    <t>URBAN SET - Liquid Pigment  (3 ref)</t>
  </si>
  <si>
    <t>8435568334939</t>
  </si>
  <si>
    <t>AK14033</t>
  </si>
  <si>
    <t>MUD SET - Liquid Pigment  (3 ref)</t>
  </si>
  <si>
    <t>8435568334946</t>
  </si>
  <si>
    <t>AK14034</t>
  </si>
  <si>
    <t>SAND &amp; DUST SET - Liquid Pigment  (3 ref)</t>
  </si>
  <si>
    <t>8435568337886</t>
  </si>
  <si>
    <t>AK14035</t>
  </si>
  <si>
    <t>EARTH SET - Liquid Pigment  (3 ref)</t>
  </si>
  <si>
    <t>8435568311770</t>
  </si>
  <si>
    <t>Watercolor Pencil Black</t>
  </si>
  <si>
    <t>8435568311787</t>
  </si>
  <si>
    <t>Watercolor Pencil Rubber</t>
  </si>
  <si>
    <t>8435568311794</t>
  </si>
  <si>
    <t>Watercolor Pencil Smoke</t>
  </si>
  <si>
    <t>8435568311800</t>
  </si>
  <si>
    <t>Watercolor Pencil White</t>
  </si>
  <si>
    <t>8435568311817</t>
  </si>
  <si>
    <t>Watercolor Pencil Dirty White</t>
  </si>
  <si>
    <t>8435568311824</t>
  </si>
  <si>
    <t>Watercolor Pencil Olive Green</t>
  </si>
  <si>
    <t>8435568311831</t>
  </si>
  <si>
    <t>Watercolor Pencil Light Green</t>
  </si>
  <si>
    <t>8435568311848</t>
  </si>
  <si>
    <t>Watercolor Pencil Dark Green</t>
  </si>
  <si>
    <t>8435568311855</t>
  </si>
  <si>
    <t>Watercolor Pencil Sand</t>
  </si>
  <si>
    <t>8435568311862</t>
  </si>
  <si>
    <t>Watercolor Pencil Sepia</t>
  </si>
  <si>
    <t>8435568311879</t>
  </si>
  <si>
    <t xml:space="preserve">Watercolor Pencil Light Rust </t>
  </si>
  <si>
    <t>8435568311886</t>
  </si>
  <si>
    <t xml:space="preserve">Watercolor Pencil Medium Rust </t>
  </si>
  <si>
    <t>8435568311893</t>
  </si>
  <si>
    <t xml:space="preserve">Watercolor Pencil Dark Rust </t>
  </si>
  <si>
    <t>8435568311909</t>
  </si>
  <si>
    <t xml:space="preserve">Watercolor Pencil Strong Ocher </t>
  </si>
  <si>
    <t>8435568311916</t>
  </si>
  <si>
    <t xml:space="preserve">Watercolor Pencil Vivid Orange </t>
  </si>
  <si>
    <t>8435568311923</t>
  </si>
  <si>
    <t xml:space="preserve">Watercolor Pencil Light Chipping for wood </t>
  </si>
  <si>
    <t>8435568311930</t>
  </si>
  <si>
    <t xml:space="preserve">Watercolor Pencil Dark Chipping for wood </t>
  </si>
  <si>
    <t>8435568311947</t>
  </si>
  <si>
    <t xml:space="preserve">Watercolor Pencil Gun Metal (Graphite) </t>
  </si>
  <si>
    <t>8435568311954</t>
  </si>
  <si>
    <t xml:space="preserve">Watercolor Pencil Chipping Color </t>
  </si>
  <si>
    <t>8435568311961</t>
  </si>
  <si>
    <t xml:space="preserve">Watercolor Pencil Red Primer </t>
  </si>
  <si>
    <t>8435568311978</t>
  </si>
  <si>
    <t xml:space="preserve">Watercolor Pencil Green Blue </t>
  </si>
  <si>
    <t>8435568311985</t>
  </si>
  <si>
    <t>Watercolor Pencil Dark Blue</t>
  </si>
  <si>
    <t>8435568311992</t>
  </si>
  <si>
    <t xml:space="preserve">Watercolor Pencil Light Blue </t>
  </si>
  <si>
    <t>8435568312005</t>
  </si>
  <si>
    <t xml:space="preserve">Watercolor Pencil Dark Grey </t>
  </si>
  <si>
    <t>8435568312012</t>
  </si>
  <si>
    <t xml:space="preserve">Watercolor Pencil Neutral Grey  </t>
  </si>
  <si>
    <t>8435568312029</t>
  </si>
  <si>
    <t xml:space="preserve">Watercolor Pencil Dust-Rainmarks </t>
  </si>
  <si>
    <t>8435568312036</t>
  </si>
  <si>
    <t xml:space="preserve">Watercolor Pencil Concrete Marks </t>
  </si>
  <si>
    <t>8435568312043</t>
  </si>
  <si>
    <t xml:space="preserve">Watercolor Pencil Earth Brown </t>
  </si>
  <si>
    <t>8435568312050</t>
  </si>
  <si>
    <t xml:space="preserve">Watercolor Pencil Buff  </t>
  </si>
  <si>
    <t>8435568312067</t>
  </si>
  <si>
    <t xml:space="preserve">Watercolor Pencil Streaking Dirt </t>
  </si>
  <si>
    <t>8435568312074</t>
  </si>
  <si>
    <t xml:space="preserve">Watercolor Pencil Red </t>
  </si>
  <si>
    <t>8435568312081</t>
  </si>
  <si>
    <t>Watercolor Pencil Yellow</t>
  </si>
  <si>
    <t>8435568312098</t>
  </si>
  <si>
    <t xml:space="preserve">Watercolor Pencil Aluminum </t>
  </si>
  <si>
    <t>8435568312104</t>
  </si>
  <si>
    <t xml:space="preserve">Watercolor Pencil Gold </t>
  </si>
  <si>
    <t>8435568312111</t>
  </si>
  <si>
    <t xml:space="preserve">Watercolor Pencil Dark Aluminum Nickel </t>
  </si>
  <si>
    <t>8435568312128</t>
  </si>
  <si>
    <t>Watercolor Pencil Bronze</t>
  </si>
  <si>
    <t>8435568312135</t>
  </si>
  <si>
    <t xml:space="preserve">Watercolor Pencil Copper </t>
  </si>
  <si>
    <t>8436564929402</t>
  </si>
  <si>
    <t>AK10039</t>
  </si>
  <si>
    <t>WATERCOLOR PENCIL SET BLACK AND WHITE</t>
  </si>
  <si>
    <t>8436564929419</t>
  </si>
  <si>
    <t>AK10040</t>
  </si>
  <si>
    <t>WATERCOLOR PENCIL SET GREEN AND BROWN CAMOUFLAGES</t>
  </si>
  <si>
    <t>8436564929426</t>
  </si>
  <si>
    <t>AK10041</t>
  </si>
  <si>
    <t xml:space="preserve">WATERCOLOR PENCIL SET RUST AND STREAKING </t>
  </si>
  <si>
    <t>8436564929433</t>
  </si>
  <si>
    <t>AK10042</t>
  </si>
  <si>
    <t xml:space="preserve">WATERCOLOR PENCIL SET CHIPPING </t>
  </si>
  <si>
    <t>8436564929440</t>
  </si>
  <si>
    <t>AK10043</t>
  </si>
  <si>
    <t>WATERCOLOR PENCIL SET GREY AND BLUE CAMOUFLAGES</t>
  </si>
  <si>
    <t>8436564929457</t>
  </si>
  <si>
    <t>AK10044</t>
  </si>
  <si>
    <t>WATERCOLOR PENCIL SET SPLASHES, DIRT AND STAINS</t>
  </si>
  <si>
    <t>8436564929464</t>
  </si>
  <si>
    <t>AK10045</t>
  </si>
  <si>
    <t>WATERCOLOR PENCIL SET BASICS</t>
  </si>
  <si>
    <t>8436564929471</t>
  </si>
  <si>
    <t>AK10046</t>
  </si>
  <si>
    <t>WATERCOLOR PENCIL SET METALLICS</t>
  </si>
  <si>
    <t>AK10047</t>
  </si>
  <si>
    <t>WEATHERING PENCILS DELUXE EDITION BOX (37 waterpencil colors)</t>
  </si>
  <si>
    <t>AK10048</t>
  </si>
  <si>
    <t>WEATHERING PENCILS FULL RANGE CLOTH CASE (37 waterpencil colors)</t>
  </si>
  <si>
    <t>AK11600</t>
  </si>
  <si>
    <t>ORCS AND GREEN CREATURES</t>
  </si>
  <si>
    <t>AK11601</t>
  </si>
  <si>
    <t>NON METALLIC METAL: STEEL</t>
  </si>
  <si>
    <t>AK11602</t>
  </si>
  <si>
    <t>NIGHT CREATURES FLESH TONES</t>
  </si>
  <si>
    <t>AK11603</t>
  </si>
  <si>
    <t>HUMAN FLESH TONES</t>
  </si>
  <si>
    <t>AK11604</t>
  </si>
  <si>
    <t>INFERNO AND RED CREATURES</t>
  </si>
  <si>
    <t>AK11605</t>
  </si>
  <si>
    <t>RUST SET</t>
  </si>
  <si>
    <t>8435568307506</t>
  </si>
  <si>
    <t>AK11606</t>
  </si>
  <si>
    <t>NON METALLIC METAL: GOLD</t>
  </si>
  <si>
    <t>8435568307513</t>
  </si>
  <si>
    <t>AK11607</t>
  </si>
  <si>
    <t>PASTELS COLORS SET</t>
  </si>
  <si>
    <t>8435568307520</t>
  </si>
  <si>
    <t>AK11608</t>
  </si>
  <si>
    <t>METALLICS SET</t>
  </si>
  <si>
    <t>8435568307919</t>
  </si>
  <si>
    <t>AK11609</t>
  </si>
  <si>
    <t>WHITE COLORS SET</t>
  </si>
  <si>
    <t>8435568307865</t>
  </si>
  <si>
    <t>AK11610</t>
  </si>
  <si>
    <t>NEON COLORS SET</t>
  </si>
  <si>
    <t>8435568308091</t>
  </si>
  <si>
    <t>AK11612</t>
  </si>
  <si>
    <t>INTENSE COLORS SET</t>
  </si>
  <si>
    <t>8435568308206</t>
  </si>
  <si>
    <t>AK11613</t>
  </si>
  <si>
    <t>SKIN AND LEATHER COLORS SET</t>
  </si>
  <si>
    <t>8435568308213</t>
  </si>
  <si>
    <t>AK11614</t>
  </si>
  <si>
    <t>GREY FOR SPACESHIPS SET</t>
  </si>
  <si>
    <t>AK11615</t>
  </si>
  <si>
    <t>YELLOW ESSENTIAL COLORS 3GEN SET</t>
  </si>
  <si>
    <t>AK11618</t>
  </si>
  <si>
    <t>BLUE ESSENTIAL COLORS 3GEN SET</t>
  </si>
  <si>
    <t>8435568311473</t>
  </si>
  <si>
    <t>AK11673</t>
  </si>
  <si>
    <t>OLD &amp; WEATHERED WOOD VOL1</t>
  </si>
  <si>
    <t>8435568311480</t>
  </si>
  <si>
    <t>AK11674</t>
  </si>
  <si>
    <t>OLD &amp; WEATHERED WOOD VOL2</t>
  </si>
  <si>
    <t>8435568326934</t>
  </si>
  <si>
    <t>AK11758</t>
  </si>
  <si>
    <t>TRANSPARENT COLORS SET 3G</t>
  </si>
  <si>
    <t>AK11775</t>
  </si>
  <si>
    <t>BASIC STARTER SET</t>
  </si>
  <si>
    <t>8435568343344</t>
  </si>
  <si>
    <t>AK11780</t>
  </si>
  <si>
    <t>HIGH PIGMENTATION SET 14 COLORS</t>
  </si>
  <si>
    <t>8435568326200</t>
  </si>
  <si>
    <t>AK11757</t>
  </si>
  <si>
    <t>SIGNATURE SET - JOSEDAVINCI 3G</t>
  </si>
  <si>
    <t>8435568326514</t>
  </si>
  <si>
    <t>AK11759</t>
  </si>
  <si>
    <t xml:space="preserve">WWII GERMAN UNIFORMS - SIGNATURE SET BY CALVIN TAN </t>
  </si>
  <si>
    <t>AK11762</t>
  </si>
  <si>
    <t xml:space="preserve">HYSTORICAL FIGURES S. XVI-XVIII SIGNATURE SET BY PEPE GALLARDO </t>
  </si>
  <si>
    <t>8435568328082</t>
  </si>
  <si>
    <t>AK11763</t>
  </si>
  <si>
    <t>WWII &amp; MODERN US COLORS - SIGNATURE SET BY ADAM WILDER</t>
  </si>
  <si>
    <t>8435568328914</t>
  </si>
  <si>
    <t>AK11764</t>
  </si>
  <si>
    <t xml:space="preserve">AMERICAN CIVIL WAR - SIGNATURE SET BY RAFA "ARCHIDUQUE" </t>
  </si>
  <si>
    <t>AK11765</t>
  </si>
  <si>
    <t>ANIME FIGURES - SPECIAL FLESH AND SKINS - SIGNATURE SET BY KEIGO MURAKAMI</t>
  </si>
  <si>
    <t>AK11766</t>
  </si>
  <si>
    <t>SCOTTISH TARTANS - SIGNATURE SET BY RAÚL GARCÍA LATORRE</t>
  </si>
  <si>
    <t>8435568331426</t>
  </si>
  <si>
    <t>AK11772</t>
  </si>
  <si>
    <t>HISTORICAL COLOR SET. NAPOLEONIC COLORS - SIGNATURE SET BY GABRIELE ESPOSITO</t>
  </si>
  <si>
    <t>AK11773</t>
  </si>
  <si>
    <t>SUDAN CAMPAIGN 1881-1899 - SIGNATURE SET BY RAFA "ARCHIDUQUE"</t>
  </si>
  <si>
    <t>8435568334212</t>
  </si>
  <si>
    <t>AK11776</t>
  </si>
  <si>
    <t>SIGNATURE SET. THIRTY YEARS WAR 1618-1648 Archiduque</t>
  </si>
  <si>
    <t>AK11777</t>
  </si>
  <si>
    <t>SIGNATURE SET SERGIO VILCHES SET (Miniature Shimbarashe- Yedharo Model included)</t>
  </si>
  <si>
    <t>8435568342453</t>
  </si>
  <si>
    <t>AK11779</t>
  </si>
  <si>
    <t>SIGNATURE SET CARLOS TOBES - 14 COLORS + FIGURE</t>
  </si>
  <si>
    <t>ABT756</t>
  </si>
  <si>
    <t>8435568343726</t>
  </si>
  <si>
    <t>AK11781</t>
  </si>
  <si>
    <t>AK1300</t>
  </si>
  <si>
    <t>8435568305991</t>
  </si>
  <si>
    <t>AK11708</t>
  </si>
  <si>
    <t>(52 ref x 35 ml)</t>
  </si>
  <si>
    <t>3G PLASTIC BRIEFCASE 52 ENAMELS COLORS</t>
  </si>
  <si>
    <t>8435568312593</t>
  </si>
  <si>
    <t>AK11689</t>
  </si>
  <si>
    <t>WWII RAF UNIFORM COLORS 3G</t>
  </si>
  <si>
    <t>8435568312609</t>
  </si>
  <si>
    <t>AK11690</t>
  </si>
  <si>
    <t>WWII LUFTWAFFE UNIFORM COLORS 3G</t>
  </si>
  <si>
    <t>8435568312616</t>
  </si>
  <si>
    <t>AK11691</t>
  </si>
  <si>
    <t>WWII US UNIFORM COLORS 3G</t>
  </si>
  <si>
    <t>8435568312623</t>
  </si>
  <si>
    <t>AK11692</t>
  </si>
  <si>
    <t>WWII SOVIET UNIFORM COLORS 3G</t>
  </si>
  <si>
    <t>8435568312685</t>
  </si>
  <si>
    <t>AK11693</t>
  </si>
  <si>
    <t>WWII JAPAN UNIFORM COLORS AIR 3G</t>
  </si>
  <si>
    <t>8435568313668</t>
  </si>
  <si>
    <t>AK11710</t>
  </si>
  <si>
    <t>WWI German Aircraft Colors SET 3G</t>
  </si>
  <si>
    <t>8435568313699</t>
  </si>
  <si>
    <t>AK11711</t>
  </si>
  <si>
    <t>WWI RFC &amp; RNAS. British Aircraft Colors  SET 3G</t>
  </si>
  <si>
    <t>8435568313651</t>
  </si>
  <si>
    <t>AK11712</t>
  </si>
  <si>
    <t>Clear Doped Linen SET 3G</t>
  </si>
  <si>
    <t>8435568313965</t>
  </si>
  <si>
    <t>AK11713</t>
  </si>
  <si>
    <t>Spanish Civil War. Republican Aircraft Colors SET</t>
  </si>
  <si>
    <t>8435568313644</t>
  </si>
  <si>
    <t>AK11714</t>
  </si>
  <si>
    <t>Spanish Civil War. Legion Condor Aircraft  SET 3G</t>
  </si>
  <si>
    <t>8435568314146</t>
  </si>
  <si>
    <t>AK11715</t>
  </si>
  <si>
    <t>Luftwaffe Pre-WWII Aircraft Colors SET 3G</t>
  </si>
  <si>
    <t>8435568314139</t>
  </si>
  <si>
    <t>AK11716</t>
  </si>
  <si>
    <t>WWII Luftwaffe Early War Colors SET 3G</t>
  </si>
  <si>
    <t>8435568314306</t>
  </si>
  <si>
    <t>AK11717</t>
  </si>
  <si>
    <t>WWII Luftwaffe Mid-War Colors SET 3G</t>
  </si>
  <si>
    <t>8435568314313</t>
  </si>
  <si>
    <t>AK11718</t>
  </si>
  <si>
    <t>WWII Luftwaffe Late War Colors SET 3G</t>
  </si>
  <si>
    <t>8435568313972</t>
  </si>
  <si>
    <t>AK11719</t>
  </si>
  <si>
    <t>WWII Luftwaffe Tropical Colors SET 3G</t>
  </si>
  <si>
    <t>8435568313989</t>
  </si>
  <si>
    <t>AK11720</t>
  </si>
  <si>
    <t>Luftwaffe Fighter Colors 1941-1944 SET 3G</t>
  </si>
  <si>
    <t>8435568314054</t>
  </si>
  <si>
    <t>AK11721</t>
  </si>
  <si>
    <t>WWII Luftwaffe Seaplane Colors SET 3G</t>
  </si>
  <si>
    <t>8435568314184</t>
  </si>
  <si>
    <t>AK11722</t>
  </si>
  <si>
    <t>WWII Luftwaffe Cockpit &amp; Interior Colors SET 3G</t>
  </si>
  <si>
    <t>8435568314412</t>
  </si>
  <si>
    <t>AK11723</t>
  </si>
  <si>
    <t>WWII RAF Aircraft Colors SET 3G</t>
  </si>
  <si>
    <t>8435568314351</t>
  </si>
  <si>
    <t>AK11724</t>
  </si>
  <si>
    <t>WWII RAF Temperate Land Scheme SET 3G</t>
  </si>
  <si>
    <t>8435568314375</t>
  </si>
  <si>
    <t>AK11725</t>
  </si>
  <si>
    <t>WWII RAF Day Fighter Scheme SET 3G</t>
  </si>
  <si>
    <t>8435568314382</t>
  </si>
  <si>
    <t>AK11726</t>
  </si>
  <si>
    <t>WWII RAF Aircraft Desert Colors SET 3G</t>
  </si>
  <si>
    <t>8435568314399</t>
  </si>
  <si>
    <t>AK11727</t>
  </si>
  <si>
    <t>WWII RAF SEAC Aircraft Colors SET 3G</t>
  </si>
  <si>
    <t>8435568314405</t>
  </si>
  <si>
    <t>AK11728</t>
  </si>
  <si>
    <t>WWII RAF Coastal Command &amp; RN Fleet Air Arm SET 3G</t>
  </si>
  <si>
    <t>8435568314191</t>
  </si>
  <si>
    <t>AK11729</t>
  </si>
  <si>
    <t>WWII US Navy &amp; USMC Aircraft Colors SET 3G</t>
  </si>
  <si>
    <t>8435568314276</t>
  </si>
  <si>
    <t>AK11730</t>
  </si>
  <si>
    <t>WWII US Navy &amp; USMC Aircraft Late War Colors SET3G</t>
  </si>
  <si>
    <t>8435568314368</t>
  </si>
  <si>
    <t>AK11731</t>
  </si>
  <si>
    <t>WWII US Navy ASW Aircraft Colors SET 3G</t>
  </si>
  <si>
    <t>8435568314177</t>
  </si>
  <si>
    <t>AK11732</t>
  </si>
  <si>
    <t>WWII USAAF Aircraft Colors Vol.1 SET 3G</t>
  </si>
  <si>
    <t>8435568314160</t>
  </si>
  <si>
    <t>AK11733</t>
  </si>
  <si>
    <t>WWII USAAF Aircraft Colors Vol.2 SET 3G</t>
  </si>
  <si>
    <t>8435568314153</t>
  </si>
  <si>
    <t>AK11734</t>
  </si>
  <si>
    <t>WWII US Aircraft Interior Colors SET 3G</t>
  </si>
  <si>
    <t>8435568314283</t>
  </si>
  <si>
    <t>AK11735</t>
  </si>
  <si>
    <t>WWII IJAAF Aircraft Colors SET 3G</t>
  </si>
  <si>
    <t>8435568314467</t>
  </si>
  <si>
    <t>AK11736</t>
  </si>
  <si>
    <t>WWII IJAAF Aircraft Interior Colors SET 3G</t>
  </si>
  <si>
    <t>8435568314290</t>
  </si>
  <si>
    <t>AK11737</t>
  </si>
  <si>
    <t>WWII IJN Aircraft Colors SET 3G</t>
  </si>
  <si>
    <t>8435568314450</t>
  </si>
  <si>
    <t>AK11738</t>
  </si>
  <si>
    <t>WWII IJN Aircraft Interior Colors SET 3G</t>
  </si>
  <si>
    <t>8435568314429</t>
  </si>
  <si>
    <t>AK11739</t>
  </si>
  <si>
    <t>WWII Finnish Air Force Colors SET 3G</t>
  </si>
  <si>
    <t>8435568314474</t>
  </si>
  <si>
    <t>AK11740</t>
  </si>
  <si>
    <t>Soviet Aircraft Colors 1930s-1941 SET 3G</t>
  </si>
  <si>
    <t>8435568314481</t>
  </si>
  <si>
    <t>AK11741</t>
  </si>
  <si>
    <t>Soviet Aircraft Colors 1941-1945 SET 3G</t>
  </si>
  <si>
    <t>8435568314498</t>
  </si>
  <si>
    <t>AK11742</t>
  </si>
  <si>
    <t>Soviet Fighter Colors 1943-1945 SET 3G</t>
  </si>
  <si>
    <t>8435568314436</t>
  </si>
  <si>
    <t>AK11743</t>
  </si>
  <si>
    <t>Soviet Aircraft Colors 1950s-1970s SET 3G</t>
  </si>
  <si>
    <t>8435568314528</t>
  </si>
  <si>
    <t>AK11744</t>
  </si>
  <si>
    <t>US Navy &amp; USMC Modern Aircraft &amp; Helicopter SET 3G</t>
  </si>
  <si>
    <t>8435568314535</t>
  </si>
  <si>
    <t>AK11745</t>
  </si>
  <si>
    <t>US Navy &amp; USMC Aircraft Colors 1945-1980 SET 3G</t>
  </si>
  <si>
    <t>8435568314542</t>
  </si>
  <si>
    <t>AK11746</t>
  </si>
  <si>
    <t>US Air Force &amp; ANG Modern Aircraft Colors SET 3G</t>
  </si>
  <si>
    <t>8435568314559</t>
  </si>
  <si>
    <t>AK11747</t>
  </si>
  <si>
    <t>US Air Force &amp; ANG Aircraft 1960s-1980s SET 3G</t>
  </si>
  <si>
    <t>8435568314566</t>
  </si>
  <si>
    <t>AK11748</t>
  </si>
  <si>
    <t>US Air Force South East Asia (SEA) Scheme SET 3G</t>
  </si>
  <si>
    <t>8435568314573</t>
  </si>
  <si>
    <t>AK11749</t>
  </si>
  <si>
    <t>US Air Force European I Camo Colors 1980s SET 3G</t>
  </si>
  <si>
    <t>8435568314580</t>
  </si>
  <si>
    <t>AK11750</t>
  </si>
  <si>
    <t>US Army Helicopter Colors SET 3G</t>
  </si>
  <si>
    <t>8435568314597</t>
  </si>
  <si>
    <t>AK11751</t>
  </si>
  <si>
    <t>US Asia Minor Scheme (IIAF/IRIAF Aircraft) SET 3G</t>
  </si>
  <si>
    <t>8435568314603</t>
  </si>
  <si>
    <t>AK11752</t>
  </si>
  <si>
    <t>Israeli Air Force Colors SET 3G</t>
  </si>
  <si>
    <t>8435568314610</t>
  </si>
  <si>
    <t>AK11753</t>
  </si>
  <si>
    <t>Modern Hellenic Air Force Ghost Scheme SET 3G</t>
  </si>
  <si>
    <t>8435568314627</t>
  </si>
  <si>
    <t>AK11754</t>
  </si>
  <si>
    <t>RN Fleet Air Arm Aircraft Colors 1945-2010 SET 3G</t>
  </si>
  <si>
    <t>8435568314634</t>
  </si>
  <si>
    <t>AK11755</t>
  </si>
  <si>
    <t>Modern Royal Air Force Aircraft Colors SET 3G</t>
  </si>
  <si>
    <t>8435568314641</t>
  </si>
  <si>
    <t>AK11756</t>
  </si>
  <si>
    <t>Early Cold War RAF Aircraft Colors SET 3G</t>
  </si>
  <si>
    <t>AK11761</t>
  </si>
  <si>
    <t>US MODERN PILOT UNIFORM COLORS 3G</t>
  </si>
  <si>
    <t>8435568309401</t>
  </si>
  <si>
    <t>AK11620</t>
  </si>
  <si>
    <t>LEATHER AND BUCKLES 3G</t>
  </si>
  <si>
    <t>8435568309418</t>
  </si>
  <si>
    <t>AK11621</t>
  </si>
  <si>
    <t>FLESH AND SKIN COLORS 3G</t>
  </si>
  <si>
    <t>8435568310445</t>
  </si>
  <si>
    <t>AK11622</t>
  </si>
  <si>
    <t>PANZER CREW BLACK UNIFORMS SET 3G</t>
  </si>
  <si>
    <t>8435568310452</t>
  </si>
  <si>
    <t>AK11623</t>
  </si>
  <si>
    <t>WAFFEN SS 44 DOT UNIFORM COLORS 3G</t>
  </si>
  <si>
    <t>8435568310469</t>
  </si>
  <si>
    <t>AK11624</t>
  </si>
  <si>
    <t>SPLITTERMUSTER UNIFORM 3G</t>
  </si>
  <si>
    <t>8435568310476</t>
  </si>
  <si>
    <t>AK11625</t>
  </si>
  <si>
    <t>OAK LEAF AUTUMN-WINTER 3G</t>
  </si>
  <si>
    <t>8435568310483</t>
  </si>
  <si>
    <t>AK11626</t>
  </si>
  <si>
    <t>WAFFEN SPRING-SUMMER CAMOUFLAGE 3G</t>
  </si>
  <si>
    <t>8435568310490</t>
  </si>
  <si>
    <t>AK11627</t>
  </si>
  <si>
    <t>GERMAN FIELD GREY UNIFORMS 3G</t>
  </si>
  <si>
    <t>8435568310506</t>
  </si>
  <si>
    <t>AK11628</t>
  </si>
  <si>
    <t>DAK SOLDIER UNIFORM COLORS 3G</t>
  </si>
  <si>
    <t>8435568310513</t>
  </si>
  <si>
    <t>AK11629</t>
  </si>
  <si>
    <t>WWI GERMAN UNIFORM 3G</t>
  </si>
  <si>
    <t>8435568310520</t>
  </si>
  <si>
    <t>AK11630</t>
  </si>
  <si>
    <t>MODERN DESERT UNIFORM COLORS 3G</t>
  </si>
  <si>
    <t>8435568310537</t>
  </si>
  <si>
    <t>AK11631</t>
  </si>
  <si>
    <t>IDF UNIFORM COLORS 3G</t>
  </si>
  <si>
    <t>8435568310544</t>
  </si>
  <si>
    <t>AK11632</t>
  </si>
  <si>
    <t>MODERN WOODLAND AND FLECKTARN CAMOUFLAGES 3G</t>
  </si>
  <si>
    <t>8435568310551</t>
  </si>
  <si>
    <t>AK11633</t>
  </si>
  <si>
    <t>FRENCH UNIFORM COLORS 3G</t>
  </si>
  <si>
    <t>8435568310568</t>
  </si>
  <si>
    <t>AK11634</t>
  </si>
  <si>
    <t>WW2 US UNIFORMS 3G</t>
  </si>
  <si>
    <t>8435568310575</t>
  </si>
  <si>
    <t>AK11635</t>
  </si>
  <si>
    <t>SOVIET WWII UNIFORM COLORS 3G</t>
  </si>
  <si>
    <t>8435568310582</t>
  </si>
  <si>
    <t>AK11636</t>
  </si>
  <si>
    <t>WWII BRITISH UNIFORM COLORS 3G</t>
  </si>
  <si>
    <t>8435568310599</t>
  </si>
  <si>
    <t>AK11637</t>
  </si>
  <si>
    <t>WWI FRENCH UNIFORMS 3G</t>
  </si>
  <si>
    <t>8435568310605</t>
  </si>
  <si>
    <t>AK11638</t>
  </si>
  <si>
    <t>WWI BRITISH UNIFORMS 3G</t>
  </si>
  <si>
    <t>8435568310612</t>
  </si>
  <si>
    <t>AK11639</t>
  </si>
  <si>
    <t>MODULATION 4BO RUSSIAN GREEN 3G</t>
  </si>
  <si>
    <t>8435568310629</t>
  </si>
  <si>
    <t>AK11640</t>
  </si>
  <si>
    <t>MODULATION GERMAN DUNKELGELB 3G</t>
  </si>
  <si>
    <t>8435568310636</t>
  </si>
  <si>
    <t>AK11641</t>
  </si>
  <si>
    <t>MODULATION GERMAN RED PRIMER  3G</t>
  </si>
  <si>
    <t>8435568310643</t>
  </si>
  <si>
    <t>AK11642</t>
  </si>
  <si>
    <t>MODULATION GERMAN PANZER GREY 3G</t>
  </si>
  <si>
    <t>8435568310650</t>
  </si>
  <si>
    <t>AK11643</t>
  </si>
  <si>
    <t>MODULATION US OLIVE DRAB  3G</t>
  </si>
  <si>
    <t>8435568310667</t>
  </si>
  <si>
    <t>AK11644</t>
  </si>
  <si>
    <t>MODULATION WWI BRITISH COLORS 3G</t>
  </si>
  <si>
    <t>8435568311091</t>
  </si>
  <si>
    <t>AK11645</t>
  </si>
  <si>
    <t>GERMAN STANDARD 37-44 COMBO 3G</t>
  </si>
  <si>
    <t>8435568311107</t>
  </si>
  <si>
    <t>AK11646</t>
  </si>
  <si>
    <t>BRITISH DESERT COLOURS 3G</t>
  </si>
  <si>
    <t>8435568311114</t>
  </si>
  <si>
    <t>AK11647</t>
  </si>
  <si>
    <t>TANK ACCESORIES 3G</t>
  </si>
  <si>
    <t>8435568311121</t>
  </si>
  <si>
    <t>AK11648</t>
  </si>
  <si>
    <t>MIDDLE EAST WAR COLORS 3G</t>
  </si>
  <si>
    <t>8435568311138</t>
  </si>
  <si>
    <t>AK11649</t>
  </si>
  <si>
    <t>AUSCAM COLORS SET 3G</t>
  </si>
  <si>
    <t>8435568311145</t>
  </si>
  <si>
    <t>AK11650</t>
  </si>
  <si>
    <t>IDF AFV COLOR COMBOS</t>
  </si>
  <si>
    <t>8435568311152</t>
  </si>
  <si>
    <t>AK11651</t>
  </si>
  <si>
    <t>UNFINISHED GERMAN VEHICLES WEATHERING 3G</t>
  </si>
  <si>
    <t>8435568311169</t>
  </si>
  <si>
    <t>AK11652</t>
  </si>
  <si>
    <t>AFRIKA KORPS 3G</t>
  </si>
  <si>
    <t>8435568311176</t>
  </si>
  <si>
    <t>AK11653</t>
  </si>
  <si>
    <t>MERDC CAMOUFLAGE COLORS 3G</t>
  </si>
  <si>
    <t>8435568311183</t>
  </si>
  <si>
    <t>AK11654</t>
  </si>
  <si>
    <t>1945 GERMAN LATE COLORS 3G</t>
  </si>
  <si>
    <t>8435568311190</t>
  </si>
  <si>
    <t>AK11655</t>
  </si>
  <si>
    <t>IRAQ &amp; AFGHANISTAN 3G</t>
  </si>
  <si>
    <t>8435568311206</t>
  </si>
  <si>
    <t>AK11656</t>
  </si>
  <si>
    <t>GERMAN WAR COLORS 37-44 3G</t>
  </si>
  <si>
    <t>8435568311213</t>
  </si>
  <si>
    <t>AK11657</t>
  </si>
  <si>
    <t>SOVIET CAMOUFLAGES 3G</t>
  </si>
  <si>
    <t>8435568311220</t>
  </si>
  <si>
    <t>AK11658</t>
  </si>
  <si>
    <t>NATO COLORS 3G</t>
  </si>
  <si>
    <t>8435568311237</t>
  </si>
  <si>
    <t>AK11659</t>
  </si>
  <si>
    <t>VIETNAM COLORS 3G</t>
  </si>
  <si>
    <t>8435568311244</t>
  </si>
  <si>
    <t>AK11660</t>
  </si>
  <si>
    <t>WWI FRENCH COLORS 3G</t>
  </si>
  <si>
    <t>8435568311251</t>
  </si>
  <si>
    <t>AK11661</t>
  </si>
  <si>
    <t>MODERN FRENCH AFV 3G</t>
  </si>
  <si>
    <t>8435568311268</t>
  </si>
  <si>
    <t>AK11662</t>
  </si>
  <si>
    <t>MODERN RUSSIAN COLOURS VOL 1 3G</t>
  </si>
  <si>
    <t>8435568311275</t>
  </si>
  <si>
    <t>AK11663</t>
  </si>
  <si>
    <t>MODERN RUSSIAN COLOURS VOL 2 3G</t>
  </si>
  <si>
    <t>8435568311282</t>
  </si>
  <si>
    <t>AK11664</t>
  </si>
  <si>
    <t>GERMAN STANDARD 44-45 COMBO 3G</t>
  </si>
  <si>
    <t>8435568311299</t>
  </si>
  <si>
    <t>AK11665</t>
  </si>
  <si>
    <t>RUSSIAN STANDARD WWII COMBO 3G</t>
  </si>
  <si>
    <t>8435568311305</t>
  </si>
  <si>
    <t>AK11666</t>
  </si>
  <si>
    <t>BUNDESWEHR DESERT COLORS 3G</t>
  </si>
  <si>
    <t>8435568311329</t>
  </si>
  <si>
    <t>AK11668</t>
  </si>
  <si>
    <t>US.ARMY &amp; USMC CAMOUFLAGE COLORS 3G</t>
  </si>
  <si>
    <t>8435568311336</t>
  </si>
  <si>
    <t>AK11669</t>
  </si>
  <si>
    <t>PANZER COLORS 1946 3G</t>
  </si>
  <si>
    <t>8435568311442</t>
  </si>
  <si>
    <t>AK11670</t>
  </si>
  <si>
    <t>STANDARD TOOLS ALL ERAS COMBO 3G</t>
  </si>
  <si>
    <t>8435568311466</t>
  </si>
  <si>
    <t>AK11672</t>
  </si>
  <si>
    <t>TRACKS AND WHEELS</t>
  </si>
  <si>
    <t>8435568311718</t>
  </si>
  <si>
    <t>AK11675</t>
  </si>
  <si>
    <t>US TANK COLORS EUROPE 1944-45</t>
  </si>
  <si>
    <t>8435568311725</t>
  </si>
  <si>
    <t>AK11676</t>
  </si>
  <si>
    <t>BRITISH CAUNTER SCHEME 1940-1941</t>
  </si>
  <si>
    <t>8435568311732</t>
  </si>
  <si>
    <t>AK11677</t>
  </si>
  <si>
    <t>BRITISH ARMY COLORS TUNISIA, SICILY &amp; ITALY 1943-45</t>
  </si>
  <si>
    <t>8435568311749</t>
  </si>
  <si>
    <t>AK11678</t>
  </si>
  <si>
    <t>BRITISH ARMY COLORS AFRICA, LATE 1942-43</t>
  </si>
  <si>
    <t>8435568311756</t>
  </si>
  <si>
    <t>AK11679</t>
  </si>
  <si>
    <t>BRITISH ARMY COLORS NORTH-WEST EUROPE 1944-45</t>
  </si>
  <si>
    <t>8435568311763</t>
  </si>
  <si>
    <t>AK11680</t>
  </si>
  <si>
    <t>BRITISH ARMY COLORS EUROPE 1941-44</t>
  </si>
  <si>
    <t>8435568312180</t>
  </si>
  <si>
    <t>AK11681</t>
  </si>
  <si>
    <t>WWII GERMAN ITALIAN CAMOUFLAGE</t>
  </si>
  <si>
    <t>8435568312234</t>
  </si>
  <si>
    <t>AK11682</t>
  </si>
  <si>
    <t>VIETNAM GREEN AND CAMOUFLAGE COLORS 3G</t>
  </si>
  <si>
    <t>8435568312395</t>
  </si>
  <si>
    <t>AK11686</t>
  </si>
  <si>
    <t>WWI GERMAN TANK COLORS</t>
  </si>
  <si>
    <t>8435568312401</t>
  </si>
  <si>
    <t>AK11687</t>
  </si>
  <si>
    <t>GERMAN ARMY PRE-WWII COLORS</t>
  </si>
  <si>
    <t>8435568312418</t>
  </si>
  <si>
    <t>AK11688</t>
  </si>
  <si>
    <t>WWII GERMAN TANK INTERIOR COLORS</t>
  </si>
  <si>
    <t>8435568333390</t>
  </si>
  <si>
    <t>AK11774</t>
  </si>
  <si>
    <t>WWII Japanese Army AFV Colors SET 3G</t>
  </si>
  <si>
    <t>8435568312333</t>
  </si>
  <si>
    <t>AK11683</t>
  </si>
  <si>
    <t>BLACK INTERIOR AND CREAM WHITE</t>
  </si>
  <si>
    <t>8435568312340</t>
  </si>
  <si>
    <t>AK11684</t>
  </si>
  <si>
    <t>GREY YELLOW BROWN INTERIORS</t>
  </si>
  <si>
    <t>8435568312357</t>
  </si>
  <si>
    <t>AK11685</t>
  </si>
  <si>
    <t>RED AND BLUE INTERIOR COLORS</t>
  </si>
  <si>
    <t>8435568328501</t>
  </si>
  <si>
    <t>AK1063</t>
  </si>
  <si>
    <t>WARGAME SET. BLUE ARMOR.</t>
  </si>
  <si>
    <t>8435568328518</t>
  </si>
  <si>
    <t>AK1064</t>
  </si>
  <si>
    <t>WARGAME COLOR SET. GREEN PLASMA AND GLOWING EFFECT</t>
  </si>
  <si>
    <t>8435568328525</t>
  </si>
  <si>
    <t>AK1065</t>
  </si>
  <si>
    <t>WARGAME SET. VISCERAL MALFORMATIONS.</t>
  </si>
  <si>
    <t>8435568328532</t>
  </si>
  <si>
    <t>AK1066</t>
  </si>
  <si>
    <t>WARGAME SET. FROZEN FLESH.</t>
  </si>
  <si>
    <t>8435568328549</t>
  </si>
  <si>
    <t>AK1067</t>
  </si>
  <si>
    <t>WARGAME COLOR SET. BLUE PLASMA AND GLOWING EFFECTS</t>
  </si>
  <si>
    <t>8435568328556</t>
  </si>
  <si>
    <t>AK1068</t>
  </si>
  <si>
    <t>WARGAME COLOR SET. MAGENTA PLASMA AND GLOWING EFFE</t>
  </si>
  <si>
    <t>8435568328563</t>
  </si>
  <si>
    <t>AK1069</t>
  </si>
  <si>
    <t>WARGAME COLOR SET. BONES AND SKELETONS.</t>
  </si>
  <si>
    <t>8435568328570</t>
  </si>
  <si>
    <t>AK1070</t>
  </si>
  <si>
    <t>WARGAME COLOR SET. ETERNAL DARKNESS.</t>
  </si>
  <si>
    <t>8435568328587</t>
  </si>
  <si>
    <t>AK1071</t>
  </si>
  <si>
    <t>WARGAME COLOR SET. FIRE EFFECTS.</t>
  </si>
  <si>
    <t>8435568328594</t>
  </si>
  <si>
    <t>AK1072</t>
  </si>
  <si>
    <t>WARGAME COLOR SET. LAVA EFFECTS.</t>
  </si>
  <si>
    <t>8435568328600</t>
  </si>
  <si>
    <t>AK1073</t>
  </si>
  <si>
    <t>WARGAME COLOR SET. NON METALLIC METAL SILVER (W.B)</t>
  </si>
  <si>
    <t>8435568328617</t>
  </si>
  <si>
    <t>AK1074</t>
  </si>
  <si>
    <t>WARGAME COLOR SET. STONE AND ROCK EFFECTS.</t>
  </si>
  <si>
    <t>8435568328624</t>
  </si>
  <si>
    <t>AK1075</t>
  </si>
  <si>
    <t>WARGAME COLOR SET. BASIC SKIN COLORS</t>
  </si>
  <si>
    <t>8435568328662</t>
  </si>
  <si>
    <t>AK1076</t>
  </si>
  <si>
    <t>WARGAME COLOR SET. ZOMBIE SKIN.</t>
  </si>
  <si>
    <t>8435568328679</t>
  </si>
  <si>
    <t>AK1077</t>
  </si>
  <si>
    <t>WARGAME COLOR SET. NON METALLIC METAL GOLD (W. B.)</t>
  </si>
  <si>
    <t>8435568328686</t>
  </si>
  <si>
    <t>AK1078</t>
  </si>
  <si>
    <t>WARGAME COLOR SET. EMERALDS AND GREEN GEMS</t>
  </si>
  <si>
    <t>8435568350106</t>
  </si>
  <si>
    <t>AK11782</t>
  </si>
  <si>
    <t>WARGAME PAINT IT ALL BOX 36 COLORS 3GEN</t>
  </si>
  <si>
    <t>8435568350113</t>
  </si>
  <si>
    <t>AK11783</t>
  </si>
  <si>
    <t>WARGAME PAINT IT ALL BOX 72 COLORS 3GEN</t>
  </si>
  <si>
    <t>8435568350120</t>
  </si>
  <si>
    <t>AK11784</t>
  </si>
  <si>
    <t>WARGAME PAINT IT ALL BOX 108 COLORS 3GEN</t>
  </si>
  <si>
    <t>AK11001</t>
  </si>
  <si>
    <t>17 ml</t>
  </si>
  <si>
    <t>White 17ml</t>
  </si>
  <si>
    <t>8435568302358</t>
  </si>
  <si>
    <t>AK11002</t>
  </si>
  <si>
    <t>Offwhite 17ml</t>
  </si>
  <si>
    <t>8435568302365</t>
  </si>
  <si>
    <t>AK11003</t>
  </si>
  <si>
    <t>White Grey 17ml</t>
  </si>
  <si>
    <t>8435568302372</t>
  </si>
  <si>
    <t>AK11004</t>
  </si>
  <si>
    <t>Ivory 17ml</t>
  </si>
  <si>
    <t>8435568302389</t>
  </si>
  <si>
    <t>AK11005</t>
  </si>
  <si>
    <t>Greenish White 17ml</t>
  </si>
  <si>
    <t>8435568302396</t>
  </si>
  <si>
    <t>AK11006</t>
  </si>
  <si>
    <t>Silver Grey 17ml</t>
  </si>
  <si>
    <t>8435568302402</t>
  </si>
  <si>
    <t>AK11007</t>
  </si>
  <si>
    <t>Rock Grey 17ml</t>
  </si>
  <si>
    <t>8435568302419</t>
  </si>
  <si>
    <t>AK11008</t>
  </si>
  <si>
    <t>Grimy Grey 17ml</t>
  </si>
  <si>
    <t>8435568302426</t>
  </si>
  <si>
    <t>AK11009</t>
  </si>
  <si>
    <t>Warm Grey 17ml</t>
  </si>
  <si>
    <t>8435568302433</t>
  </si>
  <si>
    <t>AK11010</t>
  </si>
  <si>
    <t>Medium Grey 17ml</t>
  </si>
  <si>
    <t>8435568302440</t>
  </si>
  <si>
    <t>AK11011</t>
  </si>
  <si>
    <t>Blue-Grey 17ml</t>
  </si>
  <si>
    <t>8435568302457</t>
  </si>
  <si>
    <t>AK11012</t>
  </si>
  <si>
    <t>Sky Grey 17ml</t>
  </si>
  <si>
    <t>8435568302464</t>
  </si>
  <si>
    <t>AK11013</t>
  </si>
  <si>
    <t>Pale Grey 17ml</t>
  </si>
  <si>
    <t>8435568302471</t>
  </si>
  <si>
    <t>AK11014</t>
  </si>
  <si>
    <t>Medium Sea Grey 17ml</t>
  </si>
  <si>
    <t>8435568302488</t>
  </si>
  <si>
    <t>AK11015</t>
  </si>
  <si>
    <t>Dark Sea Grey 17ml</t>
  </si>
  <si>
    <t>8435568302495</t>
  </si>
  <si>
    <t>AK11016</t>
  </si>
  <si>
    <t>Grey-Green 17ml</t>
  </si>
  <si>
    <t>8435568302501</t>
  </si>
  <si>
    <t>AK11017</t>
  </si>
  <si>
    <t>Reddish Grey 17ml</t>
  </si>
  <si>
    <t>8435568302518</t>
  </si>
  <si>
    <t>AK11018</t>
  </si>
  <si>
    <t>Neutral Grey 17ml</t>
  </si>
  <si>
    <t>8435568302525</t>
  </si>
  <si>
    <t>AK11019</t>
  </si>
  <si>
    <t>Graphite 17ml</t>
  </si>
  <si>
    <t>8435568302532</t>
  </si>
  <si>
    <t>AK11020</t>
  </si>
  <si>
    <t>Inglés Grey 17ml</t>
  </si>
  <si>
    <t>8435568302549</t>
  </si>
  <si>
    <t>AK11021</t>
  </si>
  <si>
    <t>Basalt Grey 17ml</t>
  </si>
  <si>
    <t>8435568302556</t>
  </si>
  <si>
    <t>AK11022</t>
  </si>
  <si>
    <t>Dark Grey 17ml</t>
  </si>
  <si>
    <t>8435568302563</t>
  </si>
  <si>
    <t>AK11023</t>
  </si>
  <si>
    <t>Lead Grey 17ml</t>
  </si>
  <si>
    <t>8435568302570</t>
  </si>
  <si>
    <t>AK11024</t>
  </si>
  <si>
    <t>Ash Grey 17ml</t>
  </si>
  <si>
    <t>8435568302587</t>
  </si>
  <si>
    <t>AK11025</t>
  </si>
  <si>
    <t>German Grey 17ml</t>
  </si>
  <si>
    <t>8435568302594</t>
  </si>
  <si>
    <t>AK11026</t>
  </si>
  <si>
    <t>Tenebrous Grey 17ml</t>
  </si>
  <si>
    <t>8435568302600</t>
  </si>
  <si>
    <t>AK11027</t>
  </si>
  <si>
    <t>Rubber Black 17ml</t>
  </si>
  <si>
    <t>8435568302617</t>
  </si>
  <si>
    <t>AK11028</t>
  </si>
  <si>
    <t>Smoke Black 17ml</t>
  </si>
  <si>
    <t>8435568302624</t>
  </si>
  <si>
    <t>AK11029</t>
  </si>
  <si>
    <t>Black 17ml</t>
  </si>
  <si>
    <t>8435568302631</t>
  </si>
  <si>
    <t>AK11030</t>
  </si>
  <si>
    <t>Beige 17ml</t>
  </si>
  <si>
    <t>8435568302648</t>
  </si>
  <si>
    <t>AK11031</t>
  </si>
  <si>
    <t>Buff 17ml</t>
  </si>
  <si>
    <t>8435568302655</t>
  </si>
  <si>
    <t>AK11032</t>
  </si>
  <si>
    <t>Pale Sand 17ml</t>
  </si>
  <si>
    <t>8435568302662</t>
  </si>
  <si>
    <t>AK11033</t>
  </si>
  <si>
    <t>Dark Sand 17ml</t>
  </si>
  <si>
    <t>8435568302679</t>
  </si>
  <si>
    <t>AK11034</t>
  </si>
  <si>
    <t>Medium Sand 17ml</t>
  </si>
  <si>
    <t>8435568302686</t>
  </si>
  <si>
    <t>AK11035</t>
  </si>
  <si>
    <t>Sand Yellow 17ml</t>
  </si>
  <si>
    <t>8435568302693</t>
  </si>
  <si>
    <t>AK11036</t>
  </si>
  <si>
    <t>Ice Yellow 17ml</t>
  </si>
  <si>
    <t>8435568302709</t>
  </si>
  <si>
    <t>AK11037</t>
  </si>
  <si>
    <t>Pastel Yellow 17ml</t>
  </si>
  <si>
    <t>8435568302716</t>
  </si>
  <si>
    <t>AK11038</t>
  </si>
  <si>
    <t>Pale Yellow 17ml</t>
  </si>
  <si>
    <t>8435568302723</t>
  </si>
  <si>
    <t>AK11039</t>
  </si>
  <si>
    <t>Purulent Yellow 17ml</t>
  </si>
  <si>
    <t>8435568302730</t>
  </si>
  <si>
    <t>AK11040</t>
  </si>
  <si>
    <t>Sahara Yellow 17ml</t>
  </si>
  <si>
    <t>8435568302747</t>
  </si>
  <si>
    <t>AK11041</t>
  </si>
  <si>
    <t>Golden Yellow 17ml</t>
  </si>
  <si>
    <t>8435568302754</t>
  </si>
  <si>
    <t>AK11042</t>
  </si>
  <si>
    <t>Volcanic Yellow 17ml</t>
  </si>
  <si>
    <t>8435568302761</t>
  </si>
  <si>
    <t>AK11043</t>
  </si>
  <si>
    <t>Dirty Yellow 17ml</t>
  </si>
  <si>
    <t>8435568302778</t>
  </si>
  <si>
    <t>AK11044</t>
  </si>
  <si>
    <t>Yellow 17ml</t>
  </si>
  <si>
    <t>8435568302785</t>
  </si>
  <si>
    <t>AK11045</t>
  </si>
  <si>
    <t>Deep Yellow 17ml</t>
  </si>
  <si>
    <t>8435568302792</t>
  </si>
  <si>
    <t>AK11046</t>
  </si>
  <si>
    <t>Radiant Yellow 17ml</t>
  </si>
  <si>
    <t>8435568302808</t>
  </si>
  <si>
    <t>AK11047</t>
  </si>
  <si>
    <t>Lemon Yellow 17ml</t>
  </si>
  <si>
    <t>8435568302815</t>
  </si>
  <si>
    <t>AK11048</t>
  </si>
  <si>
    <t>Laser Yellow 17ml</t>
  </si>
  <si>
    <t>8435568302822</t>
  </si>
  <si>
    <t>AK11049</t>
  </si>
  <si>
    <t>Fluorescent Yellow 17ml</t>
  </si>
  <si>
    <t>8435568302839</t>
  </si>
  <si>
    <t>AK11050</t>
  </si>
  <si>
    <t>Light Flesh 17ml</t>
  </si>
  <si>
    <t>8435568302846</t>
  </si>
  <si>
    <t>AK11051</t>
  </si>
  <si>
    <t>Luminous Flesh 17ml</t>
  </si>
  <si>
    <t>8435568302853</t>
  </si>
  <si>
    <t>AK11052</t>
  </si>
  <si>
    <t>Basic Skin Tone 17ml</t>
  </si>
  <si>
    <t>8435568302860</t>
  </si>
  <si>
    <t>AK11053</t>
  </si>
  <si>
    <t>Radiant Flesh 17ml</t>
  </si>
  <si>
    <t>8435568302877</t>
  </si>
  <si>
    <t>AK11054</t>
  </si>
  <si>
    <t>Medium Flesh Tone 17ml</t>
  </si>
  <si>
    <t>8435568302884</t>
  </si>
  <si>
    <t>AK11055</t>
  </si>
  <si>
    <t>Sunny Skin Tone 17ml</t>
  </si>
  <si>
    <t>8435568302891</t>
  </si>
  <si>
    <t>AK11056</t>
  </si>
  <si>
    <t>Dark Flesh 17ml</t>
  </si>
  <si>
    <t>8435568302907</t>
  </si>
  <si>
    <t>AK11057</t>
  </si>
  <si>
    <t>Vampiric Flesh 17ml</t>
  </si>
  <si>
    <t>8435568302914</t>
  </si>
  <si>
    <t>AK11058</t>
  </si>
  <si>
    <t>Decomposed Flesh 17ml</t>
  </si>
  <si>
    <t>8435568302921</t>
  </si>
  <si>
    <t>AK11059</t>
  </si>
  <si>
    <t>Pastel Pink 17ml</t>
  </si>
  <si>
    <t>8435568302938</t>
  </si>
  <si>
    <t>AK11060</t>
  </si>
  <si>
    <t>Sickly Pink 17ml</t>
  </si>
  <si>
    <t>8435568302945</t>
  </si>
  <si>
    <t>AK11061</t>
  </si>
  <si>
    <t>Salmon 17ml</t>
  </si>
  <si>
    <t>8435568302952</t>
  </si>
  <si>
    <t>AK11062</t>
  </si>
  <si>
    <t>Old Rose 17ml</t>
  </si>
  <si>
    <t>8435568302969</t>
  </si>
  <si>
    <t>AK11063</t>
  </si>
  <si>
    <t>Brown Rose 17ml</t>
  </si>
  <si>
    <t>8435568302976</t>
  </si>
  <si>
    <t>AK11064</t>
  </si>
  <si>
    <t>Beige Red 17ml</t>
  </si>
  <si>
    <t>8435568302983</t>
  </si>
  <si>
    <t>AK11065</t>
  </si>
  <si>
    <t>Intense Pink 17ml</t>
  </si>
  <si>
    <t>8435568302990</t>
  </si>
  <si>
    <t>AK11066</t>
  </si>
  <si>
    <t>Laser Magenta17ml</t>
  </si>
  <si>
    <t>8435568303003</t>
  </si>
  <si>
    <t>AK11067</t>
  </si>
  <si>
    <t>Magenta 17ml</t>
  </si>
  <si>
    <t>8435568303010</t>
  </si>
  <si>
    <t>AK11068</t>
  </si>
  <si>
    <t>Fluorescent Magenta 17ml</t>
  </si>
  <si>
    <t>8435568303027</t>
  </si>
  <si>
    <t>AK11069</t>
  </si>
  <si>
    <t>Pastel Violet 17ml</t>
  </si>
  <si>
    <t>8435568303034</t>
  </si>
  <si>
    <t>AK11070</t>
  </si>
  <si>
    <t>Blue Violet 17ml</t>
  </si>
  <si>
    <t>8435568303041</t>
  </si>
  <si>
    <t>AK11071</t>
  </si>
  <si>
    <t>Lilac 17ml</t>
  </si>
  <si>
    <t>8435568303058</t>
  </si>
  <si>
    <t>AK11072</t>
  </si>
  <si>
    <t>Deep Violet 17ml</t>
  </si>
  <si>
    <t>8435568303065</t>
  </si>
  <si>
    <t>AK11073</t>
  </si>
  <si>
    <t>Purple 17ml</t>
  </si>
  <si>
    <t>8435568303072</t>
  </si>
  <si>
    <t>AK11074</t>
  </si>
  <si>
    <t>Deep Purple 17ml</t>
  </si>
  <si>
    <t>8435568303089</t>
  </si>
  <si>
    <t>AK11075</t>
  </si>
  <si>
    <t>Violet Red 17ml</t>
  </si>
  <si>
    <t>8435568303096</t>
  </si>
  <si>
    <t>AK11076</t>
  </si>
  <si>
    <t>Pastel Peach 17ml</t>
  </si>
  <si>
    <t>8435568303102</t>
  </si>
  <si>
    <t>AK11077</t>
  </si>
  <si>
    <t>Light Orange 17ml</t>
  </si>
  <si>
    <t>8435568303119</t>
  </si>
  <si>
    <t>AK11078</t>
  </si>
  <si>
    <t>Medium Orange 17ml</t>
  </si>
  <si>
    <t>8435568303126</t>
  </si>
  <si>
    <t>AK11079</t>
  </si>
  <si>
    <t>Burn Orange 17ml</t>
  </si>
  <si>
    <t>8435568303133</t>
  </si>
  <si>
    <t>AK11080</t>
  </si>
  <si>
    <t>Deep Orange 17ml</t>
  </si>
  <si>
    <t>8435568303140</t>
  </si>
  <si>
    <t>AK11081</t>
  </si>
  <si>
    <t>Fluorescent Orange 17ml</t>
  </si>
  <si>
    <t>8435568303157</t>
  </si>
  <si>
    <t>AK11082</t>
  </si>
  <si>
    <t>Luminous Orange 17ml</t>
  </si>
  <si>
    <t>8435568303164</t>
  </si>
  <si>
    <t>AK11083</t>
  </si>
  <si>
    <t>8435568303171</t>
  </si>
  <si>
    <t>AK11084</t>
  </si>
  <si>
    <t>Ruby 17ml</t>
  </si>
  <si>
    <t>8435568303188</t>
  </si>
  <si>
    <t>AK11085</t>
  </si>
  <si>
    <t>Cadmium Red 17ml</t>
  </si>
  <si>
    <t>8435568303195</t>
  </si>
  <si>
    <t>AK11086</t>
  </si>
  <si>
    <t>Amaranth Red 17ml</t>
  </si>
  <si>
    <t>8435568303201</t>
  </si>
  <si>
    <t>AK11087</t>
  </si>
  <si>
    <t>Scarlet Red 17ml</t>
  </si>
  <si>
    <t>8435568303218</t>
  </si>
  <si>
    <t>AK11088</t>
  </si>
  <si>
    <t>Deep Red 17ml</t>
  </si>
  <si>
    <t>8435568303225</t>
  </si>
  <si>
    <t>AK11089</t>
  </si>
  <si>
    <t>Blood Red 17ml</t>
  </si>
  <si>
    <t>8435568303232</t>
  </si>
  <si>
    <t>AK11090</t>
  </si>
  <si>
    <t>Vermillion 17ml</t>
  </si>
  <si>
    <t>8435568303249</t>
  </si>
  <si>
    <t>AK11091</t>
  </si>
  <si>
    <t>Carmine 17ml</t>
  </si>
  <si>
    <t>8435568303256</t>
  </si>
  <si>
    <t>AK11092</t>
  </si>
  <si>
    <t>Matt Red 17ml</t>
  </si>
  <si>
    <t>8435568303263</t>
  </si>
  <si>
    <t>AK11093</t>
  </si>
  <si>
    <t>Brick Red 17ml</t>
  </si>
  <si>
    <t>8435568303270</t>
  </si>
  <si>
    <t>AK11094</t>
  </si>
  <si>
    <t>Bordeaux Red 17ml</t>
  </si>
  <si>
    <t>8435568303287</t>
  </si>
  <si>
    <t>AK11095</t>
  </si>
  <si>
    <t>Dirty Red 17ml</t>
  </si>
  <si>
    <t>8435568303294</t>
  </si>
  <si>
    <t>AK11096</t>
  </si>
  <si>
    <t>Wine Red 17ml</t>
  </si>
  <si>
    <t>8435568303300</t>
  </si>
  <si>
    <t>AK11097</t>
  </si>
  <si>
    <t>Burnt Red 17ml</t>
  </si>
  <si>
    <t>8435568303317</t>
  </si>
  <si>
    <t>AK11098</t>
  </si>
  <si>
    <t>Black Red 17ml</t>
  </si>
  <si>
    <t>8435568303324</t>
  </si>
  <si>
    <t>AK11099</t>
  </si>
  <si>
    <t>Ocher Orange 17ml</t>
  </si>
  <si>
    <t>8435568303331</t>
  </si>
  <si>
    <t>AK11100</t>
  </si>
  <si>
    <t>Light Brown 17ml</t>
  </si>
  <si>
    <t>8435568303348</t>
  </si>
  <si>
    <t>AK11101</t>
  </si>
  <si>
    <t>Orange Brown 17ml</t>
  </si>
  <si>
    <t>8435568303355</t>
  </si>
  <si>
    <t>AK11102</t>
  </si>
  <si>
    <t>Deep Brown 17ml</t>
  </si>
  <si>
    <t>8435568303362</t>
  </si>
  <si>
    <t>AK11103</t>
  </si>
  <si>
    <t>Medium Rust 17ml</t>
  </si>
  <si>
    <t>8435568303379</t>
  </si>
  <si>
    <t>AK11104</t>
  </si>
  <si>
    <t>Saddle Brown 17ml</t>
  </si>
  <si>
    <t>8435568303386</t>
  </si>
  <si>
    <t>AK11105</t>
  </si>
  <si>
    <t>Light Rust 17ml</t>
  </si>
  <si>
    <t>8435568303393</t>
  </si>
  <si>
    <t>AK11106</t>
  </si>
  <si>
    <t>Mahogany Brown 17ml</t>
  </si>
  <si>
    <t>8435568303409</t>
  </si>
  <si>
    <t>AK11107</t>
  </si>
  <si>
    <t>Dark Rust 17ml</t>
  </si>
  <si>
    <t>8435568303416</t>
  </si>
  <si>
    <t>AK11108</t>
  </si>
  <si>
    <t>Hull Red 17ml</t>
  </si>
  <si>
    <t>8435568303423</t>
  </si>
  <si>
    <t>AK11109</t>
  </si>
  <si>
    <t>Dark Brown 17ml</t>
  </si>
  <si>
    <t>8435568303430</t>
  </si>
  <si>
    <t>AK11110</t>
  </si>
  <si>
    <t>Leather Brown 17ml</t>
  </si>
  <si>
    <t>8435568303447</t>
  </si>
  <si>
    <t>AK11111</t>
  </si>
  <si>
    <t>Burnt Umber 17ml</t>
  </si>
  <si>
    <t>8435568303454</t>
  </si>
  <si>
    <t>AK11112</t>
  </si>
  <si>
    <t>Grim Brown 17ml</t>
  </si>
  <si>
    <t>8435568303461</t>
  </si>
  <si>
    <t>AK11113</t>
  </si>
  <si>
    <t>Chocolate (Chipping) 17ml</t>
  </si>
  <si>
    <t>8435568303478</t>
  </si>
  <si>
    <t>AK11114</t>
  </si>
  <si>
    <t>Deck Tan 17ml</t>
  </si>
  <si>
    <t>8435568303485</t>
  </si>
  <si>
    <t>AK11115</t>
  </si>
  <si>
    <t>Light Earth 17ml</t>
  </si>
  <si>
    <t>8435568303492</t>
  </si>
  <si>
    <t>AK11116</t>
  </si>
  <si>
    <t>Tan Yellow 17ml</t>
  </si>
  <si>
    <t>8435568303508</t>
  </si>
  <si>
    <t>AK11117</t>
  </si>
  <si>
    <t>Golden Brown 17ml</t>
  </si>
  <si>
    <t>8435568303515</t>
  </si>
  <si>
    <t>AK11118</t>
  </si>
  <si>
    <t>8435568303522</t>
  </si>
  <si>
    <t>AK11119</t>
  </si>
  <si>
    <t>Cork 17ml</t>
  </si>
  <si>
    <t>8435568303539</t>
  </si>
  <si>
    <t>AK11120</t>
  </si>
  <si>
    <t>Mud Brown 17ml</t>
  </si>
  <si>
    <t>8435568303546</t>
  </si>
  <si>
    <t>AK11121</t>
  </si>
  <si>
    <t>Tan Earth 17ml</t>
  </si>
  <si>
    <t>8435568303553</t>
  </si>
  <si>
    <t>AK11122</t>
  </si>
  <si>
    <t>8435568303560</t>
  </si>
  <si>
    <t>AK11123</t>
  </si>
  <si>
    <t>Japanese Brown 17ml</t>
  </si>
  <si>
    <t>8435568303577</t>
  </si>
  <si>
    <t>AK11124</t>
  </si>
  <si>
    <t>Middle Stone 17ml</t>
  </si>
  <si>
    <t>8435568303584</t>
  </si>
  <si>
    <t>AK11125</t>
  </si>
  <si>
    <t>Grey-Brown 17ml</t>
  </si>
  <si>
    <t>8435568303591</t>
  </si>
  <si>
    <t>AK11126</t>
  </si>
  <si>
    <t>Green-Brown 17ml</t>
  </si>
  <si>
    <t>8435568303607</t>
  </si>
  <si>
    <t>AK11127</t>
  </si>
  <si>
    <t>British Khaki 17ml</t>
  </si>
  <si>
    <t>8435568303614</t>
  </si>
  <si>
    <t>AK11128</t>
  </si>
  <si>
    <t>Luminous Green 17ml</t>
  </si>
  <si>
    <t>8435568303621</t>
  </si>
  <si>
    <t>AK11129</t>
  </si>
  <si>
    <t>Fluorescent Green 17ml</t>
  </si>
  <si>
    <t>8435568303638</t>
  </si>
  <si>
    <t>AK11130</t>
  </si>
  <si>
    <t>Pistachio 17ml</t>
  </si>
  <si>
    <t>8435568303645</t>
  </si>
  <si>
    <t>AK11131</t>
  </si>
  <si>
    <t>Pastel Green 17ml</t>
  </si>
  <si>
    <t>8435568303652</t>
  </si>
  <si>
    <t>AK11132</t>
  </si>
  <si>
    <t>Green-Grey 17ml</t>
  </si>
  <si>
    <t>8435568303669</t>
  </si>
  <si>
    <t>AK11133</t>
  </si>
  <si>
    <t>Dark Green-Grey 17ml</t>
  </si>
  <si>
    <t>8435568303676</t>
  </si>
  <si>
    <t>AK11134</t>
  </si>
  <si>
    <t>Green Sky 17ml</t>
  </si>
  <si>
    <t>8435568303683</t>
  </si>
  <si>
    <t>AK11135</t>
  </si>
  <si>
    <t>Faded Green 17ml</t>
  </si>
  <si>
    <t>8435568303690</t>
  </si>
  <si>
    <t>AK11136</t>
  </si>
  <si>
    <t>Frog Green 17ml</t>
  </si>
  <si>
    <t>8435568303706</t>
  </si>
  <si>
    <t>AK11137</t>
  </si>
  <si>
    <t>Lime Green 17ml</t>
  </si>
  <si>
    <t>8435568303713</t>
  </si>
  <si>
    <t>AK11138</t>
  </si>
  <si>
    <t>Interior Yellow Green 17ml</t>
  </si>
  <si>
    <t>8435568303720</t>
  </si>
  <si>
    <t>AK11139</t>
  </si>
  <si>
    <t>Golden Olive 17ml</t>
  </si>
  <si>
    <t>8435568303737</t>
  </si>
  <si>
    <t>AK11140</t>
  </si>
  <si>
    <t>Grass Green 17ml</t>
  </si>
  <si>
    <t>8435568303744</t>
  </si>
  <si>
    <t>AK11141</t>
  </si>
  <si>
    <t>Light Green 17ml</t>
  </si>
  <si>
    <t>8435568303751</t>
  </si>
  <si>
    <t>AK11142</t>
  </si>
  <si>
    <t>Deep Green 17ml</t>
  </si>
  <si>
    <t>8435568303768</t>
  </si>
  <si>
    <t>AK11143</t>
  </si>
  <si>
    <t>Mint Green 17ml</t>
  </si>
  <si>
    <t>8435568303775</t>
  </si>
  <si>
    <t>AK11144</t>
  </si>
  <si>
    <t>Emerald 17ml</t>
  </si>
  <si>
    <t>8435568303782</t>
  </si>
  <si>
    <t>AK11145</t>
  </si>
  <si>
    <t>Lizard Green 17ml</t>
  </si>
  <si>
    <t>8435568303799</t>
  </si>
  <si>
    <t>AK11146</t>
  </si>
  <si>
    <t>Dark Green 17ml</t>
  </si>
  <si>
    <t>8435568303805</t>
  </si>
  <si>
    <t>AK11147</t>
  </si>
  <si>
    <t>Olive Green 17ml</t>
  </si>
  <si>
    <t>8435568303812</t>
  </si>
  <si>
    <t>AK11148</t>
  </si>
  <si>
    <t>Medium Olive Green 17ml</t>
  </si>
  <si>
    <t>8435568303829</t>
  </si>
  <si>
    <t>AK11149</t>
  </si>
  <si>
    <t>Intermediate Green 17ml</t>
  </si>
  <si>
    <t>8435568303836</t>
  </si>
  <si>
    <t>AK11150</t>
  </si>
  <si>
    <t>Gunship Green 17ml</t>
  </si>
  <si>
    <t>8435568303843</t>
  </si>
  <si>
    <t>AK11151</t>
  </si>
  <si>
    <t>Brownish Green 17ml</t>
  </si>
  <si>
    <t>8435568303850</t>
  </si>
  <si>
    <t>AK11152</t>
  </si>
  <si>
    <t>Alga Green 17ml</t>
  </si>
  <si>
    <t>8435568303867</t>
  </si>
  <si>
    <t>AK11153</t>
  </si>
  <si>
    <t>Extra Dark Green 17ml</t>
  </si>
  <si>
    <t>8435568303874</t>
  </si>
  <si>
    <t>AK11154</t>
  </si>
  <si>
    <t>German Field Grey 17ml</t>
  </si>
  <si>
    <t>8435568303881</t>
  </si>
  <si>
    <t>AK11155</t>
  </si>
  <si>
    <t>Command Green 17ml</t>
  </si>
  <si>
    <t>8435568303898</t>
  </si>
  <si>
    <t>AK11156</t>
  </si>
  <si>
    <t>Camouflage Green 17ml</t>
  </si>
  <si>
    <t>8435568303904</t>
  </si>
  <si>
    <t>AK11157</t>
  </si>
  <si>
    <t>US Dark Green 17ml</t>
  </si>
  <si>
    <t>8435568303911</t>
  </si>
  <si>
    <t>AK11158</t>
  </si>
  <si>
    <t>Reflective Green 17ml</t>
  </si>
  <si>
    <t>8435568303928</t>
  </si>
  <si>
    <t>AK11159</t>
  </si>
  <si>
    <t>Russian Green 17ml</t>
  </si>
  <si>
    <t>8435568303935</t>
  </si>
  <si>
    <t>AK11160</t>
  </si>
  <si>
    <t>Black Green 17ml</t>
  </si>
  <si>
    <t>8435568303942</t>
  </si>
  <si>
    <t>AK11161</t>
  </si>
  <si>
    <t>Pale Blue 17ml</t>
  </si>
  <si>
    <t>8435568303959</t>
  </si>
  <si>
    <t>AK11162</t>
  </si>
  <si>
    <t>Spectrum Blue  17ml</t>
  </si>
  <si>
    <t>8435568303966</t>
  </si>
  <si>
    <t>AK11163</t>
  </si>
  <si>
    <t>Intermediate Blue 17ml</t>
  </si>
  <si>
    <t>8435568303973</t>
  </si>
  <si>
    <t>AK11164</t>
  </si>
  <si>
    <t>Dark Blue-Grey 17ml</t>
  </si>
  <si>
    <t>8435568303980</t>
  </si>
  <si>
    <t>AK11165</t>
  </si>
  <si>
    <t>Grey-Blue 17ml</t>
  </si>
  <si>
    <t>8435568303997</t>
  </si>
  <si>
    <t>AK11166</t>
  </si>
  <si>
    <t>French Blue 17ml</t>
  </si>
  <si>
    <t>8435568304000</t>
  </si>
  <si>
    <t>AK11167</t>
  </si>
  <si>
    <t>Anthracite Grey 17ml</t>
  </si>
  <si>
    <t>8435568304017</t>
  </si>
  <si>
    <t>AK11168</t>
  </si>
  <si>
    <t>Pastel Blue 17ml</t>
  </si>
  <si>
    <t>8435568304024</t>
  </si>
  <si>
    <t>AK11169</t>
  </si>
  <si>
    <t>Blue-Green 17ml</t>
  </si>
  <si>
    <t>8435568304031</t>
  </si>
  <si>
    <t>AK11170</t>
  </si>
  <si>
    <t>Aquatic Turquoise 17ml</t>
  </si>
  <si>
    <t>8435568304048</t>
  </si>
  <si>
    <t>AK11171</t>
  </si>
  <si>
    <t>Turquoise 17ml</t>
  </si>
  <si>
    <t>8435568304055</t>
  </si>
  <si>
    <t>AK11172</t>
  </si>
  <si>
    <t>Archaic Turquoise 17ml</t>
  </si>
  <si>
    <t>8435568304062</t>
  </si>
  <si>
    <t>AK11173</t>
  </si>
  <si>
    <t>Ocean Blue 17ml</t>
  </si>
  <si>
    <t>8435568304079</t>
  </si>
  <si>
    <t>AK11174</t>
  </si>
  <si>
    <t>Snow Blue 17ml</t>
  </si>
  <si>
    <t>8435568304086</t>
  </si>
  <si>
    <t>AK11175</t>
  </si>
  <si>
    <t>Sky Blue 17ml</t>
  </si>
  <si>
    <t>8435568304093</t>
  </si>
  <si>
    <t>AK11176</t>
  </si>
  <si>
    <t>Deep Sky Blue 17ml</t>
  </si>
  <si>
    <t>8435568304109</t>
  </si>
  <si>
    <t>AK11177</t>
  </si>
  <si>
    <t>Ducat Blue 17ml</t>
  </si>
  <si>
    <t>8435568304116</t>
  </si>
  <si>
    <t>AK11178</t>
  </si>
  <si>
    <t>Fluorescent Blue 17ml</t>
  </si>
  <si>
    <t>8435568304123</t>
  </si>
  <si>
    <t>AK11179</t>
  </si>
  <si>
    <t>Ultramarine 17ml</t>
  </si>
  <si>
    <t>8435568304130</t>
  </si>
  <si>
    <t>AK11180</t>
  </si>
  <si>
    <t>Imperial Blue 17ml</t>
  </si>
  <si>
    <t>8435568304147</t>
  </si>
  <si>
    <t>AK11181</t>
  </si>
  <si>
    <t>Dark Blue 17ml</t>
  </si>
  <si>
    <t>8435568304154</t>
  </si>
  <si>
    <t>AK11182</t>
  </si>
  <si>
    <t>Deep Blue 17ml</t>
  </si>
  <si>
    <t>8435568304161</t>
  </si>
  <si>
    <t>AK11183</t>
  </si>
  <si>
    <t>Amethyst Blue 17ml</t>
  </si>
  <si>
    <t>8435568304178</t>
  </si>
  <si>
    <t>AK11184</t>
  </si>
  <si>
    <t>Medium Blue 17ml</t>
  </si>
  <si>
    <t>8435568304185</t>
  </si>
  <si>
    <t>AK11185</t>
  </si>
  <si>
    <t>Star Blue 17ml</t>
  </si>
  <si>
    <t>8435568304192</t>
  </si>
  <si>
    <t>AK11186</t>
  </si>
  <si>
    <t>Light Prussian Blue 17ml</t>
  </si>
  <si>
    <t>8435568304208</t>
  </si>
  <si>
    <t>AK11187</t>
  </si>
  <si>
    <t>Strong Dark Blue 17ml</t>
  </si>
  <si>
    <t>8435568304215</t>
  </si>
  <si>
    <t>AK11188</t>
  </si>
  <si>
    <t>Oxford 17ml</t>
  </si>
  <si>
    <t>8435568304222</t>
  </si>
  <si>
    <t>AK11189</t>
  </si>
  <si>
    <t>Dark Prussian Blue 17ml</t>
  </si>
  <si>
    <t>8435568304239</t>
  </si>
  <si>
    <t>AK11190</t>
  </si>
  <si>
    <t>Dark Sea Blue 17ml</t>
  </si>
  <si>
    <t>8435568304246</t>
  </si>
  <si>
    <t>AK11191</t>
  </si>
  <si>
    <t>Gold 17ml</t>
  </si>
  <si>
    <t>8435568304253</t>
  </si>
  <si>
    <t>AK11192</t>
  </si>
  <si>
    <t>Old Gold 17ml</t>
  </si>
  <si>
    <t>8435568304260</t>
  </si>
  <si>
    <t>AK11193</t>
  </si>
  <si>
    <t>Rusty Gold 17ml</t>
  </si>
  <si>
    <t>8435568304277</t>
  </si>
  <si>
    <t>AK11194</t>
  </si>
  <si>
    <t>Brass 17ml</t>
  </si>
  <si>
    <t>8435568304284</t>
  </si>
  <si>
    <t>AK11195</t>
  </si>
  <si>
    <t>Rusty Brass 17ml</t>
  </si>
  <si>
    <t>8435568304291</t>
  </si>
  <si>
    <t>AK11196</t>
  </si>
  <si>
    <t>Bronze 17ml</t>
  </si>
  <si>
    <t>8435568304307</t>
  </si>
  <si>
    <t>AK11197</t>
  </si>
  <si>
    <t>Copper 17ml</t>
  </si>
  <si>
    <t>8435568304314</t>
  </si>
  <si>
    <t>AK11198</t>
  </si>
  <si>
    <t>Burnt Tin 17ml</t>
  </si>
  <si>
    <t>8435568304321</t>
  </si>
  <si>
    <t>AK11199</t>
  </si>
  <si>
    <t>Metallic Blue 17ml</t>
  </si>
  <si>
    <t>8435568304338</t>
  </si>
  <si>
    <t>AK11200</t>
  </si>
  <si>
    <t>Astral Beryllium 17ml</t>
  </si>
  <si>
    <t>8435568304345</t>
  </si>
  <si>
    <t>AK11201</t>
  </si>
  <si>
    <t>Cobalt Blue 17ml</t>
  </si>
  <si>
    <t>8435568304352</t>
  </si>
  <si>
    <t>AK11202</t>
  </si>
  <si>
    <t>Anodized Violet 17ml</t>
  </si>
  <si>
    <t>8435568304369</t>
  </si>
  <si>
    <t>AK11203</t>
  </si>
  <si>
    <t>Foundry Red 17ml</t>
  </si>
  <si>
    <t>8435568304376</t>
  </si>
  <si>
    <t>AK11204</t>
  </si>
  <si>
    <t>Emerald Metallic Green 17ml</t>
  </si>
  <si>
    <t>8435568304383</t>
  </si>
  <si>
    <t>AK11205</t>
  </si>
  <si>
    <t>Metallic Green 17ml</t>
  </si>
  <si>
    <t>8435568304390</t>
  </si>
  <si>
    <t>AK11206</t>
  </si>
  <si>
    <t>Pearl 17ml</t>
  </si>
  <si>
    <t>8435568304406</t>
  </si>
  <si>
    <t>AK11207</t>
  </si>
  <si>
    <t>Aluminium 17ml</t>
  </si>
  <si>
    <t>8435568304413</t>
  </si>
  <si>
    <t>AK11208</t>
  </si>
  <si>
    <t>Dark Aluminium 17ml</t>
  </si>
  <si>
    <t>8435568304420</t>
  </si>
  <si>
    <t>AK11209</t>
  </si>
  <si>
    <t>Silver 17ml</t>
  </si>
  <si>
    <t>8435568304437</t>
  </si>
  <si>
    <t>AK11210</t>
  </si>
  <si>
    <t>Natural Steel 17ml</t>
  </si>
  <si>
    <t>8435568304444</t>
  </si>
  <si>
    <t>AK11211</t>
  </si>
  <si>
    <t>Oily Steel 17ml</t>
  </si>
  <si>
    <t>8435568304451</t>
  </si>
  <si>
    <t>AK11212</t>
  </si>
  <si>
    <t>Gun Metal 17ml</t>
  </si>
  <si>
    <t>8435568304468</t>
  </si>
  <si>
    <t>AK11213</t>
  </si>
  <si>
    <t>Clear Red 17ml</t>
  </si>
  <si>
    <t>8435568304475</t>
  </si>
  <si>
    <t>AK11214</t>
  </si>
  <si>
    <t>Clear Blue 17ml</t>
  </si>
  <si>
    <t>8435568304482</t>
  </si>
  <si>
    <t>AK11215</t>
  </si>
  <si>
    <t>Clear Smoke 17ml</t>
  </si>
  <si>
    <t>8435568304499</t>
  </si>
  <si>
    <t>AK11216</t>
  </si>
  <si>
    <t>Clear Green 17ml</t>
  </si>
  <si>
    <t>8435568304505</t>
  </si>
  <si>
    <t>AK11217</t>
  </si>
  <si>
    <t>Clear Yellow 17ml</t>
  </si>
  <si>
    <t>8435568304512</t>
  </si>
  <si>
    <t>AK11218</t>
  </si>
  <si>
    <t>Clear Orange 17ml</t>
  </si>
  <si>
    <t>8435568304642</t>
  </si>
  <si>
    <t>AK11231</t>
  </si>
  <si>
    <t>Retarder 17ml</t>
  </si>
  <si>
    <t>8435568304659</t>
  </si>
  <si>
    <t>AK11232</t>
  </si>
  <si>
    <t>Metal Medium 17ml</t>
  </si>
  <si>
    <t>8435568304666</t>
  </si>
  <si>
    <t>AK11233</t>
  </si>
  <si>
    <t>Glaze Medium 17ml</t>
  </si>
  <si>
    <t>8435568304673</t>
  </si>
  <si>
    <t>AK11234</t>
  </si>
  <si>
    <t>Matte Medium 17ml</t>
  </si>
  <si>
    <t>8435568304680</t>
  </si>
  <si>
    <t>AK11235</t>
  </si>
  <si>
    <t>Gloss Medium 17ml</t>
  </si>
  <si>
    <t>8435568342262</t>
  </si>
  <si>
    <t>AK130010</t>
  </si>
  <si>
    <t>Blood effect 17 ml - EFFECTS</t>
  </si>
  <si>
    <t>8435568342279</t>
  </si>
  <si>
    <t>AK11261</t>
  </si>
  <si>
    <t>Visceral effect 17 ml - EFFECTS</t>
  </si>
  <si>
    <t>8435568342408</t>
  </si>
  <si>
    <t>AK11262</t>
  </si>
  <si>
    <t>Chipping Effect 17 ml - EFFECTS</t>
  </si>
  <si>
    <t>8435568337978</t>
  </si>
  <si>
    <t>Frost Effect 17 ml - EFFECTS</t>
  </si>
  <si>
    <t>AK11264</t>
  </si>
  <si>
    <t>SET 2 Ref.</t>
  </si>
  <si>
    <t>RUST EFFECT SET</t>
  </si>
  <si>
    <t>8435568337992</t>
  </si>
  <si>
    <t>AK11265</t>
  </si>
  <si>
    <t>VERDIGRIS EFFECT SET</t>
  </si>
  <si>
    <t>AK11266</t>
  </si>
  <si>
    <t xml:space="preserve">IRON EFFECT 35ml </t>
  </si>
  <si>
    <t>8435568338012</t>
  </si>
  <si>
    <t>AK11267</t>
  </si>
  <si>
    <t xml:space="preserve">BRONZE EFFECT  35ml </t>
  </si>
  <si>
    <t>AK11268</t>
  </si>
  <si>
    <t>18 ml</t>
  </si>
  <si>
    <t xml:space="preserve">OXIDIZING AGENT 18ml </t>
  </si>
  <si>
    <t>8435568342286</t>
  </si>
  <si>
    <t>AK11270</t>
  </si>
  <si>
    <t>Black Puprple COLOR PUNCH 17 ml</t>
  </si>
  <si>
    <t>8435568342293</t>
  </si>
  <si>
    <t>AK11271</t>
  </si>
  <si>
    <t>King Purple COLOR PUNCH 17 ml</t>
  </si>
  <si>
    <t>8435568342309</t>
  </si>
  <si>
    <t>AK11272</t>
  </si>
  <si>
    <t>Dragon Blood COLOR PUNCH 17 ml</t>
  </si>
  <si>
    <t>8435568342316</t>
  </si>
  <si>
    <t>AK11273</t>
  </si>
  <si>
    <t>Cold Green COLOR PUNCH 17 ml</t>
  </si>
  <si>
    <t>8435568342323</t>
  </si>
  <si>
    <t>AK11274</t>
  </si>
  <si>
    <t>Greenskin Punch COLOR PUNCH 17 ml</t>
  </si>
  <si>
    <t>8435568342330</t>
  </si>
  <si>
    <t>AK11275</t>
  </si>
  <si>
    <t>Slime green COLOR PUNCH 17 ml</t>
  </si>
  <si>
    <t>8435568342347</t>
  </si>
  <si>
    <t>AK11276</t>
  </si>
  <si>
    <t>Afro Shadow COLOR PUNCH 17 ml</t>
  </si>
  <si>
    <t>8435568342354</t>
  </si>
  <si>
    <t>AK11277</t>
  </si>
  <si>
    <t>Redskin Shadow COLOR PUNCH 17 ml</t>
  </si>
  <si>
    <t>8435568342361</t>
  </si>
  <si>
    <t>AK11278</t>
  </si>
  <si>
    <t>Beast Brown COLOR PUNCH 17 ml</t>
  </si>
  <si>
    <t>8435568342378</t>
  </si>
  <si>
    <t>AK11279</t>
  </si>
  <si>
    <t>Sun Red COLOR PUNCH 17 ml</t>
  </si>
  <si>
    <t>8435568309647</t>
  </si>
  <si>
    <t>AK11301</t>
  </si>
  <si>
    <t>WWI British Khaki Brown Base</t>
  </si>
  <si>
    <t>8435568309654</t>
  </si>
  <si>
    <t>AK11302</t>
  </si>
  <si>
    <t>WWI French Milky Coffee</t>
  </si>
  <si>
    <t>8435568309661</t>
  </si>
  <si>
    <t>AK11303</t>
  </si>
  <si>
    <t>WWI French Artillery Grey</t>
  </si>
  <si>
    <t>8435568309678</t>
  </si>
  <si>
    <t>AK11304</t>
  </si>
  <si>
    <t>WWI French Brown</t>
  </si>
  <si>
    <t>8435568309685</t>
  </si>
  <si>
    <t>AK11305</t>
  </si>
  <si>
    <t>WWI French Green 1</t>
  </si>
  <si>
    <t>8435568309692</t>
  </si>
  <si>
    <t>AK11306</t>
  </si>
  <si>
    <t>WWI French Green 2</t>
  </si>
  <si>
    <t>8435568309708</t>
  </si>
  <si>
    <t>AK11307</t>
  </si>
  <si>
    <t xml:space="preserve">RAL 7009 Hellgrau </t>
  </si>
  <si>
    <t>8435568309715</t>
  </si>
  <si>
    <t>AK11308</t>
  </si>
  <si>
    <t xml:space="preserve">RAL 6007 Grün </t>
  </si>
  <si>
    <t>8435568309722</t>
  </si>
  <si>
    <t>AK11309</t>
  </si>
  <si>
    <t>RAL 6003 Olivgrün opt.1</t>
  </si>
  <si>
    <t>8435568309739</t>
  </si>
  <si>
    <t>AK11310</t>
  </si>
  <si>
    <t>RAL 6003 Olivgrün opt.2</t>
  </si>
  <si>
    <t>8435568309746</t>
  </si>
  <si>
    <t>AK11311</t>
  </si>
  <si>
    <t>RAL 6011 Resedagrün</t>
  </si>
  <si>
    <t>8435568309753</t>
  </si>
  <si>
    <t>AK11312</t>
  </si>
  <si>
    <t>RAL 6011B Resedagrün</t>
  </si>
  <si>
    <t>8435568309760</t>
  </si>
  <si>
    <t>AK11313</t>
  </si>
  <si>
    <t>RAL 7008 Graugrün</t>
  </si>
  <si>
    <t>8435568309777</t>
  </si>
  <si>
    <t>AK11314</t>
  </si>
  <si>
    <t>RAL 7008 Graugrün Opt 2</t>
  </si>
  <si>
    <t>8435568309784</t>
  </si>
  <si>
    <t>AK11315</t>
  </si>
  <si>
    <t>RAL 7017 Dunkelbraun</t>
  </si>
  <si>
    <t>8435568309791</t>
  </si>
  <si>
    <t>AK11316</t>
  </si>
  <si>
    <t>RAL 7021 Dunkelgrau</t>
  </si>
  <si>
    <t>8435568309807</t>
  </si>
  <si>
    <t>AK11317</t>
  </si>
  <si>
    <t>RAL 7027 Grau</t>
  </si>
  <si>
    <t>8435568309814</t>
  </si>
  <si>
    <t>AK11318</t>
  </si>
  <si>
    <t>RAL 7028 Dunkelgelb (Initial)</t>
  </si>
  <si>
    <t>8435568309821</t>
  </si>
  <si>
    <t>AK11319</t>
  </si>
  <si>
    <t>RAL 7028 Dunkelgelb Ausgabe 1944</t>
  </si>
  <si>
    <t>8435568309838</t>
  </si>
  <si>
    <t>AK11320</t>
  </si>
  <si>
    <t>RAL 7028 Dunkelgelb (Variant)</t>
  </si>
  <si>
    <t>8435568309869</t>
  </si>
  <si>
    <t>AK11323</t>
  </si>
  <si>
    <t>RAL 6040 F9 Helloliv</t>
  </si>
  <si>
    <t>8435568309883</t>
  </si>
  <si>
    <t>AK11325</t>
  </si>
  <si>
    <t>RAL 1039 F9 Sandbeige</t>
  </si>
  <si>
    <t>8435568309890</t>
  </si>
  <si>
    <t>AK11326</t>
  </si>
  <si>
    <t>RAL 8031 F9 Sandbraun</t>
  </si>
  <si>
    <t>8435568309906</t>
  </si>
  <si>
    <t>AK11327</t>
  </si>
  <si>
    <t>RAL 8000 Gelbbraun</t>
  </si>
  <si>
    <t>8435568309913</t>
  </si>
  <si>
    <t>AK11328</t>
  </si>
  <si>
    <t>RAL 8012 Rotbraun</t>
  </si>
  <si>
    <t>8435568309920</t>
  </si>
  <si>
    <t>AK11329</t>
  </si>
  <si>
    <t>RAL 8013 Rotbraun</t>
  </si>
  <si>
    <t>8435568309937</t>
  </si>
  <si>
    <t>AK11330</t>
  </si>
  <si>
    <t>RAL 8017 Rotbraun</t>
  </si>
  <si>
    <t>8435568309944</t>
  </si>
  <si>
    <t>AK11331</t>
  </si>
  <si>
    <t>RAL 8020 Braun</t>
  </si>
  <si>
    <t>8435568309968</t>
  </si>
  <si>
    <t>AK11333</t>
  </si>
  <si>
    <t>Cremeweiss</t>
  </si>
  <si>
    <t>8435568309975</t>
  </si>
  <si>
    <t>AK11334</t>
  </si>
  <si>
    <t>Olive Drab Base</t>
  </si>
  <si>
    <t>8435568309982</t>
  </si>
  <si>
    <t>AK11335</t>
  </si>
  <si>
    <t>Nº1 Light Green (FS34151)</t>
  </si>
  <si>
    <t>8435568309999</t>
  </si>
  <si>
    <t>AK11336</t>
  </si>
  <si>
    <t>Nº5 Earth Brown (FS30099)</t>
  </si>
  <si>
    <t>8435568310001</t>
  </si>
  <si>
    <t>AK11337</t>
  </si>
  <si>
    <t>Nº6 Earth Yellow (FS30257)</t>
  </si>
  <si>
    <t>8435568310018</t>
  </si>
  <si>
    <t>AK11338</t>
  </si>
  <si>
    <t>Nº8 Earth Red (FS30117)</t>
  </si>
  <si>
    <t>8435568310025</t>
  </si>
  <si>
    <t>AK11339</t>
  </si>
  <si>
    <t>Nº9 Olive Drab (FS33070)</t>
  </si>
  <si>
    <t>8435568310032</t>
  </si>
  <si>
    <t>AK11340</t>
  </si>
  <si>
    <t>Nº13 Desert Sand (FS30279)</t>
  </si>
  <si>
    <t>8435568310049</t>
  </si>
  <si>
    <t>AK11341</t>
  </si>
  <si>
    <t>Ocean Gray (FS35164)</t>
  </si>
  <si>
    <t>8435568310056</t>
  </si>
  <si>
    <t>AK11342</t>
  </si>
  <si>
    <t>Dark Green (FS34102)</t>
  </si>
  <si>
    <t>8435568310063</t>
  </si>
  <si>
    <t>AK11343</t>
  </si>
  <si>
    <t>MERDC Sand (FS30277)</t>
  </si>
  <si>
    <t>8435568310070</t>
  </si>
  <si>
    <t>AK11344</t>
  </si>
  <si>
    <t>Field Drab (FS30118)</t>
  </si>
  <si>
    <t>8435568310087</t>
  </si>
  <si>
    <t>AK11345</t>
  </si>
  <si>
    <t>APC Interior Light Green (FS24533)</t>
  </si>
  <si>
    <t>8435568310094</t>
  </si>
  <si>
    <t>AK11346</t>
  </si>
  <si>
    <t>Forest Green (FS34079)</t>
  </si>
  <si>
    <t>8435568310100</t>
  </si>
  <si>
    <t>AK11347</t>
  </si>
  <si>
    <t>Australian Camouflage Brown</t>
  </si>
  <si>
    <t>8435568310117</t>
  </si>
  <si>
    <t>AK11348</t>
  </si>
  <si>
    <t>Australian Camouflage Green</t>
  </si>
  <si>
    <t>8435568310124</t>
  </si>
  <si>
    <t>AK11349</t>
  </si>
  <si>
    <t>CARC Tan 686A (FS33446)</t>
  </si>
  <si>
    <t>8435568310131</t>
  </si>
  <si>
    <t>AK11350</t>
  </si>
  <si>
    <t>Modern Spanish Green</t>
  </si>
  <si>
    <t>8435568310148</t>
  </si>
  <si>
    <t>AK11351</t>
  </si>
  <si>
    <t>Wood Base</t>
  </si>
  <si>
    <t>8435568310155</t>
  </si>
  <si>
    <t>AK11352</t>
  </si>
  <si>
    <t>IDF Modern Grey</t>
  </si>
  <si>
    <t>8435568310162</t>
  </si>
  <si>
    <t>AK11353</t>
  </si>
  <si>
    <t>IDF Sand Grey 1970s-1980s</t>
  </si>
  <si>
    <t>8435568310179</t>
  </si>
  <si>
    <t>AK11354</t>
  </si>
  <si>
    <t>IDF Early Sand Yellow</t>
  </si>
  <si>
    <t>8435568310186</t>
  </si>
  <si>
    <t>AK11355</t>
  </si>
  <si>
    <t>IDF Green</t>
  </si>
  <si>
    <t>8435568310193</t>
  </si>
  <si>
    <t>AK11356</t>
  </si>
  <si>
    <t>SLA Blue</t>
  </si>
  <si>
    <t>8435568310209</t>
  </si>
  <si>
    <t>AK11357</t>
  </si>
  <si>
    <t>LAF Green</t>
  </si>
  <si>
    <t>8435568310216</t>
  </si>
  <si>
    <t>AK11358</t>
  </si>
  <si>
    <t>NATO Green</t>
  </si>
  <si>
    <t>8435568310223</t>
  </si>
  <si>
    <t>AK11359</t>
  </si>
  <si>
    <t>NATO Brown</t>
  </si>
  <si>
    <t>8435568310230</t>
  </si>
  <si>
    <t>AK11360</t>
  </si>
  <si>
    <t>NATO Black</t>
  </si>
  <si>
    <t>8435568310247</t>
  </si>
  <si>
    <t>AK11361</t>
  </si>
  <si>
    <t>New Iraqi Army Sand</t>
  </si>
  <si>
    <t>8435568310254</t>
  </si>
  <si>
    <t>AK11362</t>
  </si>
  <si>
    <t>British Sand Yellow</t>
  </si>
  <si>
    <t>8435568310261</t>
  </si>
  <si>
    <t>AK11363</t>
  </si>
  <si>
    <t>French Army Desert Sand</t>
  </si>
  <si>
    <t>8435568310278</t>
  </si>
  <si>
    <t>AK11364</t>
  </si>
  <si>
    <t>French Army Green</t>
  </si>
  <si>
    <t>8435568310285</t>
  </si>
  <si>
    <t>AK11365</t>
  </si>
  <si>
    <t>French Army Grey-Blue</t>
  </si>
  <si>
    <t>8435568310292</t>
  </si>
  <si>
    <t>AK11366</t>
  </si>
  <si>
    <t>Mustard Yellow</t>
  </si>
  <si>
    <t>8435568310308</t>
  </si>
  <si>
    <t>AK11367</t>
  </si>
  <si>
    <t>Base Green (Protective)</t>
  </si>
  <si>
    <t>8435568310315</t>
  </si>
  <si>
    <t>AK11368</t>
  </si>
  <si>
    <t xml:space="preserve">Russian Green 4BO </t>
  </si>
  <si>
    <t>8435568310322</t>
  </si>
  <si>
    <t>AK11369</t>
  </si>
  <si>
    <t>Russian Dark Brown 6K</t>
  </si>
  <si>
    <t>8435568310339</t>
  </si>
  <si>
    <t>AK11370</t>
  </si>
  <si>
    <t>Russian Sand 7K</t>
  </si>
  <si>
    <t>8435568310346</t>
  </si>
  <si>
    <t>AK11371</t>
  </si>
  <si>
    <t>Protective Green 1920s-1930s</t>
  </si>
  <si>
    <t>8435568310353</t>
  </si>
  <si>
    <t>AK11372</t>
  </si>
  <si>
    <t>Washable White Paint</t>
  </si>
  <si>
    <t>8435568310360</t>
  </si>
  <si>
    <t>AK11373</t>
  </si>
  <si>
    <t>Khaki green No.3</t>
  </si>
  <si>
    <t>8435568310377</t>
  </si>
  <si>
    <t>AK11374</t>
  </si>
  <si>
    <t>Silver Grey No.28</t>
  </si>
  <si>
    <t>8435568310384</t>
  </si>
  <si>
    <t>AK11375</t>
  </si>
  <si>
    <t>Slate No.34</t>
  </si>
  <si>
    <t>8435568310407</t>
  </si>
  <si>
    <t>AK11377</t>
  </si>
  <si>
    <t>Light Stone No.61</t>
  </si>
  <si>
    <t>8435568310414</t>
  </si>
  <si>
    <t>AK11378</t>
  </si>
  <si>
    <t>Portland Stone No.64</t>
  </si>
  <si>
    <t>8435568311374</t>
  </si>
  <si>
    <t>AK11381</t>
  </si>
  <si>
    <t>British Dark Olive Green PFI</t>
  </si>
  <si>
    <t>8435568311381</t>
  </si>
  <si>
    <t>AK11382</t>
  </si>
  <si>
    <t>British Desert Pink ZI</t>
  </si>
  <si>
    <t>8435568311398</t>
  </si>
  <si>
    <t>AK11383</t>
  </si>
  <si>
    <t>British Light Mud</t>
  </si>
  <si>
    <t>8435568311404</t>
  </si>
  <si>
    <t>AK11384</t>
  </si>
  <si>
    <t>S.C.C. No.1A Very Dark Brown</t>
  </si>
  <si>
    <t>8435568311411</t>
  </si>
  <si>
    <t>AK11385</t>
  </si>
  <si>
    <t>S.C.C. No.2 Brown</t>
  </si>
  <si>
    <t>8435568311428</t>
  </si>
  <si>
    <t>AK11386</t>
  </si>
  <si>
    <t>S.C.C. No.15 Olive Drab</t>
  </si>
  <si>
    <t>8435568311435</t>
  </si>
  <si>
    <t>AK11387</t>
  </si>
  <si>
    <t>3B AU/ZB AU</t>
  </si>
  <si>
    <t>8435568310674</t>
  </si>
  <si>
    <t>AK11401</t>
  </si>
  <si>
    <t>Base Flesh</t>
  </si>
  <si>
    <t>8435568310681</t>
  </si>
  <si>
    <t>AK11402</t>
  </si>
  <si>
    <t>Light Flesh</t>
  </si>
  <si>
    <t>8435568310698</t>
  </si>
  <si>
    <t>AK11403</t>
  </si>
  <si>
    <t>Highlight Flesh</t>
  </si>
  <si>
    <t>8435568310704</t>
  </si>
  <si>
    <t>AK11404</t>
  </si>
  <si>
    <t>Shadow Flesh</t>
  </si>
  <si>
    <t>8435568310711</t>
  </si>
  <si>
    <t>AK11405</t>
  </si>
  <si>
    <t>Dark Shadow Flesh</t>
  </si>
  <si>
    <t>8435568310728</t>
  </si>
  <si>
    <t>AK11406</t>
  </si>
  <si>
    <t xml:space="preserve">Reddish Black </t>
  </si>
  <si>
    <t>8435568310735</t>
  </si>
  <si>
    <t>AK11407</t>
  </si>
  <si>
    <t>Black Uniform Base</t>
  </si>
  <si>
    <t>8435568310742</t>
  </si>
  <si>
    <t>AK11408</t>
  </si>
  <si>
    <t>Dot44 Brown Base</t>
  </si>
  <si>
    <t>8435568310759</t>
  </si>
  <si>
    <t>AK11409</t>
  </si>
  <si>
    <t>Orange Tan</t>
  </si>
  <si>
    <t>8435568310766</t>
  </si>
  <si>
    <t>AK11410</t>
  </si>
  <si>
    <t>Dark Green</t>
  </si>
  <si>
    <t>8435568310773</t>
  </si>
  <si>
    <t>AK11411</t>
  </si>
  <si>
    <t>Light Green</t>
  </si>
  <si>
    <t>8435568310780</t>
  </si>
  <si>
    <t>AK11412</t>
  </si>
  <si>
    <t>Medium Green</t>
  </si>
  <si>
    <t>8435568310797</t>
  </si>
  <si>
    <t>AK11413</t>
  </si>
  <si>
    <t>Denison Tan Base</t>
  </si>
  <si>
    <t>8435568310803</t>
  </si>
  <si>
    <t>AK11414</t>
  </si>
  <si>
    <t>Splittermuster Base</t>
  </si>
  <si>
    <t>8435568310810</t>
  </si>
  <si>
    <t>AK11415</t>
  </si>
  <si>
    <t>Splittermuster Green Spots</t>
  </si>
  <si>
    <t>8435568310827</t>
  </si>
  <si>
    <t>AK11416</t>
  </si>
  <si>
    <t>Waffen Brown Grey</t>
  </si>
  <si>
    <t>8435568310834</t>
  </si>
  <si>
    <t>AK11417</t>
  </si>
  <si>
    <t>Waffen Brown</t>
  </si>
  <si>
    <t>8435568310841</t>
  </si>
  <si>
    <t>AK11418</t>
  </si>
  <si>
    <t xml:space="preserve">Brown Black </t>
  </si>
  <si>
    <t>8435568310858</t>
  </si>
  <si>
    <t>AK11419</t>
  </si>
  <si>
    <t>Waffen Red Brown</t>
  </si>
  <si>
    <t>8435568310865</t>
  </si>
  <si>
    <t>AK11420</t>
  </si>
  <si>
    <t>Waffen Green</t>
  </si>
  <si>
    <t>8435568310872</t>
  </si>
  <si>
    <t>AK11421</t>
  </si>
  <si>
    <t>Dark Olive Green</t>
  </si>
  <si>
    <t>8435568310889</t>
  </si>
  <si>
    <t>AK11422</t>
  </si>
  <si>
    <t>Ocher Khaki</t>
  </si>
  <si>
    <t>8435568310896</t>
  </si>
  <si>
    <t>AK11423</t>
  </si>
  <si>
    <t>Field Grey Base #2 (Grey Uniform)</t>
  </si>
  <si>
    <t>8435568310902</t>
  </si>
  <si>
    <t>AK11424</t>
  </si>
  <si>
    <t xml:space="preserve">Grey Green </t>
  </si>
  <si>
    <t>8435568310919</t>
  </si>
  <si>
    <t>AK11425</t>
  </si>
  <si>
    <t>Field Grey Base #1 (Green uniform)</t>
  </si>
  <si>
    <t>8435568310926</t>
  </si>
  <si>
    <t>AK11426</t>
  </si>
  <si>
    <t>Grey Blue</t>
  </si>
  <si>
    <t>8435568310933</t>
  </si>
  <si>
    <t>AK11427</t>
  </si>
  <si>
    <t xml:space="preserve">Green Uniform Base </t>
  </si>
  <si>
    <t>8435568310940</t>
  </si>
  <si>
    <t>AK11428</t>
  </si>
  <si>
    <t>Light Green Uniform</t>
  </si>
  <si>
    <t>8435568310957</t>
  </si>
  <si>
    <t>AK11429</t>
  </si>
  <si>
    <t>Russian Uniform Lights</t>
  </si>
  <si>
    <t>8435568310964</t>
  </si>
  <si>
    <t>AK11430</t>
  </si>
  <si>
    <t>Russian Uniform Base</t>
  </si>
  <si>
    <t>8435568310971</t>
  </si>
  <si>
    <t>AK11431</t>
  </si>
  <si>
    <t>Russian Blue Lights</t>
  </si>
  <si>
    <t>8435568310988</t>
  </si>
  <si>
    <t>AK11432</t>
  </si>
  <si>
    <t>Russian Blue Base</t>
  </si>
  <si>
    <t>8435568310995</t>
  </si>
  <si>
    <t>AK11433</t>
  </si>
  <si>
    <t>US Olive Base Uniform</t>
  </si>
  <si>
    <t>8435568311008</t>
  </si>
  <si>
    <t>AK11434</t>
  </si>
  <si>
    <t>Red Brown</t>
  </si>
  <si>
    <t>8435568311015</t>
  </si>
  <si>
    <t>AK11435</t>
  </si>
  <si>
    <t>Field Drab</t>
  </si>
  <si>
    <t>8435568311022</t>
  </si>
  <si>
    <t>AK11436</t>
  </si>
  <si>
    <t>Canvas Tone</t>
  </si>
  <si>
    <t>8435568311039</t>
  </si>
  <si>
    <t>AK11437</t>
  </si>
  <si>
    <t>British Uniform Base</t>
  </si>
  <si>
    <t>8435568311046</t>
  </si>
  <si>
    <t>AK11438</t>
  </si>
  <si>
    <t>British Uniform Lights</t>
  </si>
  <si>
    <t>8435568311053</t>
  </si>
  <si>
    <t>AK11439</t>
  </si>
  <si>
    <t>French Greyish Blue</t>
  </si>
  <si>
    <t>8435568311060</t>
  </si>
  <si>
    <t>AK11440</t>
  </si>
  <si>
    <t>Desert Uniform Base</t>
  </si>
  <si>
    <t>8435568314658</t>
  </si>
  <si>
    <t>AK11801</t>
  </si>
  <si>
    <t>WWI German Fokker Grey</t>
  </si>
  <si>
    <t>8435568314665</t>
  </si>
  <si>
    <t>AK11802</t>
  </si>
  <si>
    <t>WWI German Light Green</t>
  </si>
  <si>
    <t>8435568314672</t>
  </si>
  <si>
    <t>AK11803</t>
  </si>
  <si>
    <t>WWI German Dark Green</t>
  </si>
  <si>
    <t>8435568314689</t>
  </si>
  <si>
    <t>AK11804</t>
  </si>
  <si>
    <t>WWI German Mauve</t>
  </si>
  <si>
    <t>8435568314696</t>
  </si>
  <si>
    <t>AK11805</t>
  </si>
  <si>
    <t>WWI German Red Brown</t>
  </si>
  <si>
    <t>8435568314702</t>
  </si>
  <si>
    <t>AK11806</t>
  </si>
  <si>
    <t>WWI German Light Blue</t>
  </si>
  <si>
    <t>8435568314719</t>
  </si>
  <si>
    <t>AK11807</t>
  </si>
  <si>
    <t>WWI German Lilac</t>
  </si>
  <si>
    <t>8435568314726</t>
  </si>
  <si>
    <t>AK11808</t>
  </si>
  <si>
    <t>WWI German Grey-Green Primer</t>
  </si>
  <si>
    <t>8435568314733</t>
  </si>
  <si>
    <t>AK11809</t>
  </si>
  <si>
    <t>PC10 Late</t>
  </si>
  <si>
    <t>8435568314740</t>
  </si>
  <si>
    <t>AK11810</t>
  </si>
  <si>
    <t>PC12</t>
  </si>
  <si>
    <t>8435568314757</t>
  </si>
  <si>
    <t>AK11811</t>
  </si>
  <si>
    <t>RLM 02 RLM-Grau (1938)</t>
  </si>
  <si>
    <t>8435568314764</t>
  </si>
  <si>
    <t>AK11812</t>
  </si>
  <si>
    <t>RLM 02 RLM-Grau (1941)</t>
  </si>
  <si>
    <t>8435568314771</t>
  </si>
  <si>
    <t>AK11813</t>
  </si>
  <si>
    <t>RLM 04</t>
  </si>
  <si>
    <t>8435568314788</t>
  </si>
  <si>
    <t>AK11814</t>
  </si>
  <si>
    <t>RLM 61</t>
  </si>
  <si>
    <t>8435568314795</t>
  </si>
  <si>
    <t>AK11815</t>
  </si>
  <si>
    <t>RLM 62</t>
  </si>
  <si>
    <t>8435568314801</t>
  </si>
  <si>
    <t>AK11816</t>
  </si>
  <si>
    <t>RLM 63</t>
  </si>
  <si>
    <t>8435568314818</t>
  </si>
  <si>
    <t>AK11817</t>
  </si>
  <si>
    <t>RLM 65 (1938)</t>
  </si>
  <si>
    <t>8435568314825</t>
  </si>
  <si>
    <t>AK11818</t>
  </si>
  <si>
    <t>RLM 65 (1941)</t>
  </si>
  <si>
    <t>8435568314832</t>
  </si>
  <si>
    <t>AK11819</t>
  </si>
  <si>
    <t>RLM 66 (1938)</t>
  </si>
  <si>
    <t>8435568314849</t>
  </si>
  <si>
    <t>AK11820</t>
  </si>
  <si>
    <t>RLM 66 (1941)</t>
  </si>
  <si>
    <t>8435568314856</t>
  </si>
  <si>
    <t>AK11821</t>
  </si>
  <si>
    <t>RLM 70</t>
  </si>
  <si>
    <t>8435568314863</t>
  </si>
  <si>
    <t>AK11822</t>
  </si>
  <si>
    <t>RLM 71</t>
  </si>
  <si>
    <t>8435568314870</t>
  </si>
  <si>
    <t>AK11823</t>
  </si>
  <si>
    <t>RLM 72</t>
  </si>
  <si>
    <t>8435568314887</t>
  </si>
  <si>
    <t>AK11824</t>
  </si>
  <si>
    <t>RLM 73</t>
  </si>
  <si>
    <t>8435568314894</t>
  </si>
  <si>
    <t>AK11825</t>
  </si>
  <si>
    <t>RLM 74</t>
  </si>
  <si>
    <t>8435568314900</t>
  </si>
  <si>
    <t>AK11826</t>
  </si>
  <si>
    <t>RLM 75</t>
  </si>
  <si>
    <t>8435568314917</t>
  </si>
  <si>
    <t>AK11827</t>
  </si>
  <si>
    <t>RLM 76 Version 1</t>
  </si>
  <si>
    <t>8435568314924</t>
  </si>
  <si>
    <t>AK11828</t>
  </si>
  <si>
    <t>RLM 76 Version 2</t>
  </si>
  <si>
    <t>8435568314931</t>
  </si>
  <si>
    <t>AK11829</t>
  </si>
  <si>
    <t>RLM 76 Late War Variation</t>
  </si>
  <si>
    <t>AK11830</t>
  </si>
  <si>
    <t>RLM 78 (1941)</t>
  </si>
  <si>
    <t>8435568314955</t>
  </si>
  <si>
    <t>AK11831</t>
  </si>
  <si>
    <t>RLM 78 (1942)</t>
  </si>
  <si>
    <t>8435568314962</t>
  </si>
  <si>
    <t>AK11832</t>
  </si>
  <si>
    <t>RLM 79 (1941)</t>
  </si>
  <si>
    <t>8435568314979</t>
  </si>
  <si>
    <t>AK11833</t>
  </si>
  <si>
    <t>RLM 79 (1942)</t>
  </si>
  <si>
    <t>8435568314986</t>
  </si>
  <si>
    <t>AK11834</t>
  </si>
  <si>
    <t>RLM 80</t>
  </si>
  <si>
    <t>8435568314993</t>
  </si>
  <si>
    <t>AK11835</t>
  </si>
  <si>
    <t>RLM 81 Version 1</t>
  </si>
  <si>
    <t>8435568315006</t>
  </si>
  <si>
    <t>AK11836</t>
  </si>
  <si>
    <t>RLM 81 Version 2</t>
  </si>
  <si>
    <t>8435568315013</t>
  </si>
  <si>
    <t>AK11837</t>
  </si>
  <si>
    <t>RLM 81 Version 3</t>
  </si>
  <si>
    <t>8435568315020</t>
  </si>
  <si>
    <t>AK11838</t>
  </si>
  <si>
    <t>RLM 82</t>
  </si>
  <si>
    <t>8435568315037</t>
  </si>
  <si>
    <t>AK11839</t>
  </si>
  <si>
    <t>RLM 83</t>
  </si>
  <si>
    <t>8435568315044</t>
  </si>
  <si>
    <t>AK11840</t>
  </si>
  <si>
    <t>RAF Dark Green</t>
  </si>
  <si>
    <t>8435568315051</t>
  </si>
  <si>
    <t>AK11841</t>
  </si>
  <si>
    <t>RAF Dark Earth</t>
  </si>
  <si>
    <t>8435568315068</t>
  </si>
  <si>
    <t>AK11842</t>
  </si>
  <si>
    <t>RAF Ocean Grey</t>
  </si>
  <si>
    <t>8435568315075</t>
  </si>
  <si>
    <t>AK11843</t>
  </si>
  <si>
    <t>RAF Medium Sea Grey BS381C/637</t>
  </si>
  <si>
    <t>8435568315082</t>
  </si>
  <si>
    <t>AK11844</t>
  </si>
  <si>
    <t>RAF Sky / FS 34424</t>
  </si>
  <si>
    <t>8435568315099</t>
  </si>
  <si>
    <t>AK11845</t>
  </si>
  <si>
    <t>RAF Azure Blue</t>
  </si>
  <si>
    <t>8435568315105</t>
  </si>
  <si>
    <t>AK11846</t>
  </si>
  <si>
    <t>RAF Middle Stone</t>
  </si>
  <si>
    <t>8435568315112</t>
  </si>
  <si>
    <t>AK11847</t>
  </si>
  <si>
    <t>RAF Cockpit Grey-Green</t>
  </si>
  <si>
    <t>8435568315129</t>
  </si>
  <si>
    <t>AK11848</t>
  </si>
  <si>
    <t>RAF Sky Grey</t>
  </si>
  <si>
    <t>8435568315136</t>
  </si>
  <si>
    <t>AK11849</t>
  </si>
  <si>
    <t>RAF Dark Slate Grey</t>
  </si>
  <si>
    <t>8435568315143</t>
  </si>
  <si>
    <t>AK11850</t>
  </si>
  <si>
    <t>RAF Extra Dark Sea Grey BS381C/640</t>
  </si>
  <si>
    <t>8435568315150</t>
  </si>
  <si>
    <t>AK11851</t>
  </si>
  <si>
    <t>RAF Dark Sea Grey BS381C/638</t>
  </si>
  <si>
    <t>8435568315167</t>
  </si>
  <si>
    <t>AK11852</t>
  </si>
  <si>
    <t>RAF PRU Blue BS381C/636</t>
  </si>
  <si>
    <t>8435568315174</t>
  </si>
  <si>
    <t>AK11853</t>
  </si>
  <si>
    <t>RAF Light Aircraft Grey BS381C/627</t>
  </si>
  <si>
    <t>8435568315181</t>
  </si>
  <si>
    <t>AK11854</t>
  </si>
  <si>
    <t>RAF Camouflage (Barley) Grey BS381C/626</t>
  </si>
  <si>
    <t>8435568315198</t>
  </si>
  <si>
    <t>AK11855</t>
  </si>
  <si>
    <t>RAF Dark Camouflage Grey BS381C/629</t>
  </si>
  <si>
    <t>8435568315204</t>
  </si>
  <si>
    <t>AK11856</t>
  </si>
  <si>
    <t>RAF Camouflage Beige (Hemp) BS381C/389</t>
  </si>
  <si>
    <t>8435568315211</t>
  </si>
  <si>
    <t>AK11857</t>
  </si>
  <si>
    <t>Bronze Green</t>
  </si>
  <si>
    <t>8435568315228</t>
  </si>
  <si>
    <t>AK11858</t>
  </si>
  <si>
    <t>Zinc Chromate Yellow</t>
  </si>
  <si>
    <t>8435568315235</t>
  </si>
  <si>
    <t>AK11859</t>
  </si>
  <si>
    <t>US Interior Yellow Green</t>
  </si>
  <si>
    <t>8435568315242</t>
  </si>
  <si>
    <t>AK11860</t>
  </si>
  <si>
    <t>Dark Olive Drab 41</t>
  </si>
  <si>
    <t>8435568315259</t>
  </si>
  <si>
    <t>AK11861</t>
  </si>
  <si>
    <t>Medium Green 42</t>
  </si>
  <si>
    <t>8435568315266</t>
  </si>
  <si>
    <t>AK11862</t>
  </si>
  <si>
    <t>Neutral Grey 43</t>
  </si>
  <si>
    <t>8435568315273</t>
  </si>
  <si>
    <t>AK11863</t>
  </si>
  <si>
    <t>ANA 613 Olive Drab</t>
  </si>
  <si>
    <t>8435568315280</t>
  </si>
  <si>
    <t>AK11864</t>
  </si>
  <si>
    <t>Deep Sea Blue</t>
  </si>
  <si>
    <t>8435568315297</t>
  </si>
  <si>
    <t>AK11865</t>
  </si>
  <si>
    <t>M-485 Blue-Grey</t>
  </si>
  <si>
    <t>8435568315303</t>
  </si>
  <si>
    <t>AK11866</t>
  </si>
  <si>
    <t>Light Gull Grey FS 16440</t>
  </si>
  <si>
    <t>8435568315310</t>
  </si>
  <si>
    <t>AK11867</t>
  </si>
  <si>
    <t>ADC Grey FS 16473</t>
  </si>
  <si>
    <t>8435568315327</t>
  </si>
  <si>
    <t>AK11868</t>
  </si>
  <si>
    <t>Insignia White FS 17875</t>
  </si>
  <si>
    <t>8435568315334</t>
  </si>
  <si>
    <t>AK11869</t>
  </si>
  <si>
    <t>Sand FS 33531</t>
  </si>
  <si>
    <t>8435568315341</t>
  </si>
  <si>
    <t>AK11870</t>
  </si>
  <si>
    <t>Radome Tan FS 33613</t>
  </si>
  <si>
    <t>8435568315358</t>
  </si>
  <si>
    <t>AK11871</t>
  </si>
  <si>
    <t>USMC Sand FS 33711</t>
  </si>
  <si>
    <t>8435568315365</t>
  </si>
  <si>
    <t>AK11872</t>
  </si>
  <si>
    <t>US Army Helo Drab FS 34031</t>
  </si>
  <si>
    <t>8435568315372</t>
  </si>
  <si>
    <t>AK11873</t>
  </si>
  <si>
    <t>Dull Dark Green FS 34092</t>
  </si>
  <si>
    <t>8435568315389</t>
  </si>
  <si>
    <t>AK11874</t>
  </si>
  <si>
    <t>USMC Green FS 34095</t>
  </si>
  <si>
    <t>8435568315396</t>
  </si>
  <si>
    <t>AK11875</t>
  </si>
  <si>
    <t>Field Green FS 34097</t>
  </si>
  <si>
    <t>8435568315402</t>
  </si>
  <si>
    <t>AK11876</t>
  </si>
  <si>
    <t>Green FS 34258</t>
  </si>
  <si>
    <t>8435568315419</t>
  </si>
  <si>
    <t>AK11877</t>
  </si>
  <si>
    <t>Aggressor Blue FS 35109</t>
  </si>
  <si>
    <t>8435568315426</t>
  </si>
  <si>
    <t>AK11878</t>
  </si>
  <si>
    <t>Blue FS 35190</t>
  </si>
  <si>
    <t>8435568315433</t>
  </si>
  <si>
    <t>AK11879</t>
  </si>
  <si>
    <t>Air Superiority Blue FS 35450</t>
  </si>
  <si>
    <t>8435568315440</t>
  </si>
  <si>
    <t>AK11880</t>
  </si>
  <si>
    <t>Duck Egg Blue FS 35622</t>
  </si>
  <si>
    <t>8435568315457</t>
  </si>
  <si>
    <t>AK11881</t>
  </si>
  <si>
    <t>Medium Gunship Grey FS 36118</t>
  </si>
  <si>
    <t>8435568315464</t>
  </si>
  <si>
    <t>AK11882</t>
  </si>
  <si>
    <t>Have Glass Grey FS 36170</t>
  </si>
  <si>
    <t>8435568315471</t>
  </si>
  <si>
    <t>AK11883</t>
  </si>
  <si>
    <t>F-15 Dark Grey (Mod Eagle) FS 36176</t>
  </si>
  <si>
    <t>8435568315488</t>
  </si>
  <si>
    <t>AK11884</t>
  </si>
  <si>
    <t>Dark Gull Grey FS 36231</t>
  </si>
  <si>
    <t>8435568315495</t>
  </si>
  <si>
    <t>AK11885</t>
  </si>
  <si>
    <t>Aggressor Grey FS 36251</t>
  </si>
  <si>
    <t>8435568315501</t>
  </si>
  <si>
    <t>AK11886</t>
  </si>
  <si>
    <t>Medium Grey FS 36270</t>
  </si>
  <si>
    <t>8435568315518</t>
  </si>
  <si>
    <t>AK11887</t>
  </si>
  <si>
    <t>Dark Ghost Grey FS 36320</t>
  </si>
  <si>
    <t>8435568315525</t>
  </si>
  <si>
    <t>AK11888</t>
  </si>
  <si>
    <t>Light Ghost Grey FS 36375</t>
  </si>
  <si>
    <t>8435568315532</t>
  </si>
  <si>
    <t>AK11889</t>
  </si>
  <si>
    <t>Light Grey FS 36495</t>
  </si>
  <si>
    <t>8435568315549</t>
  </si>
  <si>
    <t>AK11890</t>
  </si>
  <si>
    <t>Camouflage Grey FS 36622</t>
  </si>
  <si>
    <t>8435568315556</t>
  </si>
  <si>
    <t>AK11891</t>
  </si>
  <si>
    <t>IJN J3 Hai-iro (Grey)</t>
  </si>
  <si>
    <t>8435568315563</t>
  </si>
  <si>
    <t>AK11892</t>
  </si>
  <si>
    <t>IJN J3 SP (Amber Grey)</t>
  </si>
  <si>
    <t>8435568315570</t>
  </si>
  <si>
    <t>AK11893</t>
  </si>
  <si>
    <t>IJN D1 Deep Green Black</t>
  </si>
  <si>
    <t>8435568315587</t>
  </si>
  <si>
    <t>AK11894</t>
  </si>
  <si>
    <t>IJN D2 Green Black</t>
  </si>
  <si>
    <t>8435568315594</t>
  </si>
  <si>
    <t>AK11895</t>
  </si>
  <si>
    <t>IJN Q1 Anti-Glare Blue-Black</t>
  </si>
  <si>
    <t>8435568315600</t>
  </si>
  <si>
    <t>AK11896</t>
  </si>
  <si>
    <t>IJN M3 (M) Mitsubishi Interior Green</t>
  </si>
  <si>
    <t>8435568315617</t>
  </si>
  <si>
    <t>AK11897</t>
  </si>
  <si>
    <t>IJN M3 (N) Nakajima Interior Green</t>
  </si>
  <si>
    <t>8435568315624</t>
  </si>
  <si>
    <t>AK11898</t>
  </si>
  <si>
    <t>IJN/IJA Aotake</t>
  </si>
  <si>
    <t>8435568315631</t>
  </si>
  <si>
    <t>AK11899</t>
  </si>
  <si>
    <t>IJA #1 Hairyokushoku (Grey-Green)</t>
  </si>
  <si>
    <t>8435568315648</t>
  </si>
  <si>
    <t>AK11900</t>
  </si>
  <si>
    <t>IJA #3 Hairanshoku (Grey Indigo)</t>
  </si>
  <si>
    <t>8435568315655</t>
  </si>
  <si>
    <t>AK11901</t>
  </si>
  <si>
    <t>IJA #7 Ohryuko Nana Go Shoku (Olive Brown)</t>
  </si>
  <si>
    <t>8435568315662</t>
  </si>
  <si>
    <t>AK11902</t>
  </si>
  <si>
    <t>IJA #21 Midori iro (Green)</t>
  </si>
  <si>
    <t>8435568315679</t>
  </si>
  <si>
    <t>AK11903</t>
  </si>
  <si>
    <t>IJA #27 Ao Midori iro (Blue-Green)</t>
  </si>
  <si>
    <t>8435568315686</t>
  </si>
  <si>
    <t>AK11904</t>
  </si>
  <si>
    <t>IJA #29 Ki Midori iro (Yellow-Green)</t>
  </si>
  <si>
    <t>8435568315693</t>
  </si>
  <si>
    <t>AK11905</t>
  </si>
  <si>
    <t>IJA #30 Karekusa iro (Dry Grass)</t>
  </si>
  <si>
    <t>8435568315709</t>
  </si>
  <si>
    <t>AK11906</t>
  </si>
  <si>
    <t>IJA #31 Cha Kasshoku (Tea Colour)</t>
  </si>
  <si>
    <t>8435568315716</t>
  </si>
  <si>
    <t>AK11907</t>
  </si>
  <si>
    <t>Grey-Blue 1920s-1930s</t>
  </si>
  <si>
    <t>8435568315723</t>
  </si>
  <si>
    <t>AK11908</t>
  </si>
  <si>
    <t>AE-9/AII Light Grey</t>
  </si>
  <si>
    <t>8435568315730</t>
  </si>
  <si>
    <t>AK11909</t>
  </si>
  <si>
    <t>AII Green</t>
  </si>
  <si>
    <t>8435568315747</t>
  </si>
  <si>
    <t>AK11910</t>
  </si>
  <si>
    <t>AII Light Blue</t>
  </si>
  <si>
    <t>8435568315754</t>
  </si>
  <si>
    <t>AK11911</t>
  </si>
  <si>
    <t>A-14 Interior Steel Grey</t>
  </si>
  <si>
    <t>8435568315761</t>
  </si>
  <si>
    <t>AK11912</t>
  </si>
  <si>
    <t>A-18f Light Grey-Blue</t>
  </si>
  <si>
    <t>8435568315778</t>
  </si>
  <si>
    <t>AK11913</t>
  </si>
  <si>
    <t>A-19f Grass Green</t>
  </si>
  <si>
    <t>8435568315785</t>
  </si>
  <si>
    <t>AK11914</t>
  </si>
  <si>
    <t>A-21m Light Yellowish Brown</t>
  </si>
  <si>
    <t>8435568315792</t>
  </si>
  <si>
    <t>AK11915</t>
  </si>
  <si>
    <t>AMT-4 (A-24m) Green</t>
  </si>
  <si>
    <t>8435568315808</t>
  </si>
  <si>
    <t>AK11916</t>
  </si>
  <si>
    <t>AMT-7 Light Blue</t>
  </si>
  <si>
    <t>8435568315815</t>
  </si>
  <si>
    <t>AK11917</t>
  </si>
  <si>
    <t>AMT-11 Blue-Grey</t>
  </si>
  <si>
    <t>8435568315822</t>
  </si>
  <si>
    <t>AK11918</t>
  </si>
  <si>
    <t>AMT-12 Dark Grey</t>
  </si>
  <si>
    <t>8435568315839</t>
  </si>
  <si>
    <t>AK11919</t>
  </si>
  <si>
    <t>Radome &amp; Wheel Hub Green</t>
  </si>
  <si>
    <t>8435568315846</t>
  </si>
  <si>
    <t>AK11920</t>
  </si>
  <si>
    <t>MiG-25/MiG-31 Grey</t>
  </si>
  <si>
    <t>AK11240</t>
  </si>
  <si>
    <t>100 ml</t>
  </si>
  <si>
    <t>White Primer 100 ml 3GEN</t>
  </si>
  <si>
    <t>AK11241</t>
  </si>
  <si>
    <t>Grey Primer 100 ml 3GEN</t>
  </si>
  <si>
    <t>AK11242</t>
  </si>
  <si>
    <t>Black Primer 100 ml 3GEN</t>
  </si>
  <si>
    <t>AK11245</t>
  </si>
  <si>
    <t>Dunkelgelb RAL 7028 dark yellow surface Primer 100 ml 3GEN</t>
  </si>
  <si>
    <t>AK11246</t>
  </si>
  <si>
    <t>Russian green surface Primer 100 ml 3GEN</t>
  </si>
  <si>
    <t>AK11247</t>
  </si>
  <si>
    <t>Minimum red surface Primer 100 ml. 3GEN</t>
  </si>
  <si>
    <t>AK11248</t>
  </si>
  <si>
    <t>Desert sand surface Primer 100 ml 3GEN</t>
  </si>
  <si>
    <t>AK11249</t>
  </si>
  <si>
    <t>Olive drab surface Primer 100 ml 3GEN</t>
  </si>
  <si>
    <t>AK11250</t>
  </si>
  <si>
    <t>Rust surface Primer 100 ml 3GEN</t>
  </si>
  <si>
    <t>AK11251</t>
  </si>
  <si>
    <t>Tracks surface Primer 100 ml3GEN</t>
  </si>
  <si>
    <t>AK11237</t>
  </si>
  <si>
    <t>Matt Varnish 100 ml 3GEN</t>
  </si>
  <si>
    <t>AK11238</t>
  </si>
  <si>
    <t>Satin Varnish 100 3GEN</t>
  </si>
  <si>
    <t>AK11239</t>
  </si>
  <si>
    <t>Gloss Varnish 100 ml 3GEN</t>
  </si>
  <si>
    <t>AK11252</t>
  </si>
  <si>
    <t>ULTRA MATT VARNISH 100 ml</t>
  </si>
  <si>
    <t>QUICK GEN</t>
  </si>
  <si>
    <t>8435568349155</t>
  </si>
  <si>
    <t>AK17001</t>
  </si>
  <si>
    <t xml:space="preserve">SPACE MAGENTA </t>
  </si>
  <si>
    <t>8435568349162</t>
  </si>
  <si>
    <t>AK17002</t>
  </si>
  <si>
    <t xml:space="preserve">PINK FLESH </t>
  </si>
  <si>
    <t>8435568349179</t>
  </si>
  <si>
    <t>AK17003</t>
  </si>
  <si>
    <t xml:space="preserve">PURPLE FLESH </t>
  </si>
  <si>
    <t>8435568349186</t>
  </si>
  <si>
    <t>AK17004</t>
  </si>
  <si>
    <t xml:space="preserve">LAVENDER </t>
  </si>
  <si>
    <t>8435568349193</t>
  </si>
  <si>
    <t>AK17005</t>
  </si>
  <si>
    <t xml:space="preserve">NECROMANCER PURPLE </t>
  </si>
  <si>
    <t>8435568349209</t>
  </si>
  <si>
    <t>AK17006</t>
  </si>
  <si>
    <t xml:space="preserve">DEMON PURPLE </t>
  </si>
  <si>
    <t>8435568349216</t>
  </si>
  <si>
    <t>AK17007</t>
  </si>
  <si>
    <t xml:space="preserve">DIRTY YELLOW </t>
  </si>
  <si>
    <t>8435568349223</t>
  </si>
  <si>
    <t>AK17008</t>
  </si>
  <si>
    <t xml:space="preserve">BILE YELLOW </t>
  </si>
  <si>
    <t>8435568349230</t>
  </si>
  <si>
    <t>AK17009</t>
  </si>
  <si>
    <t>WARM ORANGE</t>
  </si>
  <si>
    <t>8435568349247</t>
  </si>
  <si>
    <t>AK17010</t>
  </si>
  <si>
    <t>WARM YELLOW</t>
  </si>
  <si>
    <t>8435568349254</t>
  </si>
  <si>
    <t>AK17011</t>
  </si>
  <si>
    <t xml:space="preserve">SPACE YELLOW </t>
  </si>
  <si>
    <t>8435568349261</t>
  </si>
  <si>
    <t>AK17012</t>
  </si>
  <si>
    <t xml:space="preserve">SOLAR YELLOW </t>
  </si>
  <si>
    <t>8435568349278</t>
  </si>
  <si>
    <t>AK17013</t>
  </si>
  <si>
    <t xml:space="preserve">PLAGUE YELLOW </t>
  </si>
  <si>
    <t>8435568349285</t>
  </si>
  <si>
    <t>AK17014</t>
  </si>
  <si>
    <t xml:space="preserve">LIGHT YELLOW </t>
  </si>
  <si>
    <t>8435568349292</t>
  </si>
  <si>
    <t>AK17015</t>
  </si>
  <si>
    <t>8435568349308</t>
  </si>
  <si>
    <t>AK17016</t>
  </si>
  <si>
    <t>SPECTRAL GREEN</t>
  </si>
  <si>
    <t>8435568349315</t>
  </si>
  <si>
    <t>AK17017</t>
  </si>
  <si>
    <t>SPACE GREEN</t>
  </si>
  <si>
    <t>8435568349322</t>
  </si>
  <si>
    <t>AK17018</t>
  </si>
  <si>
    <t>VIVID GREEN</t>
  </si>
  <si>
    <t>8435568349339</t>
  </si>
  <si>
    <t>AK17019</t>
  </si>
  <si>
    <t xml:space="preserve">SPACE DARK GREEN </t>
  </si>
  <si>
    <t>8435568349346</t>
  </si>
  <si>
    <t>AK17020</t>
  </si>
  <si>
    <t>LEAF GREEN</t>
  </si>
  <si>
    <t>8435568349353</t>
  </si>
  <si>
    <t>AK17021</t>
  </si>
  <si>
    <t xml:space="preserve">FOREST GREEN </t>
  </si>
  <si>
    <t>8435568349360</t>
  </si>
  <si>
    <t>AK17022</t>
  </si>
  <si>
    <t>ROTTEN GREEN</t>
  </si>
  <si>
    <t>8435568349377</t>
  </si>
  <si>
    <t>AK17023</t>
  </si>
  <si>
    <t>ORC FLESH</t>
  </si>
  <si>
    <t>8435568349384</t>
  </si>
  <si>
    <t>AK17024</t>
  </si>
  <si>
    <t xml:space="preserve">ICE BLUE </t>
  </si>
  <si>
    <t>8435568349391</t>
  </si>
  <si>
    <t>AK17025</t>
  </si>
  <si>
    <t xml:space="preserve">NIGHT BLUE </t>
  </si>
  <si>
    <t>8435568349407</t>
  </si>
  <si>
    <t>AK17026</t>
  </si>
  <si>
    <t>POWER BLUE</t>
  </si>
  <si>
    <t>8435568349414</t>
  </si>
  <si>
    <t>AK17027</t>
  </si>
  <si>
    <t>8435568349421</t>
  </si>
  <si>
    <t>AK17028</t>
  </si>
  <si>
    <t xml:space="preserve">SPECTRAL BLUE </t>
  </si>
  <si>
    <t>8435568349438</t>
  </si>
  <si>
    <t>AK17029</t>
  </si>
  <si>
    <t>8435568349445</t>
  </si>
  <si>
    <t>AK17030</t>
  </si>
  <si>
    <t xml:space="preserve">TURQUOISE GREEN </t>
  </si>
  <si>
    <t>8435568349452</t>
  </si>
  <si>
    <t>AK17031</t>
  </si>
  <si>
    <t xml:space="preserve">CRIMSON RED </t>
  </si>
  <si>
    <t>8435568349469</t>
  </si>
  <si>
    <t>AK17032</t>
  </si>
  <si>
    <t xml:space="preserve">DWARF FLESH </t>
  </si>
  <si>
    <t>8435568349476</t>
  </si>
  <si>
    <t>AK17033</t>
  </si>
  <si>
    <t xml:space="preserve">ORANGE </t>
  </si>
  <si>
    <t>8435568349483</t>
  </si>
  <si>
    <t>AK17034</t>
  </si>
  <si>
    <t xml:space="preserve">SPACE RED </t>
  </si>
  <si>
    <t>8435568349490</t>
  </si>
  <si>
    <t>AK17035</t>
  </si>
  <si>
    <t xml:space="preserve">REDDISH ORANGE </t>
  </si>
  <si>
    <t>8435568349506</t>
  </si>
  <si>
    <t>AK17036</t>
  </si>
  <si>
    <t xml:space="preserve">VIVID FLESH </t>
  </si>
  <si>
    <t>8435568349513</t>
  </si>
  <si>
    <t>AK17037</t>
  </si>
  <si>
    <t xml:space="preserve">INFERNAL RED </t>
  </si>
  <si>
    <t>8435568349520</t>
  </si>
  <si>
    <t>AK17038</t>
  </si>
  <si>
    <t xml:space="preserve">NIGHT BLOOD </t>
  </si>
  <si>
    <t>8435568349537</t>
  </si>
  <si>
    <t>AK17039</t>
  </si>
  <si>
    <t xml:space="preserve">LIGHT GREY SHADOW </t>
  </si>
  <si>
    <t>8435568349544</t>
  </si>
  <si>
    <t>AK17040</t>
  </si>
  <si>
    <t>GREY SHADOW</t>
  </si>
  <si>
    <t>8435568349551</t>
  </si>
  <si>
    <t>AK17041</t>
  </si>
  <si>
    <t xml:space="preserve">WINTER GREY </t>
  </si>
  <si>
    <t>8435568349568</t>
  </si>
  <si>
    <t>AK17042</t>
  </si>
  <si>
    <t xml:space="preserve">BLUISH GREY </t>
  </si>
  <si>
    <t>8435568349575</t>
  </si>
  <si>
    <t>AK17043</t>
  </si>
  <si>
    <t xml:space="preserve">WHITE SHADOW </t>
  </si>
  <si>
    <t>8435568349582</t>
  </si>
  <si>
    <t>AK17044</t>
  </si>
  <si>
    <t xml:space="preserve">STRONG GREY </t>
  </si>
  <si>
    <t>8435568349599</t>
  </si>
  <si>
    <t>AK17045</t>
  </si>
  <si>
    <t xml:space="preserve">SPACE GREY </t>
  </si>
  <si>
    <t>8435568349605</t>
  </si>
  <si>
    <t>AK17046</t>
  </si>
  <si>
    <t xml:space="preserve">DIRTY GREY </t>
  </si>
  <si>
    <t>8435568349612</t>
  </si>
  <si>
    <t>AK17047</t>
  </si>
  <si>
    <t xml:space="preserve">BROWN BLACK </t>
  </si>
  <si>
    <t>8435568349629</t>
  </si>
  <si>
    <t>AK17048</t>
  </si>
  <si>
    <t>DARK LEATHER</t>
  </si>
  <si>
    <t>8435568349636</t>
  </si>
  <si>
    <t>AK17049</t>
  </si>
  <si>
    <t xml:space="preserve">BLACK 18 ml </t>
  </si>
  <si>
    <t>8435568349643</t>
  </si>
  <si>
    <t>AK17050</t>
  </si>
  <si>
    <t xml:space="preserve">SOFT BLACK </t>
  </si>
  <si>
    <t>8435568349650</t>
  </si>
  <si>
    <t>AK17051</t>
  </si>
  <si>
    <t xml:space="preserve">BLUE BLACK </t>
  </si>
  <si>
    <t>8435568349667</t>
  </si>
  <si>
    <t>AK17052</t>
  </si>
  <si>
    <t xml:space="preserve">NIGHT BLACK </t>
  </si>
  <si>
    <t>8435568349674</t>
  </si>
  <si>
    <t>AK17053</t>
  </si>
  <si>
    <t xml:space="preserve">LEATHER </t>
  </si>
  <si>
    <t>8435568349681</t>
  </si>
  <si>
    <t>AK17054</t>
  </si>
  <si>
    <t>ORANGE BROWN</t>
  </si>
  <si>
    <t>8435568349698</t>
  </si>
  <si>
    <t>AK17055</t>
  </si>
  <si>
    <t xml:space="preserve">PUTRID WHITE </t>
  </si>
  <si>
    <t>8435568349704</t>
  </si>
  <si>
    <t>AK17056</t>
  </si>
  <si>
    <t xml:space="preserve">REDDISH FLESH </t>
  </si>
  <si>
    <t>8435568349711</t>
  </si>
  <si>
    <t>AK17057</t>
  </si>
  <si>
    <t xml:space="preserve">HUMAN FLESH </t>
  </si>
  <si>
    <t>8435568349728</t>
  </si>
  <si>
    <t>AK17058</t>
  </si>
  <si>
    <t xml:space="preserve">BONE BROWN </t>
  </si>
  <si>
    <t>8435568349735</t>
  </si>
  <si>
    <t>AK17059</t>
  </si>
  <si>
    <t xml:space="preserve">CAMEL BROWN </t>
  </si>
  <si>
    <t>8435568349742</t>
  </si>
  <si>
    <t>AK17060</t>
  </si>
  <si>
    <t xml:space="preserve">LIGHT LEATHER </t>
  </si>
  <si>
    <t>8435568349759</t>
  </si>
  <si>
    <t>AK17061</t>
  </si>
  <si>
    <t xml:space="preserve">DARK FLESH </t>
  </si>
  <si>
    <t>8435568349766</t>
  </si>
  <si>
    <t>AK17062</t>
  </si>
  <si>
    <t xml:space="preserve">WOOD </t>
  </si>
  <si>
    <t>8435568349773</t>
  </si>
  <si>
    <t>AK17063</t>
  </si>
  <si>
    <t xml:space="preserve">DESERT YELLOW </t>
  </si>
  <si>
    <t>8435568349780</t>
  </si>
  <si>
    <t>AK17064</t>
  </si>
  <si>
    <t>VAMPIRE FLESH</t>
  </si>
  <si>
    <t>8435568349797</t>
  </si>
  <si>
    <t>AK17065</t>
  </si>
  <si>
    <t xml:space="preserve">GOLD </t>
  </si>
  <si>
    <t>8435568349803</t>
  </si>
  <si>
    <t>AK17066</t>
  </si>
  <si>
    <t xml:space="preserve">COPPER </t>
  </si>
  <si>
    <t>8435568349810</t>
  </si>
  <si>
    <t>AK17067</t>
  </si>
  <si>
    <t xml:space="preserve">DARK STEAL </t>
  </si>
  <si>
    <t>8435568349827</t>
  </si>
  <si>
    <t>AK17068</t>
  </si>
  <si>
    <t xml:space="preserve">OLD GOLD </t>
  </si>
  <si>
    <t>8435568349834</t>
  </si>
  <si>
    <t>AK17069</t>
  </si>
  <si>
    <t xml:space="preserve">BRONZE </t>
  </si>
  <si>
    <t>8435568349841</t>
  </si>
  <si>
    <t>AK17070</t>
  </si>
  <si>
    <t>COLD STEEL</t>
  </si>
  <si>
    <t>8435568349858</t>
  </si>
  <si>
    <t>AK17071</t>
  </si>
  <si>
    <t xml:space="preserve">GERMAN GREY </t>
  </si>
  <si>
    <t>8435568349865</t>
  </si>
  <si>
    <t>AK17072</t>
  </si>
  <si>
    <t>8435568349872</t>
  </si>
  <si>
    <t>AK17073</t>
  </si>
  <si>
    <t xml:space="preserve">DAK GREEN </t>
  </si>
  <si>
    <t>8435568349889</t>
  </si>
  <si>
    <t>AK17074</t>
  </si>
  <si>
    <t xml:space="preserve">US OLIVE UNIFORM </t>
  </si>
  <si>
    <t>8435568349896</t>
  </si>
  <si>
    <t>AK17075</t>
  </si>
  <si>
    <t>OCHRE GREEN</t>
  </si>
  <si>
    <t>8435568349902</t>
  </si>
  <si>
    <t>AK17076</t>
  </si>
  <si>
    <t xml:space="preserve">BRITISH UNIFORM </t>
  </si>
  <si>
    <t>8435568349919</t>
  </si>
  <si>
    <t>AK17077</t>
  </si>
  <si>
    <t>8435568349926</t>
  </si>
  <si>
    <t>AK17078</t>
  </si>
  <si>
    <t xml:space="preserve">RUSSIAN BLUE </t>
  </si>
  <si>
    <t>8435568349933</t>
  </si>
  <si>
    <t>AK17079</t>
  </si>
  <si>
    <t xml:space="preserve">DESERT SAND </t>
  </si>
  <si>
    <t>8435568349940</t>
  </si>
  <si>
    <t>AK17080</t>
  </si>
  <si>
    <t xml:space="preserve">MEDIUM 18 ml </t>
  </si>
  <si>
    <t>8435568349957</t>
  </si>
  <si>
    <t>AK17081</t>
  </si>
  <si>
    <t>60 ml</t>
  </si>
  <si>
    <t xml:space="preserve">MEDIUM 60ml </t>
  </si>
  <si>
    <t>8435568349988</t>
  </si>
  <si>
    <t>AK17501</t>
  </si>
  <si>
    <t>SET 3 Ref.</t>
  </si>
  <si>
    <t>GERMAN UNIFORMS (QUICK GEN SET)</t>
  </si>
  <si>
    <t>8435568349995</t>
  </si>
  <si>
    <t>AK17502</t>
  </si>
  <si>
    <t>DAK UNIFORMS (QUICK GEN SET)</t>
  </si>
  <si>
    <t>8435568350007</t>
  </si>
  <si>
    <t>AK17503</t>
  </si>
  <si>
    <t>BRITISH UNIFORMS (QUICK GEN SET)</t>
  </si>
  <si>
    <t>8435568350014</t>
  </si>
  <si>
    <t>AK17504</t>
  </si>
  <si>
    <t>SOVIET UNIFORMS (QUICK GEN SET)</t>
  </si>
  <si>
    <t>8435568350021</t>
  </si>
  <si>
    <t>AK17505</t>
  </si>
  <si>
    <t>US UNIFORMS (QUICK GEN SET)</t>
  </si>
  <si>
    <t>8435568350168</t>
  </si>
  <si>
    <t>AK17506</t>
  </si>
  <si>
    <t>SET 4 Ref.</t>
  </si>
  <si>
    <t>HUMAN FLESH (QUICK GEN SET)</t>
  </si>
  <si>
    <t>8435568350175</t>
  </si>
  <si>
    <t>AK17507</t>
  </si>
  <si>
    <t>GREEN SKINS (QUICK GEN SET)</t>
  </si>
  <si>
    <t>8435568350182</t>
  </si>
  <si>
    <t>AK17508</t>
  </si>
  <si>
    <t>ZOMBIES (QUICK GEN SET)</t>
  </si>
  <si>
    <t>8435568350199</t>
  </si>
  <si>
    <t>AK17509</t>
  </si>
  <si>
    <t>DEMONS (QUICK GEN SET)</t>
  </si>
  <si>
    <t>8435568350205</t>
  </si>
  <si>
    <t>AK17510</t>
  </si>
  <si>
    <t>DWARFS (QUICK GEN SET)</t>
  </si>
  <si>
    <t>8435568350212</t>
  </si>
  <si>
    <t>AK17511</t>
  </si>
  <si>
    <t>SKELETONS (QUICK GEN SET)</t>
  </si>
  <si>
    <t>8435568350229</t>
  </si>
  <si>
    <t>AK17512</t>
  </si>
  <si>
    <t>ELVES (QUICK GEN SET)</t>
  </si>
  <si>
    <t>8435568350236</t>
  </si>
  <si>
    <t>AK17513</t>
  </si>
  <si>
    <t>FOREST &amp; JUNGLE (QUICK GEN SET)</t>
  </si>
  <si>
    <t>8435568350243</t>
  </si>
  <si>
    <t>AK17514</t>
  </si>
  <si>
    <t>DESERT (QUICK GEN SET)</t>
  </si>
  <si>
    <t>8435568350250</t>
  </si>
  <si>
    <t>AK17515</t>
  </si>
  <si>
    <t>DARK SOLDIERS (QUICK GEN SET)</t>
  </si>
  <si>
    <t>8435568350267</t>
  </si>
  <si>
    <t>AK17516</t>
  </si>
  <si>
    <t>BLUE SOLDIERS (QUICK GEN SET)</t>
  </si>
  <si>
    <t>8435568350274</t>
  </si>
  <si>
    <t>AK17517</t>
  </si>
  <si>
    <t>GREEN SOLDIERS (QUICK GEN SET)</t>
  </si>
  <si>
    <t>8435568350281</t>
  </si>
  <si>
    <t>AK17518</t>
  </si>
  <si>
    <t>RED SOLDIERS (QUICK GEN SET)</t>
  </si>
  <si>
    <t>8435568350298</t>
  </si>
  <si>
    <t>AK17519</t>
  </si>
  <si>
    <t>YELLOW SOLDIERS (QUICK GEN SET)</t>
  </si>
  <si>
    <t>8435568350304</t>
  </si>
  <si>
    <t>AK17520</t>
  </si>
  <si>
    <t>CREATURES AND WITCHES (QUICK GEN SET)</t>
  </si>
  <si>
    <t>8435568350311</t>
  </si>
  <si>
    <t>AK17521</t>
  </si>
  <si>
    <t>ROCKS (QUICK GEN SET)</t>
  </si>
  <si>
    <t>8435568350328</t>
  </si>
  <si>
    <t>AK17522</t>
  </si>
  <si>
    <t>SET 6 Ref.</t>
  </si>
  <si>
    <t>METALLICS (QUICK GEN SET)</t>
  </si>
  <si>
    <t>8435568351905</t>
  </si>
  <si>
    <t>AK17523</t>
  </si>
  <si>
    <t>PURPLE SOLDIERS (QUICK GEN SET)</t>
  </si>
  <si>
    <t>8435568351912</t>
  </si>
  <si>
    <t>AK17524</t>
  </si>
  <si>
    <t>WINTER BLUE SOLDIERS (QUICK GEN SET)</t>
  </si>
  <si>
    <t>8435568351066</t>
  </si>
  <si>
    <t>AK17525</t>
  </si>
  <si>
    <t>SET 9 Ref.</t>
  </si>
  <si>
    <t>QUICK STARTER (QUICK GEN SET) (1 BRUSH)</t>
  </si>
  <si>
    <t>8435568350076</t>
  </si>
  <si>
    <t>AK17601</t>
  </si>
  <si>
    <t>SET 36 Ref.</t>
  </si>
  <si>
    <t>QUICK PAINT SET 36 QUICK GEN COLORS (2 BRUSHES)</t>
  </si>
  <si>
    <t>8435568350083</t>
  </si>
  <si>
    <t>AK17602</t>
  </si>
  <si>
    <t>SET 72 Ref.</t>
  </si>
  <si>
    <t>QUICK PAINT SET 72 QUICK GEN COLORS  (2 BRUSHES)</t>
  </si>
  <si>
    <t>8435568350090</t>
  </si>
  <si>
    <t>AK17603</t>
  </si>
  <si>
    <t>SET 100 Ref.</t>
  </si>
  <si>
    <t>QUICK PAINT COMBO SET 100 COLORS (80 QUICK GEN+20 ACRYLIC 3GEN+3 BRUSHES)</t>
  </si>
  <si>
    <t>8435568347502</t>
  </si>
  <si>
    <t>AK16055</t>
  </si>
  <si>
    <t>(28 colors X 30 ml)</t>
  </si>
  <si>
    <t>SPECIAL BOX FULL RANGE THE INKS (28 colors X 30 ml)</t>
  </si>
  <si>
    <t>8435568334748</t>
  </si>
  <si>
    <t>AK16001</t>
  </si>
  <si>
    <t>30 ml</t>
  </si>
  <si>
    <t>WOOD BROWN</t>
  </si>
  <si>
    <t>8435568334755</t>
  </si>
  <si>
    <t>AK16002</t>
  </si>
  <si>
    <t>8435568334762</t>
  </si>
  <si>
    <t>AK16003</t>
  </si>
  <si>
    <t>PURE MAGENTA</t>
  </si>
  <si>
    <t>8435568334779</t>
  </si>
  <si>
    <t>AK16004</t>
  </si>
  <si>
    <t>NIGHT PURPLE</t>
  </si>
  <si>
    <t>8435568334786</t>
  </si>
  <si>
    <t>AK16005</t>
  </si>
  <si>
    <t>8435568334793</t>
  </si>
  <si>
    <t>AK16006</t>
  </si>
  <si>
    <t>8435568334809</t>
  </si>
  <si>
    <t>AK16007</t>
  </si>
  <si>
    <t>CAMO GREEN</t>
  </si>
  <si>
    <t>8435568334816</t>
  </si>
  <si>
    <t>AK16008</t>
  </si>
  <si>
    <t>NATURE GREEN</t>
  </si>
  <si>
    <t>8435568334823</t>
  </si>
  <si>
    <t>AK16009</t>
  </si>
  <si>
    <t>BLOOD SCARLET</t>
  </si>
  <si>
    <t>8435568334830</t>
  </si>
  <si>
    <t>AK16010</t>
  </si>
  <si>
    <t>INTENSE SIENNA</t>
  </si>
  <si>
    <t>8435568334847</t>
  </si>
  <si>
    <t>AK16011</t>
  </si>
  <si>
    <t>BROWN BLACK</t>
  </si>
  <si>
    <t>8435568334854</t>
  </si>
  <si>
    <t>AK16012</t>
  </si>
  <si>
    <t>FIRE ORANGE</t>
  </si>
  <si>
    <t>8435568334861</t>
  </si>
  <si>
    <t>AK16013</t>
  </si>
  <si>
    <t>INMACULATE WHITE</t>
  </si>
  <si>
    <t>8435568334878</t>
  </si>
  <si>
    <t>AK16014</t>
  </si>
  <si>
    <t>8435568347274</t>
  </si>
  <si>
    <t>AK16041</t>
  </si>
  <si>
    <t xml:space="preserve">FLUOR MAGENTA </t>
  </si>
  <si>
    <t>8435568347281</t>
  </si>
  <si>
    <t>AK16042</t>
  </si>
  <si>
    <t>FLUOR RED</t>
  </si>
  <si>
    <t>8435568347298</t>
  </si>
  <si>
    <t>AK16043</t>
  </si>
  <si>
    <t xml:space="preserve">FLUOR ORANGE </t>
  </si>
  <si>
    <t>8435568347304</t>
  </si>
  <si>
    <t>AK16044</t>
  </si>
  <si>
    <t xml:space="preserve">FLUOR YELLOW </t>
  </si>
  <si>
    <t>8435568347311</t>
  </si>
  <si>
    <t>AK16045</t>
  </si>
  <si>
    <t>FLUOR GREEN</t>
  </si>
  <si>
    <t>8435568347328</t>
  </si>
  <si>
    <t>AK16046</t>
  </si>
  <si>
    <t>FLUOR BLUE</t>
  </si>
  <si>
    <t>8435568347335</t>
  </si>
  <si>
    <t>AK16047</t>
  </si>
  <si>
    <t xml:space="preserve">MAHOGANI </t>
  </si>
  <si>
    <t>8435568347342</t>
  </si>
  <si>
    <t>AK16048</t>
  </si>
  <si>
    <t>8435568347359</t>
  </si>
  <si>
    <t>AK16049</t>
  </si>
  <si>
    <t xml:space="preserve">LIME GREEN </t>
  </si>
  <si>
    <t>8435568347366</t>
  </si>
  <si>
    <t>AK16050</t>
  </si>
  <si>
    <t>8435568347373</t>
  </si>
  <si>
    <t>AK16051</t>
  </si>
  <si>
    <t>FORGE RED</t>
  </si>
  <si>
    <t>8435568347380</t>
  </si>
  <si>
    <t>AK16052</t>
  </si>
  <si>
    <t xml:space="preserve">EGGPLANT </t>
  </si>
  <si>
    <t>8435568347397</t>
  </si>
  <si>
    <t>AK16053</t>
  </si>
  <si>
    <t xml:space="preserve">LIGHT WOOD </t>
  </si>
  <si>
    <t>8435568347403</t>
  </si>
  <si>
    <t>AK16054</t>
  </si>
  <si>
    <t>CYAN</t>
  </si>
  <si>
    <t>8435568338982</t>
  </si>
  <si>
    <t>AK16021</t>
  </si>
  <si>
    <t>SET 3 Ref. (INKS)</t>
  </si>
  <si>
    <t>PRIMARY COLORS SET</t>
  </si>
  <si>
    <t>8435568338999</t>
  </si>
  <si>
    <t>AK16022</t>
  </si>
  <si>
    <t>SECONDARY COLORS SET</t>
  </si>
  <si>
    <t>8435568339002</t>
  </si>
  <si>
    <t>AK16023</t>
  </si>
  <si>
    <t>DARKNESS COLORS SET</t>
  </si>
  <si>
    <t>8435568339019</t>
  </si>
  <si>
    <t>AK16024</t>
  </si>
  <si>
    <t>RADIANCE &amp; FIRE COLORS SET</t>
  </si>
  <si>
    <t>8435568339026</t>
  </si>
  <si>
    <t>AK16025</t>
  </si>
  <si>
    <t>NATURE COLORS SET</t>
  </si>
  <si>
    <t>8435568339033</t>
  </si>
  <si>
    <t>AK16026</t>
  </si>
  <si>
    <t>MATERIALS COLORS SET</t>
  </si>
  <si>
    <t>8435568347229</t>
  </si>
  <si>
    <t>AK16027</t>
  </si>
  <si>
    <t>ENERGY COLORS SET</t>
  </si>
  <si>
    <t>8435568347236</t>
  </si>
  <si>
    <t>AK16028</t>
  </si>
  <si>
    <t>MAGIC COLORS SET</t>
  </si>
  <si>
    <t>8435568347243</t>
  </si>
  <si>
    <t>AK16029</t>
  </si>
  <si>
    <t>SPELL COLORS SET</t>
  </si>
  <si>
    <t>8435568347250</t>
  </si>
  <si>
    <t>AK16030</t>
  </si>
  <si>
    <t>ELIXIR COLORS SET</t>
  </si>
  <si>
    <t>8435568347267</t>
  </si>
  <si>
    <t>AK16031</t>
  </si>
  <si>
    <t>TIMBER COLORS SET</t>
  </si>
  <si>
    <t>DUAL EXO</t>
  </si>
  <si>
    <t>8435568327337</t>
  </si>
  <si>
    <t>AK1501</t>
  </si>
  <si>
    <t>Dual Exo 1A - Xtreme White</t>
  </si>
  <si>
    <t>8435568327344</t>
  </si>
  <si>
    <t>AK1502</t>
  </si>
  <si>
    <t>Dual Exo 1B - Robot White</t>
  </si>
  <si>
    <t>8435568327351</t>
  </si>
  <si>
    <t>AK1503</t>
  </si>
  <si>
    <t>Dual Exo 2A - Solar Yellow</t>
  </si>
  <si>
    <t>8435568327368</t>
  </si>
  <si>
    <t>AK1504</t>
  </si>
  <si>
    <t>Dual Exo 2B - Pluto Stone</t>
  </si>
  <si>
    <t>8435568327375</t>
  </si>
  <si>
    <t>AK1505</t>
  </si>
  <si>
    <t>Dual Exo 3A - Power Yellow</t>
  </si>
  <si>
    <t>8435568327382</t>
  </si>
  <si>
    <t>AK1506</t>
  </si>
  <si>
    <t>Dual Exo 3B - Fusion Orange</t>
  </si>
  <si>
    <t>8435568327399</t>
  </si>
  <si>
    <t>AK1507</t>
  </si>
  <si>
    <t>Dual Exo 4A - Pure Orange</t>
  </si>
  <si>
    <t>8435568327405</t>
  </si>
  <si>
    <t>AK1508</t>
  </si>
  <si>
    <t>Dual Exo 4B - Faded Orange</t>
  </si>
  <si>
    <t>8435568327412</t>
  </si>
  <si>
    <t>AK1509</t>
  </si>
  <si>
    <t>Dual Exo 5A - Supernova Red</t>
  </si>
  <si>
    <t>8435568327429</t>
  </si>
  <si>
    <t>AK1510</t>
  </si>
  <si>
    <t>Dual Exo 5B - Dirty Red</t>
  </si>
  <si>
    <t>8435568327436</t>
  </si>
  <si>
    <t>AK1511</t>
  </si>
  <si>
    <t>Dual Exo 6A - Oxide Red</t>
  </si>
  <si>
    <t>8435568327443</t>
  </si>
  <si>
    <t>AK1512</t>
  </si>
  <si>
    <t>Dual Exo 6B - Propeller Fire</t>
  </si>
  <si>
    <t>8435568327450</t>
  </si>
  <si>
    <t>AK1513</t>
  </si>
  <si>
    <t>Dual Exo 7A - Light Brown</t>
  </si>
  <si>
    <t>8435568327467</t>
  </si>
  <si>
    <t>AK1514</t>
  </si>
  <si>
    <t>Dual Exo 7B - Asteroid Brown</t>
  </si>
  <si>
    <t>8435568327474</t>
  </si>
  <si>
    <t>AK1515</t>
  </si>
  <si>
    <t>Dual Exo 8A - Twinkle Pink</t>
  </si>
  <si>
    <t>8435568327481</t>
  </si>
  <si>
    <t>AK1516</t>
  </si>
  <si>
    <t>Dual Exo 8B - Char´s Pink</t>
  </si>
  <si>
    <t>8435568327498</t>
  </si>
  <si>
    <t>AK1517</t>
  </si>
  <si>
    <t>Dual Exo 9A - Ranger Pink</t>
  </si>
  <si>
    <t>8435568327504</t>
  </si>
  <si>
    <t>AK1518</t>
  </si>
  <si>
    <t>Dual Exo 9B - Laser Magenta</t>
  </si>
  <si>
    <t>8435568327511</t>
  </si>
  <si>
    <t>AK1519</t>
  </si>
  <si>
    <t>Dual Exo 10A - Purple Nebula</t>
  </si>
  <si>
    <t>8435568327528</t>
  </si>
  <si>
    <t>AK1520</t>
  </si>
  <si>
    <t>Dual Exo 10B - Purple Andromeda</t>
  </si>
  <si>
    <t>8435568327535</t>
  </si>
  <si>
    <t>AK1521</t>
  </si>
  <si>
    <t>Dual Exo 11A - Ghost Green</t>
  </si>
  <si>
    <t>8435568327542</t>
  </si>
  <si>
    <t>AK1522</t>
  </si>
  <si>
    <t>Dual Exo 11B - Rebel Green</t>
  </si>
  <si>
    <t>8435568327559</t>
  </si>
  <si>
    <t>AK1523</t>
  </si>
  <si>
    <t>Dual Exo 12A - Alien Green</t>
  </si>
  <si>
    <t>8435568327566</t>
  </si>
  <si>
    <t>AK1524</t>
  </si>
  <si>
    <t>Dual Exo 12B - Viridian Green</t>
  </si>
  <si>
    <t>8435568327573</t>
  </si>
  <si>
    <t>AK1525</t>
  </si>
  <si>
    <t>Dual Exo 13A - Galaxy Green</t>
  </si>
  <si>
    <t>8435568327580</t>
  </si>
  <si>
    <t>AK1526</t>
  </si>
  <si>
    <t>Dual Exo 13B - Chaos Green</t>
  </si>
  <si>
    <t>8435568327597</t>
  </si>
  <si>
    <t>AK1527</t>
  </si>
  <si>
    <t>Dual Exo 14A - Uranus Blue</t>
  </si>
  <si>
    <t>8435568327603</t>
  </si>
  <si>
    <t>AK1528</t>
  </si>
  <si>
    <t>Dual Exo 14B - Cobalt Blue</t>
  </si>
  <si>
    <t>8435568327610</t>
  </si>
  <si>
    <t>AK1529</t>
  </si>
  <si>
    <t>Dual Exo 15A - Ultra Blue</t>
  </si>
  <si>
    <t>8435568327627</t>
  </si>
  <si>
    <t>AK1530</t>
  </si>
  <si>
    <t>Dual Exo 15B - Almirant Blue</t>
  </si>
  <si>
    <t>8435568327634</t>
  </si>
  <si>
    <t>AK1531</t>
  </si>
  <si>
    <t>Dual Exo 16A - Blue Bolt</t>
  </si>
  <si>
    <t>8435568327641</t>
  </si>
  <si>
    <t>AK1532</t>
  </si>
  <si>
    <t>Dual Exo 16B - Turbo Blue</t>
  </si>
  <si>
    <t>8435568327658</t>
  </si>
  <si>
    <t>AK1533</t>
  </si>
  <si>
    <t>Dual Exo 17A - Graphite Blue</t>
  </si>
  <si>
    <t>8435568327665</t>
  </si>
  <si>
    <t>AK1534</t>
  </si>
  <si>
    <t>Dual Exo 17B - Lunar Bue</t>
  </si>
  <si>
    <t>8435568327672</t>
  </si>
  <si>
    <t>AK1535</t>
  </si>
  <si>
    <t>Dual Exo 18A - Starship Grey</t>
  </si>
  <si>
    <t>8435568327689</t>
  </si>
  <si>
    <t>AK1536</t>
  </si>
  <si>
    <t>Dual Exo 18B - Ncc Grey</t>
  </si>
  <si>
    <t>8435568327696</t>
  </si>
  <si>
    <t>AK1537</t>
  </si>
  <si>
    <t>Dual Exo 19A - Cosmic Dust</t>
  </si>
  <si>
    <t>8435568327702</t>
  </si>
  <si>
    <t>AK1538</t>
  </si>
  <si>
    <t>Dual Exo 19B - Infinity Black</t>
  </si>
  <si>
    <t>8435568327719</t>
  </si>
  <si>
    <t>AK1539</t>
  </si>
  <si>
    <t>Dual Exo 20A - Auryn</t>
  </si>
  <si>
    <t>8435568327726</t>
  </si>
  <si>
    <t>AK1540</t>
  </si>
  <si>
    <t>Dual Exo 20B - Gold Eclipse</t>
  </si>
  <si>
    <t>8435568327733</t>
  </si>
  <si>
    <t>AK1541</t>
  </si>
  <si>
    <t>Dual Exo 21A - Silver</t>
  </si>
  <si>
    <t>8435568327740</t>
  </si>
  <si>
    <t>AK1542</t>
  </si>
  <si>
    <t>Dual Exo 21B - Gun Metal</t>
  </si>
  <si>
    <t>8435568329003</t>
  </si>
  <si>
    <t>AK1566</t>
  </si>
  <si>
    <t>Thinner DUAL EXO</t>
  </si>
  <si>
    <t>8435568331617</t>
  </si>
  <si>
    <t>AK1571</t>
  </si>
  <si>
    <t>Dual Exo 22A - Light Stone</t>
  </si>
  <si>
    <t>8435568331624</t>
  </si>
  <si>
    <t>AK1572</t>
  </si>
  <si>
    <t>Dual Exo 22B - Dark Stone</t>
  </si>
  <si>
    <t>8435568331631</t>
  </si>
  <si>
    <t>AK1573</t>
  </si>
  <si>
    <t>Dual Exo 23A - Light Brick</t>
  </si>
  <si>
    <t>8435568331648</t>
  </si>
  <si>
    <t>AK1574</t>
  </si>
  <si>
    <t>Dual Exo 23B - Dark Brick</t>
  </si>
  <si>
    <t>8435568331655</t>
  </si>
  <si>
    <t>AK1575</t>
  </si>
  <si>
    <t>Dual Exo 24A - Light Wood</t>
  </si>
  <si>
    <t>8435568331662</t>
  </si>
  <si>
    <t>AK1576</t>
  </si>
  <si>
    <t>Dual Exo 24B - Dark Wood</t>
  </si>
  <si>
    <t>8435568331679</t>
  </si>
  <si>
    <t>AK1577</t>
  </si>
  <si>
    <t>Dual Exo 25A - Light Cianite</t>
  </si>
  <si>
    <t>8435568331686</t>
  </si>
  <si>
    <t>AK1578</t>
  </si>
  <si>
    <t>Dual Exo 25B - Dark Cianite</t>
  </si>
  <si>
    <t>8435568331693</t>
  </si>
  <si>
    <t>AK1579</t>
  </si>
  <si>
    <t>Dual Exo 26A- Light Vegetation</t>
  </si>
  <si>
    <t>8435568331709</t>
  </si>
  <si>
    <t>AK1580</t>
  </si>
  <si>
    <t>Dual Exo 26B - Dark Vegetation</t>
  </si>
  <si>
    <t>8435568333642</t>
  </si>
  <si>
    <t>AK1587</t>
  </si>
  <si>
    <t>Dual Exo 27A - Light Marble</t>
  </si>
  <si>
    <t>8435568333659</t>
  </si>
  <si>
    <t>AK1588</t>
  </si>
  <si>
    <t>Dual Exo 27B - Dark Marble</t>
  </si>
  <si>
    <t>8435568327771</t>
  </si>
  <si>
    <t>AK1543</t>
  </si>
  <si>
    <t>XTREME WHITE &amp; ROBOT WHITE DUAL EXO Set 1</t>
  </si>
  <si>
    <t>8435568327788</t>
  </si>
  <si>
    <t>AK1544</t>
  </si>
  <si>
    <t>SOLAR YELLOW &amp; PLUTO STONE DUAL EXO Set 2</t>
  </si>
  <si>
    <t>8435568327795</t>
  </si>
  <si>
    <t>AK1545</t>
  </si>
  <si>
    <t>POWER YELLOW &amp; FUSION ORANGE DUAL EXO Set 3</t>
  </si>
  <si>
    <t>8435568327801</t>
  </si>
  <si>
    <t>AK1546</t>
  </si>
  <si>
    <t>PURE ORANGE &amp; FADED ORANGE DUAL EXO Set 4</t>
  </si>
  <si>
    <t>8435568327818</t>
  </si>
  <si>
    <t>AK1547</t>
  </si>
  <si>
    <t>SUPERNOVA RED &amp; DIRTY RED DUAL EXO Set 5</t>
  </si>
  <si>
    <t>8435568327825</t>
  </si>
  <si>
    <t>AK1548</t>
  </si>
  <si>
    <t>OXIDE RED &amp; PROPELLER FIRE DUAL EXO Set 6</t>
  </si>
  <si>
    <t>8435568327832</t>
  </si>
  <si>
    <t>AK1549</t>
  </si>
  <si>
    <t>LIGHT BROWN &amp; ASTEROID BROWN DUAL EXO Set 7</t>
  </si>
  <si>
    <t>8435568327849</t>
  </si>
  <si>
    <t>AK1550</t>
  </si>
  <si>
    <t>TWINKLE PINK &amp; CHAR’S PINK DUAL EXO Set 8</t>
  </si>
  <si>
    <t>8435568327856</t>
  </si>
  <si>
    <t>AK1551</t>
  </si>
  <si>
    <t>RANGER PINK &amp; LASER MAGENTA DUAL EXO Set 9</t>
  </si>
  <si>
    <t>8435568327863</t>
  </si>
  <si>
    <t>AK1554</t>
  </si>
  <si>
    <t>PURPLE NEBULA &amp; PURPLE ANDROMEDA DUAL EXO Set 10</t>
  </si>
  <si>
    <t>8435568327870</t>
  </si>
  <si>
    <t>AK1555</t>
  </si>
  <si>
    <t>GHOST GREEN &amp; REBEL GREEN DUAL EXO Set 11</t>
  </si>
  <si>
    <t>8435568327887</t>
  </si>
  <si>
    <t>AK1556</t>
  </si>
  <si>
    <t>ALIEN GREEN &amp; VIRIDIAN GREEN DUAL EXO Set 12</t>
  </si>
  <si>
    <t>8435568327894</t>
  </si>
  <si>
    <t>AK1557</t>
  </si>
  <si>
    <t>GALAXY GREEN &amp; CHAOS GREEN DUAL EXO Set 13</t>
  </si>
  <si>
    <t>8435568327900</t>
  </si>
  <si>
    <t>AK1558</t>
  </si>
  <si>
    <t>URANUS BLUE &amp; COBALT BLUE DUAL EXO Set 14</t>
  </si>
  <si>
    <t>8435568327917</t>
  </si>
  <si>
    <t>AK1559</t>
  </si>
  <si>
    <t>ULTRA BLUE &amp; ALMIRANT BLUE DUAL EXO Set 15</t>
  </si>
  <si>
    <t>8435568327924</t>
  </si>
  <si>
    <t>AK1560</t>
  </si>
  <si>
    <t>BLUE BOLT &amp; TURBO BLUE DUAL EXO Set 16</t>
  </si>
  <si>
    <t>8435568327931</t>
  </si>
  <si>
    <t>AK1561</t>
  </si>
  <si>
    <t>GRAPHITE BLUE &amp; LUNAR BLUE DUAL EXO Set 17</t>
  </si>
  <si>
    <t>8435568327948</t>
  </si>
  <si>
    <t>AK1562</t>
  </si>
  <si>
    <t>STARSHIP GREY &amp; NCC GREY  DUAL EXO Set 18</t>
  </si>
  <si>
    <t>8435568327955</t>
  </si>
  <si>
    <t>AK1563</t>
  </si>
  <si>
    <t>COSMIC DUST &amp; INFINITY BLACK DUAL EXO Set 19</t>
  </si>
  <si>
    <t>8435568327962</t>
  </si>
  <si>
    <t>AK1564</t>
  </si>
  <si>
    <t>AURYN &amp; GOLD ECLIPSE DUAL EXO Set 20</t>
  </si>
  <si>
    <t>8435568327979</t>
  </si>
  <si>
    <t>AK1565</t>
  </si>
  <si>
    <t>SILVER &amp; GUN METAL DUAL EXO Set 21</t>
  </si>
  <si>
    <t>8435568329010</t>
  </si>
  <si>
    <t>AK1567</t>
  </si>
  <si>
    <t>SET BLACK CAPS (24mm diameter)</t>
  </si>
  <si>
    <t>8435568331716</t>
  </si>
  <si>
    <t>AK1581</t>
  </si>
  <si>
    <t>LIGHT STONE &amp; DARK STONE DUAL EXO Set 22</t>
  </si>
  <si>
    <t>8435568331723</t>
  </si>
  <si>
    <t>AK1582</t>
  </si>
  <si>
    <t>LIGHT BRICK &amp; DARK BRICK DUAL EXO Set 23</t>
  </si>
  <si>
    <t>8435568331730</t>
  </si>
  <si>
    <t>AK1583</t>
  </si>
  <si>
    <t>LIGHT WOOD &amp; DARK WOOD DUAL EXO Set 24</t>
  </si>
  <si>
    <t>8435568331747</t>
  </si>
  <si>
    <t>AK1584</t>
  </si>
  <si>
    <t>LIGHT CIANITE &amp; DARK CIANITE DUAL EXO Set 25</t>
  </si>
  <si>
    <t>8435568331754</t>
  </si>
  <si>
    <t>AK1585</t>
  </si>
  <si>
    <t>LIGHT VEGETATION &amp; DARK VEGETATION DUAL EXO Set 26</t>
  </si>
  <si>
    <t>8435568333635</t>
  </si>
  <si>
    <t>AK1586</t>
  </si>
  <si>
    <t>LIGHT MARBLE &amp; DARK MARBLE DUAL EXO Set 27</t>
  </si>
  <si>
    <t>AK183</t>
  </si>
  <si>
    <t>ULTRA MATTE FINISH TOP QUALITY VARNISH 60 ml</t>
  </si>
  <si>
    <t>AK190</t>
  </si>
  <si>
    <t>MATTE VARNISH 60 ml</t>
  </si>
  <si>
    <t>AK191</t>
  </si>
  <si>
    <t>SATIN VARNISH 60 ml</t>
  </si>
  <si>
    <t>AK192</t>
  </si>
  <si>
    <t>GLOSSY VARNISH 60 ml</t>
  </si>
  <si>
    <t>REAL COLORS</t>
  </si>
  <si>
    <t>RC701</t>
  </si>
  <si>
    <t>200 ml</t>
  </si>
  <si>
    <t>High Compatibility Thinner 200ml</t>
  </si>
  <si>
    <t>RC702</t>
  </si>
  <si>
    <t>400 ml</t>
  </si>
  <si>
    <t>High Compatibility Thinner 400ml</t>
  </si>
  <si>
    <t>RC705</t>
  </si>
  <si>
    <t>120 ml</t>
  </si>
  <si>
    <t>SUPER GLOSS VARNISH - FINISH 1K 120 ml</t>
  </si>
  <si>
    <t>8435568335547</t>
  </si>
  <si>
    <t>RC801</t>
  </si>
  <si>
    <t>Flat Varnish 17 ml.</t>
  </si>
  <si>
    <t>8435568335554</t>
  </si>
  <si>
    <t>RC802</t>
  </si>
  <si>
    <t>Satin Varnish 17 ml.</t>
  </si>
  <si>
    <t>8435568335561</t>
  </si>
  <si>
    <t>RC803</t>
  </si>
  <si>
    <t>Gloss Varnish 17 ml.</t>
  </si>
  <si>
    <t>8435568335578</t>
  </si>
  <si>
    <t>RC804</t>
  </si>
  <si>
    <t>Flat Black RAL 9005 17 ml.</t>
  </si>
  <si>
    <t>8435568335585</t>
  </si>
  <si>
    <t>RC805</t>
  </si>
  <si>
    <t>Rubber Black 17 ml.</t>
  </si>
  <si>
    <t>8435568335592</t>
  </si>
  <si>
    <t>RC806</t>
  </si>
  <si>
    <t>Flat White RAL 9003 17 ml.</t>
  </si>
  <si>
    <t>8435568335608</t>
  </si>
  <si>
    <t>RC807</t>
  </si>
  <si>
    <t>Cream White RAL 9001 17 ml.</t>
  </si>
  <si>
    <t>8435568335615</t>
  </si>
  <si>
    <t>RC808</t>
  </si>
  <si>
    <t>Off White 17 ml.</t>
  </si>
  <si>
    <t>8435568335622</t>
  </si>
  <si>
    <t>RC809</t>
  </si>
  <si>
    <t>White Grey RAL 9002 17 ml.</t>
  </si>
  <si>
    <t>8435568335639</t>
  </si>
  <si>
    <t>RC810</t>
  </si>
  <si>
    <t>Red RAL 3000 17 ml.</t>
  </si>
  <si>
    <t>8435568335646</t>
  </si>
  <si>
    <t>RC811</t>
  </si>
  <si>
    <t>Signal Red RAL 3020 17 ml.</t>
  </si>
  <si>
    <t>8435568335653</t>
  </si>
  <si>
    <t>RC812</t>
  </si>
  <si>
    <t>Orange RAL 2004 17 ml.</t>
  </si>
  <si>
    <t>8435568335660</t>
  </si>
  <si>
    <t>RC813</t>
  </si>
  <si>
    <t>Maize Yellow RAL 1006 17 ml.</t>
  </si>
  <si>
    <t>8435568335677</t>
  </si>
  <si>
    <t>RC814</t>
  </si>
  <si>
    <t>Yellow RAL 1003 17 ml.</t>
  </si>
  <si>
    <t>8435568335684</t>
  </si>
  <si>
    <t>RC815</t>
  </si>
  <si>
    <t>Buff 17 ml.</t>
  </si>
  <si>
    <t>8435568335691</t>
  </si>
  <si>
    <t>RC816</t>
  </si>
  <si>
    <t>Pale Blue 17 ml.</t>
  </si>
  <si>
    <t>8435568335707</t>
  </si>
  <si>
    <t>RC817</t>
  </si>
  <si>
    <t>Blue RAL 5001 17 ml.</t>
  </si>
  <si>
    <t>8435568335714</t>
  </si>
  <si>
    <t>RC818</t>
  </si>
  <si>
    <t>Pure Blue RAL 5005 17 ml.</t>
  </si>
  <si>
    <t>8435568335721</t>
  </si>
  <si>
    <t>RC819</t>
  </si>
  <si>
    <t>Gun Metal 17 ml.</t>
  </si>
  <si>
    <t>8435568335738</t>
  </si>
  <si>
    <t>RC820</t>
  </si>
  <si>
    <t>Aluminium 17 ml.</t>
  </si>
  <si>
    <t>8435568335745</t>
  </si>
  <si>
    <t>RC821</t>
  </si>
  <si>
    <t>Clear Red 17 ml.</t>
  </si>
  <si>
    <t>8435568335752</t>
  </si>
  <si>
    <t>RC822</t>
  </si>
  <si>
    <t>Clear Blue 17 ml.</t>
  </si>
  <si>
    <t>8435568335769</t>
  </si>
  <si>
    <t>RC823</t>
  </si>
  <si>
    <t>Clear Green 17 ml.</t>
  </si>
  <si>
    <t>8435568335776</t>
  </si>
  <si>
    <t>RC824</t>
  </si>
  <si>
    <t>Clear Orange 17 ml.</t>
  </si>
  <si>
    <t>8435568335783</t>
  </si>
  <si>
    <t>RC825</t>
  </si>
  <si>
    <t>Clear Yellow 17 ml.</t>
  </si>
  <si>
    <t>8435568335790</t>
  </si>
  <si>
    <t>RC826</t>
  </si>
  <si>
    <t>Clear Smoke 17 ml.</t>
  </si>
  <si>
    <t>8435568335806</t>
  </si>
  <si>
    <t>RC827</t>
  </si>
  <si>
    <t>Solid White 17 ml.</t>
  </si>
  <si>
    <t>8435568335813</t>
  </si>
  <si>
    <t>RC828</t>
  </si>
  <si>
    <t>British F1 Black 1972-1986 17 ml.</t>
  </si>
  <si>
    <t>8435568335820</t>
  </si>
  <si>
    <t>RC829</t>
  </si>
  <si>
    <t>Carbon Fibre Grey 17 ml.</t>
  </si>
  <si>
    <t>8435568335837</t>
  </si>
  <si>
    <t>RC830</t>
  </si>
  <si>
    <t>Wheel Rim Gold 17 ml,</t>
  </si>
  <si>
    <t>8435568335844</t>
  </si>
  <si>
    <t>RC831</t>
  </si>
  <si>
    <t>Fork Gold 17 ml.</t>
  </si>
  <si>
    <t>8435568335851</t>
  </si>
  <si>
    <t>RC832</t>
  </si>
  <si>
    <t>Alfa BT Red 17 ml,</t>
  </si>
  <si>
    <t>8435568335868</t>
  </si>
  <si>
    <t>RC833</t>
  </si>
  <si>
    <t>Maranello F1 Red 1970s-1980s 17 ml.</t>
  </si>
  <si>
    <t>8435568335875</t>
  </si>
  <si>
    <t>RC834</t>
  </si>
  <si>
    <t>Maranello Red 300 17 ml.</t>
  </si>
  <si>
    <t>8435568335882</t>
  </si>
  <si>
    <t>RC835</t>
  </si>
  <si>
    <t>Italian Red 17 ml.</t>
  </si>
  <si>
    <t>8435568335899</t>
  </si>
  <si>
    <t>RC836</t>
  </si>
  <si>
    <t>Panigale Red 17 ml.</t>
  </si>
  <si>
    <t>8435568335905</t>
  </si>
  <si>
    <t>RC837</t>
  </si>
  <si>
    <t>Fluorescent Red RAL 3026 17 ml.</t>
  </si>
  <si>
    <t>8435568335912</t>
  </si>
  <si>
    <t>RC838</t>
  </si>
  <si>
    <t>Fluorescent Orange 17 ml.</t>
  </si>
  <si>
    <t>8435568335929</t>
  </si>
  <si>
    <t>RC839</t>
  </si>
  <si>
    <t>GULF Orange 17 ml.</t>
  </si>
  <si>
    <t>8435568335936</t>
  </si>
  <si>
    <t>RC840</t>
  </si>
  <si>
    <t>Jäger Orange 17 ml.</t>
  </si>
  <si>
    <t>8435568335943</t>
  </si>
  <si>
    <t>RC841</t>
  </si>
  <si>
    <t>French F1 Yellow 1970s-1980s 17ml.</t>
  </si>
  <si>
    <t>8435568335950</t>
  </si>
  <si>
    <t>RC842</t>
  </si>
  <si>
    <t>Light Blue 17 ml.</t>
  </si>
  <si>
    <t>8435568335967</t>
  </si>
  <si>
    <t>RC843</t>
  </si>
  <si>
    <t>Tyrrell Blue 17 ml.</t>
  </si>
  <si>
    <t>8435568335974</t>
  </si>
  <si>
    <t>RC844</t>
  </si>
  <si>
    <t>GULF Blue 17 ml.</t>
  </si>
  <si>
    <t>8435568335981</t>
  </si>
  <si>
    <t>RC845</t>
  </si>
  <si>
    <t>Rally Blue 74F 1997-2002 17 ml.</t>
  </si>
  <si>
    <t>8435568335998</t>
  </si>
  <si>
    <t>RC846</t>
  </si>
  <si>
    <t>Rally Blue 02C 2001-2006 17ml.</t>
  </si>
  <si>
    <t>8435568336001</t>
  </si>
  <si>
    <t>RC847</t>
  </si>
  <si>
    <t>British Racing Green 17 ml.</t>
  </si>
  <si>
    <t>8435568336018</t>
  </si>
  <si>
    <t>RC848</t>
  </si>
  <si>
    <t>Vaillant Green 17 ml.</t>
  </si>
  <si>
    <t>8435568336025</t>
  </si>
  <si>
    <t>RC849</t>
  </si>
  <si>
    <t>Ninja Green 17 ml.</t>
  </si>
  <si>
    <t>8435568336032</t>
  </si>
  <si>
    <t>RC850</t>
  </si>
  <si>
    <t>Holographic Pearl 17 ml.</t>
  </si>
  <si>
    <t>8435568336049</t>
  </si>
  <si>
    <t>RC851</t>
  </si>
  <si>
    <t>Elfenbein-Ivory RAL 1001 (Interior Color) 17 ml.</t>
  </si>
  <si>
    <t>8435568336056</t>
  </si>
  <si>
    <t>RC852</t>
  </si>
  <si>
    <t>Olivgrün-Olive Green RAL 6003 17 ml.</t>
  </si>
  <si>
    <t>8435568336063</t>
  </si>
  <si>
    <t>RC853</t>
  </si>
  <si>
    <t>Graugrün-Grey Green RAL 7008 17 ml.</t>
  </si>
  <si>
    <t>8435568336070</t>
  </si>
  <si>
    <t>RC854</t>
  </si>
  <si>
    <t>Hellgrau-Light Grey RAL 7009 (interior color) 17 m</t>
  </si>
  <si>
    <t>8435568336087</t>
  </si>
  <si>
    <t>RC855</t>
  </si>
  <si>
    <t>Dunkelbraun-Dark Brown RAL 7017 17 ml.</t>
  </si>
  <si>
    <t>8435568336094</t>
  </si>
  <si>
    <t>RC856</t>
  </si>
  <si>
    <t>Dunkelgrau-Dark Grey RAL 7021 17 ml.</t>
  </si>
  <si>
    <t>8435568336100</t>
  </si>
  <si>
    <t>RC857</t>
  </si>
  <si>
    <t>Grau-Grey RAL 7027 17 ml.</t>
  </si>
  <si>
    <t>8435568336117</t>
  </si>
  <si>
    <t>RC858</t>
  </si>
  <si>
    <t>Dunkelgelb Nach Muster-Dark Yellow acc. to Sample</t>
  </si>
  <si>
    <t>8435568336124</t>
  </si>
  <si>
    <t>RC859</t>
  </si>
  <si>
    <t>Dunkelgelb-Dark Yellow RAL 7028 17 ml.</t>
  </si>
  <si>
    <t>8435568336131</t>
  </si>
  <si>
    <t>RC860</t>
  </si>
  <si>
    <t>Dunkelgelb Ausgabe 44-Dark Yellow 1944 RAL 7028 17 ml.</t>
  </si>
  <si>
    <t>8435568336148</t>
  </si>
  <si>
    <t>RC861</t>
  </si>
  <si>
    <t>Gelbbraun-Yellow Brown RAL 8000 17 ml.</t>
  </si>
  <si>
    <t>8435568336155</t>
  </si>
  <si>
    <t>RC862</t>
  </si>
  <si>
    <t>Rot (Rotbraun)-Red Brown RAL 8012 17 ml.</t>
  </si>
  <si>
    <t>8435568336162</t>
  </si>
  <si>
    <t>RC863</t>
  </si>
  <si>
    <t>Rot (Rotbraun)-Red Brown RAL 8013 17 ml.</t>
  </si>
  <si>
    <t>8435568336179</t>
  </si>
  <si>
    <t>RC864</t>
  </si>
  <si>
    <t>Rotbraun-Red Brown RAL 8017 17 ml.</t>
  </si>
  <si>
    <t>8435568336186</t>
  </si>
  <si>
    <t>RC865</t>
  </si>
  <si>
    <t>Braun-Brown RAL 8020 17 ml.</t>
  </si>
  <si>
    <t>8435568336193</t>
  </si>
  <si>
    <t>RC866</t>
  </si>
  <si>
    <t>Silver Grey No.28 (BS381) 17 ml.</t>
  </si>
  <si>
    <t>8435568336209</t>
  </si>
  <si>
    <t>RC867</t>
  </si>
  <si>
    <t>Slate No.34 (BS381) 17 ml.</t>
  </si>
  <si>
    <t>8435568336216</t>
  </si>
  <si>
    <t>RC868</t>
  </si>
  <si>
    <t>Light Stone No.61 (BS381) 17 ml.</t>
  </si>
  <si>
    <t>8435568336223</t>
  </si>
  <si>
    <t>RC869</t>
  </si>
  <si>
    <t>Portland Stone No.64 (BS381) 17 ml.</t>
  </si>
  <si>
    <t>8435568336230</t>
  </si>
  <si>
    <t>RC870</t>
  </si>
  <si>
    <t>British Dark Olive Green PFI 17 ml.</t>
  </si>
  <si>
    <t>8435568336247</t>
  </si>
  <si>
    <t>RC871</t>
  </si>
  <si>
    <t>Bristish Desert Pink ZI 17 ml.</t>
  </si>
  <si>
    <t>8435568336254</t>
  </si>
  <si>
    <t>RC872</t>
  </si>
  <si>
    <t>British Light Mud 17 ml.</t>
  </si>
  <si>
    <t>8435568336261</t>
  </si>
  <si>
    <t>RC873</t>
  </si>
  <si>
    <t>S.C.C. No.1A Very Dark Brown 17 ml.</t>
  </si>
  <si>
    <t>8435568336278</t>
  </si>
  <si>
    <t>RC874</t>
  </si>
  <si>
    <t>S.C.C. No.2 Brown 17 ml.</t>
  </si>
  <si>
    <t>8435568336285</t>
  </si>
  <si>
    <t>RC875</t>
  </si>
  <si>
    <t>S.C.C. No.15 Olive Drab 17 ml.</t>
  </si>
  <si>
    <t>8435568336292</t>
  </si>
  <si>
    <t>RC876</t>
  </si>
  <si>
    <t>Russian Green Protective 4BO 17 ml.</t>
  </si>
  <si>
    <t>8435568336308</t>
  </si>
  <si>
    <t>RC877</t>
  </si>
  <si>
    <t>Russian Modern Green 17 ml.</t>
  </si>
  <si>
    <t>8435568336315</t>
  </si>
  <si>
    <t>RC878</t>
  </si>
  <si>
    <t>Russian Greyish Yellow 17 ml.</t>
  </si>
  <si>
    <t>8435568336322</t>
  </si>
  <si>
    <t>RC879</t>
  </si>
  <si>
    <t>Russian Grey Green 17 ml.</t>
  </si>
  <si>
    <t>8435568336339</t>
  </si>
  <si>
    <t>RC880</t>
  </si>
  <si>
    <t>IDF Early Sand Yellow 17 ml.</t>
  </si>
  <si>
    <t>8435568336346</t>
  </si>
  <si>
    <t>RC881</t>
  </si>
  <si>
    <t>IDF Sand Grey 1970S-1980S 17 ml.</t>
  </si>
  <si>
    <t>8435568336353</t>
  </si>
  <si>
    <t>RC882</t>
  </si>
  <si>
    <t>IDF Modern Grey 17 ml.</t>
  </si>
  <si>
    <t>8435568336360</t>
  </si>
  <si>
    <t>RC883</t>
  </si>
  <si>
    <t>No.9/No.22 Olive Drab (WWII) 17 ml.</t>
  </si>
  <si>
    <t>8435568336377</t>
  </si>
  <si>
    <t>RC884</t>
  </si>
  <si>
    <t>Olive Drab Faded 17 ml.</t>
  </si>
  <si>
    <t>8435568336384</t>
  </si>
  <si>
    <t>RC885</t>
  </si>
  <si>
    <t>CARC Tan 686A FS 33446 17 ml.</t>
  </si>
  <si>
    <t>8435568336391</t>
  </si>
  <si>
    <t>RC886</t>
  </si>
  <si>
    <t>NATO Green 17 ml.</t>
  </si>
  <si>
    <t>8435568336407</t>
  </si>
  <si>
    <t>RC887</t>
  </si>
  <si>
    <t>NATO Brown 17 ml.</t>
  </si>
  <si>
    <t>8435568336414</t>
  </si>
  <si>
    <t>RC888</t>
  </si>
  <si>
    <t>NATO Black 17 ml.</t>
  </si>
  <si>
    <t>8435568336421</t>
  </si>
  <si>
    <t>RC889</t>
  </si>
  <si>
    <t>Light Gull Grey FS 16440 17 ml.</t>
  </si>
  <si>
    <t>8435568336438</t>
  </si>
  <si>
    <t>RC890</t>
  </si>
  <si>
    <t>ADC Grey FS 16473 17 ml.</t>
  </si>
  <si>
    <t>8435568336445</t>
  </si>
  <si>
    <t>RC891</t>
  </si>
  <si>
    <t>Insignia White FS 17875 17 ml.</t>
  </si>
  <si>
    <t>8435568336452</t>
  </si>
  <si>
    <t>RC892</t>
  </si>
  <si>
    <t>Earth Brown FS 30099  17 ml.</t>
  </si>
  <si>
    <t>8435568336469</t>
  </si>
  <si>
    <t>RC893</t>
  </si>
  <si>
    <t>Earth Red FS 30117 17 ml.</t>
  </si>
  <si>
    <t>8435568336476</t>
  </si>
  <si>
    <t>RC894</t>
  </si>
  <si>
    <t>Field Drab FS 30118 17 ml.</t>
  </si>
  <si>
    <t>8435568336483</t>
  </si>
  <si>
    <t>RC895</t>
  </si>
  <si>
    <t>Dark Tan FS 30219 17 ml.</t>
  </si>
  <si>
    <t>8435568336490</t>
  </si>
  <si>
    <t>RC896</t>
  </si>
  <si>
    <t>Sand FS 30277 17 ml.</t>
  </si>
  <si>
    <t>8435568336506</t>
  </si>
  <si>
    <t>RC897</t>
  </si>
  <si>
    <t>Desert Sand FS 30279 17 ml.</t>
  </si>
  <si>
    <t>8435568336513</t>
  </si>
  <si>
    <t>RC898</t>
  </si>
  <si>
    <t>Sand FS 33531 17 ml.</t>
  </si>
  <si>
    <t>8435568336520</t>
  </si>
  <si>
    <t>RC899</t>
  </si>
  <si>
    <t>US Army Helo Drab FS 34031 17 ml.</t>
  </si>
  <si>
    <t>8435568336537</t>
  </si>
  <si>
    <t>RC900</t>
  </si>
  <si>
    <t>Forest Green FS 34079 17 ml.</t>
  </si>
  <si>
    <t>8435568336544</t>
  </si>
  <si>
    <t>RC901</t>
  </si>
  <si>
    <t>Olive Drab FS 34087 17 ml.</t>
  </si>
  <si>
    <t>8435568336551</t>
  </si>
  <si>
    <t>RC902</t>
  </si>
  <si>
    <t>Dull Dark Green FS 34092 17 ml.</t>
  </si>
  <si>
    <t>8435568336568</t>
  </si>
  <si>
    <t>RC903</t>
  </si>
  <si>
    <t>USMC Green FS 34095 17 ml.</t>
  </si>
  <si>
    <t>8435568336575</t>
  </si>
  <si>
    <t>RC904</t>
  </si>
  <si>
    <t>Field Green FS 34097 17 ml.</t>
  </si>
  <si>
    <t>8435568336582</t>
  </si>
  <si>
    <t>RC905</t>
  </si>
  <si>
    <t>Green FS 34102 17 ml.</t>
  </si>
  <si>
    <t>8435568336599</t>
  </si>
  <si>
    <t>RC906</t>
  </si>
  <si>
    <t>Interior Green FS 34151 17 ml.</t>
  </si>
  <si>
    <t>8435568336605</t>
  </si>
  <si>
    <t>RC907</t>
  </si>
  <si>
    <t>Pale Green FS 34227 17 ml.</t>
  </si>
  <si>
    <t>8435568336612</t>
  </si>
  <si>
    <t>RC908</t>
  </si>
  <si>
    <t>Intermediate Blue FS 35164 17 ml.</t>
  </si>
  <si>
    <t>8435568336629</t>
  </si>
  <si>
    <t>RC909</t>
  </si>
  <si>
    <t>Medium Blue Grey FS 35237 17 ml.</t>
  </si>
  <si>
    <t>8435568336636</t>
  </si>
  <si>
    <t>RC910</t>
  </si>
  <si>
    <t>Air Superiority Blue FS 35450 17 ml.</t>
  </si>
  <si>
    <t>8435568336643</t>
  </si>
  <si>
    <t>RC911</t>
  </si>
  <si>
    <t>Duck Egg Blue FS 35622 17 ml.</t>
  </si>
  <si>
    <t>8435568336650</t>
  </si>
  <si>
    <t>RC912</t>
  </si>
  <si>
    <t>Grey FS 36081 17 ml.</t>
  </si>
  <si>
    <t>8435568336667</t>
  </si>
  <si>
    <t>RC913</t>
  </si>
  <si>
    <t>Medium Gunship Grey FS 36118 17 ml.</t>
  </si>
  <si>
    <t>8435568336674</t>
  </si>
  <si>
    <t>RC914</t>
  </si>
  <si>
    <t>Have Glass Grey FS 36170 17 ml.</t>
  </si>
  <si>
    <t>8435568336681</t>
  </si>
  <si>
    <t>RC915</t>
  </si>
  <si>
    <t>F-15 Dark Grey (MOD EAGLE) FS 36176 17 ml.</t>
  </si>
  <si>
    <t>8435568336698</t>
  </si>
  <si>
    <t>RC916</t>
  </si>
  <si>
    <t>Dark Gull Grey FS 36231 17 ml.</t>
  </si>
  <si>
    <t>8435568336704</t>
  </si>
  <si>
    <t>RC917</t>
  </si>
  <si>
    <t>Aggressor Grey FS 36251 17 ml.</t>
  </si>
  <si>
    <t>8435568336711</t>
  </si>
  <si>
    <t>RC918</t>
  </si>
  <si>
    <t>Medium Grey FS 36270 17 ml.</t>
  </si>
  <si>
    <t>8435568336728</t>
  </si>
  <si>
    <t>RC919</t>
  </si>
  <si>
    <t>Dark Ghost Grey FS 36320 17 ml.</t>
  </si>
  <si>
    <t>8435568336735</t>
  </si>
  <si>
    <t>RC920</t>
  </si>
  <si>
    <t>Light Ghost Grey FS 36375 17 ml.</t>
  </si>
  <si>
    <t>8435568336742</t>
  </si>
  <si>
    <t>RC921</t>
  </si>
  <si>
    <t>Light Grey FS 36495 17 ml.</t>
  </si>
  <si>
    <t>8435568336759</t>
  </si>
  <si>
    <t>RC922</t>
  </si>
  <si>
    <t>Camouflage Grey FS 36622 17 ml.</t>
  </si>
  <si>
    <t>8435568336766</t>
  </si>
  <si>
    <t>RC923</t>
  </si>
  <si>
    <t>M-485 Blue Grey 17 ml.</t>
  </si>
  <si>
    <t>8435568336773</t>
  </si>
  <si>
    <t>RC924</t>
  </si>
  <si>
    <t>Sea Blue 17 ml.</t>
  </si>
  <si>
    <t>8435568336780</t>
  </si>
  <si>
    <t>RC925</t>
  </si>
  <si>
    <t>Dark Sea Blue 17 ml.</t>
  </si>
  <si>
    <t>8435568336797</t>
  </si>
  <si>
    <t>RC926</t>
  </si>
  <si>
    <t>Dark Olive Drab 41 17 ml.</t>
  </si>
  <si>
    <t>8435568336803</t>
  </si>
  <si>
    <t>RC927</t>
  </si>
  <si>
    <t>Medium Green 42 17 ml.</t>
  </si>
  <si>
    <t>8435568336810</t>
  </si>
  <si>
    <t>RC928</t>
  </si>
  <si>
    <t>Neutral Grey 43 17 ml.</t>
  </si>
  <si>
    <t>8435568336827</t>
  </si>
  <si>
    <t>RC929</t>
  </si>
  <si>
    <t>US Interior Yellow Green 17 ml.</t>
  </si>
  <si>
    <t>8435568336834</t>
  </si>
  <si>
    <t>RC930</t>
  </si>
  <si>
    <t>Zinc Chromate Yellow 17 ml.</t>
  </si>
  <si>
    <t>8435568336841</t>
  </si>
  <si>
    <t>RC931</t>
  </si>
  <si>
    <t>Bronze Green 17 ml.</t>
  </si>
  <si>
    <t>8435568336858</t>
  </si>
  <si>
    <t>RC932</t>
  </si>
  <si>
    <t>RLM 02 RLM-GRAU (1938) 17 ml.</t>
  </si>
  <si>
    <t>8435568336865</t>
  </si>
  <si>
    <t>RC933</t>
  </si>
  <si>
    <t>RLM 02 RLM-GRAU (1941) 17 ml.</t>
  </si>
  <si>
    <t>8435568336872</t>
  </si>
  <si>
    <t>RC934</t>
  </si>
  <si>
    <t>RLM 04 17 ml.</t>
  </si>
  <si>
    <t>8435568336889</t>
  </si>
  <si>
    <t>RC935</t>
  </si>
  <si>
    <t>RLM 65 (1938) 17 ml.</t>
  </si>
  <si>
    <t>8435568336896</t>
  </si>
  <si>
    <t>RC936</t>
  </si>
  <si>
    <t>RLM 65 (1941) 17 ml.</t>
  </si>
  <si>
    <t>8435568336902</t>
  </si>
  <si>
    <t>RC937</t>
  </si>
  <si>
    <t>RLM 66 (1938) 17 ml.</t>
  </si>
  <si>
    <t>8435568336919</t>
  </si>
  <si>
    <t>RC938</t>
  </si>
  <si>
    <t>RLM 66 (1941) 17 ml.</t>
  </si>
  <si>
    <t>8435568336926</t>
  </si>
  <si>
    <t>RC939</t>
  </si>
  <si>
    <t>RLM 70 17 ml.</t>
  </si>
  <si>
    <t>8435568336933</t>
  </si>
  <si>
    <t>RC940</t>
  </si>
  <si>
    <t>RLM 71 17 ml.</t>
  </si>
  <si>
    <t>8435568336940</t>
  </si>
  <si>
    <t>RC941</t>
  </si>
  <si>
    <t>RLM 74 17 ml.</t>
  </si>
  <si>
    <t>8435568336957</t>
  </si>
  <si>
    <t>RC942</t>
  </si>
  <si>
    <t>RLM 75 17 ml.</t>
  </si>
  <si>
    <t>8435568336964</t>
  </si>
  <si>
    <t>RC943</t>
  </si>
  <si>
    <t>RLM 76 Version 1 17 ml.</t>
  </si>
  <si>
    <t>8435568336971</t>
  </si>
  <si>
    <t>RC944</t>
  </si>
  <si>
    <t>RLM 76 Version 2 17 ml.</t>
  </si>
  <si>
    <t>8435568336988</t>
  </si>
  <si>
    <t>RC945</t>
  </si>
  <si>
    <t>RLM 76 Late War Variation 17 ml.</t>
  </si>
  <si>
    <t>8435568336995</t>
  </si>
  <si>
    <t>RC946</t>
  </si>
  <si>
    <t>RLM 78 17 ml.</t>
  </si>
  <si>
    <t>8435568337008</t>
  </si>
  <si>
    <t>RC947</t>
  </si>
  <si>
    <t>RLM 79 17 ml.</t>
  </si>
  <si>
    <t>8435568337015</t>
  </si>
  <si>
    <t>RC948</t>
  </si>
  <si>
    <t>RLM 80 17 ml.</t>
  </si>
  <si>
    <t>8435568337022</t>
  </si>
  <si>
    <t>RC949</t>
  </si>
  <si>
    <t>RLM 81 Ver.2 (incorrectly called RLM 83) 17 ml.</t>
  </si>
  <si>
    <t>8435568337039</t>
  </si>
  <si>
    <t>RC950</t>
  </si>
  <si>
    <t>RLM 81 Version 3 17 ml.</t>
  </si>
  <si>
    <t>8435568337046</t>
  </si>
  <si>
    <t>RC951</t>
  </si>
  <si>
    <t>RLM 82 17 ml.</t>
  </si>
  <si>
    <t>8435568337053</t>
  </si>
  <si>
    <t>RC952</t>
  </si>
  <si>
    <t>IJN J3 HAI-IRO (GREY) 17 ml.</t>
  </si>
  <si>
    <t>8435568337060</t>
  </si>
  <si>
    <t>RC953</t>
  </si>
  <si>
    <t>IJN J3 SP (AMBER GREY) 17 ml.</t>
  </si>
  <si>
    <t>8435568337077</t>
  </si>
  <si>
    <t>RC954</t>
  </si>
  <si>
    <t>IJN D1 Deep Green Black 17 ml.</t>
  </si>
  <si>
    <t>8435568337084</t>
  </si>
  <si>
    <t>RC955</t>
  </si>
  <si>
    <t>IJN D2 Green Black 17 ml.</t>
  </si>
  <si>
    <t>8435568337091</t>
  </si>
  <si>
    <t>RC956</t>
  </si>
  <si>
    <t>IJN M3 (M) MITSUBISHI Interior Green 17 ml.</t>
  </si>
  <si>
    <t>8435568337107</t>
  </si>
  <si>
    <t>RC957</t>
  </si>
  <si>
    <t>IJN M3 (N) Nakajima Interior Green 17 ml.</t>
  </si>
  <si>
    <t>8435568337114</t>
  </si>
  <si>
    <t>RC958</t>
  </si>
  <si>
    <t>IJN / IJA Aotake 17 ml.</t>
  </si>
  <si>
    <t>8435568337121</t>
  </si>
  <si>
    <t>RC959</t>
  </si>
  <si>
    <t>RAF Sky Grey 17 ml.</t>
  </si>
  <si>
    <t>8435568337138</t>
  </si>
  <si>
    <t>RC960</t>
  </si>
  <si>
    <t>RAF Dark Green 17 ml.</t>
  </si>
  <si>
    <t>8435568337145</t>
  </si>
  <si>
    <t>RC961</t>
  </si>
  <si>
    <t>RAF Dark Earth 17 ml.</t>
  </si>
  <si>
    <t>8435568337152</t>
  </si>
  <si>
    <t>RC962</t>
  </si>
  <si>
    <t>RAF Ocean Grey 17 ml.</t>
  </si>
  <si>
    <t>8435568337169</t>
  </si>
  <si>
    <t>RC963</t>
  </si>
  <si>
    <t>RAF Medium Sea Grey BS381C/637 17 ml.</t>
  </si>
  <si>
    <t>8435568337176</t>
  </si>
  <si>
    <t>RC964</t>
  </si>
  <si>
    <t>RAF Sky / FS 34424 17 ml.</t>
  </si>
  <si>
    <t>8435568337183</t>
  </si>
  <si>
    <t>RC965</t>
  </si>
  <si>
    <t>RAF Azure Blue 17 ml.</t>
  </si>
  <si>
    <t>8435568337190</t>
  </si>
  <si>
    <t>RC966</t>
  </si>
  <si>
    <t>RAF Middle Stone 17 ml.</t>
  </si>
  <si>
    <t>8435568337206</t>
  </si>
  <si>
    <t>RC967</t>
  </si>
  <si>
    <t>RAF Cockpit Grey-Green 17 ml.</t>
  </si>
  <si>
    <t>8435568337213</t>
  </si>
  <si>
    <t>RC968</t>
  </si>
  <si>
    <t>RAF Dark Slate Grey 17 ml.</t>
  </si>
  <si>
    <t>8435568337220</t>
  </si>
  <si>
    <t>RC969</t>
  </si>
  <si>
    <t>RAF Extra Dark Sea Grey BS381C/640 17 ml.</t>
  </si>
  <si>
    <t>8435568337237</t>
  </si>
  <si>
    <t>RC970</t>
  </si>
  <si>
    <t>RAF Dark Sea Grey BS381C/638 17 ml.</t>
  </si>
  <si>
    <t>8435568337244</t>
  </si>
  <si>
    <t>RC971</t>
  </si>
  <si>
    <t>RAF PRU Blue BS381C/636 17 ml.</t>
  </si>
  <si>
    <t>8435568337251</t>
  </si>
  <si>
    <t>RC972</t>
  </si>
  <si>
    <t>RAF Light Aircraft Grey BS381C/627 17 ml.</t>
  </si>
  <si>
    <t>8435568337268</t>
  </si>
  <si>
    <t>RC973</t>
  </si>
  <si>
    <t>RAF Barley Grey BS381C/626 17 ml.</t>
  </si>
  <si>
    <t>8435568337275</t>
  </si>
  <si>
    <t>RC974</t>
  </si>
  <si>
    <t>AMT-1 Light Brown 17 ml.</t>
  </si>
  <si>
    <t>8435568337282</t>
  </si>
  <si>
    <t>RC975</t>
  </si>
  <si>
    <t>AMT-4 / A-24M Green 17 ml.</t>
  </si>
  <si>
    <t>8435568337299</t>
  </si>
  <si>
    <t>RC976</t>
  </si>
  <si>
    <t>AMT-7 Light Blue 17 ml.</t>
  </si>
  <si>
    <t>8435568337305</t>
  </si>
  <si>
    <t>RC977</t>
  </si>
  <si>
    <t>AMT-11 Blue Grey 17 ml.</t>
  </si>
  <si>
    <t>8435568337312</t>
  </si>
  <si>
    <t>RC978</t>
  </si>
  <si>
    <t>AMT-12 Dark Grey 17 ml.</t>
  </si>
  <si>
    <t>8435568337329</t>
  </si>
  <si>
    <t>RC979</t>
  </si>
  <si>
    <t>A-14 Interior Steel Grey 17 ml.</t>
  </si>
  <si>
    <t>8435568337336</t>
  </si>
  <si>
    <t>RC980</t>
  </si>
  <si>
    <t>Russian Cockpit Torquoise 17ml.</t>
  </si>
  <si>
    <t>8435568339804</t>
  </si>
  <si>
    <t>RCS101</t>
  </si>
  <si>
    <t>SET RC X4</t>
  </si>
  <si>
    <t>WWII Luftwaffe Early War Colors SET</t>
  </si>
  <si>
    <t>8435568339811</t>
  </si>
  <si>
    <t>RCS102</t>
  </si>
  <si>
    <t>SET RC X8</t>
  </si>
  <si>
    <t>WWII Luftwaffe Mid-War Colors SET</t>
  </si>
  <si>
    <t>8435568339828</t>
  </si>
  <si>
    <t>RCS103</t>
  </si>
  <si>
    <t>SET RC X6</t>
  </si>
  <si>
    <t>WWII Luftwaffe Late War Colors SET</t>
  </si>
  <si>
    <t>8435568339835</t>
  </si>
  <si>
    <t>RCS104</t>
  </si>
  <si>
    <t>SET RC X3</t>
  </si>
  <si>
    <t>WWII Luftwaffe Tropical Colors SET</t>
  </si>
  <si>
    <t>8435568339842</t>
  </si>
  <si>
    <t>RCS105</t>
  </si>
  <si>
    <t>Luftwaffe Fighter Colors 1941-1944 SET</t>
  </si>
  <si>
    <t>8435568339859</t>
  </si>
  <si>
    <t>RCS106</t>
  </si>
  <si>
    <t>WWII Luftwaffe Cockpit &amp; Interior Colors SET</t>
  </si>
  <si>
    <t>8435568339866</t>
  </si>
  <si>
    <t>RCS107</t>
  </si>
  <si>
    <t>WWII RAF Aircraft Colors SET</t>
  </si>
  <si>
    <t>8435568339873</t>
  </si>
  <si>
    <t>RCS108</t>
  </si>
  <si>
    <t>WWII RAF Temperate Land Scheme SET</t>
  </si>
  <si>
    <t>8435568339880</t>
  </si>
  <si>
    <t>RCS109</t>
  </si>
  <si>
    <t>WWII RAF Day Fighter Scheme SET</t>
  </si>
  <si>
    <t>8435568339897</t>
  </si>
  <si>
    <t>RCS110</t>
  </si>
  <si>
    <t>WWII RAF Aircraft Desert Colors SET</t>
  </si>
  <si>
    <t>8435568339927</t>
  </si>
  <si>
    <t>RCS111</t>
  </si>
  <si>
    <t>WWII US Navy &amp; USMC Aircraft Colors SET</t>
  </si>
  <si>
    <t>8435568339934</t>
  </si>
  <si>
    <t>RCS112</t>
  </si>
  <si>
    <t>WWII US Navy &amp; USMC Aircraft Late War Colors SET</t>
  </si>
  <si>
    <t>8435568339941</t>
  </si>
  <si>
    <t>RCS113</t>
  </si>
  <si>
    <t>WWII USAAF Aircraft Colors SET</t>
  </si>
  <si>
    <t>8435568339958</t>
  </si>
  <si>
    <t>RCS114</t>
  </si>
  <si>
    <t>WWII US Aircraft Interior Colors SET</t>
  </si>
  <si>
    <t>8435568339965</t>
  </si>
  <si>
    <t>RCS115</t>
  </si>
  <si>
    <t>WWII IJN Aircraft Colors SET</t>
  </si>
  <si>
    <t>8435568340008</t>
  </si>
  <si>
    <t>RCS116</t>
  </si>
  <si>
    <t>US Navy&amp;USMC Modern Aircraft&amp;Helicopter Colors SET</t>
  </si>
  <si>
    <t>8435568340015</t>
  </si>
  <si>
    <t>RCS117</t>
  </si>
  <si>
    <t>US Navy &amp; USMC Aircraft Colors 1945-1980 SET</t>
  </si>
  <si>
    <t>8435568340022</t>
  </si>
  <si>
    <t>RCS118</t>
  </si>
  <si>
    <t>USMC Helicopter Colors 1970s-2020s SET</t>
  </si>
  <si>
    <t>8435568340039</t>
  </si>
  <si>
    <t>RCS119</t>
  </si>
  <si>
    <t>US Air Force &amp; ANG Modern Aircraft Colors SET</t>
  </si>
  <si>
    <t>8435568340046</t>
  </si>
  <si>
    <t>RCS120</t>
  </si>
  <si>
    <t>US Air Force &amp; ANG Aircraft Colors 1960s-1980s SET</t>
  </si>
  <si>
    <t>8435568340077</t>
  </si>
  <si>
    <t>RCS121</t>
  </si>
  <si>
    <t>US Army Helicopter Colors SET</t>
  </si>
  <si>
    <t>8435568340138</t>
  </si>
  <si>
    <t>RCS122</t>
  </si>
  <si>
    <t>1937-1944 Panzer Colors SET</t>
  </si>
  <si>
    <t>8435568340145</t>
  </si>
  <si>
    <t>RCS123</t>
  </si>
  <si>
    <t>1945 Panzer Colors SET</t>
  </si>
  <si>
    <t>8435568340152</t>
  </si>
  <si>
    <t>RCS124</t>
  </si>
  <si>
    <t>German Afrika Korps Colors 1941-1943 SET</t>
  </si>
  <si>
    <t>8435568340176</t>
  </si>
  <si>
    <t>RCS125</t>
  </si>
  <si>
    <t>German Army AFV Colors 1943-1945 SET</t>
  </si>
  <si>
    <t>8435568340183</t>
  </si>
  <si>
    <t>RCS126</t>
  </si>
  <si>
    <t>WWII German Tank Interior Colors SET</t>
  </si>
  <si>
    <t>8435568340190</t>
  </si>
  <si>
    <t>RCS127</t>
  </si>
  <si>
    <t>British Army AFV Desert Colors. North Africa and Mediterranean 1940-1943 SET</t>
  </si>
  <si>
    <t>8435568340237</t>
  </si>
  <si>
    <t>RCS128</t>
  </si>
  <si>
    <t>British Army AFV Colors. North-West Europe 1944-1945 SET</t>
  </si>
  <si>
    <t>8435568340244</t>
  </si>
  <si>
    <t>RCS129</t>
  </si>
  <si>
    <t>WWII US Army &amp; USMC Camouflage Colors SET</t>
  </si>
  <si>
    <t>8435568340275</t>
  </si>
  <si>
    <t>RCS130</t>
  </si>
  <si>
    <t>Modern US AFV Colors SET</t>
  </si>
  <si>
    <t>8435568340282</t>
  </si>
  <si>
    <t>RCS131</t>
  </si>
  <si>
    <t>NATO AFV Colors SET</t>
  </si>
  <si>
    <t>8435568340299</t>
  </si>
  <si>
    <t>RCS132</t>
  </si>
  <si>
    <t>Modern Russian AFV Colors SET</t>
  </si>
  <si>
    <t>8435568340305</t>
  </si>
  <si>
    <t>RCS133</t>
  </si>
  <si>
    <t>IDF AFV Colors SET</t>
  </si>
  <si>
    <t>REAL COLORS MARKERS</t>
  </si>
  <si>
    <t>RCM150</t>
  </si>
  <si>
    <t>34 UNITS</t>
  </si>
  <si>
    <t>SPECIAL BOX REAL COLORS MARKERS - 34 units</t>
  </si>
  <si>
    <t>8435568338265</t>
  </si>
  <si>
    <t>RCM001</t>
  </si>
  <si>
    <t>1 UNIT</t>
  </si>
  <si>
    <t>RUBBER BLACK</t>
  </si>
  <si>
    <t>8435568338272</t>
  </si>
  <si>
    <t>RCM002</t>
  </si>
  <si>
    <t>8435568338289</t>
  </si>
  <si>
    <t>RCM003</t>
  </si>
  <si>
    <t>SIGNAL RED RAL 3020</t>
  </si>
  <si>
    <t>8435568338296</t>
  </si>
  <si>
    <t>RCM004</t>
  </si>
  <si>
    <t>YELLOW RAL1003</t>
  </si>
  <si>
    <t>8435568338302</t>
  </si>
  <si>
    <t>RCM005</t>
  </si>
  <si>
    <t>ORANGE RAL2004</t>
  </si>
  <si>
    <t>8435568338319</t>
  </si>
  <si>
    <t>RCM006</t>
  </si>
  <si>
    <t>BLUE RAL5001</t>
  </si>
  <si>
    <t>8435568338326</t>
  </si>
  <si>
    <t>RCM007</t>
  </si>
  <si>
    <t>BROWN</t>
  </si>
  <si>
    <t>8435568338333</t>
  </si>
  <si>
    <t>RCM008</t>
  </si>
  <si>
    <t>8435568338340</t>
  </si>
  <si>
    <t>RCM009</t>
  </si>
  <si>
    <t>DECK TAN</t>
  </si>
  <si>
    <t>8435568338357</t>
  </si>
  <si>
    <t>RCM010</t>
  </si>
  <si>
    <t>8435568338364</t>
  </si>
  <si>
    <t>RCM011</t>
  </si>
  <si>
    <t>DARK ALUMINIUM</t>
  </si>
  <si>
    <t>8435568338371</t>
  </si>
  <si>
    <t>RCM012</t>
  </si>
  <si>
    <t>WOOD BASE</t>
  </si>
  <si>
    <t>8435568338388</t>
  </si>
  <si>
    <t>RCM013</t>
  </si>
  <si>
    <t>CHIPPING COLOR</t>
  </si>
  <si>
    <t>8435568338395</t>
  </si>
  <si>
    <t>RCM014</t>
  </si>
  <si>
    <t>RAL 1001 ELFENBEIN-IVORY</t>
  </si>
  <si>
    <t>8435568338401</t>
  </si>
  <si>
    <t>RCM015</t>
  </si>
  <si>
    <t>RAL 6003 OLIVGRÜN</t>
  </si>
  <si>
    <t>8435568338418</t>
  </si>
  <si>
    <t>RCM016</t>
  </si>
  <si>
    <t>RAL 7009 HELLGRAU-LIGHT GREY</t>
  </si>
  <si>
    <t>8435568338425</t>
  </si>
  <si>
    <t>RCM017</t>
  </si>
  <si>
    <t>RAL 7021 DUNKELGRAU</t>
  </si>
  <si>
    <t>8435568338432</t>
  </si>
  <si>
    <t>RCM018</t>
  </si>
  <si>
    <t>RAL 7028 DUNKELGELB</t>
  </si>
  <si>
    <t>8435568338449</t>
  </si>
  <si>
    <t>RCM019</t>
  </si>
  <si>
    <t>RAL 8012 ROTBRAUN-RED BROWN</t>
  </si>
  <si>
    <t>8435568338456</t>
  </si>
  <si>
    <t>RCM020</t>
  </si>
  <si>
    <t>RAL 8017 ROTBRAUN-RED BROWN</t>
  </si>
  <si>
    <t>8435568338463</t>
  </si>
  <si>
    <t>RCM021</t>
  </si>
  <si>
    <t>OLIVE DRAB</t>
  </si>
  <si>
    <t>8435568338470</t>
  </si>
  <si>
    <t>RCM022</t>
  </si>
  <si>
    <t>INTERIOR GREEN FS 34151</t>
  </si>
  <si>
    <t>8435568338487</t>
  </si>
  <si>
    <t>RCM023</t>
  </si>
  <si>
    <t>US INTERIOR YELLOW GREEN</t>
  </si>
  <si>
    <t>8435568338494</t>
  </si>
  <si>
    <t>RCM024</t>
  </si>
  <si>
    <t>RLM 02 GRAU (1938)</t>
  </si>
  <si>
    <t>8435568338500</t>
  </si>
  <si>
    <t>RCM025</t>
  </si>
  <si>
    <t>RLM 66</t>
  </si>
  <si>
    <t>8435568338517</t>
  </si>
  <si>
    <t>RCM026</t>
  </si>
  <si>
    <t>RLM 76</t>
  </si>
  <si>
    <t>8435568338524</t>
  </si>
  <si>
    <t>RCM027</t>
  </si>
  <si>
    <t>RLM 79</t>
  </si>
  <si>
    <t>8435568338531</t>
  </si>
  <si>
    <t>RCM028</t>
  </si>
  <si>
    <t>RAF COCKPIT GREY-GREEN</t>
  </si>
  <si>
    <t>8435568338548</t>
  </si>
  <si>
    <t>RCM029</t>
  </si>
  <si>
    <t>IJN M3 (M) MITSUBISHI INTERIOR GREEN</t>
  </si>
  <si>
    <t>8435568338555</t>
  </si>
  <si>
    <t>RCM030</t>
  </si>
  <si>
    <t>IJA AO MIDORI IRO (BLUE GREEN)</t>
  </si>
  <si>
    <t>8435568338562</t>
  </si>
  <si>
    <t>RCM031</t>
  </si>
  <si>
    <t>RUSSIAN COCKPIT TORQUOISE</t>
  </si>
  <si>
    <t>8435568340312</t>
  </si>
  <si>
    <t>RCM032</t>
  </si>
  <si>
    <t>GUN METAL</t>
  </si>
  <si>
    <t>8435568340329</t>
  </si>
  <si>
    <t>RCM033</t>
  </si>
  <si>
    <t>8435568340336</t>
  </si>
  <si>
    <t>RCM034</t>
  </si>
  <si>
    <t>FLAT WHITE</t>
  </si>
  <si>
    <t>8435568339125</t>
  </si>
  <si>
    <t>RCM101</t>
  </si>
  <si>
    <t>3 UNITS</t>
  </si>
  <si>
    <t>TOOLS - SET 3 REAL COLORS MARKERS</t>
  </si>
  <si>
    <t>8435568339132</t>
  </si>
  <si>
    <t>RCM102</t>
  </si>
  <si>
    <t>WHEELS - SET 3 REAL COLORS MARKERS</t>
  </si>
  <si>
    <t>8435568339149</t>
  </si>
  <si>
    <t>RCM103</t>
  </si>
  <si>
    <t>WEAPONS - SET 3 REAL COLORS MARKERS</t>
  </si>
  <si>
    <t>8435568339156</t>
  </si>
  <si>
    <t>RCM104</t>
  </si>
  <si>
    <t>SHIPS &amp; DECKS - SET 3 REAL COLORS MARKERS</t>
  </si>
  <si>
    <t>8435568339163</t>
  </si>
  <si>
    <t>RCM105</t>
  </si>
  <si>
    <t>CHIPPING - SET 3 REAL COLORS MARKERS</t>
  </si>
  <si>
    <t>8435568339170</t>
  </si>
  <si>
    <t>RCM106</t>
  </si>
  <si>
    <t>TACTICAL MARKINGS - SET 3 REAL COLORS MARKERS</t>
  </si>
  <si>
    <t>8435568339187</t>
  </si>
  <si>
    <t>RCM107</t>
  </si>
  <si>
    <t>GERMAN TANKS INTERIOR COLORS - SET 3 REAL COLORS MARKERS</t>
  </si>
  <si>
    <t>8435568339194</t>
  </si>
  <si>
    <t>RCM108</t>
  </si>
  <si>
    <t>LATE GERMAN AFV CAMO COLORS - SET 3 REAL COLORS MARKERS</t>
  </si>
  <si>
    <t>8435568339200</t>
  </si>
  <si>
    <t>RCM109</t>
  </si>
  <si>
    <t>WWII ALLIED AIRCRAFT COCKPIT COLORS - SET 3 REAL COLORS MARKERS</t>
  </si>
  <si>
    <t>8435568339217</t>
  </si>
  <si>
    <t>RCM110</t>
  </si>
  <si>
    <t>WWII AXIS AIRCRAFT COCKPIT COLORS - SET 3 REAL COLORS MARKERS</t>
  </si>
  <si>
    <t>8435568339224</t>
  </si>
  <si>
    <t>RCM111</t>
  </si>
  <si>
    <t>WWII AXIS AIRCRAFT SQUIGGLE CAMOUFLAGE COLORS - SET 3 REAL COLORS MARKERS</t>
  </si>
  <si>
    <t>8436535574709</t>
  </si>
  <si>
    <t>AK470</t>
  </si>
  <si>
    <t>XTREME CLEANER &amp; THINNER for Xtreme metal colour range</t>
  </si>
  <si>
    <t>8436535574716</t>
  </si>
  <si>
    <t>AK471</t>
  </si>
  <si>
    <t>XTREME METAL BLACK BASE</t>
  </si>
  <si>
    <t>8436535574723</t>
  </si>
  <si>
    <t>AK472</t>
  </si>
  <si>
    <t>XTREME METAL GOLD</t>
  </si>
  <si>
    <t>8436535574730</t>
  </si>
  <si>
    <t>AK473</t>
  </si>
  <si>
    <t>XTERME METAL COPPER</t>
  </si>
  <si>
    <t>8436535574747</t>
  </si>
  <si>
    <t>AK474</t>
  </si>
  <si>
    <t>XTREME METAL BRONZE</t>
  </si>
  <si>
    <t>8436535574754</t>
  </si>
  <si>
    <t>AK475</t>
  </si>
  <si>
    <t>XTREME METAL BRASS</t>
  </si>
  <si>
    <t>8436535574761</t>
  </si>
  <si>
    <t>AK476</t>
  </si>
  <si>
    <t>XTREME METAL STEEL</t>
  </si>
  <si>
    <t>8436535574778</t>
  </si>
  <si>
    <t>AK477</t>
  </si>
  <si>
    <t>XTREME METAL CHROME</t>
  </si>
  <si>
    <t>8436535574785</t>
  </si>
  <si>
    <t>AK478</t>
  </si>
  <si>
    <t>XTREME WHITE ALUMINIUM</t>
  </si>
  <si>
    <t>8436535574792</t>
  </si>
  <si>
    <t>AK479</t>
  </si>
  <si>
    <t>XTREME METAL ALUMINIUM</t>
  </si>
  <si>
    <t>8436535574808</t>
  </si>
  <si>
    <t>AK480</t>
  </si>
  <si>
    <t>XTREME METAL DARK ALUMINIUM</t>
  </si>
  <si>
    <t>8436535574815</t>
  </si>
  <si>
    <t>AK481</t>
  </si>
  <si>
    <t>XTREME METAL POLISHED ALUMINIUM</t>
  </si>
  <si>
    <t>8436535574822</t>
  </si>
  <si>
    <t>AK482</t>
  </si>
  <si>
    <t>XTREME METAL DURALUMINIUM</t>
  </si>
  <si>
    <t>8436535574839</t>
  </si>
  <si>
    <t>AK483</t>
  </si>
  <si>
    <t>XTREME METAL GUN METAL</t>
  </si>
  <si>
    <t>8436535574846</t>
  </si>
  <si>
    <t>AK484</t>
  </si>
  <si>
    <t>XTREME METAL BURNT METAL</t>
  </si>
  <si>
    <t>8436535574853</t>
  </si>
  <si>
    <t>AK485</t>
  </si>
  <si>
    <t>XTREME METAL PALE BURNT METAL</t>
  </si>
  <si>
    <t>8436535574860</t>
  </si>
  <si>
    <t>AK486</t>
  </si>
  <si>
    <t>XTREME METAL JET EXHAUST</t>
  </si>
  <si>
    <t>8436535574877</t>
  </si>
  <si>
    <t>AK487</t>
  </si>
  <si>
    <t>XTREME METAL METALIC BLUE</t>
  </si>
  <si>
    <t>8436535574884</t>
  </si>
  <si>
    <t>AK488</t>
  </si>
  <si>
    <t>XTERME METAL MATTE ALUMINIUM</t>
  </si>
  <si>
    <t>8436535576697</t>
  </si>
  <si>
    <t>AK669</t>
  </si>
  <si>
    <t>XTREME METAL TITANIUM</t>
  </si>
  <si>
    <t>8436535576703</t>
  </si>
  <si>
    <t>AK670</t>
  </si>
  <si>
    <t>XTREME METAL STAINLESS STEEL</t>
  </si>
  <si>
    <t>8436535576710</t>
  </si>
  <si>
    <t>AK671</t>
  </si>
  <si>
    <t>XTREME METAL SMOKE METALLIC</t>
  </si>
  <si>
    <t>8436535576727</t>
  </si>
  <si>
    <t>AK672</t>
  </si>
  <si>
    <t>XTREME METAL PALE BRASS</t>
  </si>
  <si>
    <t>AK674</t>
  </si>
  <si>
    <t>XTREME METAL METALLIC PURPLE</t>
  </si>
  <si>
    <t>8436535577571</t>
  </si>
  <si>
    <t>AK757</t>
  </si>
  <si>
    <t>BLACK PRIMER AND MICROFILLER 100 ml</t>
  </si>
  <si>
    <t>8436535577588</t>
  </si>
  <si>
    <t>AK758</t>
  </si>
  <si>
    <t>GREY PRIMER AND MICROFILLER 100 ml</t>
  </si>
  <si>
    <t>8436535577595</t>
  </si>
  <si>
    <t>AK759</t>
  </si>
  <si>
    <t>WHITE PRIMER AND MICROFILLER 100 ml</t>
  </si>
  <si>
    <t>8435568326668</t>
  </si>
  <si>
    <t>AK9198</t>
  </si>
  <si>
    <t>SUPER CHROME</t>
  </si>
  <si>
    <t>8435568326675</t>
  </si>
  <si>
    <t>AK9199</t>
  </si>
  <si>
    <t>SUPER CHROME THINNER</t>
  </si>
  <si>
    <t>AK450</t>
  </si>
  <si>
    <t>1 units</t>
  </si>
  <si>
    <t xml:space="preserve">TRUE METAL GOLD </t>
  </si>
  <si>
    <t>AK451</t>
  </si>
  <si>
    <t>TRUE METAL METALIC BLUE</t>
  </si>
  <si>
    <t>AK452</t>
  </si>
  <si>
    <t>TRUE METAL METALIC PURPLE</t>
  </si>
  <si>
    <t>AK453</t>
  </si>
  <si>
    <t>TRUE METAL OLD BRONZE</t>
  </si>
  <si>
    <t>AK454</t>
  </si>
  <si>
    <t>TRUE METAL COPPER</t>
  </si>
  <si>
    <t>AK455</t>
  </si>
  <si>
    <t>TRUE METAL ALUMINIUM</t>
  </si>
  <si>
    <t>AK456</t>
  </si>
  <si>
    <t>TRUE METAL DARK ALUMINIUM</t>
  </si>
  <si>
    <t>AK457</t>
  </si>
  <si>
    <t>TRUE METAL STEEL</t>
  </si>
  <si>
    <t>AK458</t>
  </si>
  <si>
    <t>TRUE METAL SILVER</t>
  </si>
  <si>
    <t>AK459</t>
  </si>
  <si>
    <t>TRUE METAL IRON</t>
  </si>
  <si>
    <t>AK460</t>
  </si>
  <si>
    <t>TRUE METAL BRASS</t>
  </si>
  <si>
    <t>AK461</t>
  </si>
  <si>
    <t>TRUE METAL GUN METAL</t>
  </si>
  <si>
    <t>8435568337374</t>
  </si>
  <si>
    <t>AK465</t>
  </si>
  <si>
    <t>Pure Black 20 ml</t>
  </si>
  <si>
    <t>METALLIC Markers (4 references)</t>
  </si>
  <si>
    <t>AK1301</t>
  </si>
  <si>
    <t>GOLD - Marker</t>
  </si>
  <si>
    <t>AK1302</t>
  </si>
  <si>
    <t>SILVER - Marker</t>
  </si>
  <si>
    <t>AK1303</t>
  </si>
  <si>
    <t>OLD BRONZE - Marker</t>
  </si>
  <si>
    <t>AK1304</t>
  </si>
  <si>
    <t>COPPER - Marker</t>
  </si>
  <si>
    <t>8436564926326</t>
  </si>
  <si>
    <t>AK1009</t>
  </si>
  <si>
    <t>Fine Primer Black - Spray 400ml (Includes 2 nozzles)</t>
  </si>
  <si>
    <t>8436564926333</t>
  </si>
  <si>
    <t>AK1010</t>
  </si>
  <si>
    <t>Fine Primer Grey - Spray 400ml (Includes 2 nozzles)</t>
  </si>
  <si>
    <t>8436564926340</t>
  </si>
  <si>
    <t>AK1011</t>
  </si>
  <si>
    <t>Fine Primer White - Spray 400ml (Includes 2 nozzles)</t>
  </si>
  <si>
    <t>8436564926357</t>
  </si>
  <si>
    <t>AK1012</t>
  </si>
  <si>
    <t>Gloss Varnish - Spray 400ml (Includes 2 nozzles)</t>
  </si>
  <si>
    <t>8436564926364</t>
  </si>
  <si>
    <t>AK1013</t>
  </si>
  <si>
    <t>Matt Varnish - Spray 400ml (Includes 2 nozzles)</t>
  </si>
  <si>
    <t>8436564926371</t>
  </si>
  <si>
    <t>AK1014</t>
  </si>
  <si>
    <t xml:space="preserve">Semi-Gloss varnish - Spray 400ml (Includes 2 nozzles) </t>
  </si>
  <si>
    <t>8436564926388</t>
  </si>
  <si>
    <t>AK1015</t>
  </si>
  <si>
    <t xml:space="preserve">Protective Varnish - Spray 400ml (Includes 2 nozzles)  </t>
  </si>
  <si>
    <t>8436564926395</t>
  </si>
  <si>
    <t>AK1016</t>
  </si>
  <si>
    <t>150 ml</t>
  </si>
  <si>
    <t xml:space="preserve">Fine Metal Primer - Spray 150ml </t>
  </si>
  <si>
    <t>8436564926401</t>
  </si>
  <si>
    <t>AK1017</t>
  </si>
  <si>
    <t xml:space="preserve">Fine Resin Primer - Spray 150ml </t>
  </si>
  <si>
    <t>8436564926418</t>
  </si>
  <si>
    <t>AK1018</t>
  </si>
  <si>
    <t>Microfiller Primer - Spray 150ml (Includes 2 nozzles)</t>
  </si>
  <si>
    <t>8436564926425</t>
  </si>
  <si>
    <t>AK1019</t>
  </si>
  <si>
    <t>Great White Base - Spray 150ml</t>
  </si>
  <si>
    <t>8436564926432</t>
  </si>
  <si>
    <t>AK1020</t>
  </si>
  <si>
    <t>Rust Basecoat - Spray 150ml</t>
  </si>
  <si>
    <t>8436564926463</t>
  </si>
  <si>
    <t>AK1023</t>
  </si>
  <si>
    <t>Dunkelgelb color - Spray 150ml</t>
  </si>
  <si>
    <t>8436564926470</t>
  </si>
  <si>
    <t>AK1024</t>
  </si>
  <si>
    <t>Sand Yellow - Spray 150ml</t>
  </si>
  <si>
    <t>8436564926487</t>
  </si>
  <si>
    <t>AK1025</t>
  </si>
  <si>
    <t>Olive Drab color - Spray 150ml</t>
  </si>
  <si>
    <t>8436564926494</t>
  </si>
  <si>
    <t>AK1026</t>
  </si>
  <si>
    <t>Russian Green color - Spray 150ml</t>
  </si>
  <si>
    <t>8436564926500</t>
  </si>
  <si>
    <t>AK1027</t>
  </si>
  <si>
    <t>Panzergrey (Dunkelgrau) color - Spray 150ml</t>
  </si>
  <si>
    <t>8435568313743</t>
  </si>
  <si>
    <t>AK1052</t>
  </si>
  <si>
    <t xml:space="preserve">400 ml </t>
  </si>
  <si>
    <t>Golden Armor Spray 400ml</t>
  </si>
  <si>
    <t>8435568313781</t>
  </si>
  <si>
    <t>AK1056</t>
  </si>
  <si>
    <t>Cyborg Skin Spray 400ml</t>
  </si>
  <si>
    <t>WARGAME</t>
  </si>
  <si>
    <t>8435568335394</t>
  </si>
  <si>
    <t>AK13001</t>
  </si>
  <si>
    <t>BLACK NIGHT - Deep Shade 30ml</t>
  </si>
  <si>
    <t>8435568335400</t>
  </si>
  <si>
    <t>AK13002</t>
  </si>
  <si>
    <t>PURE GRIME - Deep Shade 30ml</t>
  </si>
  <si>
    <t>8435568335417</t>
  </si>
  <si>
    <t>AK13003</t>
  </si>
  <si>
    <t>REDDISH FILTH - Deep Shade 30ml</t>
  </si>
  <si>
    <t>8435568335424</t>
  </si>
  <si>
    <t>AK13004</t>
  </si>
  <si>
    <t>HAZEL BROWN - Deep Shade 30ml</t>
  </si>
  <si>
    <t>8435568335431</t>
  </si>
  <si>
    <t>AK13005</t>
  </si>
  <si>
    <t>INVOCATION PURPLE - Deep Shade 30ml</t>
  </si>
  <si>
    <t>8435568335448</t>
  </si>
  <si>
    <t>AK13006</t>
  </si>
  <si>
    <t>HUMAN SKIN - Deep Shade 30ml</t>
  </si>
  <si>
    <t>8435568335455</t>
  </si>
  <si>
    <t>AK13007</t>
  </si>
  <si>
    <t>GREENDARK - Deep Shade 30ml</t>
  </si>
  <si>
    <t>8435568335462</t>
  </si>
  <si>
    <t>AK13008</t>
  </si>
  <si>
    <t>BLUE MOON - Deep Shade 30ml</t>
  </si>
  <si>
    <t>8435568335479</t>
  </si>
  <si>
    <t>AK13009</t>
  </si>
  <si>
    <t>CARMINE DAWN - Deep Shade 30ml</t>
  </si>
  <si>
    <t>8435568335486</t>
  </si>
  <si>
    <t>AK13010</t>
  </si>
  <si>
    <t>DEEP SHADE MEDIUM - Deep Shade 30ml</t>
  </si>
  <si>
    <t>8435568330917</t>
  </si>
  <si>
    <t>AK1217</t>
  </si>
  <si>
    <t>Plague Ground 100 ml.</t>
  </si>
  <si>
    <t>8435568330924</t>
  </si>
  <si>
    <t>AK1218</t>
  </si>
  <si>
    <t>Fire Land 100 ml.</t>
  </si>
  <si>
    <t>8435568330931</t>
  </si>
  <si>
    <t>AK1219</t>
  </si>
  <si>
    <t>Shadow Soil 100 ml.</t>
  </si>
  <si>
    <t>8435568330948</t>
  </si>
  <si>
    <t>AK1220</t>
  </si>
  <si>
    <t>Daemon Earth 100 ml.</t>
  </si>
  <si>
    <t>8435568330955</t>
  </si>
  <si>
    <t>AK1221</t>
  </si>
  <si>
    <t>Sunrise Blaze 100 ml.</t>
  </si>
  <si>
    <t>8435568330962</t>
  </si>
  <si>
    <t>AK1222</t>
  </si>
  <si>
    <t>Turquoise Mine 100 ml.</t>
  </si>
  <si>
    <t>8435568330979</t>
  </si>
  <si>
    <t>AK1223</t>
  </si>
  <si>
    <t>Emerald Sphere 100 ml.</t>
  </si>
  <si>
    <t>8435568330986</t>
  </si>
  <si>
    <t>AK1224</t>
  </si>
  <si>
    <t>Lunar Desert 100 ml.</t>
  </si>
  <si>
    <t>8435568330993</t>
  </si>
  <si>
    <t>AK1225</t>
  </si>
  <si>
    <t>Dark Earth 100 ml.</t>
  </si>
  <si>
    <t>8435568331006</t>
  </si>
  <si>
    <t>AK1226</t>
  </si>
  <si>
    <t>Muddy Ground 100 ml.</t>
  </si>
  <si>
    <t>8435568331013</t>
  </si>
  <si>
    <t>AK1227</t>
  </si>
  <si>
    <t>Snow 100 ml.</t>
  </si>
  <si>
    <t>8435568331020</t>
  </si>
  <si>
    <t>AK1228</t>
  </si>
  <si>
    <t>Asphalt 100 ml.</t>
  </si>
  <si>
    <t>8435568331037</t>
  </si>
  <si>
    <t>AK1229</t>
  </si>
  <si>
    <t>Concrete 100 ml.</t>
  </si>
  <si>
    <t>8435568331044</t>
  </si>
  <si>
    <t>AK1230</t>
  </si>
  <si>
    <t>Wet Ground 100 ml.</t>
  </si>
  <si>
    <t>8435568331051</t>
  </si>
  <si>
    <t>AK1231</t>
  </si>
  <si>
    <t>Dry Ground 100 ml.</t>
  </si>
  <si>
    <t>8435568331228</t>
  </si>
  <si>
    <t>AK1232</t>
  </si>
  <si>
    <t>Bloody Land 100 ml.</t>
  </si>
  <si>
    <t>8435568331235</t>
  </si>
  <si>
    <t>AK1233</t>
  </si>
  <si>
    <t>Sorcery Ground 100 ml.</t>
  </si>
  <si>
    <t>8435568331242</t>
  </si>
  <si>
    <t>AK1234</t>
  </si>
  <si>
    <t>Volcanic Earth 100 ml.</t>
  </si>
  <si>
    <t>125 ml</t>
  </si>
  <si>
    <t>8435568331136</t>
  </si>
  <si>
    <t>AK8241</t>
  </si>
  <si>
    <t>ORANGE WARGAME TUFTS</t>
  </si>
  <si>
    <t>8435568331143</t>
  </si>
  <si>
    <t>AK8242</t>
  </si>
  <si>
    <t>PINK WARGAME TUFTS</t>
  </si>
  <si>
    <t>PLAYMARKERS</t>
  </si>
  <si>
    <t>8435568339712</t>
  </si>
  <si>
    <t>AKM150</t>
  </si>
  <si>
    <t xml:space="preserve">SPECIAL BOX AK PLAYMARKERS - Full Range </t>
  </si>
  <si>
    <t>8435568338234</t>
  </si>
  <si>
    <t>AKM001</t>
  </si>
  <si>
    <t>Gun Metal</t>
  </si>
  <si>
    <t>8435568338241</t>
  </si>
  <si>
    <t>AKM002</t>
  </si>
  <si>
    <t>Black</t>
  </si>
  <si>
    <t>8435568338258</t>
  </si>
  <si>
    <t>AKM003</t>
  </si>
  <si>
    <t>White</t>
  </si>
  <si>
    <t>8435568338579</t>
  </si>
  <si>
    <t>AKM004</t>
  </si>
  <si>
    <t>Dirty White</t>
  </si>
  <si>
    <t>8435568338586</t>
  </si>
  <si>
    <t>AKM005</t>
  </si>
  <si>
    <t>Light Grey</t>
  </si>
  <si>
    <t>8435568338593</t>
  </si>
  <si>
    <t>AKM006</t>
  </si>
  <si>
    <t>Dark Grey</t>
  </si>
  <si>
    <t>8435568338609</t>
  </si>
  <si>
    <t>AKM007</t>
  </si>
  <si>
    <t>Light Skin</t>
  </si>
  <si>
    <t>8435568338616</t>
  </si>
  <si>
    <t>AKM008</t>
  </si>
  <si>
    <t>Dark Skin</t>
  </si>
  <si>
    <t>8435568338623</t>
  </si>
  <si>
    <t>AKM009</t>
  </si>
  <si>
    <t>Black Skin</t>
  </si>
  <si>
    <t>8435568338630</t>
  </si>
  <si>
    <t>AKM010</t>
  </si>
  <si>
    <t>Pink Skin</t>
  </si>
  <si>
    <t>8435568338647</t>
  </si>
  <si>
    <t>AKM011</t>
  </si>
  <si>
    <t>Zombie Skin</t>
  </si>
  <si>
    <t>8435568338654</t>
  </si>
  <si>
    <t>AKM012</t>
  </si>
  <si>
    <t>8435568338661</t>
  </si>
  <si>
    <t>AKM013</t>
  </si>
  <si>
    <t>8435568338678</t>
  </si>
  <si>
    <t>AKM014</t>
  </si>
  <si>
    <t>Animal Green</t>
  </si>
  <si>
    <t>8435568338685</t>
  </si>
  <si>
    <t>AKM015</t>
  </si>
  <si>
    <t>Emerald</t>
  </si>
  <si>
    <t>8435568338692</t>
  </si>
  <si>
    <t>AKM016</t>
  </si>
  <si>
    <t>Yellow</t>
  </si>
  <si>
    <t>8435568338708</t>
  </si>
  <si>
    <t>AKM017</t>
  </si>
  <si>
    <t>Peach</t>
  </si>
  <si>
    <t>8435568338715</t>
  </si>
  <si>
    <t>AKM018</t>
  </si>
  <si>
    <t>Red</t>
  </si>
  <si>
    <t>8435568338722</t>
  </si>
  <si>
    <t>AKM019</t>
  </si>
  <si>
    <t>Light Orange</t>
  </si>
  <si>
    <t>8435568338739</t>
  </si>
  <si>
    <t>AKM020</t>
  </si>
  <si>
    <t>Dark Orange</t>
  </si>
  <si>
    <t>8435568338746</t>
  </si>
  <si>
    <t>AKM021</t>
  </si>
  <si>
    <t>Desert Ochre</t>
  </si>
  <si>
    <t>8435568338753</t>
  </si>
  <si>
    <t>AKM022</t>
  </si>
  <si>
    <t>Wood</t>
  </si>
  <si>
    <t>8435568338760</t>
  </si>
  <si>
    <t>AKM023</t>
  </si>
  <si>
    <t>Leather</t>
  </si>
  <si>
    <t>8435568338777</t>
  </si>
  <si>
    <t>AKM024</t>
  </si>
  <si>
    <t>Pink</t>
  </si>
  <si>
    <t>8435568338784</t>
  </si>
  <si>
    <t>AKM025</t>
  </si>
  <si>
    <t>Ultramarine</t>
  </si>
  <si>
    <t>8435568338791</t>
  </si>
  <si>
    <t>AKM026</t>
  </si>
  <si>
    <t>Medium Blue</t>
  </si>
  <si>
    <t>8435568338807</t>
  </si>
  <si>
    <t>AKM027</t>
  </si>
  <si>
    <t>Sky Blue</t>
  </si>
  <si>
    <t>8435568338814</t>
  </si>
  <si>
    <t>AKM028</t>
  </si>
  <si>
    <t>Turquoise</t>
  </si>
  <si>
    <t>8435568338821</t>
  </si>
  <si>
    <t>AKM029</t>
  </si>
  <si>
    <t>Purple</t>
  </si>
  <si>
    <t>8435568338838</t>
  </si>
  <si>
    <t>AKM030</t>
  </si>
  <si>
    <t>Silver</t>
  </si>
  <si>
    <t>8435568339057</t>
  </si>
  <si>
    <t>AKM031</t>
  </si>
  <si>
    <t>Gold</t>
  </si>
  <si>
    <t>8435568339064</t>
  </si>
  <si>
    <t>AKM032</t>
  </si>
  <si>
    <t>Bronze</t>
  </si>
  <si>
    <t>8435568339071</t>
  </si>
  <si>
    <t>AKM033</t>
  </si>
  <si>
    <t>Copper</t>
  </si>
  <si>
    <t>8435568339088</t>
  </si>
  <si>
    <t>AKM034</t>
  </si>
  <si>
    <t>Brass</t>
  </si>
  <si>
    <t>8435568338968</t>
  </si>
  <si>
    <t>AKM108</t>
  </si>
  <si>
    <t>PLAYMARKERS SET - TOOLS &amp; WEAPONS (3 ref.)</t>
  </si>
  <si>
    <t>8435568338975</t>
  </si>
  <si>
    <t>AKM109</t>
  </si>
  <si>
    <t>PLAYMARKERS SET - VISCERA (3 ref.)</t>
  </si>
  <si>
    <t>AK011</t>
  </si>
  <si>
    <t>WHITE SPIRIT 35 ml</t>
  </si>
  <si>
    <t>AK047</t>
  </si>
  <si>
    <t>WHITE SPIRIT 100 ml</t>
  </si>
  <si>
    <t>AK049</t>
  </si>
  <si>
    <t>ODORLESS TURPENTINE 35 ml</t>
  </si>
  <si>
    <t>AK050</t>
  </si>
  <si>
    <t>ODORLESS TURPENTINE 100 ml</t>
  </si>
  <si>
    <t>AK118</t>
  </si>
  <si>
    <t>GRAVEL &amp; SAND FIXER</t>
  </si>
  <si>
    <t>AK119</t>
  </si>
  <si>
    <t>PERFECT CLEANER 100 ml</t>
  </si>
  <si>
    <t>AK159</t>
  </si>
  <si>
    <t>METAL BURNISHING FLUID</t>
  </si>
  <si>
    <t>AK174</t>
  </si>
  <si>
    <t>BRUSH PHOTOETCHE BURNISHING</t>
  </si>
  <si>
    <t>AK186</t>
  </si>
  <si>
    <t>PAINT STRIPPER</t>
  </si>
  <si>
    <t>8435568333895</t>
  </si>
  <si>
    <t xml:space="preserve">250 ml </t>
  </si>
  <si>
    <t>PAINT STIPPER 250ml</t>
  </si>
  <si>
    <t>AK582</t>
  </si>
  <si>
    <t>DECAL ADAPTER SOLUTION</t>
  </si>
  <si>
    <t>AK617</t>
  </si>
  <si>
    <t>WEATHERING PLASTER BASE</t>
  </si>
  <si>
    <t>AK665</t>
  </si>
  <si>
    <t xml:space="preserve">TEXTURIZER ACRYLIC RESIN </t>
  </si>
  <si>
    <t>8435568309128</t>
  </si>
  <si>
    <t>AK8200</t>
  </si>
  <si>
    <t>ANTI-SLIP TEXTURE (2 componentes)</t>
  </si>
  <si>
    <t>AK893</t>
  </si>
  <si>
    <t>GAUZY AGENT GLASS COAT</t>
  </si>
  <si>
    <t>AK894</t>
  </si>
  <si>
    <t>INTERMEDIATE GAUZY AGENT SHINE ENHANCER</t>
  </si>
  <si>
    <t>AK9040</t>
  </si>
  <si>
    <t>TWO-COMPONENTS ULTRA GLOSS LAQUER</t>
  </si>
  <si>
    <t>8435568305984</t>
  </si>
  <si>
    <t>AK9050</t>
  </si>
  <si>
    <t>20ml / 39gr</t>
  </si>
  <si>
    <t xml:space="preserve">DETAIL SHINE ENHANCER </t>
  </si>
  <si>
    <t>8435568331945</t>
  </si>
  <si>
    <t>AK9322</t>
  </si>
  <si>
    <t>40 ml</t>
  </si>
  <si>
    <t xml:space="preserve">Precision Antishine </t>
  </si>
  <si>
    <t>AK103</t>
  </si>
  <si>
    <t>MODELING WHITE PUTTY</t>
  </si>
  <si>
    <t>AK104</t>
  </si>
  <si>
    <t>MODELING GREY PUTTY</t>
  </si>
  <si>
    <t>8435568334281</t>
  </si>
  <si>
    <t>AK9329</t>
  </si>
  <si>
    <t>Modelling Green Putty - High Quality</t>
  </si>
  <si>
    <t>AK11500</t>
  </si>
  <si>
    <t>ACRYLIC THINNER 100 ML   3GEN</t>
  </si>
  <si>
    <t>AK11505</t>
  </si>
  <si>
    <t>Perfect Cleaner</t>
  </si>
  <si>
    <t>8435568343511</t>
  </si>
  <si>
    <t>AK11510</t>
  </si>
  <si>
    <t>Airbrush Flow Improver 100</t>
  </si>
  <si>
    <t>AK712</t>
  </si>
  <si>
    <t>AK737</t>
  </si>
  <si>
    <t>DRYING RETARDER</t>
  </si>
  <si>
    <t>8435568330573</t>
  </si>
  <si>
    <t>AK8077</t>
  </si>
  <si>
    <t>MULTIPURPOSE CERAMIC VARNISH (SUPER GLOSS)</t>
  </si>
  <si>
    <t>AK897</t>
  </si>
  <si>
    <t>130 gr</t>
  </si>
  <si>
    <t>EASY CAST TEXTURE</t>
  </si>
  <si>
    <t>8435568328921</t>
  </si>
  <si>
    <t>AK9315</t>
  </si>
  <si>
    <t>ATOMIZER CLEANER FOR ACRYLIC</t>
  </si>
  <si>
    <t>8435568328938</t>
  </si>
  <si>
    <t>AK9316</t>
  </si>
  <si>
    <t>ATOMIZER CLEANER FOR ENAMEL</t>
  </si>
  <si>
    <t>AK505</t>
  </si>
  <si>
    <t>MIX AND READY - Acrylics (6 Empty, 17ml jars WITH SHAKER BALL)</t>
  </si>
  <si>
    <t>AK612</t>
  </si>
  <si>
    <t>ALUMINUM PALLET 6 WELLS</t>
  </si>
  <si>
    <t>8436535576130</t>
  </si>
  <si>
    <t>AK613</t>
  </si>
  <si>
    <t>ALUMINUM PALLET 10 WELLS</t>
  </si>
  <si>
    <t>8436535576147</t>
  </si>
  <si>
    <t>AK614</t>
  </si>
  <si>
    <t>PIPETTES SMALL SIZE (12 units)</t>
  </si>
  <si>
    <t>8436535576154</t>
  </si>
  <si>
    <t>AK615</t>
  </si>
  <si>
    <t>PIPETTES MEDIUM SIZE (7 units)</t>
  </si>
  <si>
    <t>8436535576161</t>
  </si>
  <si>
    <t>AK616</t>
  </si>
  <si>
    <t>MIX N READY (4 EMPTY JARS WHITH LABELS)</t>
  </si>
  <si>
    <t>AK8076</t>
  </si>
  <si>
    <t>80 gr</t>
  </si>
  <si>
    <t>Elastic Masking Putty</t>
  </si>
  <si>
    <t>8435568301658</t>
  </si>
  <si>
    <t>AK8207</t>
  </si>
  <si>
    <t>Modelling Stirring Bars</t>
  </si>
  <si>
    <t>AK892</t>
  </si>
  <si>
    <t>STAINLESS STEEL SHAKERS (250 balls)</t>
  </si>
  <si>
    <t>8435568305601</t>
  </si>
  <si>
    <t>AK9014</t>
  </si>
  <si>
    <t>Six Wells Tray</t>
  </si>
  <si>
    <t>8435568305649</t>
  </si>
  <si>
    <t>AK9046</t>
  </si>
  <si>
    <t>Paint Doser Bottles 4x30 ml</t>
  </si>
  <si>
    <t>8435568305656</t>
  </si>
  <si>
    <t>AK9047</t>
  </si>
  <si>
    <t>Paint Doser Bottles 4x60 ml</t>
  </si>
  <si>
    <t>8435568305663</t>
  </si>
  <si>
    <t>AK9048</t>
  </si>
  <si>
    <t>Paint Doser Bottles 3x100 ml</t>
  </si>
  <si>
    <t>8435568301597</t>
  </si>
  <si>
    <t>AK8201</t>
  </si>
  <si>
    <t xml:space="preserve">Masking Tape 2mm </t>
  </si>
  <si>
    <t>8435568301603</t>
  </si>
  <si>
    <t>AK8202</t>
  </si>
  <si>
    <t>Masking Tape 3 mm</t>
  </si>
  <si>
    <t>8435568301627</t>
  </si>
  <si>
    <t>AK8204</t>
  </si>
  <si>
    <t>Masking Tape 12 mm</t>
  </si>
  <si>
    <t>8435568301634</t>
  </si>
  <si>
    <t>AK8205</t>
  </si>
  <si>
    <t>Masking Tape 18 mm</t>
  </si>
  <si>
    <t>8435568330825</t>
  </si>
  <si>
    <t>AK8211</t>
  </si>
  <si>
    <t>Masking Tape A4 - 2 units</t>
  </si>
  <si>
    <t>AK9045</t>
  </si>
  <si>
    <t>PLANTILLA DE MASCARA PARA AEROGRAFÍA (2 UNID TAMAÑO A4)</t>
  </si>
  <si>
    <t>8435568312579</t>
  </si>
  <si>
    <t>AK9181</t>
  </si>
  <si>
    <t>Blue masking Tape for curves 1mm</t>
  </si>
  <si>
    <t>8435568312586</t>
  </si>
  <si>
    <t>AK9182</t>
  </si>
  <si>
    <t>Blue masking Tape for curves 2mm</t>
  </si>
  <si>
    <t>8435568312630</t>
  </si>
  <si>
    <t>AK9183</t>
  </si>
  <si>
    <t>Blue masking Tape for curves 3 mm</t>
  </si>
  <si>
    <t>8435568312647</t>
  </si>
  <si>
    <t>AK9184</t>
  </si>
  <si>
    <t>Blue masking Tape for curves 6mm</t>
  </si>
  <si>
    <t>8435568312654</t>
  </si>
  <si>
    <t>AK9185</t>
  </si>
  <si>
    <t>Blue masking Tape for curves 10mm</t>
  </si>
  <si>
    <t>AK12001</t>
  </si>
  <si>
    <t>QUICK CEMENT EXTRA THIN</t>
  </si>
  <si>
    <t>AK12002</t>
  </si>
  <si>
    <t>EXTRA THIN CEMENT</t>
  </si>
  <si>
    <t>AK12003</t>
  </si>
  <si>
    <t xml:space="preserve">PLASTIC CEMENT STANDARD DENSITY </t>
  </si>
  <si>
    <t>8435568338869</t>
  </si>
  <si>
    <t>REFILLQUICK CEMENT EXTRA THIN</t>
  </si>
  <si>
    <t>8435568338876</t>
  </si>
  <si>
    <t>AK12002-B</t>
  </si>
  <si>
    <t>REFILLEXTRA THIN CEMENT</t>
  </si>
  <si>
    <t>8435568338883</t>
  </si>
  <si>
    <t>AK12003-B</t>
  </si>
  <si>
    <t>REFILLPLASTIC CEMENT STANDARD DENSITY</t>
  </si>
  <si>
    <t>AK12014</t>
  </si>
  <si>
    <t xml:space="preserve">WOLVERINE P.V.A. GLUE / WOLVERINE COLA BLANCA </t>
  </si>
  <si>
    <t>AK12015</t>
  </si>
  <si>
    <t>20 gr</t>
  </si>
  <si>
    <t xml:space="preserve">MAGNET CYANOCRYLATE GLUE / MAGNET PEGAMENTO CIANOCRILATO </t>
  </si>
  <si>
    <t>8435568305748</t>
  </si>
  <si>
    <t>AK12017</t>
  </si>
  <si>
    <t>ERASER CLEANER FOR CYANOCRYLATE (EXCESS REMOVER) / LIMPIADOR PARA PEGAMENTO DE CIANOACRILATO (ELIMINADOR DE EXCESO)</t>
  </si>
  <si>
    <t>AK12026</t>
  </si>
  <si>
    <t>FLASH - ACCELERATOR FOR CYANOACRYLATE GLUE / ACTIVADOR DE PEGAMENTO DE CIANOCRILATO</t>
  </si>
  <si>
    <t>8435568348738</t>
  </si>
  <si>
    <t>AK12101</t>
  </si>
  <si>
    <t>LIGHT GREY 30ml</t>
  </si>
  <si>
    <t>8435568348745</t>
  </si>
  <si>
    <t>AK12102</t>
  </si>
  <si>
    <t>BLACK 30ml</t>
  </si>
  <si>
    <t>8435568348752</t>
  </si>
  <si>
    <t>AK12103</t>
  </si>
  <si>
    <t>SEPIA 30ml</t>
  </si>
  <si>
    <t>8435568348769</t>
  </si>
  <si>
    <t>AK12104</t>
  </si>
  <si>
    <t>DARK BROWN 30ml</t>
  </si>
  <si>
    <t>8435568348776</t>
  </si>
  <si>
    <t>AK12105</t>
  </si>
  <si>
    <t>FRESH RUST 30ml</t>
  </si>
  <si>
    <t>8435568348783</t>
  </si>
  <si>
    <t>AK12106</t>
  </si>
  <si>
    <t>DARK RUST 30ml</t>
  </si>
  <si>
    <t>8435568348790</t>
  </si>
  <si>
    <t>AK12107</t>
  </si>
  <si>
    <t>RAW UMBER GREENISH 30ml</t>
  </si>
  <si>
    <t>8435568331952</t>
  </si>
  <si>
    <t>AK9323</t>
  </si>
  <si>
    <t>Crystal Magic Glue</t>
  </si>
  <si>
    <t>AK9079</t>
  </si>
  <si>
    <t>PLANTILLA DE AEROGRAFÍA FLEXIBLE 1/20 1/24 1/35</t>
  </si>
  <si>
    <t>AK9080</t>
  </si>
  <si>
    <t>PLANTILLA DE AEROGRAFÍA FLEXIBLE 1/48 1/72</t>
  </si>
  <si>
    <t>8435568345409</t>
  </si>
  <si>
    <t>AKB001</t>
  </si>
  <si>
    <t>AK SYNTHETIC BRUSH - FLAT 1</t>
  </si>
  <si>
    <t>8435568345416</t>
  </si>
  <si>
    <t>AKB002</t>
  </si>
  <si>
    <t>AK SYNTHETIC BRUSH - FLAT 2</t>
  </si>
  <si>
    <t>8435568345423</t>
  </si>
  <si>
    <t>AKB003</t>
  </si>
  <si>
    <t>AK SYNTHETIC BRUSH - FLAT 4</t>
  </si>
  <si>
    <t>8435568345430</t>
  </si>
  <si>
    <t>AKB004</t>
  </si>
  <si>
    <t>AK SYNTHETIC BRUSH - ROUND 4/0</t>
  </si>
  <si>
    <t>8435568345447</t>
  </si>
  <si>
    <t>AKB005</t>
  </si>
  <si>
    <t>AK SYNTHETIC BRUSH - ROUND 3/0</t>
  </si>
  <si>
    <t>8435568345454</t>
  </si>
  <si>
    <t>AKB006</t>
  </si>
  <si>
    <t>AK SYNTHETIC BRUSH - ROUND 2/0</t>
  </si>
  <si>
    <t>8435568345461</t>
  </si>
  <si>
    <t>AKB007</t>
  </si>
  <si>
    <t>AK SYNTHETIC BRUSH - ROUND 0</t>
  </si>
  <si>
    <t>8435568345478</t>
  </si>
  <si>
    <t>AKB008</t>
  </si>
  <si>
    <t>AK SYNTHETIC BRUSH - ROUND 1</t>
  </si>
  <si>
    <t>8435568345485</t>
  </si>
  <si>
    <t>AKB009</t>
  </si>
  <si>
    <t>AK SYNTHETIC BRUSH - ROUND 2</t>
  </si>
  <si>
    <t>8435568345492</t>
  </si>
  <si>
    <t>AKB010</t>
  </si>
  <si>
    <t>AK SYNTHETIC BRUSH - ANGULAR</t>
  </si>
  <si>
    <t>8435568345508</t>
  </si>
  <si>
    <t>AKB011</t>
  </si>
  <si>
    <t>AK SYNTHETIC BRUSH - COMB</t>
  </si>
  <si>
    <t>8435568345515</t>
  </si>
  <si>
    <t>AKB012</t>
  </si>
  <si>
    <t>AK SYNTHETIC BRUSH - DAGGER L</t>
  </si>
  <si>
    <t>8435568345522</t>
  </si>
  <si>
    <t>AKB013</t>
  </si>
  <si>
    <t>AK SYNTHETIC BRUSH - DAGGER XL</t>
  </si>
  <si>
    <t>8435568345539</t>
  </si>
  <si>
    <t>AKB014</t>
  </si>
  <si>
    <t>AK SYNTHETIC BRUSH - FILBERT 2</t>
  </si>
  <si>
    <t>8435568345546</t>
  </si>
  <si>
    <t>AKB015</t>
  </si>
  <si>
    <t>AK SYNTHETIC BRUSH - FILBERT 4</t>
  </si>
  <si>
    <t>8435568345553</t>
  </si>
  <si>
    <t>AKB016</t>
  </si>
  <si>
    <t>AK SYNTHETIC BRUSH - FILBERT 6</t>
  </si>
  <si>
    <t>8435568345560</t>
  </si>
  <si>
    <t>AKB017</t>
  </si>
  <si>
    <t>AK SYNTHETIC BRUSH - FAN SHAPE</t>
  </si>
  <si>
    <t>8435568345577</t>
  </si>
  <si>
    <t>AKB018</t>
  </si>
  <si>
    <t>AK SYNTHETIC BRUSH - LINER 17mm</t>
  </si>
  <si>
    <t>8435568345584</t>
  </si>
  <si>
    <t>AKB019</t>
  </si>
  <si>
    <t>AK SYNTHETIC BRUSH - HAMMER</t>
  </si>
  <si>
    <t>8435568345591</t>
  </si>
  <si>
    <t>AKB020</t>
  </si>
  <si>
    <t>AK SYNTHETIC TABLETOP BRUSH - 0</t>
  </si>
  <si>
    <t>8435568345607</t>
  </si>
  <si>
    <t>AKB021</t>
  </si>
  <si>
    <t>AK SYNTHETIC TABLETOP BRUSH - 1</t>
  </si>
  <si>
    <t>8435568345614</t>
  </si>
  <si>
    <t>AKB022</t>
  </si>
  <si>
    <t>AK SYNTHETIC TABLETOP BRUSH - 2</t>
  </si>
  <si>
    <t>8435568345621</t>
  </si>
  <si>
    <t>AKB023</t>
  </si>
  <si>
    <t>AK SYNTHETIC DRY BRUSH - S</t>
  </si>
  <si>
    <t>8435568345638</t>
  </si>
  <si>
    <t>AKB024</t>
  </si>
  <si>
    <t>AK SYNTHETIC DRY BRUSH - M</t>
  </si>
  <si>
    <t>8435568345645</t>
  </si>
  <si>
    <t>AKB025</t>
  </si>
  <si>
    <t>AK SYNTHETIC DRY BRUSH - L</t>
  </si>
  <si>
    <t>8435568345652</t>
  </si>
  <si>
    <t>AKB026</t>
  </si>
  <si>
    <t>AK SYNTHETIC DRY BRUSH - XL</t>
  </si>
  <si>
    <t>AKB027</t>
  </si>
  <si>
    <t>AK QUICK GEN SPECIAL BRUSH </t>
  </si>
  <si>
    <t>8435568346956</t>
  </si>
  <si>
    <t>AKB101</t>
  </si>
  <si>
    <t>SURVIVAL WEATHERING BRUSHES SET (5 brushes)</t>
  </si>
  <si>
    <t>8435568346963</t>
  </si>
  <si>
    <t>AKB102</t>
  </si>
  <si>
    <t>TABLETOP SYNTETHIC BRUSHES SET (3 brushes)</t>
  </si>
  <si>
    <t>8435568347007</t>
  </si>
  <si>
    <t>AKB104</t>
  </si>
  <si>
    <t>BASIC BRUSHES SET (3 brushes)</t>
  </si>
  <si>
    <t>8435568347014</t>
  </si>
  <si>
    <t>AKB105</t>
  </si>
  <si>
    <t>PRECISION BRUSHES SET (4 brushes)</t>
  </si>
  <si>
    <t>8435568346949</t>
  </si>
  <si>
    <t>AKB100</t>
  </si>
  <si>
    <t>SYNTHETIC CLOTH CASE FOR BRUSHES</t>
  </si>
  <si>
    <t>8435568347533</t>
  </si>
  <si>
    <t>AKB110</t>
  </si>
  <si>
    <t>10 Brushes</t>
  </si>
  <si>
    <t>SYNTHETIC BRUSHES SET</t>
  </si>
  <si>
    <t>8435568346970</t>
  </si>
  <si>
    <t>AKB150</t>
  </si>
  <si>
    <t>SYNTHETIC BRUSH CONDITION FLUID</t>
  </si>
  <si>
    <t>8435568347410</t>
  </si>
  <si>
    <t>AKB151</t>
  </si>
  <si>
    <t>NATURAL BRUSH CONDITION FLUID</t>
  </si>
  <si>
    <t>8436535575775</t>
  </si>
  <si>
    <t>AK577</t>
  </si>
  <si>
    <t>WEATHERING BRUH FINE LONG</t>
  </si>
  <si>
    <t>8436535575799</t>
  </si>
  <si>
    <t>AK579</t>
  </si>
  <si>
    <t>WEATHERING BRUSH ROUNDED</t>
  </si>
  <si>
    <t>8435568333574</t>
  </si>
  <si>
    <t>AK570</t>
  </si>
  <si>
    <t>Table Top Brush - 0</t>
  </si>
  <si>
    <t>8435568333581</t>
  </si>
  <si>
    <t>AK571</t>
  </si>
  <si>
    <t>Table Top Brush - 1</t>
  </si>
  <si>
    <t>8435568333598</t>
  </si>
  <si>
    <t>AK572</t>
  </si>
  <si>
    <t>Table Top Brush - 2</t>
  </si>
  <si>
    <t>8435568334304</t>
  </si>
  <si>
    <t>AK583</t>
  </si>
  <si>
    <t>COMB Weathering Brush #1</t>
  </si>
  <si>
    <t>8435568334311</t>
  </si>
  <si>
    <t>AK584</t>
  </si>
  <si>
    <t>COMB Weathering Brush #5</t>
  </si>
  <si>
    <t>8435568334885</t>
  </si>
  <si>
    <t>AK585</t>
  </si>
  <si>
    <t>DAGGER Weathering Brush</t>
  </si>
  <si>
    <t>8435568334892</t>
  </si>
  <si>
    <t>AK586</t>
  </si>
  <si>
    <t>ANGLE Weathering Brush</t>
  </si>
  <si>
    <t>8435568334908</t>
  </si>
  <si>
    <t>AK587</t>
  </si>
  <si>
    <t>WHALE TAIL/RIBBON Weathering Brush</t>
  </si>
  <si>
    <t>8435568339095</t>
  </si>
  <si>
    <t>MARTA KOLINSKYBRUSH #1 SHORT</t>
  </si>
  <si>
    <t>8435568339101</t>
  </si>
  <si>
    <t>MARTA KOLINSKYBRUSH #2 SHORT</t>
  </si>
  <si>
    <t>ABT850-0</t>
  </si>
  <si>
    <t>ABT850-00</t>
  </si>
  <si>
    <t>ABT850-1</t>
  </si>
  <si>
    <t>ABT850-2</t>
  </si>
  <si>
    <t>ABT830-10/0</t>
  </si>
  <si>
    <t>ABT830-2</t>
  </si>
  <si>
    <t>ABT830-4</t>
  </si>
  <si>
    <t>ABT830-4/0</t>
  </si>
  <si>
    <t>ABT830-6</t>
  </si>
  <si>
    <t>ABT835-1</t>
  </si>
  <si>
    <t>ABT835-6</t>
  </si>
  <si>
    <t>ABT835-8</t>
  </si>
  <si>
    <t>ABT840-4</t>
  </si>
  <si>
    <t>ABT840-8</t>
  </si>
  <si>
    <t>ABT845-4</t>
  </si>
  <si>
    <t>ABT845-6</t>
  </si>
  <si>
    <t>ABT845-8</t>
  </si>
  <si>
    <t>8435568332973</t>
  </si>
  <si>
    <t>ABT860-2</t>
  </si>
  <si>
    <t>8435568332980</t>
  </si>
  <si>
    <t>ABT865-1</t>
  </si>
  <si>
    <t>8435568304741</t>
  </si>
  <si>
    <t>AK9000</t>
  </si>
  <si>
    <t>Airbrush Basic Line 0.3</t>
  </si>
  <si>
    <t>8435568305519</t>
  </si>
  <si>
    <t>AK9001</t>
  </si>
  <si>
    <t>0.3 Needle (Airbrush Basic Line 0.3)</t>
  </si>
  <si>
    <t>8435568305526</t>
  </si>
  <si>
    <t>AK9002</t>
  </si>
  <si>
    <t>0.3 Nozzle (Airbrush Basic Line 0.3)</t>
  </si>
  <si>
    <t>8435568305533</t>
  </si>
  <si>
    <t>AK9003</t>
  </si>
  <si>
    <t>Hose - 3 meters (Airbrush Basic Line 0.3)</t>
  </si>
  <si>
    <t>8435568305540</t>
  </si>
  <si>
    <t>AK9004</t>
  </si>
  <si>
    <t>Rubber Rings - 20 units (Airbrush Basic Line 0.3)</t>
  </si>
  <si>
    <t>AK9005</t>
  </si>
  <si>
    <t>CARVING TOOLS BOX</t>
  </si>
  <si>
    <t>8435568305168</t>
  </si>
  <si>
    <t>AK9006</t>
  </si>
  <si>
    <t>Hand Drill</t>
  </si>
  <si>
    <t>AK9007</t>
  </si>
  <si>
    <t>Precise Curved Tweezers</t>
  </si>
  <si>
    <t>AK9008</t>
  </si>
  <si>
    <t>Precise Straight Tweezers</t>
  </si>
  <si>
    <t>8435568305472</t>
  </si>
  <si>
    <t>AK9009</t>
  </si>
  <si>
    <t>Plier</t>
  </si>
  <si>
    <t>8435568305489</t>
  </si>
  <si>
    <t>AK9011</t>
  </si>
  <si>
    <t>Cutter</t>
  </si>
  <si>
    <t>8435568305588</t>
  </si>
  <si>
    <t>AK9011B</t>
  </si>
  <si>
    <t>Cutter 20 Spare Blades</t>
  </si>
  <si>
    <t>8435568305496</t>
  </si>
  <si>
    <t>AK9012</t>
  </si>
  <si>
    <t>Side Cutter</t>
  </si>
  <si>
    <t>8435568305502</t>
  </si>
  <si>
    <t>AK9013</t>
  </si>
  <si>
    <t>Basic Tools Set</t>
  </si>
  <si>
    <t>8435568305304</t>
  </si>
  <si>
    <t>AK9029</t>
  </si>
  <si>
    <t xml:space="preserve">Doble-Sided Sponge File </t>
  </si>
  <si>
    <t>8435568305557</t>
  </si>
  <si>
    <t>AK9043</t>
  </si>
  <si>
    <t>Drill Bits</t>
  </si>
  <si>
    <t>8435568306103</t>
  </si>
  <si>
    <t>AK9051</t>
  </si>
  <si>
    <t>SET DE ESPÁTULAS PARA MODELISMO / MODELISM SPATULAS SET</t>
  </si>
  <si>
    <t>8435568306110</t>
  </si>
  <si>
    <t>AK9052</t>
  </si>
  <si>
    <t>SET DE PUNZONES PARA ESCULPIR / SCULPTING BURNISHER SET</t>
  </si>
  <si>
    <t>AK9053</t>
  </si>
  <si>
    <t>Soporte de Aerografos</t>
  </si>
  <si>
    <t>8435568306943</t>
  </si>
  <si>
    <t>AK9085</t>
  </si>
  <si>
    <t>SET 5 PINCELES DE SILICONA DUREZA MEDIA. TAMAÑO PEQUEÑO / SET OF 5 SILICONE BRUSHES MEDIUM HARD TIP SMALL</t>
  </si>
  <si>
    <t>8435568306950</t>
  </si>
  <si>
    <t>AK9086</t>
  </si>
  <si>
    <t>SET 5 PINCELES DE SILICONA DUREZA MEDIA. TAMAÑO MEDIO / SET OF 5 SILICONE BRUSHES MEDIUM HARD TIP MEDIUM</t>
  </si>
  <si>
    <t>8435568306967</t>
  </si>
  <si>
    <t>AK9087</t>
  </si>
  <si>
    <t>SET 5 PINCELES DE SILICONA DUREZA DURA. TAMAÑO PEQUEÑO / SET OF 5 SILICONE BRUSHES HARD TIP SMALL</t>
  </si>
  <si>
    <t>8435568306974</t>
  </si>
  <si>
    <t>AK9088</t>
  </si>
  <si>
    <t>SET 5 PINCELES DE SILICONA DUREZA DURA. TAMAÑO MEDIO / SET OF 5 SILICONE BRUSHES HARD TIP MEDIUM</t>
  </si>
  <si>
    <t>AK9160</t>
  </si>
  <si>
    <t>SPLATTER TOOL</t>
  </si>
  <si>
    <t>AK9161</t>
  </si>
  <si>
    <t>HG ANGLED TWEEZERS 01 (THIN TIPPED)</t>
  </si>
  <si>
    <t>AK9162</t>
  </si>
  <si>
    <t>HG ANGLED TWEEZERS 02 (FLAT-END)</t>
  </si>
  <si>
    <t>AK9168</t>
  </si>
  <si>
    <t>SCISSORS CURVED TIP (SPECIAL FOR PHOTOETCHED)</t>
  </si>
  <si>
    <t>AK9169</t>
  </si>
  <si>
    <t>MULTIFUNCTION BAR TOOL FOR PUTTY</t>
  </si>
  <si>
    <t>8435568312142</t>
  </si>
  <si>
    <t>AK9170</t>
  </si>
  <si>
    <t>Leaves punch oak (1:35 / 1:32 / 54mm)</t>
  </si>
  <si>
    <t>8435568312159</t>
  </si>
  <si>
    <t>AK9171</t>
  </si>
  <si>
    <t>Leaves punch birch  (1:35 / 1:32 / 54mm)</t>
  </si>
  <si>
    <t>8435568312166</t>
  </si>
  <si>
    <t>AK9172</t>
  </si>
  <si>
    <t>Leaves punch maple (1:35 / 1:32 / 54mm)</t>
  </si>
  <si>
    <t>8435568312173</t>
  </si>
  <si>
    <t>AK9173</t>
  </si>
  <si>
    <t>Leaves punch lime (1:35 / 1:32 / 54mm)</t>
  </si>
  <si>
    <t>8435568326767</t>
  </si>
  <si>
    <t>AK9309</t>
  </si>
  <si>
    <t>SCISSORS STRAIGHT. (SPECIAL PHOTOETCHED)</t>
  </si>
  <si>
    <t>8435568326774</t>
  </si>
  <si>
    <t>AK9310</t>
  </si>
  <si>
    <t>SCISSORS STRAIGHT. (SPECIAL DECALS AND PAPER)</t>
  </si>
  <si>
    <t>8435568326781</t>
  </si>
  <si>
    <t>AK9311</t>
  </si>
  <si>
    <t>PHOTO ETCHED SAW SET</t>
  </si>
  <si>
    <t>8435568326798</t>
  </si>
  <si>
    <t>AK9312</t>
  </si>
  <si>
    <t>CRAFT SAW SET (3 BLADES)</t>
  </si>
  <si>
    <t>8435568326804</t>
  </si>
  <si>
    <t>AK9313</t>
  </si>
  <si>
    <t>Double Side Cutting Mat (A5)</t>
  </si>
  <si>
    <t>8435568326811</t>
  </si>
  <si>
    <t>AK9314</t>
  </si>
  <si>
    <t>Reverse Action Tweezers</t>
  </si>
  <si>
    <t>AK9317</t>
  </si>
  <si>
    <t>RUBBING STICK</t>
  </si>
  <si>
    <t>AK9318</t>
  </si>
  <si>
    <t>RUBBING STICK SPARE TIPS 3 MM</t>
  </si>
  <si>
    <t>AK9319</t>
  </si>
  <si>
    <t>RUBBING STICK SPARE TIPS 5 MM</t>
  </si>
  <si>
    <t>8435568333536</t>
  </si>
  <si>
    <t>AK9327</t>
  </si>
  <si>
    <t>Soft and Smooth Sponge Sandpaper SET 4 units</t>
  </si>
  <si>
    <t>8435568334069</t>
  </si>
  <si>
    <t>AK9328</t>
  </si>
  <si>
    <t>PRECISION DISPENSERS (6cannulas &amp; 2 bottles)</t>
  </si>
  <si>
    <t>8435568335103</t>
  </si>
  <si>
    <t>AK9330</t>
  </si>
  <si>
    <t>Multipurpose sticks (8units)</t>
  </si>
  <si>
    <t>8435568305311</t>
  </si>
  <si>
    <t>AK9016</t>
  </si>
  <si>
    <t>Coarse Sanding Pads 120 grit.4 units</t>
  </si>
  <si>
    <t>8435568305335</t>
  </si>
  <si>
    <t>AK9018</t>
  </si>
  <si>
    <t xml:space="preserve">Fine Sanding Pads 400 grit. 4 units </t>
  </si>
  <si>
    <t>8435568305342</t>
  </si>
  <si>
    <t>AK9019</t>
  </si>
  <si>
    <t>Super Fine Sanding Pads 800 grit.4 units</t>
  </si>
  <si>
    <t>AK9022</t>
  </si>
  <si>
    <t>Dry Sandpaper 240 grit x 50 units</t>
  </si>
  <si>
    <t>AK9023</t>
  </si>
  <si>
    <t>Dry Sandpaper 400 grit x 50 units</t>
  </si>
  <si>
    <t>AK9024</t>
  </si>
  <si>
    <t>Dry Sandpaper 600 grit x 50 units</t>
  </si>
  <si>
    <t>AK9025</t>
  </si>
  <si>
    <t>Dry Sandpaper 800 grit x 50 units</t>
  </si>
  <si>
    <t>AK9026</t>
  </si>
  <si>
    <t>Wet Sandpaper 1000 grit x 50 units</t>
  </si>
  <si>
    <t>AK9027</t>
  </si>
  <si>
    <t>Wet Sandpaper 1500 grit x 50 units</t>
  </si>
  <si>
    <t>AK9028</t>
  </si>
  <si>
    <t>Wet Sandpaper 2000 grit x 50 units</t>
  </si>
  <si>
    <t>8435568305373</t>
  </si>
  <si>
    <t>AK9032</t>
  </si>
  <si>
    <t>Wet Sandpaper 800 Grit. 3 units</t>
  </si>
  <si>
    <t>8435568305380</t>
  </si>
  <si>
    <t>AK9033</t>
  </si>
  <si>
    <t>Wet Sandpaper 1000 Grit. 3 units</t>
  </si>
  <si>
    <t>8435568305397</t>
  </si>
  <si>
    <t>AK9034</t>
  </si>
  <si>
    <t>Wet Sandpaper 1200 Grit. 3 units</t>
  </si>
  <si>
    <t>8435568305403</t>
  </si>
  <si>
    <t>AK9035</t>
  </si>
  <si>
    <t>Wet Sandpaper 1500 Grit. 3 units</t>
  </si>
  <si>
    <t>8435568305410</t>
  </si>
  <si>
    <t>AK9036</t>
  </si>
  <si>
    <t>Wet Sandpaper 2000 Grit. 3 units</t>
  </si>
  <si>
    <t>8435568305427</t>
  </si>
  <si>
    <t>AK9037</t>
  </si>
  <si>
    <t>Wet Sandpaper 2500 Grit. 3 units</t>
  </si>
  <si>
    <t>8435568305434</t>
  </si>
  <si>
    <t>AK9038</t>
  </si>
  <si>
    <t>Dry Sandpaper 400 Grit. 3 units</t>
  </si>
  <si>
    <t>8435568305441</t>
  </si>
  <si>
    <t>AK9039</t>
  </si>
  <si>
    <t>Dry Sandpaper 600 Grit. 3 units</t>
  </si>
  <si>
    <t>8435568305458</t>
  </si>
  <si>
    <t>AK9041</t>
  </si>
  <si>
    <t>Dry Sandpaper 800 Grit. 3 units</t>
  </si>
  <si>
    <t>8435568305465</t>
  </si>
  <si>
    <t>AK9042</t>
  </si>
  <si>
    <t>Dry Sandpaper 1000 Grit. 3 units</t>
  </si>
  <si>
    <t>8435568305366</t>
  </si>
  <si>
    <t>AK9073</t>
  </si>
  <si>
    <t>Wet Sandpaper 600 Grit. 3 units</t>
  </si>
  <si>
    <t>8435568312272</t>
  </si>
  <si>
    <t>AK9174</t>
  </si>
  <si>
    <t>Coarse Sanding STICK / Stick de lija gruesta</t>
  </si>
  <si>
    <t>8435568312289</t>
  </si>
  <si>
    <t>AK9175</t>
  </si>
  <si>
    <t>Medium Sanding STICK / Stick de lija media</t>
  </si>
  <si>
    <t>8435568312296</t>
  </si>
  <si>
    <t>AK9176</t>
  </si>
  <si>
    <t>Fine Sanding STICK / Stick Lija fina</t>
  </si>
  <si>
    <t>8435568312302</t>
  </si>
  <si>
    <t>AK9177</t>
  </si>
  <si>
    <t>Extra Fine Sanding STICK / Stick de lija extra fina</t>
  </si>
  <si>
    <t>8435568312319</t>
  </si>
  <si>
    <t>AK9178</t>
  </si>
  <si>
    <t>Sanding Tri-STICK / Stick de lija de tres niveles</t>
  </si>
  <si>
    <t>8435568312326</t>
  </si>
  <si>
    <t>AK9179</t>
  </si>
  <si>
    <t>Sanding STICK Set / SET de lijas</t>
  </si>
  <si>
    <t>8435568335110</t>
  </si>
  <si>
    <t>AK9510</t>
  </si>
  <si>
    <t>WET PALETTE (Includes 40 papers sheets + 2 wipes)</t>
  </si>
  <si>
    <t>8435568335127</t>
  </si>
  <si>
    <t>AK9511</t>
  </si>
  <si>
    <t>Paper 40 units (Wet Palette Replacement)</t>
  </si>
  <si>
    <t>8435568335134</t>
  </si>
  <si>
    <t>AK9512</t>
  </si>
  <si>
    <t>Wipe 2 units (Wet Palette Replacement)</t>
  </si>
  <si>
    <t>8435568331600</t>
  </si>
  <si>
    <t>AK9321</t>
  </si>
  <si>
    <t>TUGSTEN STEEL ENGRAVING SCRIBER</t>
  </si>
  <si>
    <t>8435568337855</t>
  </si>
  <si>
    <t>AK9515</t>
  </si>
  <si>
    <t>HOBBY KNIFE</t>
  </si>
  <si>
    <t>8435568337862</t>
  </si>
  <si>
    <t>AK9515-A</t>
  </si>
  <si>
    <t>STANDARD DIAGONAL (5 SPARE BLADES) Replacement</t>
  </si>
  <si>
    <t>8435568337879</t>
  </si>
  <si>
    <t>AK9515-B</t>
  </si>
  <si>
    <t>BEVELLED EDGE (5 SPARE BLADES) Replacement</t>
  </si>
  <si>
    <t>8435568339415</t>
  </si>
  <si>
    <t>AK9516</t>
  </si>
  <si>
    <t>SCRIBER</t>
  </si>
  <si>
    <t>8435568342385</t>
  </si>
  <si>
    <t>AK9519</t>
  </si>
  <si>
    <t>AIRBRUSH CLEANING POT</t>
  </si>
  <si>
    <t>8435568342392</t>
  </si>
  <si>
    <t>AK9520</t>
  </si>
  <si>
    <t>METAL PAINTING CLIPS</t>
  </si>
  <si>
    <t>8435568344402</t>
  </si>
  <si>
    <t>AK9524</t>
  </si>
  <si>
    <t>FLEXOMETER 3M AK WARGAME</t>
  </si>
  <si>
    <t>8435568345751</t>
  </si>
  <si>
    <t>AK9525</t>
  </si>
  <si>
    <t>8435568345768</t>
  </si>
  <si>
    <t>AK9526</t>
  </si>
  <si>
    <t>8435568345775</t>
  </si>
  <si>
    <t>AK9527</t>
  </si>
  <si>
    <t>8435568345782</t>
  </si>
  <si>
    <t>AK9528</t>
  </si>
  <si>
    <t>DRILL BITS_SET 1 (AB1602L05)</t>
  </si>
  <si>
    <t>8435568345799</t>
  </si>
  <si>
    <t>AK9529</t>
  </si>
  <si>
    <t>DRILL BITS_SET 2 8 (AB1602L06)</t>
  </si>
  <si>
    <t>8435568345805</t>
  </si>
  <si>
    <t>AK9530</t>
  </si>
  <si>
    <t>PHOTOETCHED BENDING TOOL_CAJA 83,2x83,2cm (AB-4551</t>
  </si>
  <si>
    <t>8435568345812</t>
  </si>
  <si>
    <t>AK9531</t>
  </si>
  <si>
    <t>PHOTOETCHED BENDING TOOL 2 CREWS_CAJA164,2x100,2cm</t>
  </si>
  <si>
    <t>8435568350359</t>
  </si>
  <si>
    <t>AK9539</t>
  </si>
  <si>
    <t>CORDLESS ROTARY TOOL</t>
  </si>
  <si>
    <t>AK9700</t>
  </si>
  <si>
    <t xml:space="preserve">SPECIAL TRANSPORT CLOTH CASE </t>
  </si>
  <si>
    <t>AK8002</t>
  </si>
  <si>
    <t>250 ml</t>
  </si>
  <si>
    <t>WATER GEL TRANSPARENT - 250ml (Acrylic)</t>
  </si>
  <si>
    <t>AK8003</t>
  </si>
  <si>
    <t>WATER GEL ATLANTIC BLUE - 250ml (Acrylic)</t>
  </si>
  <si>
    <t>AK8004</t>
  </si>
  <si>
    <t>WATER GEL PACIFIC BLUE - 250ml (Acrylic)</t>
  </si>
  <si>
    <t>AK8006</t>
  </si>
  <si>
    <t>WATER GEL SWAMP GREEN EFFECTS - 250ml (Acrylic)</t>
  </si>
  <si>
    <t>AK8007</t>
  </si>
  <si>
    <t>WATER GEL EFFECTS - 100ml (Acrylic)</t>
  </si>
  <si>
    <t>AK8008</t>
  </si>
  <si>
    <t>STILL WATER - 250ml (Acrylic)</t>
  </si>
  <si>
    <t>AK8009</t>
  </si>
  <si>
    <t>SNOW SPRINKLES - 100ml (Acrylic)</t>
  </si>
  <si>
    <t>AK8010</t>
  </si>
  <si>
    <t xml:space="preserve">SNOW MICROBALLOONS - 100ml </t>
  </si>
  <si>
    <t>AK8011</t>
  </si>
  <si>
    <t>TERRAINS SNOW - 250ml (Acrylic)</t>
  </si>
  <si>
    <t>8436564920959</t>
  </si>
  <si>
    <t>AK8013</t>
  </si>
  <si>
    <t>TERRAINS ASPHALT - 250ml (Acrylic)</t>
  </si>
  <si>
    <t>8436564920966</t>
  </si>
  <si>
    <t>AK8014</t>
  </si>
  <si>
    <t>TERRAINS CONCRETE - 250ml (Acrylic)</t>
  </si>
  <si>
    <t>8436564920973</t>
  </si>
  <si>
    <t>AK8015</t>
  </si>
  <si>
    <t>TERRAINS DRY GROUND - 250ml (Acrylic)</t>
  </si>
  <si>
    <t>8436564920980</t>
  </si>
  <si>
    <t>AK8016</t>
  </si>
  <si>
    <t>TERRAINS WET GROUND - 250ml (Acrylic)</t>
  </si>
  <si>
    <t>8436564920997</t>
  </si>
  <si>
    <t>AK8017</t>
  </si>
  <si>
    <t>TERRAINS MUDDY GROUND - 250ml (Acrylic)</t>
  </si>
  <si>
    <t>8436564921000</t>
  </si>
  <si>
    <t>AK8018</t>
  </si>
  <si>
    <t>TERRAINS DARK EARTH - 250ml (Acrylic)</t>
  </si>
  <si>
    <t>8436564921017</t>
  </si>
  <si>
    <t>AK8019</t>
  </si>
  <si>
    <t>TERRAINS BEACH SAND - 250ml (Acrylic)</t>
  </si>
  <si>
    <t>8436564921024</t>
  </si>
  <si>
    <t>AK8020</t>
  </si>
  <si>
    <t>TERRAINS DESERT SAND - 250ml (Acrylic)</t>
  </si>
  <si>
    <t>8436564921031</t>
  </si>
  <si>
    <t>AK8021</t>
  </si>
  <si>
    <t>TERRAINS LIGHT EARTH - 250ml (Acrylic)</t>
  </si>
  <si>
    <t>8436564921048</t>
  </si>
  <si>
    <t>AK8022</t>
  </si>
  <si>
    <t>TERRAINS SANDY DESERT - 250ml (Acrylic)</t>
  </si>
  <si>
    <t>8436564921055</t>
  </si>
  <si>
    <t>AK8023</t>
  </si>
  <si>
    <t>TERRAINS NEUTRAL TEXTURE - 250ml (Acrylic)</t>
  </si>
  <si>
    <t>8436564921079</t>
  </si>
  <si>
    <t>AK8025</t>
  </si>
  <si>
    <t>NEUTRAL TEXTURE FOR ROUGH TERRAINS - 250ml - Base product (Acrylic)</t>
  </si>
  <si>
    <t>8436564921086</t>
  </si>
  <si>
    <t>AK8026</t>
  </si>
  <si>
    <t>SPLATTER EFFECTS WET MUD - 100ml - Base product (Acrylic)</t>
  </si>
  <si>
    <t>8436564921093</t>
  </si>
  <si>
    <t>AK8027</t>
  </si>
  <si>
    <t>SPLATTER EFFECTS DRY MUD - 100ml (Acrylic)</t>
  </si>
  <si>
    <t>8436564921109</t>
  </si>
  <si>
    <t>AK8028</t>
  </si>
  <si>
    <t>PUDDLES - 60ml (Acrylic)</t>
  </si>
  <si>
    <t>8436564921116</t>
  </si>
  <si>
    <t>AK8029</t>
  </si>
  <si>
    <t>SPLATTER EFFECTS WET GROUND - 100ml (Acrylic)</t>
  </si>
  <si>
    <t>8436564921123</t>
  </si>
  <si>
    <t>AK8030</t>
  </si>
  <si>
    <t>SPLATTER EFFECTS STIRRED EARTH - 100ml (Acrylic)</t>
  </si>
  <si>
    <t>8436564921130</t>
  </si>
  <si>
    <t>AK8031</t>
  </si>
  <si>
    <t>SPLATTER EFFECTS ACCUMULATED DUST - 100ml (Acrylic)</t>
  </si>
  <si>
    <t>8436564921147</t>
  </si>
  <si>
    <t>AK8032</t>
  </si>
  <si>
    <t>DARK &amp; DRY CRACKLE EFFECTS - 100ml (Acrylic)</t>
  </si>
  <si>
    <t>8436564921154</t>
  </si>
  <si>
    <t>AK8033</t>
  </si>
  <si>
    <t>LIGHT &amp; DRY CRACKLE EFFECTS - 100ml (Acrylic)</t>
  </si>
  <si>
    <t>8436564921161</t>
  </si>
  <si>
    <t>AK8034</t>
  </si>
  <si>
    <t>WET CRACKLE EFFECTS - 100ml (Acrylic)</t>
  </si>
  <si>
    <t>8436564921178</t>
  </si>
  <si>
    <t>AK8035</t>
  </si>
  <si>
    <t>SPLATTER EFFECTS DIRT - 100ml (Acrylic)</t>
  </si>
  <si>
    <t>8436564921185</t>
  </si>
  <si>
    <t>AK8036</t>
  </si>
  <si>
    <t>WATER FOAM - 100ml (Acrylic)</t>
  </si>
  <si>
    <t>8436564921192</t>
  </si>
  <si>
    <t>AK8037</t>
  </si>
  <si>
    <t xml:space="preserve">ICE SPARKLES - 100ml </t>
  </si>
  <si>
    <t>8436564921208</t>
  </si>
  <si>
    <t>AK8038</t>
  </si>
  <si>
    <t>MOSS TEXTURE - 100ml (Foam)</t>
  </si>
  <si>
    <t>AK8039</t>
  </si>
  <si>
    <t>Texturizador para Espuma y Sellador</t>
  </si>
  <si>
    <t>AK8040</t>
  </si>
  <si>
    <t>CORROSION TEXTURE - 100ml (Acrylic)</t>
  </si>
  <si>
    <t>8436564921444</t>
  </si>
  <si>
    <t>AK8042</t>
  </si>
  <si>
    <t>LEAVES AND PLANTS NEUTRAL PROTECTION - 250ml</t>
  </si>
  <si>
    <t>8436564921451</t>
  </si>
  <si>
    <t>AK8043</t>
  </si>
  <si>
    <t>375 ml</t>
  </si>
  <si>
    <t xml:space="preserve">RESIN WATER 2-COMPONENTS EPOXY RESIN - 375ml </t>
  </si>
  <si>
    <t>8436564921468</t>
  </si>
  <si>
    <t>AK8044</t>
  </si>
  <si>
    <t>180 ml</t>
  </si>
  <si>
    <t xml:space="preserve">RESIN WATER 2-COMPONENTS EPOXY RESIN - 180ml </t>
  </si>
  <si>
    <t>8435568300392</t>
  </si>
  <si>
    <t>AK8072</t>
  </si>
  <si>
    <t>RAILROAD BALLAST</t>
  </si>
  <si>
    <t>AK8231</t>
  </si>
  <si>
    <t>RESIN STAGNANT WATER COMPONENTS EPOXY RESIN 180ML</t>
  </si>
  <si>
    <t>AK8232</t>
  </si>
  <si>
    <t>RESIN RADIOACTIVE WATER COMPONENTS EPOXY RESIN 180 ML</t>
  </si>
  <si>
    <t>8435568334229</t>
  </si>
  <si>
    <t>AK8256</t>
  </si>
  <si>
    <t>Small Railroad Ballast 1/72</t>
  </si>
  <si>
    <t>8435568334236</t>
  </si>
  <si>
    <t>AK8257</t>
  </si>
  <si>
    <t>Desert Soil 1/35</t>
  </si>
  <si>
    <t>8435568334243</t>
  </si>
  <si>
    <t>AK8258</t>
  </si>
  <si>
    <t>Small Railroad Ballast 1/35</t>
  </si>
  <si>
    <t>8435568335356</t>
  </si>
  <si>
    <t>AK8259</t>
  </si>
  <si>
    <t xml:space="preserve">Vivid Green Mossy Texture </t>
  </si>
  <si>
    <t>8435568335363</t>
  </si>
  <si>
    <t>AK8260</t>
  </si>
  <si>
    <t xml:space="preserve">Green Mossy Texture </t>
  </si>
  <si>
    <t>8435568335370</t>
  </si>
  <si>
    <t>AK8261</t>
  </si>
  <si>
    <t xml:space="preserve">Yellow Lichen </t>
  </si>
  <si>
    <t>8435568335387</t>
  </si>
  <si>
    <t>AK8262</t>
  </si>
  <si>
    <t>Red Brown Lichen</t>
  </si>
  <si>
    <t>8435568301405</t>
  </si>
  <si>
    <t>AK8116</t>
  </si>
  <si>
    <t>Autumn Tufts 6mm</t>
  </si>
  <si>
    <t>8435568301412</t>
  </si>
  <si>
    <t>AK8117</t>
  </si>
  <si>
    <t>Dry Tufts 6mm</t>
  </si>
  <si>
    <t>8435568301436</t>
  </si>
  <si>
    <t>AK8119</t>
  </si>
  <si>
    <t>Mixed Green Tufts  6mm</t>
  </si>
  <si>
    <t>8435568301443</t>
  </si>
  <si>
    <t>AK8120</t>
  </si>
  <si>
    <t>Summer Green Tufts 6mm</t>
  </si>
  <si>
    <t>8435568301450</t>
  </si>
  <si>
    <t>AK8121</t>
  </si>
  <si>
    <t>Winter tufts 6mm</t>
  </si>
  <si>
    <t>8435568301467</t>
  </si>
  <si>
    <t>AK8122</t>
  </si>
  <si>
    <t>Backwater Tuft 4mm</t>
  </si>
  <si>
    <t>8435568301474</t>
  </si>
  <si>
    <t>AK8123</t>
  </si>
  <si>
    <t>Wild Tufts 6mm</t>
  </si>
  <si>
    <t>8435568301481</t>
  </si>
  <si>
    <t>AK8124</t>
  </si>
  <si>
    <t>Summer green tufts 2mm</t>
  </si>
  <si>
    <t>8435568301498</t>
  </si>
  <si>
    <t>AK8125</t>
  </si>
  <si>
    <t>Steppe tufts 8mm</t>
  </si>
  <si>
    <t>8435568301535</t>
  </si>
  <si>
    <t>AK8129</t>
  </si>
  <si>
    <t>Dense autumn tufts 8mm</t>
  </si>
  <si>
    <t>8435568301559</t>
  </si>
  <si>
    <t>AK8131</t>
  </si>
  <si>
    <t>Realistic dark green moss</t>
  </si>
  <si>
    <t>8435568301566</t>
  </si>
  <si>
    <t>AK8132</t>
  </si>
  <si>
    <t>Realistic green moss</t>
  </si>
  <si>
    <t>8435568301702</t>
  </si>
  <si>
    <t>AK8134</t>
  </si>
  <si>
    <t>Fern</t>
  </si>
  <si>
    <t>8435568301719</t>
  </si>
  <si>
    <t>AK8135</t>
  </si>
  <si>
    <t>Dry Fern</t>
  </si>
  <si>
    <t>8435568301726</t>
  </si>
  <si>
    <t>AK8136</t>
  </si>
  <si>
    <t>Bracken Fern</t>
  </si>
  <si>
    <t>8435568301733</t>
  </si>
  <si>
    <t>AK8137</t>
  </si>
  <si>
    <t>Ivy</t>
  </si>
  <si>
    <t>8435568301740</t>
  </si>
  <si>
    <t>AK8138</t>
  </si>
  <si>
    <t>Jungle Plants Set</t>
  </si>
  <si>
    <t>8435568305113</t>
  </si>
  <si>
    <t>AK8140</t>
  </si>
  <si>
    <t>Dio-Mat Tufts with Fallen Leaves Autumn</t>
  </si>
  <si>
    <t>8435568305120</t>
  </si>
  <si>
    <t>AK8141</t>
  </si>
  <si>
    <t>Beech Foliage Autumn</t>
  </si>
  <si>
    <t>8435568305144</t>
  </si>
  <si>
    <t>AK8143</t>
  </si>
  <si>
    <t>Blossom Tufts Fall</t>
  </si>
  <si>
    <t>8435568305618</t>
  </si>
  <si>
    <t>AK8144</t>
  </si>
  <si>
    <t>Leaves and Shrubberry Foliage (Elongated)</t>
  </si>
  <si>
    <t>8435568305625</t>
  </si>
  <si>
    <t>AK8145</t>
  </si>
  <si>
    <t>Beech Foliage Summer</t>
  </si>
  <si>
    <t>8435568305632</t>
  </si>
  <si>
    <t>AK8146</t>
  </si>
  <si>
    <t>Platane Foliage Summer</t>
  </si>
  <si>
    <t>8435568309425</t>
  </si>
  <si>
    <t>AK8152</t>
  </si>
  <si>
    <t>MAPLE SUMMER LEAVES 1/72</t>
  </si>
  <si>
    <t>8435568309432</t>
  </si>
  <si>
    <t>AK8153</t>
  </si>
  <si>
    <t>MAPLE AUTUMN LEAVES 1/72</t>
  </si>
  <si>
    <t>8435568309449</t>
  </si>
  <si>
    <t>AK8154</t>
  </si>
  <si>
    <t>BIRCH AUTUMN LEAVES 1/72</t>
  </si>
  <si>
    <t>8435568309456</t>
  </si>
  <si>
    <t>AK8155</t>
  </si>
  <si>
    <t>BIRCH LIGHT GREEN LEAVES 1/72</t>
  </si>
  <si>
    <t>8435568309487</t>
  </si>
  <si>
    <t>AK8158</t>
  </si>
  <si>
    <t>OAK AUTUMN LEAVES 1/72</t>
  </si>
  <si>
    <t>8435568309494</t>
  </si>
  <si>
    <t>AK8159</t>
  </si>
  <si>
    <t>OAK LATE AUTUMN LEAVES 1/35</t>
  </si>
  <si>
    <t>8435568309500</t>
  </si>
  <si>
    <t>AK8162</t>
  </si>
  <si>
    <t>OAK AUTUMN LEAVES 1/35</t>
  </si>
  <si>
    <t>8435568309517</t>
  </si>
  <si>
    <t>AK8163</t>
  </si>
  <si>
    <t>OAK SUMMER LEAVES 1/35</t>
  </si>
  <si>
    <t>8435568309524</t>
  </si>
  <si>
    <t>AK8164</t>
  </si>
  <si>
    <t>MAPLE AUTUMN LEAVES 1/35</t>
  </si>
  <si>
    <t>8435568309531</t>
  </si>
  <si>
    <t>AK8165</t>
  </si>
  <si>
    <t>MAPLE SUMMER LEAVES 1/35</t>
  </si>
  <si>
    <t>8435568309548</t>
  </si>
  <si>
    <t>AK8166</t>
  </si>
  <si>
    <t>SUMMER GREEN SHRUBBERIES</t>
  </si>
  <si>
    <t>8435568309555</t>
  </si>
  <si>
    <t>AK8167</t>
  </si>
  <si>
    <t>SPRING GREEN SHRUBBERIES</t>
  </si>
  <si>
    <t>8435568309562</t>
  </si>
  <si>
    <t>AK8168</t>
  </si>
  <si>
    <t>SUMMER DARK GREEN SHRUBBERIES</t>
  </si>
  <si>
    <t>8435568309579</t>
  </si>
  <si>
    <t>AK8169</t>
  </si>
  <si>
    <t>AUTUMN YELLOW SHRUBBERIES</t>
  </si>
  <si>
    <t>8435568309586</t>
  </si>
  <si>
    <t>AK8170</t>
  </si>
  <si>
    <t>AUTUMN BROWN SHRUBBERIES</t>
  </si>
  <si>
    <t>8435568309593</t>
  </si>
  <si>
    <t>AK8171</t>
  </si>
  <si>
    <t>SPRING LIGHT GREEN SHRUBBERIES</t>
  </si>
  <si>
    <t>8435568309609</t>
  </si>
  <si>
    <t>AK8172</t>
  </si>
  <si>
    <t>LATE SUMMER GREEN SHRUBBERIES</t>
  </si>
  <si>
    <t>8435568309616</t>
  </si>
  <si>
    <t>AK8173</t>
  </si>
  <si>
    <t>BLOMMING PINK SHRUBBERIES</t>
  </si>
  <si>
    <t>8435568309623</t>
  </si>
  <si>
    <t>AK8174</t>
  </si>
  <si>
    <t>BLOMMING WHITE SHRUBBERIES</t>
  </si>
  <si>
    <t>8435568309630</t>
  </si>
  <si>
    <t>AK8175</t>
  </si>
  <si>
    <t>BLOMMING YELLOW SHRUBBERIES</t>
  </si>
  <si>
    <t>8435568313828</t>
  </si>
  <si>
    <t>AK8215</t>
  </si>
  <si>
    <t>DARK GREEN BUSHES 4-6CM</t>
  </si>
  <si>
    <t>8435568313835</t>
  </si>
  <si>
    <t>AK8216</t>
  </si>
  <si>
    <t>LIGHT GREEN BUSHES 4-6CM</t>
  </si>
  <si>
    <t>8435568313842</t>
  </si>
  <si>
    <t>AK8217</t>
  </si>
  <si>
    <t>DARK YELLOW BUSHES 4-6CM</t>
  </si>
  <si>
    <t>8435568313859</t>
  </si>
  <si>
    <t>AK8218</t>
  </si>
  <si>
    <t>LIGHT YELLOW BUSHES 4-6CM</t>
  </si>
  <si>
    <t>8435568326101</t>
  </si>
  <si>
    <t>AK8219</t>
  </si>
  <si>
    <t>GRASS FLOCK 2MM SPRING</t>
  </si>
  <si>
    <t>8435568326118</t>
  </si>
  <si>
    <t>AK8220</t>
  </si>
  <si>
    <t>GRASS FLOCK 2MM SUMMER</t>
  </si>
  <si>
    <t>8435568326125</t>
  </si>
  <si>
    <t>AK8221</t>
  </si>
  <si>
    <t>GRASS FLOCK 2MM EARLY FALL</t>
  </si>
  <si>
    <t>8435568326132</t>
  </si>
  <si>
    <t>AK8222</t>
  </si>
  <si>
    <t>GRASS FLOCK 2MM LATE FALL</t>
  </si>
  <si>
    <t>8435568326149</t>
  </si>
  <si>
    <t>AK8223</t>
  </si>
  <si>
    <t>GRASS FLOCK 2MM DRY</t>
  </si>
  <si>
    <t>8435568331068</t>
  </si>
  <si>
    <t>AK8234</t>
  </si>
  <si>
    <t>IVY FOLIAGE</t>
  </si>
  <si>
    <t>8435568331075</t>
  </si>
  <si>
    <t>AK8235</t>
  </si>
  <si>
    <t>CHESTNUT FOLIAGE LATE FALL</t>
  </si>
  <si>
    <t>8435568331082</t>
  </si>
  <si>
    <t>AK8236</t>
  </si>
  <si>
    <t>SPRING FILIGREE BUSHES</t>
  </si>
  <si>
    <t>8435568331099</t>
  </si>
  <si>
    <t>AK8237</t>
  </si>
  <si>
    <t>SUMMER FILIGREE BUSHES</t>
  </si>
  <si>
    <t>8435568331105</t>
  </si>
  <si>
    <t>AK8238</t>
  </si>
  <si>
    <t>EARLY FALL FILIGREE BUSHES</t>
  </si>
  <si>
    <t>8435568331112</t>
  </si>
  <si>
    <t>AK8239</t>
  </si>
  <si>
    <t>LATE FALL FILIGREE BUSHES</t>
  </si>
  <si>
    <t>8435568331129</t>
  </si>
  <si>
    <t>AK8240</t>
  </si>
  <si>
    <t>RED WARGAME TUFTS</t>
  </si>
  <si>
    <t>8435568332904</t>
  </si>
  <si>
    <t>AK8243</t>
  </si>
  <si>
    <t>LIGHT GREEN TUFTS 2MM</t>
  </si>
  <si>
    <t>8435568332911</t>
  </si>
  <si>
    <t>AK8244</t>
  </si>
  <si>
    <t>LIGHT GREEN TUFTS 4MM</t>
  </si>
  <si>
    <t>8435568332928</t>
  </si>
  <si>
    <t>AK8245</t>
  </si>
  <si>
    <t>DARK GREEN TUFTS 4MM</t>
  </si>
  <si>
    <t>8435568332935</t>
  </si>
  <si>
    <t>AK8246</t>
  </si>
  <si>
    <t>DARK GREEN TUFTS 6MM</t>
  </si>
  <si>
    <t>8435568332942</t>
  </si>
  <si>
    <t>AK8247</t>
  </si>
  <si>
    <t>DENSE AUTUMN TUFTS 4MM</t>
  </si>
  <si>
    <t>8435568339255</t>
  </si>
  <si>
    <t>AK8263</t>
  </si>
  <si>
    <t>BLUE-GREEN FANTASY BUSHES</t>
  </si>
  <si>
    <t>8435568339262</t>
  </si>
  <si>
    <t>AK8264</t>
  </si>
  <si>
    <t>BLUE-PINK FANTASY BUSHES</t>
  </si>
  <si>
    <t>8435568339279</t>
  </si>
  <si>
    <t>AK8265</t>
  </si>
  <si>
    <t>BLACK-WHITE FANTASY BUSHES</t>
  </si>
  <si>
    <t>8435568339286</t>
  </si>
  <si>
    <t>AK8266</t>
  </si>
  <si>
    <t>RED-ORANGE FANTASY BUSHES</t>
  </si>
  <si>
    <t>8435568339422</t>
  </si>
  <si>
    <t>AK8267</t>
  </si>
  <si>
    <t>YELLOW - FANTASY TUFTS 2MM</t>
  </si>
  <si>
    <t>8435568339439</t>
  </si>
  <si>
    <t>AK8268</t>
  </si>
  <si>
    <t>AZURE - FANTASY TUFTS 2MM</t>
  </si>
  <si>
    <t>8435568339446</t>
  </si>
  <si>
    <t>AK8269</t>
  </si>
  <si>
    <t>ORANGE - FANTASY TUFTS 2MM</t>
  </si>
  <si>
    <t>8435568339453</t>
  </si>
  <si>
    <t>AK8270</t>
  </si>
  <si>
    <t>RED - FANTASY TUFTS 2MM</t>
  </si>
  <si>
    <t>8435568339460</t>
  </si>
  <si>
    <t>AK8271</t>
  </si>
  <si>
    <t>BLACK - FANTASY TUFTS 2MM</t>
  </si>
  <si>
    <t>8435568339477</t>
  </si>
  <si>
    <t>AK8272</t>
  </si>
  <si>
    <t>LIGHT GRAY - FANTASY TUFTS 2MM</t>
  </si>
  <si>
    <t>AK8052</t>
  </si>
  <si>
    <t>CORK SHEETS - FINE GRAINED / LAMINAS CORCHO - GRANO FINO - 200 x 290 x 6mm (1 SHEETS/LAMINAS)</t>
  </si>
  <si>
    <t>8436564926678</t>
  </si>
  <si>
    <t>AK8053</t>
  </si>
  <si>
    <t>CORK SHEETS - COARSE GRAINED / LAMINAS CORCHO - GRANO GRUESO - 200 x 300 x 2mm (2 SHEETS/LAMINAS)</t>
  </si>
  <si>
    <t>8436564926685</t>
  </si>
  <si>
    <t>AK8054</t>
  </si>
  <si>
    <t>CORK SHEETS - COARSE GRAINED / LAMINAS CORCHO - GRANO GRUESO - 200 x 300 x 3mm (2 SHEETS/LAMINAS)</t>
  </si>
  <si>
    <t>8436564926692</t>
  </si>
  <si>
    <t>AK8055</t>
  </si>
  <si>
    <t>CORK SHEETS - COARSE GRAINED / LAMINAS CORCHO - GRANO GRUESO - 200 x 290 x 6mm (1 SHEETS/LAMINAS)</t>
  </si>
  <si>
    <t>8435568304703</t>
  </si>
  <si>
    <t>AK8092</t>
  </si>
  <si>
    <t>CARVING FOAM 10MM A5 SIZE (228 x 152 MM)</t>
  </si>
  <si>
    <t>8435568304710</t>
  </si>
  <si>
    <t>AK8093</t>
  </si>
  <si>
    <t>CARVING FOAM 8 MM A5 SIZE (228 x 152 MM)</t>
  </si>
  <si>
    <t>8435568304727</t>
  </si>
  <si>
    <t>AK8094</t>
  </si>
  <si>
    <t>CARVING FOAM 10MM A4 SIZE (305 x 228 MM)</t>
  </si>
  <si>
    <t>8435568304734</t>
  </si>
  <si>
    <t>AK8095</t>
  </si>
  <si>
    <t>CARVING FOAM 8MM A4 SIZE (305 x 228 MM)</t>
  </si>
  <si>
    <t>8435568305816</t>
  </si>
  <si>
    <t>AK8096</t>
  </si>
  <si>
    <t>CONSTRUCTION FOAM 6MM - BLUE FOAM 195 x 295 MM (2 SHEETS)</t>
  </si>
  <si>
    <t>8435568305823</t>
  </si>
  <si>
    <t>AK8097</t>
  </si>
  <si>
    <t>CONSTRUCTION FOAM 10MM - BLUE FOAM 195 x 295 MM (2 SHEETS)</t>
  </si>
  <si>
    <t>8435568305830</t>
  </si>
  <si>
    <t>AK8098</t>
  </si>
  <si>
    <t>CONSTRUCTION FOAM 6&amp;10MM - BLUE FOAM 195 x 295 MM (2 SHEETS)</t>
  </si>
  <si>
    <t>8435568305847</t>
  </si>
  <si>
    <t>AK8099</t>
  </si>
  <si>
    <t>EXTRUDED FOAM 30 MM A4 SIZE</t>
  </si>
  <si>
    <t>AK8100</t>
  </si>
  <si>
    <t>EXTRUDED FOAM 30 MM A4 SIZE ALREADY CUT (4 UNITS)</t>
  </si>
  <si>
    <t>AK098</t>
  </si>
  <si>
    <t>MODELLING FULL AHEAD 1 - English</t>
  </si>
  <si>
    <t>AK130001</t>
  </si>
  <si>
    <t>BRITISH AT WAR - LOS BRITÁNICOS EN GUERRA - Bilingüe - VOL I</t>
  </si>
  <si>
    <t>8435568326194</t>
  </si>
  <si>
    <t>AK130002</t>
  </si>
  <si>
    <t>WILLYS-OVERLAND (CANADIAN) WALKAROUND - English</t>
  </si>
  <si>
    <t>8435568326477</t>
  </si>
  <si>
    <t>AK130003</t>
  </si>
  <si>
    <t>BRITISH AT WAR  - LOS BRITÁNICOS EN GUERRA - Bilingüal - VOL II</t>
  </si>
  <si>
    <t>8435568328716</t>
  </si>
  <si>
    <t>AK130004</t>
  </si>
  <si>
    <t>TECHNICAL - MAX LEMAIRE Bilingual</t>
  </si>
  <si>
    <t>AK130007</t>
  </si>
  <si>
    <t>AMERICAN ARTILLERY IN VIETNAM vol.2 - English</t>
  </si>
  <si>
    <t>AK130008</t>
  </si>
  <si>
    <t>Waffen-ss Camouflage Uniforms EN</t>
  </si>
  <si>
    <t>8435568338135</t>
  </si>
  <si>
    <t>AK130009</t>
  </si>
  <si>
    <t>ADAM WILDER Modeling Theoretical Soviet Subjects of The Great Patriotic War Layering Techniques</t>
  </si>
  <si>
    <t>VEHICLES OF THE POLISH 1ST ARMOURED DIVISION (CAMOUFLAGE PROFILE GUIDE) English. 68 pages. Semi-hard cover.</t>
  </si>
  <si>
    <t>8435568338173</t>
  </si>
  <si>
    <t>AK130011</t>
  </si>
  <si>
    <t>ICM - HOW TO PAINT &amp;WEATHER WW2 TRUCKS WARHORSES - ES</t>
  </si>
  <si>
    <t>8435568338180</t>
  </si>
  <si>
    <t>AK130012</t>
  </si>
  <si>
    <t>ICM - HOW TO PAINT &amp;WEATHER WW2 TRUCKS WARHORSES - FR</t>
  </si>
  <si>
    <t>8435568339118</t>
  </si>
  <si>
    <t>AK130013</t>
  </si>
  <si>
    <t>SOVIETS IN BERLIN Bilingual English-Spanish</t>
  </si>
  <si>
    <t>THE AGE OF THE MAINBATTLE TANK</t>
  </si>
  <si>
    <t>8435568342484</t>
  </si>
  <si>
    <t>AK540</t>
  </si>
  <si>
    <t>The Soviet Arsenal in the War in Ukraine - English</t>
  </si>
  <si>
    <t>8435568343504</t>
  </si>
  <si>
    <t>Modeling Modern Armored Fighting 8x8 Vehicles Bilingual English - Polish</t>
  </si>
  <si>
    <t>8435568344723</t>
  </si>
  <si>
    <t>From Reality To Realism (Emmanuel Nouaillier) - English</t>
  </si>
  <si>
    <t>AK130018</t>
  </si>
  <si>
    <t>U.S ARMOR IN WW2 - English</t>
  </si>
  <si>
    <t>8435568346901</t>
  </si>
  <si>
    <t>AK130020</t>
  </si>
  <si>
    <t>MODELING WW2 LIGHT TANKS AND ARMORED VEHICLES EN</t>
  </si>
  <si>
    <t>8435568347762</t>
  </si>
  <si>
    <t>AK130021</t>
  </si>
  <si>
    <t>MBT MODERN BATTLE TANKS - English</t>
  </si>
  <si>
    <t>8435568347779</t>
  </si>
  <si>
    <t>AK130022</t>
  </si>
  <si>
    <t>AIRCRAFT SCALE MODELS TECHNIQUES (Eduard) - English</t>
  </si>
  <si>
    <t>AK130023</t>
  </si>
  <si>
    <t>AIRCRAFT SCALE MODELS TECHNIQUES (Eduard) - Spanish</t>
  </si>
  <si>
    <t>8435568350137</t>
  </si>
  <si>
    <t>AK130024</t>
  </si>
  <si>
    <t>PAPER MODELING TECHNIQUES</t>
  </si>
  <si>
    <t>8435568350625</t>
  </si>
  <si>
    <t>AK130025</t>
  </si>
  <si>
    <t>DIE GRUPPE - English</t>
  </si>
  <si>
    <t>8435568350779</t>
  </si>
  <si>
    <t>AK130026</t>
  </si>
  <si>
    <t>DIE GRUPPE -  Spanish</t>
  </si>
  <si>
    <t>8435568352926</t>
  </si>
  <si>
    <t>AK130027</t>
  </si>
  <si>
    <t>FRENCH ARMOR - English</t>
  </si>
  <si>
    <t>8435568352933</t>
  </si>
  <si>
    <t>AK130028</t>
  </si>
  <si>
    <t>FRENCH ARMOR -  French</t>
  </si>
  <si>
    <t>8436564920430</t>
  </si>
  <si>
    <t>AK188</t>
  </si>
  <si>
    <t>WWII Real Colors - Spanish</t>
  </si>
  <si>
    <t>8435568300552</t>
  </si>
  <si>
    <t>AK252</t>
  </si>
  <si>
    <t>Guía de Modelismo para Principiantes - Spanish</t>
  </si>
  <si>
    <t>8435568307940</t>
  </si>
  <si>
    <t>AK258</t>
  </si>
  <si>
    <t>DOOMSDAY CHARIOTS: MODELANDO VEHÍCULOS POST APOCALÍPTICOS - Bilingüe</t>
  </si>
  <si>
    <t>AK271</t>
  </si>
  <si>
    <t>D.A.K. COLORS PROFILE GUIDE (2nd Edition) - English</t>
  </si>
  <si>
    <t>AK273</t>
  </si>
  <si>
    <t>WWI THE FIRST MECHANIZED WAR English</t>
  </si>
  <si>
    <t>8436535572422</t>
  </si>
  <si>
    <t>AK278</t>
  </si>
  <si>
    <t>USN LEGENDARY JETS - English</t>
  </si>
  <si>
    <t>8436535572446</t>
  </si>
  <si>
    <t>AK280</t>
  </si>
  <si>
    <t>LITTLE WARRIORS - English</t>
  </si>
  <si>
    <t>8436535572453</t>
  </si>
  <si>
    <t>AK281</t>
  </si>
  <si>
    <t>LITTLE WARRIORS - Spanish</t>
  </si>
  <si>
    <t>AK285</t>
  </si>
  <si>
    <t>WARS IN LEBANON VOL.II - English</t>
  </si>
  <si>
    <t>AK286</t>
  </si>
  <si>
    <t>ARAB REVOLUTIONS AND BORDER WARS VOL III- English</t>
  </si>
  <si>
    <t>AK287</t>
  </si>
  <si>
    <t>Abandoned -  English</t>
  </si>
  <si>
    <t>AK290</t>
  </si>
  <si>
    <t xml:space="preserve">REAL COLORS OF WWII AIRCRAFT - English    </t>
  </si>
  <si>
    <t>8435568306066</t>
  </si>
  <si>
    <t>AK291</t>
  </si>
  <si>
    <t>THE IRAN IRAQ WAR 1980-1988 Modern Conflicts Profile Guide Vol IV - English</t>
  </si>
  <si>
    <t>8435568308039</t>
  </si>
  <si>
    <t>AK299</t>
  </si>
  <si>
    <t xml:space="preserve">REAL COLORS OF WWII ARMOR New 2nd Extended Update Version -English    </t>
  </si>
  <si>
    <t>AK403</t>
  </si>
  <si>
    <t>1945 GERMAN COLORS PROFILE GUIDE English</t>
  </si>
  <si>
    <t>AK4801</t>
  </si>
  <si>
    <t>4X2  - English</t>
  </si>
  <si>
    <t>AK4802</t>
  </si>
  <si>
    <t>4X2  - Spanish</t>
  </si>
  <si>
    <t>8436564926258</t>
  </si>
  <si>
    <t>AK509</t>
  </si>
  <si>
    <t>EXTREME REALITY 3 - Vehiculos y entornos degradados - Spanish</t>
  </si>
  <si>
    <t>8436564926265</t>
  </si>
  <si>
    <t>AK510</t>
  </si>
  <si>
    <t>EXTREME REALITY 3 - Weathered vehicles and environments - English</t>
  </si>
  <si>
    <t>8435568307766</t>
  </si>
  <si>
    <t>AK511</t>
  </si>
  <si>
    <t>XTREME REALITY 4 Old &amp; Forgotten - English</t>
  </si>
  <si>
    <t>8435568308312</t>
  </si>
  <si>
    <t>AK514</t>
  </si>
  <si>
    <t>WWII GERMAN MOST ICONIC SS VEHICLES. VOL 1 - English</t>
  </si>
  <si>
    <t>8435568308329</t>
  </si>
  <si>
    <t>AK515</t>
  </si>
  <si>
    <t>LOS VEHÍCULOS ALEMANES MÁS ICÓNICOS DE LAS SS  VOL1 - Spanish</t>
  </si>
  <si>
    <t>AK516</t>
  </si>
  <si>
    <t>WWII GERMAN MOST ICONIC SS VEHICLES. VOL 2 - English</t>
  </si>
  <si>
    <t>AK517</t>
  </si>
  <si>
    <t>LOS VEHÍCULOS ALEMANES MÁS ICÓNICOS DE LAS SS  VOL2 - Spanish</t>
  </si>
  <si>
    <t>8435568334274</t>
  </si>
  <si>
    <t>AK524</t>
  </si>
  <si>
    <t>BUNDESWEHR Bilingual English and German</t>
  </si>
  <si>
    <t>AK529</t>
  </si>
  <si>
    <t>EXTREME REALITY 5 - English</t>
  </si>
  <si>
    <t>AK548</t>
  </si>
  <si>
    <t>URBAN WARS. Bilingüal</t>
  </si>
  <si>
    <t>8435568332959</t>
  </si>
  <si>
    <t>AK549</t>
  </si>
  <si>
    <t xml:space="preserve">JAPANESE ARMOR in WWII - Bilingüal </t>
  </si>
  <si>
    <t>AK640</t>
  </si>
  <si>
    <t>LITTLE WARRIORS 1:72. VOL II - English</t>
  </si>
  <si>
    <t>AK641</t>
  </si>
  <si>
    <t>LITTLE WARRIORS 1:72. VOL II - Spanish</t>
  </si>
  <si>
    <t>8435568329539</t>
  </si>
  <si>
    <t>AK642</t>
  </si>
  <si>
    <t>1941-1945 AMERICAN MILITARY VEHICLES EN</t>
  </si>
  <si>
    <t>8435568329546</t>
  </si>
  <si>
    <t>AK643</t>
  </si>
  <si>
    <t>1941-1945 AMERICAN MILITARY VEHICLES ES</t>
  </si>
  <si>
    <t>8435568331167</t>
  </si>
  <si>
    <t>AK646</t>
  </si>
  <si>
    <t>AMERICAN ARMOR IN VIETNAM vol.1- English</t>
  </si>
  <si>
    <t>8435568331334</t>
  </si>
  <si>
    <t>AK647</t>
  </si>
  <si>
    <t>GIRL POWER / PODER FEMENINO (Bilingual)</t>
  </si>
  <si>
    <t>8436535576680</t>
  </si>
  <si>
    <t>AK668</t>
  </si>
  <si>
    <t>MODELLING FULL AHEAD SPECIAL - Spanish</t>
  </si>
  <si>
    <t>AK687</t>
  </si>
  <si>
    <t>THE EAGLE HAS LANDED - English</t>
  </si>
  <si>
    <t>AK696</t>
  </si>
  <si>
    <t>TRAINSPOTTING - English</t>
  </si>
  <si>
    <t>AK745</t>
  </si>
  <si>
    <t>TRAINSPOTTING - Spanish</t>
  </si>
  <si>
    <t>8436535578950</t>
  </si>
  <si>
    <t>AK895</t>
  </si>
  <si>
    <t>MODELLING FULL AHEAD 2 - English</t>
  </si>
  <si>
    <t>8436535578967</t>
  </si>
  <si>
    <t>AK896</t>
  </si>
  <si>
    <t>MODELLING FULL AHEAD 2 - Spanish</t>
  </si>
  <si>
    <t>AK911</t>
  </si>
  <si>
    <t>How to make TOON MODELS tutorial - English</t>
  </si>
  <si>
    <t>8435568306776</t>
  </si>
  <si>
    <t>AK913</t>
  </si>
  <si>
    <t>DAK Vehículos Alemanes en el Norte de África  - Spanish</t>
  </si>
  <si>
    <t>8435568306783</t>
  </si>
  <si>
    <t>AK914</t>
  </si>
  <si>
    <t>T-54/T-55 Modeling World's Most Iconic Tank - English</t>
  </si>
  <si>
    <t>8435568306790</t>
  </si>
  <si>
    <t>AK915</t>
  </si>
  <si>
    <t>T-54/T-55 Modelando el Tanque más Icónico del Mundo - Spanish</t>
  </si>
  <si>
    <t>8435568307810</t>
  </si>
  <si>
    <t>AK916</t>
  </si>
  <si>
    <t>1944 GERMAN ARMOUR IN NORMANDY  Camouflage Profile Guide English</t>
  </si>
  <si>
    <t>8435568309111</t>
  </si>
  <si>
    <t>AK918</t>
  </si>
  <si>
    <t>WRECKED PLANES - AVIONES DESTROZADOS - Bilingüal</t>
  </si>
  <si>
    <t>8435568326248</t>
  </si>
  <si>
    <t>AK530</t>
  </si>
  <si>
    <t>TINT INC. 01 - English</t>
  </si>
  <si>
    <t>8435568326255</t>
  </si>
  <si>
    <t>AK531</t>
  </si>
  <si>
    <t>TINT INC. 01 - Spanish</t>
  </si>
  <si>
    <t>AK532</t>
  </si>
  <si>
    <t>TINT INC. 02 - English</t>
  </si>
  <si>
    <t>AK533</t>
  </si>
  <si>
    <t>TINT INC. 02 - Spanish</t>
  </si>
  <si>
    <t>8435568330658</t>
  </si>
  <si>
    <t>AK534</t>
  </si>
  <si>
    <t>TINT INC. 03 - English</t>
  </si>
  <si>
    <t>8435568330665</t>
  </si>
  <si>
    <t>AK535</t>
  </si>
  <si>
    <t>TINT INC. 03 - Spanish</t>
  </si>
  <si>
    <t>8435568333253</t>
  </si>
  <si>
    <t>AK536</t>
  </si>
  <si>
    <t>TINT INC. 04 - English</t>
  </si>
  <si>
    <t>8435568333260</t>
  </si>
  <si>
    <t>AK537</t>
  </si>
  <si>
    <t>TINT INC. 04 - Spanish</t>
  </si>
  <si>
    <t>AK538</t>
  </si>
  <si>
    <t>TINT INC. 05 - English</t>
  </si>
  <si>
    <t>AK539</t>
  </si>
  <si>
    <t>TINT INC. 05 - Spanish</t>
  </si>
  <si>
    <t>8435568306080</t>
  </si>
  <si>
    <t>AK4901</t>
  </si>
  <si>
    <t>Worn Art Collection 01 -  English</t>
  </si>
  <si>
    <t>8435568306097</t>
  </si>
  <si>
    <t>AK4902</t>
  </si>
  <si>
    <t>Worn Art Collection 01 -  Spanish</t>
  </si>
  <si>
    <t>8435568307896</t>
  </si>
  <si>
    <t>AK4903</t>
  </si>
  <si>
    <t>WORN ART COLLECTION #02CHIPPING - English</t>
  </si>
  <si>
    <t>8435568307902</t>
  </si>
  <si>
    <t>AK4904</t>
  </si>
  <si>
    <t>WORN ART COLLECTION #02CHIPPING - Spanish</t>
  </si>
  <si>
    <t>AK4905</t>
  </si>
  <si>
    <t>WORN ART COLLECTION #03 Chernobyl - Bilingüal</t>
  </si>
  <si>
    <t>8435568331211</t>
  </si>
  <si>
    <t>AK4906</t>
  </si>
  <si>
    <t>WORN ART COLLECTION 04 - Bilingual</t>
  </si>
  <si>
    <t>8435568342507</t>
  </si>
  <si>
    <t>AK4907</t>
  </si>
  <si>
    <t>WORN ART 05 GERMAN ARTILLERY - Bilingüal</t>
  </si>
  <si>
    <t>AK038</t>
  </si>
  <si>
    <t>FAQ VOL.2 - English 4th edition</t>
  </si>
  <si>
    <t>AK150</t>
  </si>
  <si>
    <t>FAQ VOL.2 - Spanish 2nd edition</t>
  </si>
  <si>
    <t>8436535571524</t>
  </si>
  <si>
    <t>AK152</t>
  </si>
  <si>
    <t>FAQ VOL.2 ITALIAN  limited</t>
  </si>
  <si>
    <t>8436535572460</t>
  </si>
  <si>
    <t>AK282</t>
  </si>
  <si>
    <t>CIVIL VEHICLES SCALE MODELLING F.A.Q - English</t>
  </si>
  <si>
    <t>8436535572477</t>
  </si>
  <si>
    <t>AK283</t>
  </si>
  <si>
    <t>CIVIL VEHICLES SCALE MODELLING F.A.Q - Spanish</t>
  </si>
  <si>
    <t>8435568300286</t>
  </si>
  <si>
    <t>AK288</t>
  </si>
  <si>
    <t xml:space="preserve">FAQ3  Military Vehicles  - English                                </t>
  </si>
  <si>
    <t>8435568300293</t>
  </si>
  <si>
    <t>AK289</t>
  </si>
  <si>
    <t xml:space="preserve">FAQ3  Vehículos Militares  - Spanish                          </t>
  </si>
  <si>
    <t>AK525</t>
  </si>
  <si>
    <t>FAQ 2 FANTASY FIGURES PAINTING TECHNIQUES by Arnau Lázaro - English</t>
  </si>
  <si>
    <t>AK526</t>
  </si>
  <si>
    <t>FAQ 2 FANTASY FIGURES PAINTING TECHNIQUES by Arnau Lázaro - Spanish</t>
  </si>
  <si>
    <t>8435568309333</t>
  </si>
  <si>
    <t>AK630</t>
  </si>
  <si>
    <t>FAQ SCALE FIGURES - English</t>
  </si>
  <si>
    <t>8435568309340</t>
  </si>
  <si>
    <t>AK631</t>
  </si>
  <si>
    <t>FAQ SCALE FIGURES - Spanish</t>
  </si>
  <si>
    <t>8435568330672</t>
  </si>
  <si>
    <t>AK644</t>
  </si>
  <si>
    <t>FAQ 2 AIRCRAFT SCALE MODELLING - English</t>
  </si>
  <si>
    <t>8435568330689</t>
  </si>
  <si>
    <t>AK645</t>
  </si>
  <si>
    <t>FAQ 2 AIRCRAFT SCALE MODELLING - Spanish</t>
  </si>
  <si>
    <t>AK8000</t>
  </si>
  <si>
    <t>DIORAMAS F.A.Q. - English</t>
  </si>
  <si>
    <t>AK8001</t>
  </si>
  <si>
    <t>DIORAMAS F.A.Q. -  Spanish</t>
  </si>
  <si>
    <t>8436564924940</t>
  </si>
  <si>
    <t>AK8050</t>
  </si>
  <si>
    <t>FAQ DIORAMAS 1.2 EXTENSION Water Ice and Snow - English</t>
  </si>
  <si>
    <t>8436564924957</t>
  </si>
  <si>
    <t>AK8051</t>
  </si>
  <si>
    <t>FAQ DIORAMAS 1.2 EXTENSION Agua, Hielo y Nieve - Spanish</t>
  </si>
  <si>
    <t>8435568307797</t>
  </si>
  <si>
    <t>AK8150</t>
  </si>
  <si>
    <t>DIORAMAS F.A.Q. 1.3 EXTENSION. Storytelling, Composition &amp; Planning - English</t>
  </si>
  <si>
    <t>8435568307803</t>
  </si>
  <si>
    <t>AK8151</t>
  </si>
  <si>
    <t>DIORAMAS F.A.Q. 1.3 EXTENSION. Historia, Composición y Planificación - Spanish</t>
  </si>
  <si>
    <t>AK8160</t>
  </si>
  <si>
    <t>SCI-FI F.A.Q.- English</t>
  </si>
  <si>
    <t>AK8161</t>
  </si>
  <si>
    <t>F.A.Q. CIENCIA FICCIÓN - Spanish</t>
  </si>
  <si>
    <t>AK241</t>
  </si>
  <si>
    <t xml:space="preserve"> FLESH AND SKIN (AK LEARNING SERIES Nº6) English</t>
  </si>
  <si>
    <t>AK242</t>
  </si>
  <si>
    <t>CARNES Y PIELES (AK LEARNING SERIES Nº6)  Spanish</t>
  </si>
  <si>
    <t>8436564926555</t>
  </si>
  <si>
    <t>AK244</t>
  </si>
  <si>
    <t>PHOTOETCH PARTS (AK LEARNING SERIES Nº7) English</t>
  </si>
  <si>
    <t>8436564926562</t>
  </si>
  <si>
    <t>AK245</t>
  </si>
  <si>
    <t>FOTOGRABADOS (AK LEARNING SERIES Nº7) Spanish</t>
  </si>
  <si>
    <t>8435568300309</t>
  </si>
  <si>
    <t>AK247</t>
  </si>
  <si>
    <t>MODERN FIGURES COMOUFLAGES (AK LERNING SERIES Nº 8) English</t>
  </si>
  <si>
    <t>8435568300316</t>
  </si>
  <si>
    <t>AK248</t>
  </si>
  <si>
    <t>CAMUFLAJES MODERNOS PARA FIGURAS (AK LERNING SERIES Nº 8) Spanish</t>
  </si>
  <si>
    <t>AK256</t>
  </si>
  <si>
    <t>AK LEARNING 9 GUIDE TO MAKE BUILDINGS IN DIORAMAS English</t>
  </si>
  <si>
    <t>AK257</t>
  </si>
  <si>
    <t>AK LEARNING 9 COMO HACER EDIFICIOS EN DIORAMAS Spanish</t>
  </si>
  <si>
    <t>AK259</t>
  </si>
  <si>
    <t>REALISTIC WOOD EFFECTS (AK LEARNING SERIES Nº1) English</t>
  </si>
  <si>
    <t>AK272</t>
  </si>
  <si>
    <t>PANZER CREW UNIFORMS (AK LEARNING SERIES Nº2)  English</t>
  </si>
  <si>
    <t>AK274</t>
  </si>
  <si>
    <t>TRACKS &amp; WHEELS (AK LEARNING SERIES Nº3) English</t>
  </si>
  <si>
    <t>8435568305960</t>
  </si>
  <si>
    <t>AK295</t>
  </si>
  <si>
    <t>AK Learning 10 Mastering Vegetation in Modeling   English</t>
  </si>
  <si>
    <t>8436535575072</t>
  </si>
  <si>
    <t>AK507</t>
  </si>
  <si>
    <t>METALLICS VOL 1 (AK LEARNING SERIES Nº 4) English</t>
  </si>
  <si>
    <t>8436535575089</t>
  </si>
  <si>
    <t>AK508</t>
  </si>
  <si>
    <t>METALLICS VOL 2 (AK LEARNING SERIES Nº 5) English</t>
  </si>
  <si>
    <t>AK512</t>
  </si>
  <si>
    <t>AK Learning 11 Figure Sculpting  English</t>
  </si>
  <si>
    <t>AK513</t>
  </si>
  <si>
    <t>AK Learning 11 Escultura de Figuras Spanish</t>
  </si>
  <si>
    <t>AK520</t>
  </si>
  <si>
    <t>AK Learning 12 Painting Female Figures English</t>
  </si>
  <si>
    <t>AK521</t>
  </si>
  <si>
    <t>AK Learning 12 Pintura de la figura femenina Spanish</t>
  </si>
  <si>
    <t>AK522</t>
  </si>
  <si>
    <t>AK Learning 13. Weathering pencil techniques English</t>
  </si>
  <si>
    <t>AK523</t>
  </si>
  <si>
    <t>AK Learning 13 Técnicas de envejecimiento con lapiz acuarelable Spanish</t>
  </si>
  <si>
    <t>AK518</t>
  </si>
  <si>
    <t>AK Learning 14 PAINTING ANIMAL FIGURES EN</t>
  </si>
  <si>
    <t>AK519</t>
  </si>
  <si>
    <t>AK Learning 14 PINTURA DE FIGURAS DE ANIMALES ES</t>
  </si>
  <si>
    <t>AK592</t>
  </si>
  <si>
    <t>AK Learning 15 MODELLING FROM SCRATCH English</t>
  </si>
  <si>
    <t>AK Learning 15 MODELLING FROM SCRATCH Spanish</t>
  </si>
  <si>
    <t>8435568344389</t>
  </si>
  <si>
    <t>AK Learning Series 16 THE INKS IN MODELING EN</t>
  </si>
  <si>
    <t>8435568344396</t>
  </si>
  <si>
    <t>AK541</t>
  </si>
  <si>
    <t>AK Learning Series 16 LAS TINTAS EN MODELISMO ES</t>
  </si>
  <si>
    <t>8435568335141</t>
  </si>
  <si>
    <t>AK590</t>
  </si>
  <si>
    <t>AK Learning WARGAMES SERIES 1. Starship Techniques. English</t>
  </si>
  <si>
    <t>8435568335158</t>
  </si>
  <si>
    <t>AK591</t>
  </si>
  <si>
    <t>AK Learning WARGAMES SERIES 1. Starship Técnicas. Español</t>
  </si>
  <si>
    <t>AK Learning WARGAMES SERIES 2: Starship Techniques. English</t>
  </si>
  <si>
    <t>AK593</t>
  </si>
  <si>
    <t>AK Learning WARGAMES SERIES 2: Starship Técnicas Español</t>
  </si>
  <si>
    <t>8435568335189</t>
  </si>
  <si>
    <t>AK594</t>
  </si>
  <si>
    <t>AK Learning Wargame Series 3 : LANDSHIP TECHNIQUES</t>
  </si>
  <si>
    <t>8435568335196</t>
  </si>
  <si>
    <t>AK595</t>
  </si>
  <si>
    <t>AK Learning Wargame Series 3 :LANDSHIP TÉCNICAS ES</t>
  </si>
  <si>
    <t>8435568335202</t>
  </si>
  <si>
    <t>AK596</t>
  </si>
  <si>
    <t>AK LEARNING WARGAME SERIES 4 Scenery Techniques EN</t>
  </si>
  <si>
    <t>8435568335219</t>
  </si>
  <si>
    <t>AK597</t>
  </si>
  <si>
    <t>AK LEARNING WARGAME SERIES 4 Scenery Techniques ES</t>
  </si>
  <si>
    <t>8436535573689</t>
  </si>
  <si>
    <t>AK2901</t>
  </si>
  <si>
    <t>Issue 1. A.H. CAZAS NOCTURNOS Spanish (edición limitada)</t>
  </si>
  <si>
    <t>8436535573702</t>
  </si>
  <si>
    <t>AK2903</t>
  </si>
  <si>
    <t>Issue 2. A.H. AVIONES DE LA WWI  castellano (edición limitada)</t>
  </si>
  <si>
    <t>8436564920355</t>
  </si>
  <si>
    <t>AK2914</t>
  </si>
  <si>
    <t>Issue 8. A.H. CAPTURED - English</t>
  </si>
  <si>
    <t>8436564920362</t>
  </si>
  <si>
    <t>AK2915</t>
  </si>
  <si>
    <t>Issue 8. A.H. CAPTURADOS - Spanish</t>
  </si>
  <si>
    <t>8436564923721</t>
  </si>
  <si>
    <t>AK2919</t>
  </si>
  <si>
    <t>Issue 10. A.H. EASTERN FRONT - English</t>
  </si>
  <si>
    <t>8436564923738</t>
  </si>
  <si>
    <t>AK2920</t>
  </si>
  <si>
    <t>Issue 10. A.H. FRENTE DEL ESTE - Spanish</t>
  </si>
  <si>
    <t>8436564924070</t>
  </si>
  <si>
    <t>AK2922</t>
  </si>
  <si>
    <t>Issue 11. A.H. FW 190 DER WÜRGER - Spanish</t>
  </si>
  <si>
    <t>8436564925022</t>
  </si>
  <si>
    <t>AK2923</t>
  </si>
  <si>
    <t>Issue 12. A.H. HYDROS - English</t>
  </si>
  <si>
    <t>8436564925039</t>
  </si>
  <si>
    <t>AK2924</t>
  </si>
  <si>
    <t>Issue 12. A.H. HYDROS - Spanish</t>
  </si>
  <si>
    <t>8436564927569</t>
  </si>
  <si>
    <t>AK2927</t>
  </si>
  <si>
    <t>Issue 13. A.H. GULF WAR - English</t>
  </si>
  <si>
    <t>8436564927576</t>
  </si>
  <si>
    <t>AK2928</t>
  </si>
  <si>
    <t xml:space="preserve">Issue 13. A.H. GUERRA DEL GOLFO - Spanish </t>
  </si>
  <si>
    <t>8436564929631</t>
  </si>
  <si>
    <t>AK2929</t>
  </si>
  <si>
    <t>Issue 14. A.H. TWIN WARRIORS - English</t>
  </si>
  <si>
    <t>8436564929648</t>
  </si>
  <si>
    <t>AK2930</t>
  </si>
  <si>
    <t xml:space="preserve">Issue 14. A.H. TWIN WARRIORS - Spanish </t>
  </si>
  <si>
    <t>8435568301665</t>
  </si>
  <si>
    <t>AK2931</t>
  </si>
  <si>
    <t>Issue 15. FRENCH JET FIGHTERS - English</t>
  </si>
  <si>
    <t>8435568301672</t>
  </si>
  <si>
    <t>AK2932</t>
  </si>
  <si>
    <t xml:space="preserve">Issue 15. FRENCH JET FIGHTERS - Spanish </t>
  </si>
  <si>
    <t>8435568306042</t>
  </si>
  <si>
    <t>AK2933</t>
  </si>
  <si>
    <t>Issue 16. NORMANDY D-DAY - English</t>
  </si>
  <si>
    <t>8435568306059</t>
  </si>
  <si>
    <t>AK2934</t>
  </si>
  <si>
    <t>Issue 16. NORMANDY D-DAY - Spanish</t>
  </si>
  <si>
    <t>8435568307872</t>
  </si>
  <si>
    <t>AK2935</t>
  </si>
  <si>
    <t>Issue 17.  TORPEDO ACHTUNG!! - English</t>
  </si>
  <si>
    <t>8435568307889</t>
  </si>
  <si>
    <t>AK2936</t>
  </si>
  <si>
    <t>Issue 17.  TORPEDO ACHTUNG!! - Spanish</t>
  </si>
  <si>
    <t>AK2937</t>
  </si>
  <si>
    <t>Issue 18. TRAINERS. - English</t>
  </si>
  <si>
    <t>AK2938</t>
  </si>
  <si>
    <t>Issue 18. TRAINERS. - Spanish</t>
  </si>
  <si>
    <t>8435568328020</t>
  </si>
  <si>
    <t>AK2941</t>
  </si>
  <si>
    <t>Issue 19. Agressors in Blue - English</t>
  </si>
  <si>
    <t>8435568328037</t>
  </si>
  <si>
    <t>AK2942</t>
  </si>
  <si>
    <t>Issue 19. Agressors in Blue - Spanish</t>
  </si>
  <si>
    <t>AK2926</t>
  </si>
  <si>
    <t>ACES HIGH Magazine THE BEST OF. VOL2</t>
  </si>
  <si>
    <t>AK2939</t>
  </si>
  <si>
    <t>ACES HIGH Magazine MONOGRAPHIC SERIES: SKYHANK</t>
  </si>
  <si>
    <t>AK2940</t>
  </si>
  <si>
    <t>ACES HIGH Magazine SERIES MONOGRÁFICA: SKYHANK</t>
  </si>
  <si>
    <t>8436535576901</t>
  </si>
  <si>
    <t>AK4813</t>
  </si>
  <si>
    <t xml:space="preserve">TANKER 02 - "BLINDAJE EXTRA" - Spanish </t>
  </si>
  <si>
    <t>8436564920331</t>
  </si>
  <si>
    <t>AK4821</t>
  </si>
  <si>
    <t>TANKER 04 - "DAMAGED INC." - Spanish</t>
  </si>
  <si>
    <t>8436564923776</t>
  </si>
  <si>
    <t>AK4830</t>
  </si>
  <si>
    <t>TANKER 07 "GUERRA URBANA" - Spanish</t>
  </si>
  <si>
    <t>8436564924520</t>
  </si>
  <si>
    <t>AK4833</t>
  </si>
  <si>
    <t>TANKER 08 "BESTIAS DE GUERRA" - Spanish</t>
  </si>
  <si>
    <t>8436564926517</t>
  </si>
  <si>
    <t>AK4835</t>
  </si>
  <si>
    <t>AK 4835 TANKER 09 "RARITIES &amp; VARIANTS" - English</t>
  </si>
  <si>
    <t>8436564926524</t>
  </si>
  <si>
    <t>AK4836</t>
  </si>
  <si>
    <t>TANKER 09 "RAREZAS &amp; VARIANTES" - Spanish</t>
  </si>
  <si>
    <t>8436564928184</t>
  </si>
  <si>
    <t>AK4838</t>
  </si>
  <si>
    <t>TANKER 10 TRICKS &amp; TIPS (Special Edition) - English</t>
  </si>
  <si>
    <t>8435568301696</t>
  </si>
  <si>
    <t>AK4842</t>
  </si>
  <si>
    <t>TANKER Winter Special - English</t>
  </si>
  <si>
    <t>8435568309135</t>
  </si>
  <si>
    <t>AK4844</t>
  </si>
  <si>
    <t>TANKER Special IDF 01 - Bilingüal</t>
  </si>
  <si>
    <t>8435568312241</t>
  </si>
  <si>
    <t>AK4845</t>
  </si>
  <si>
    <t>TANKER Special IDF 02 - Bilingüal</t>
  </si>
  <si>
    <t>ABT702</t>
  </si>
  <si>
    <t>8436564924001</t>
  </si>
  <si>
    <t>ABT704</t>
  </si>
  <si>
    <t>8436564924865</t>
  </si>
  <si>
    <t>ABT706</t>
  </si>
  <si>
    <t>8436564927392</t>
  </si>
  <si>
    <t>ABT708</t>
  </si>
  <si>
    <t>8435568300828</t>
  </si>
  <si>
    <t>ABT716</t>
  </si>
  <si>
    <t>8435568300835</t>
  </si>
  <si>
    <t>ABT717</t>
  </si>
  <si>
    <t>8435568304789</t>
  </si>
  <si>
    <t>ABT726</t>
  </si>
  <si>
    <t>8435568304796</t>
  </si>
  <si>
    <t>ABT727</t>
  </si>
  <si>
    <t>8435568306202</t>
  </si>
  <si>
    <t>ABT728</t>
  </si>
  <si>
    <t>8435568306219</t>
  </si>
  <si>
    <t>ABT729</t>
  </si>
  <si>
    <t>ABT732</t>
  </si>
  <si>
    <t>ABT734</t>
  </si>
  <si>
    <t>ABT735</t>
  </si>
  <si>
    <t>8435568308169</t>
  </si>
  <si>
    <t>ABT736</t>
  </si>
  <si>
    <t>8435568308176</t>
  </si>
  <si>
    <t>ABT737</t>
  </si>
  <si>
    <t>ABT740</t>
  </si>
  <si>
    <t>ABT741</t>
  </si>
  <si>
    <t>8435568329065</t>
  </si>
  <si>
    <t>ABT742</t>
  </si>
  <si>
    <t>8435568329072</t>
  </si>
  <si>
    <t>ABT743</t>
  </si>
  <si>
    <t>8435568301757</t>
  </si>
  <si>
    <t>ABT606</t>
  </si>
  <si>
    <t>ABT607</t>
  </si>
  <si>
    <t>8435568306721</t>
  </si>
  <si>
    <t>ABT608</t>
  </si>
  <si>
    <t>ABT609</t>
  </si>
  <si>
    <t>ABT610</t>
  </si>
  <si>
    <t>ABT611</t>
  </si>
  <si>
    <t>ABT612</t>
  </si>
  <si>
    <t>ABT613</t>
  </si>
  <si>
    <t>GB-613</t>
  </si>
  <si>
    <t>ABT709</t>
  </si>
  <si>
    <t>ABT710</t>
  </si>
  <si>
    <t>ABT713</t>
  </si>
  <si>
    <t>ABT714</t>
  </si>
  <si>
    <t>ABT715</t>
  </si>
  <si>
    <t>8435568300842</t>
  </si>
  <si>
    <t>ABT718</t>
  </si>
  <si>
    <t>8435568300859</t>
  </si>
  <si>
    <t>ABT719</t>
  </si>
  <si>
    <t>8435568300866</t>
  </si>
  <si>
    <t>ABT720</t>
  </si>
  <si>
    <t>8435568300873</t>
  </si>
  <si>
    <t>ABT721</t>
  </si>
  <si>
    <t>8435568300880</t>
  </si>
  <si>
    <t>ABT722</t>
  </si>
  <si>
    <t>8435568300897</t>
  </si>
  <si>
    <t>ABT723</t>
  </si>
  <si>
    <t>8435568300903</t>
  </si>
  <si>
    <t>ABT724</t>
  </si>
  <si>
    <t>8435568300910</t>
  </si>
  <si>
    <t>ABT725</t>
  </si>
  <si>
    <t>ABT730</t>
  </si>
  <si>
    <t>ABT731</t>
  </si>
  <si>
    <t>ABT733</t>
  </si>
  <si>
    <t>ABT738</t>
  </si>
  <si>
    <t>ABT750</t>
  </si>
  <si>
    <t>8435568313712</t>
  </si>
  <si>
    <t>ABT751</t>
  </si>
  <si>
    <t>ABT753</t>
  </si>
  <si>
    <t>8435568331525</t>
  </si>
  <si>
    <t>ABT755</t>
  </si>
  <si>
    <t>8435568335226</t>
  </si>
  <si>
    <t>8435568335233</t>
  </si>
  <si>
    <t>ABT757</t>
  </si>
  <si>
    <t>ABT760</t>
  </si>
  <si>
    <t>8435568326484</t>
  </si>
  <si>
    <t>ABT801</t>
  </si>
  <si>
    <t>8435568328631</t>
  </si>
  <si>
    <t>ABT803</t>
  </si>
  <si>
    <t>MP1000</t>
  </si>
  <si>
    <t>MP1001</t>
  </si>
  <si>
    <t>AK035</t>
  </si>
  <si>
    <t>WEATHERING TECHNIQUES FOR WINTER VEHICLES</t>
  </si>
  <si>
    <t>AK095</t>
  </si>
  <si>
    <t>GTR Boxer Photo DVD</t>
  </si>
  <si>
    <t>8435568326231</t>
  </si>
  <si>
    <t>AK0010</t>
  </si>
  <si>
    <t>MARADONA RESIN FIGURE. 90 MM SCALE</t>
  </si>
  <si>
    <t>8435568333277</t>
  </si>
  <si>
    <t>AK1351</t>
  </si>
  <si>
    <t>AIR CONDITIONING SET WARGAME (RESIN 30-35MM)</t>
  </si>
  <si>
    <t>8435568333284</t>
  </si>
  <si>
    <t>AK1352</t>
  </si>
  <si>
    <t>ARCADE SET WARGAME (RESIN 30-35MM)</t>
  </si>
  <si>
    <t>8435568333291</t>
  </si>
  <si>
    <t>AK1353</t>
  </si>
  <si>
    <t>BANK SET WARGAME (RESIN 30-35MM)</t>
  </si>
  <si>
    <t>8435568333307</t>
  </si>
  <si>
    <t>AK1354</t>
  </si>
  <si>
    <t>BATHROOM SET WARGAME (RESIN 30-35MM)</t>
  </si>
  <si>
    <t>8435568333314</t>
  </si>
  <si>
    <t>AK1355</t>
  </si>
  <si>
    <t>CONTROL STAGE SET WARGAME (RESIN 30-35MM)</t>
  </si>
  <si>
    <t>8435568333321</t>
  </si>
  <si>
    <t>AK1356</t>
  </si>
  <si>
    <t>DEFENSIVE WALLS SET WARGAME (RESIN 30-35MM)</t>
  </si>
  <si>
    <t>8435568333338</t>
  </si>
  <si>
    <t>AK1357</t>
  </si>
  <si>
    <t>JERSEY WALLS SET WARGAME (RESIN 30-35MM)</t>
  </si>
  <si>
    <t>8435568333345</t>
  </si>
  <si>
    <t>AK1358</t>
  </si>
  <si>
    <t>LIVING ROOM SET WARGAME (RESIN 30-35MM)</t>
  </si>
  <si>
    <t>8435568333352</t>
  </si>
  <si>
    <t>AK1359</t>
  </si>
  <si>
    <t>PARTY TIME SET WARGAME (RESIN 30-35MM)</t>
  </si>
  <si>
    <t>8435568333369</t>
  </si>
  <si>
    <t>AK1360</t>
  </si>
  <si>
    <t>VENDING MACHINE SET WARGAME (RESIN 30-35MM)</t>
  </si>
  <si>
    <t>8435568334250</t>
  </si>
  <si>
    <t>WEAPON CASES SCENOGRAPHY WARGAME SET  (30-35MM)</t>
  </si>
  <si>
    <t>8435568334267</t>
  </si>
  <si>
    <t>AK1362</t>
  </si>
  <si>
    <t>TRASHBINS SCENOGRAPHY WARGAME SET (30-35MM)</t>
  </si>
  <si>
    <t>8435568337343</t>
  </si>
  <si>
    <t>AK1363</t>
  </si>
  <si>
    <t>COLUMNS SET WARGAME (RESIN 30-35MM)</t>
  </si>
  <si>
    <t>8435568337350</t>
  </si>
  <si>
    <t>AK1364</t>
  </si>
  <si>
    <t>CONSTRUCTION SET WARGAME (RESIN 30-35MM)</t>
  </si>
  <si>
    <t>8435568343634</t>
  </si>
  <si>
    <t>AK1365</t>
  </si>
  <si>
    <t>CEMETERY ACCESORIES WARGAME SET (RESIN 30-35MM)</t>
  </si>
  <si>
    <t>8435568343733</t>
  </si>
  <si>
    <t>AK1366</t>
  </si>
  <si>
    <t>BARRELS &amp; BOXES  WARGAME SET (RESIN 30-35MM)</t>
  </si>
  <si>
    <t>8436564924582</t>
  </si>
  <si>
    <t>DZ001</t>
  </si>
  <si>
    <t>8436564924599</t>
  </si>
  <si>
    <t>DZ002</t>
  </si>
  <si>
    <t>8436564924605</t>
  </si>
  <si>
    <t>DZ003</t>
  </si>
  <si>
    <t>8436564924612</t>
  </si>
  <si>
    <t>DZ004</t>
  </si>
  <si>
    <t>8436564924629</t>
  </si>
  <si>
    <t>DZ005</t>
  </si>
  <si>
    <t>8436564924636</t>
  </si>
  <si>
    <t>DZ006</t>
  </si>
  <si>
    <t>8436564924643</t>
  </si>
  <si>
    <t>DZ007</t>
  </si>
  <si>
    <t>8436564924650</t>
  </si>
  <si>
    <t>DZ008</t>
  </si>
  <si>
    <t>8436564924667</t>
  </si>
  <si>
    <t>DZ009</t>
  </si>
  <si>
    <t>8436564924674</t>
  </si>
  <si>
    <t>DZ010</t>
  </si>
  <si>
    <t>8436564924681</t>
  </si>
  <si>
    <t>DZ011</t>
  </si>
  <si>
    <t>8436564924704</t>
  </si>
  <si>
    <t>DZ013</t>
  </si>
  <si>
    <t>8436564924711</t>
  </si>
  <si>
    <t>DZ014</t>
  </si>
  <si>
    <t>8436564924728</t>
  </si>
  <si>
    <t>DZ015</t>
  </si>
  <si>
    <t>DZ016</t>
  </si>
  <si>
    <t>8436564926272</t>
  </si>
  <si>
    <t>DZ017</t>
  </si>
  <si>
    <t>8436564926289</t>
  </si>
  <si>
    <t>DZ018</t>
  </si>
  <si>
    <t>8436564926319</t>
  </si>
  <si>
    <t>DZ021</t>
  </si>
  <si>
    <t>DZ022</t>
  </si>
  <si>
    <t>8435568306165</t>
  </si>
  <si>
    <t>DZ023</t>
  </si>
  <si>
    <t>8435568306172</t>
  </si>
  <si>
    <t>DZ024</t>
  </si>
  <si>
    <t>8435568306189</t>
  </si>
  <si>
    <t>DZ025</t>
  </si>
  <si>
    <t>DZ026</t>
  </si>
  <si>
    <t>DZ027</t>
  </si>
  <si>
    <t>8435568308336</t>
  </si>
  <si>
    <t>DZ030</t>
  </si>
  <si>
    <t>8435568308343</t>
  </si>
  <si>
    <t>DZ031</t>
  </si>
  <si>
    <t>8435568308350</t>
  </si>
  <si>
    <t>DZ032</t>
  </si>
  <si>
    <t>8435568308367</t>
  </si>
  <si>
    <t>DZ033</t>
  </si>
  <si>
    <t>DZ036</t>
  </si>
  <si>
    <t>8435568328969</t>
  </si>
  <si>
    <t>DZ037</t>
  </si>
  <si>
    <t>8435568307933</t>
  </si>
  <si>
    <t>ABT1001</t>
  </si>
  <si>
    <t>8435568309098</t>
  </si>
  <si>
    <t>ABT1002</t>
  </si>
  <si>
    <t>ABT1003</t>
  </si>
  <si>
    <t>ABT1004</t>
  </si>
  <si>
    <t>8435568312456</t>
  </si>
  <si>
    <t>ABT1010</t>
  </si>
  <si>
    <t>8435568312463</t>
  </si>
  <si>
    <t>ABT1011</t>
  </si>
  <si>
    <t>8435568312470</t>
  </si>
  <si>
    <t>ABT1012</t>
  </si>
  <si>
    <t>8435568312487</t>
  </si>
  <si>
    <t>ABT1013</t>
  </si>
  <si>
    <t>8435568312494</t>
  </si>
  <si>
    <t>ABT1014</t>
  </si>
  <si>
    <t>8435568312500</t>
  </si>
  <si>
    <t>ABT1015</t>
  </si>
  <si>
    <t>8435568312517</t>
  </si>
  <si>
    <t>ABT1016</t>
  </si>
  <si>
    <t>8435568312524</t>
  </si>
  <si>
    <t>ABT1017</t>
  </si>
  <si>
    <t>8435568312531</t>
  </si>
  <si>
    <t>ABT1018</t>
  </si>
  <si>
    <t>8435568312548</t>
  </si>
  <si>
    <t>ABT1019</t>
  </si>
  <si>
    <t>8435568312555</t>
  </si>
  <si>
    <t>ABT1020</t>
  </si>
  <si>
    <t>8435568312562</t>
  </si>
  <si>
    <t>ABT1021</t>
  </si>
  <si>
    <t>8435568326088</t>
  </si>
  <si>
    <t>ABT1022</t>
  </si>
  <si>
    <t>ABT1025</t>
  </si>
  <si>
    <t>8435568331433</t>
  </si>
  <si>
    <t>ABT1027</t>
  </si>
  <si>
    <t>8435568331440</t>
  </si>
  <si>
    <t>ABT1028</t>
  </si>
  <si>
    <t>8435568331778</t>
  </si>
  <si>
    <t>ABT1030</t>
  </si>
  <si>
    <t>8435568331785</t>
  </si>
  <si>
    <t>ABT1031</t>
  </si>
  <si>
    <t>ABT1032</t>
  </si>
  <si>
    <t>ABT1033</t>
  </si>
  <si>
    <t>ABT1034</t>
  </si>
  <si>
    <t>8435568333628</t>
  </si>
  <si>
    <t>ABT1035</t>
  </si>
  <si>
    <t>8435568344365</t>
  </si>
  <si>
    <t>ABT1038</t>
  </si>
  <si>
    <t>8435568309159</t>
  </si>
  <si>
    <t>RAGE001</t>
  </si>
  <si>
    <t>RAGE002</t>
  </si>
  <si>
    <t>8435568326828</t>
  </si>
  <si>
    <t>RAGE004</t>
  </si>
  <si>
    <t>8435568326835</t>
  </si>
  <si>
    <t>RAGE005</t>
  </si>
  <si>
    <t>8435568326842</t>
  </si>
  <si>
    <t>RAGE006</t>
  </si>
  <si>
    <t>8435568326859</t>
  </si>
  <si>
    <t>RAGE007</t>
  </si>
  <si>
    <t>8435568326866</t>
  </si>
  <si>
    <t>RAGE008</t>
  </si>
  <si>
    <t>8435568326873</t>
  </si>
  <si>
    <t>RAGE009</t>
  </si>
  <si>
    <t>8435568326880</t>
  </si>
  <si>
    <t>RAGE010</t>
  </si>
  <si>
    <t>8435568326897</t>
  </si>
  <si>
    <t>RAGE011</t>
  </si>
  <si>
    <t>8435568326903</t>
  </si>
  <si>
    <t>RAGE012</t>
  </si>
  <si>
    <t>8435568326910</t>
  </si>
  <si>
    <t>RAGE013</t>
  </si>
  <si>
    <t>8435568326927</t>
  </si>
  <si>
    <t>RAGE014</t>
  </si>
  <si>
    <t>8435568326996</t>
  </si>
  <si>
    <t>RAGE015</t>
  </si>
  <si>
    <t>8435568327009</t>
  </si>
  <si>
    <t>RAGE016</t>
  </si>
  <si>
    <t>8435568327016</t>
  </si>
  <si>
    <t>RAGE017</t>
  </si>
  <si>
    <t>8435568327023</t>
  </si>
  <si>
    <t>RAGE018</t>
  </si>
  <si>
    <t>8435568327030</t>
  </si>
  <si>
    <t>RAGE019</t>
  </si>
  <si>
    <t>8435568327047</t>
  </si>
  <si>
    <t>RAGE020</t>
  </si>
  <si>
    <t>8435568327054</t>
  </si>
  <si>
    <t>RAGE021</t>
  </si>
  <si>
    <t>8435568327061</t>
  </si>
  <si>
    <t>RAGE022</t>
  </si>
  <si>
    <t>8435568327078</t>
  </si>
  <si>
    <t>RAGE023</t>
  </si>
  <si>
    <t>8435568327085</t>
  </si>
  <si>
    <t>RAGE024</t>
  </si>
  <si>
    <t>8435568327092</t>
  </si>
  <si>
    <t>RAGE025</t>
  </si>
  <si>
    <t>8435568327108</t>
  </si>
  <si>
    <t>RAGE026</t>
  </si>
  <si>
    <t>8435568327115</t>
  </si>
  <si>
    <t>RAGE027</t>
  </si>
  <si>
    <t>8435568327122</t>
  </si>
  <si>
    <t>RAGE028</t>
  </si>
  <si>
    <t>RAGE029</t>
  </si>
  <si>
    <t>RAGE030</t>
  </si>
  <si>
    <t>8435568333925</t>
  </si>
  <si>
    <t>KJD001</t>
  </si>
  <si>
    <t>8435568333932</t>
  </si>
  <si>
    <t>KJD002</t>
  </si>
  <si>
    <t>8435568333949</t>
  </si>
  <si>
    <t>KJD003</t>
  </si>
  <si>
    <t>8435568333956</t>
  </si>
  <si>
    <t>KJD004</t>
  </si>
  <si>
    <t>8435568333963</t>
  </si>
  <si>
    <t>KJD005</t>
  </si>
  <si>
    <t>8435568333970</t>
  </si>
  <si>
    <t>KJD006</t>
  </si>
  <si>
    <t>8435568333987</t>
  </si>
  <si>
    <t>KJD007</t>
  </si>
  <si>
    <t>8435568343900</t>
  </si>
  <si>
    <t>AKABT002</t>
  </si>
  <si>
    <t>20 ml</t>
  </si>
  <si>
    <t>Sepia</t>
  </si>
  <si>
    <t>8435568343917</t>
  </si>
  <si>
    <t>AKABT003</t>
  </si>
  <si>
    <t>Dust</t>
  </si>
  <si>
    <t>8435568343924</t>
  </si>
  <si>
    <t>AKABT004</t>
  </si>
  <si>
    <t>Bitume</t>
  </si>
  <si>
    <t>8435568343931</t>
  </si>
  <si>
    <t>AKABT005</t>
  </si>
  <si>
    <t>Smoke</t>
  </si>
  <si>
    <t>8435568343948</t>
  </si>
  <si>
    <t>AKABT006</t>
  </si>
  <si>
    <t>Burnt Umber / Brown wash</t>
  </si>
  <si>
    <t>8435568343955</t>
  </si>
  <si>
    <t>AKABT007</t>
  </si>
  <si>
    <t>Raw Umber / Industrial earth</t>
  </si>
  <si>
    <t>8435568343962</t>
  </si>
  <si>
    <t>AKABT010</t>
  </si>
  <si>
    <t>Royal yellow</t>
  </si>
  <si>
    <t>8435568343979</t>
  </si>
  <si>
    <t>AKABT015</t>
  </si>
  <si>
    <t>Cassel earth / Shadow brown</t>
  </si>
  <si>
    <t>8435568343986</t>
  </si>
  <si>
    <t>AKABT020</t>
  </si>
  <si>
    <t>Indian yellow / Faded dark yellow</t>
  </si>
  <si>
    <t>8435568343993</t>
  </si>
  <si>
    <t>AKABT025</t>
  </si>
  <si>
    <t>Warm red</t>
  </si>
  <si>
    <t>8435568344006</t>
  </si>
  <si>
    <t>AKABT030</t>
  </si>
  <si>
    <t>Cobalt blue / Faded navy blue</t>
  </si>
  <si>
    <t>8435568344013</t>
  </si>
  <si>
    <t>AKABT035</t>
  </si>
  <si>
    <t>Buff</t>
  </si>
  <si>
    <t>8435568344020</t>
  </si>
  <si>
    <t>AKABT040</t>
  </si>
  <si>
    <t>Sap green / Faded green</t>
  </si>
  <si>
    <t>8435568344037</t>
  </si>
  <si>
    <t>AKABT050</t>
  </si>
  <si>
    <t>Cinnabar green</t>
  </si>
  <si>
    <t>8435568344044</t>
  </si>
  <si>
    <t>AKABT060</t>
  </si>
  <si>
    <t>Red ochre / Light rust</t>
  </si>
  <si>
    <t>8435568344051</t>
  </si>
  <si>
    <t>AKABT070</t>
  </si>
  <si>
    <t>Burnt Sienna / Dark rust</t>
  </si>
  <si>
    <t>8435568344068</t>
  </si>
  <si>
    <t>AKABT092</t>
  </si>
  <si>
    <t>Flesh ocher</t>
  </si>
  <si>
    <t>8435568344075</t>
  </si>
  <si>
    <t>AKABT093</t>
  </si>
  <si>
    <t>Raw sienna / Earth</t>
  </si>
  <si>
    <t>8435568344082</t>
  </si>
  <si>
    <t>AKABT094</t>
  </si>
  <si>
    <t>Green grass</t>
  </si>
  <si>
    <t>8435568344099</t>
  </si>
  <si>
    <t>AKABT100</t>
  </si>
  <si>
    <t>Neutral grey</t>
  </si>
  <si>
    <t>8435568344105</t>
  </si>
  <si>
    <t>AKABT110</t>
  </si>
  <si>
    <t>Ivory black</t>
  </si>
  <si>
    <t>8435568344112</t>
  </si>
  <si>
    <t>AKABT120</t>
  </si>
  <si>
    <t>8435568344129</t>
  </si>
  <si>
    <t>AKABT125</t>
  </si>
  <si>
    <t>Light mud</t>
  </si>
  <si>
    <t>8435568344136</t>
  </si>
  <si>
    <t>AKABT130</t>
  </si>
  <si>
    <t>Dark mud</t>
  </si>
  <si>
    <t>8435568344143</t>
  </si>
  <si>
    <t>AKABT135</t>
  </si>
  <si>
    <t>Light flesh tone</t>
  </si>
  <si>
    <t>8435568344150</t>
  </si>
  <si>
    <t>AKABT140</t>
  </si>
  <si>
    <t>Basic flesh tone</t>
  </si>
  <si>
    <t>8435568344167</t>
  </si>
  <si>
    <t>AKABT145</t>
  </si>
  <si>
    <t>Sunny flesh tone</t>
  </si>
  <si>
    <t>8435568344174</t>
  </si>
  <si>
    <t>AKABT155</t>
  </si>
  <si>
    <t>Naples yellow / Light sand</t>
  </si>
  <si>
    <t>8435568344198</t>
  </si>
  <si>
    <t>AKABT165</t>
  </si>
  <si>
    <t>Faded white</t>
  </si>
  <si>
    <t>8435568344204</t>
  </si>
  <si>
    <t>AKABT170</t>
  </si>
  <si>
    <t>Light grey</t>
  </si>
  <si>
    <t>8435568344211</t>
  </si>
  <si>
    <t>AKABT190</t>
  </si>
  <si>
    <t>Faded flesh</t>
  </si>
  <si>
    <t>8435568344228</t>
  </si>
  <si>
    <t>AKABT215</t>
  </si>
  <si>
    <t>Flesh shadow</t>
  </si>
  <si>
    <t>8435568344235</t>
  </si>
  <si>
    <t>AKABT235</t>
  </si>
  <si>
    <t>Intense blue</t>
  </si>
  <si>
    <t>8435568344242</t>
  </si>
  <si>
    <t>AKABT240</t>
  </si>
  <si>
    <t>Cream brown</t>
  </si>
  <si>
    <t>8435568344259</t>
  </si>
  <si>
    <t>AKABT250</t>
  </si>
  <si>
    <t>Magenta</t>
  </si>
  <si>
    <t>8435568344266</t>
  </si>
  <si>
    <t>AKABT255</t>
  </si>
  <si>
    <t>Paynes grey</t>
  </si>
  <si>
    <t>8435568344273</t>
  </si>
  <si>
    <t>AKABT505</t>
  </si>
  <si>
    <t>Madder carmin</t>
  </si>
  <si>
    <t>8435568344280</t>
  </si>
  <si>
    <t>AKABT510</t>
  </si>
  <si>
    <t>Starship filth</t>
  </si>
  <si>
    <t>8435568344297</t>
  </si>
  <si>
    <t>AKABT515</t>
  </si>
  <si>
    <t>Turquoise lights</t>
  </si>
  <si>
    <t>8435568343764</t>
  </si>
  <si>
    <t>AKABT530</t>
  </si>
  <si>
    <t>Lemon Yellow</t>
  </si>
  <si>
    <t>8435568343771</t>
  </si>
  <si>
    <t>AKABT535</t>
  </si>
  <si>
    <t>Primary Yellow</t>
  </si>
  <si>
    <t>8435568343788</t>
  </si>
  <si>
    <t>AKABT540</t>
  </si>
  <si>
    <t>Cyan</t>
  </si>
  <si>
    <t>8435568343795</t>
  </si>
  <si>
    <t>AKABT545</t>
  </si>
  <si>
    <t>Prussian blue</t>
  </si>
  <si>
    <t>8435568343801</t>
  </si>
  <si>
    <t>AKABT550</t>
  </si>
  <si>
    <t>Emerald green</t>
  </si>
  <si>
    <t>8435568343818</t>
  </si>
  <si>
    <t>AKABT555</t>
  </si>
  <si>
    <t>Permanent Violet</t>
  </si>
  <si>
    <t>8435568343825</t>
  </si>
  <si>
    <t>AKABT560</t>
  </si>
  <si>
    <t>Cadmium red</t>
  </si>
  <si>
    <t>8435568343832</t>
  </si>
  <si>
    <t>AKABT605</t>
  </si>
  <si>
    <t>Vermilion</t>
  </si>
  <si>
    <t>8435568343849</t>
  </si>
  <si>
    <t>AKABT610</t>
  </si>
  <si>
    <t>Ochre</t>
  </si>
  <si>
    <t>8435568343856</t>
  </si>
  <si>
    <t>AKABT615</t>
  </si>
  <si>
    <t>Olive green</t>
  </si>
  <si>
    <t>8435568343863</t>
  </si>
  <si>
    <t>AKABT620</t>
  </si>
  <si>
    <t>8435568344310</t>
  </si>
  <si>
    <t>AKABT625</t>
  </si>
  <si>
    <t>Orange</t>
  </si>
  <si>
    <t>8435568344600</t>
  </si>
  <si>
    <t>AKABT301</t>
  </si>
  <si>
    <t>6x20ml</t>
  </si>
  <si>
    <t>FLESH COLORS SET - ABT 502 OILS</t>
  </si>
  <si>
    <t>8435568344617</t>
  </si>
  <si>
    <t>AKABT302</t>
  </si>
  <si>
    <t>VEHICLE WEATHERING &amp; EFFECTS SET - ABT 502 OILS</t>
  </si>
  <si>
    <t>8435568344624</t>
  </si>
  <si>
    <t>AKABT303</t>
  </si>
  <si>
    <t>VEHICLE MAPPING TECHNIQUE LIGHTS AND SHADOWS - ABT</t>
  </si>
  <si>
    <t>8435568344631</t>
  </si>
  <si>
    <t>AKABT304</t>
  </si>
  <si>
    <t>RUST &amp; RED COLORS SET - ABT 502 OILS</t>
  </si>
  <si>
    <t>8435568344648</t>
  </si>
  <si>
    <t>AKABT305</t>
  </si>
  <si>
    <t>AIRCRAFT EFFECTS SET - ABT 502 OILS</t>
  </si>
  <si>
    <t>8435568344655</t>
  </si>
  <si>
    <t>AKABT306</t>
  </si>
  <si>
    <t>NAVAL &amp; GREY EFFECTS SET - ABT 502 OILS</t>
  </si>
  <si>
    <t>8435568344662</t>
  </si>
  <si>
    <t>AKABT307</t>
  </si>
  <si>
    <t>DIORAMA COLORS SET - ABT 502 OILS</t>
  </si>
  <si>
    <t>8435568344679</t>
  </si>
  <si>
    <t>AKABT308</t>
  </si>
  <si>
    <t>BASE COLOR ALTERATION SET - ABT 502 OILS</t>
  </si>
  <si>
    <t>8435568344686</t>
  </si>
  <si>
    <t>AKABT309</t>
  </si>
  <si>
    <t>PRIMARY &amp; SECONDARY COLORS SET - ABT 502 OILS</t>
  </si>
  <si>
    <t>8435568344693</t>
  </si>
  <si>
    <t>AKABT310</t>
  </si>
  <si>
    <t>FANTASY &amp; SCI-FI COLORS SET - ABT 502 OILS</t>
  </si>
  <si>
    <t>8435568344709</t>
  </si>
  <si>
    <t>AKABT311</t>
  </si>
  <si>
    <t>LEATHER &amp; WOOD COLORS SET - ABT 502 OILS</t>
  </si>
  <si>
    <t>8435568345836</t>
  </si>
  <si>
    <t>AKABT112</t>
  </si>
  <si>
    <t>Matt effect Thinner 100ml ABT 502</t>
  </si>
  <si>
    <t>8435568345843</t>
  </si>
  <si>
    <t>AKABT113</t>
  </si>
  <si>
    <t>Fast dry Thinner 100ml ABT 502</t>
  </si>
  <si>
    <t>8435568345850</t>
  </si>
  <si>
    <t>AKABT115</t>
  </si>
  <si>
    <t>Liquid mask 100ml ABT 502</t>
  </si>
  <si>
    <t>8435568345867</t>
  </si>
  <si>
    <t>AKABT117</t>
  </si>
  <si>
    <t>Magic potion for brushes 100ml ABT 502</t>
  </si>
  <si>
    <t>8435568348929</t>
  </si>
  <si>
    <t>AKAD001</t>
  </si>
  <si>
    <t>PURE WHITE</t>
  </si>
  <si>
    <t>8435568348936</t>
  </si>
  <si>
    <t>8435568348943</t>
  </si>
  <si>
    <t>PURE BLACK</t>
  </si>
  <si>
    <t>8435568348950</t>
  </si>
  <si>
    <t>AKAD004</t>
  </si>
  <si>
    <t>8435568348967</t>
  </si>
  <si>
    <t>AKAD005</t>
  </si>
  <si>
    <t>8435568348974</t>
  </si>
  <si>
    <t>YELLOW</t>
  </si>
  <si>
    <t>8435568348981</t>
  </si>
  <si>
    <t>8435568348998</t>
  </si>
  <si>
    <t>AKAD008</t>
  </si>
  <si>
    <t>GREEN</t>
  </si>
  <si>
    <t>8435568349001</t>
  </si>
  <si>
    <t>AKAD009</t>
  </si>
  <si>
    <t>8435568349018</t>
  </si>
  <si>
    <t>AKAD010</t>
  </si>
  <si>
    <t>8435568349025</t>
  </si>
  <si>
    <t>AKAD011</t>
  </si>
  <si>
    <t>8435568349032</t>
  </si>
  <si>
    <t>AKAD012</t>
  </si>
  <si>
    <t>8435568349049</t>
  </si>
  <si>
    <t>AKAD013</t>
  </si>
  <si>
    <t>8435568349056</t>
  </si>
  <si>
    <t>AKAD014</t>
  </si>
  <si>
    <t>RED</t>
  </si>
  <si>
    <t>8435568349063</t>
  </si>
  <si>
    <t>AKAD015</t>
  </si>
  <si>
    <t>OXIDE RED</t>
  </si>
  <si>
    <t>8435568349070</t>
  </si>
  <si>
    <t>AKAD016</t>
  </si>
  <si>
    <t>8435568349087</t>
  </si>
  <si>
    <t>AKAD017</t>
  </si>
  <si>
    <t>EARTH BROWN</t>
  </si>
  <si>
    <t>8435568349094</t>
  </si>
  <si>
    <t>AKAD018</t>
  </si>
  <si>
    <t>8435568349117</t>
  </si>
  <si>
    <t>AKAD101</t>
  </si>
  <si>
    <t>BLACK &amp; WHITE SET (6 tubes 20 ml)</t>
  </si>
  <si>
    <t>8435568349124</t>
  </si>
  <si>
    <t>AKAD102</t>
  </si>
  <si>
    <t>PRIMARY &amp; SECONDARY SET (6 tubes 20 ml)</t>
  </si>
  <si>
    <t>8435568349131</t>
  </si>
  <si>
    <t>AKAD103</t>
  </si>
  <si>
    <t>FIGURES SPECIAL SET (6 tubes 20 ml)</t>
  </si>
  <si>
    <t>8435568350700</t>
  </si>
  <si>
    <t>AKAD051</t>
  </si>
  <si>
    <t>60 ML</t>
  </si>
  <si>
    <t>MEDIUM 60ml</t>
  </si>
  <si>
    <t>8435568344457</t>
  </si>
  <si>
    <t>AKG01</t>
  </si>
  <si>
    <t>SNOW WHITE - AK GOUACHE 20 ml</t>
  </si>
  <si>
    <t>8435568344464</t>
  </si>
  <si>
    <t>AKG02</t>
  </si>
  <si>
    <t>BLACK - AK GOUACHE 20 ml.</t>
  </si>
  <si>
    <t>8435568344471</t>
  </si>
  <si>
    <t>AKG03</t>
  </si>
  <si>
    <t>SAND - AK GOUACHE 20 ml.</t>
  </si>
  <si>
    <t>8435568344488</t>
  </si>
  <si>
    <t>AKG04</t>
  </si>
  <si>
    <t>EARTH (DRY) - AK GOUACHE 20 ml.</t>
  </si>
  <si>
    <t>8435568344495</t>
  </si>
  <si>
    <t>AKG05</t>
  </si>
  <si>
    <t>DARK EARTH - AK GOUACHE 20 ml.</t>
  </si>
  <si>
    <t>8435568344501</t>
  </si>
  <si>
    <t>AKG06</t>
  </si>
  <si>
    <t>DRY MUD - AK GOUACHE 20 ml.</t>
  </si>
  <si>
    <t>8435568344518</t>
  </si>
  <si>
    <t>AKG07</t>
  </si>
  <si>
    <t>DUST - AK GOUACHE 20 ml.</t>
  </si>
  <si>
    <t>8435568344525</t>
  </si>
  <si>
    <t>AKG08</t>
  </si>
  <si>
    <t>MOSS GREEN - AK GOUACHE 20 ml.</t>
  </si>
  <si>
    <t>8435568344532</t>
  </si>
  <si>
    <t>AKG09</t>
  </si>
  <si>
    <t>FRESH RUST - AK GOUACHE 20 ml.</t>
  </si>
  <si>
    <t>8435568344549</t>
  </si>
  <si>
    <t>AKG10</t>
  </si>
  <si>
    <t>OLD RUST - AK GOUACHE 20 ml.</t>
  </si>
  <si>
    <t>8435568344730</t>
  </si>
  <si>
    <t>AKG11</t>
  </si>
  <si>
    <t>MEDIUM RUST - AK GOUACHE 20 ml.</t>
  </si>
  <si>
    <t>8435568344747</t>
  </si>
  <si>
    <t>AKG12</t>
  </si>
  <si>
    <t>GRIME - AK GOUACHE 20 ml.</t>
  </si>
  <si>
    <t>8435568346765</t>
  </si>
  <si>
    <t>AKG25</t>
  </si>
  <si>
    <t>6 REF. X 20ML</t>
  </si>
  <si>
    <t>WEATHERING EFFECTS SET - AK GOUACHES</t>
  </si>
  <si>
    <t>8435568346772</t>
  </si>
  <si>
    <t>AKG26</t>
  </si>
  <si>
    <t>NATURE WEATHERING EFFECTS SET - AK GOUACHES</t>
  </si>
  <si>
    <t>8435568305762</t>
  </si>
  <si>
    <t>MP35-109</t>
  </si>
  <si>
    <t>MP35-120</t>
  </si>
  <si>
    <t>MP35-130</t>
  </si>
  <si>
    <t>MP35-167</t>
  </si>
  <si>
    <t>MP35-171</t>
  </si>
  <si>
    <t>MP35-179</t>
  </si>
  <si>
    <t>MP35-265</t>
  </si>
  <si>
    <t>MP35-270</t>
  </si>
  <si>
    <t>MP35-271</t>
  </si>
  <si>
    <t>MP35-280</t>
  </si>
  <si>
    <t>MP35-350</t>
  </si>
  <si>
    <t>MP35-371</t>
  </si>
  <si>
    <t>MP35-400</t>
  </si>
  <si>
    <t>MP35-403</t>
  </si>
  <si>
    <t>8435568304925</t>
  </si>
  <si>
    <t>MP35-404</t>
  </si>
  <si>
    <t>8435568304932</t>
  </si>
  <si>
    <t>MP35-405</t>
  </si>
  <si>
    <t>8435568304949</t>
  </si>
  <si>
    <t>MP35-406</t>
  </si>
  <si>
    <t>8435568304956</t>
  </si>
  <si>
    <t>MP35-407</t>
  </si>
  <si>
    <t>8435568304963</t>
  </si>
  <si>
    <t>MP35-408</t>
  </si>
  <si>
    <t>8435568304970</t>
  </si>
  <si>
    <t>MP35-409</t>
  </si>
  <si>
    <t>8435568305090</t>
  </si>
  <si>
    <t>MP35-413</t>
  </si>
  <si>
    <t>8435568306141</t>
  </si>
  <si>
    <t>MP35-416</t>
  </si>
  <si>
    <t>8435568312449</t>
  </si>
  <si>
    <t>MP35-423</t>
  </si>
  <si>
    <t>MP35-424</t>
  </si>
  <si>
    <t>MP48-424</t>
  </si>
  <si>
    <t>MP72-086</t>
  </si>
  <si>
    <t>8435568305045</t>
  </si>
  <si>
    <t>MP72-093</t>
  </si>
  <si>
    <t>MP72-096</t>
  </si>
  <si>
    <t>MP72-352</t>
  </si>
  <si>
    <t>MP72-400</t>
  </si>
  <si>
    <t>8436564927903</t>
  </si>
  <si>
    <t>MP72-401</t>
  </si>
  <si>
    <t>8436564927927</t>
  </si>
  <si>
    <t>MP72-403</t>
  </si>
  <si>
    <t>8436564927934</t>
  </si>
  <si>
    <t>MP72-404</t>
  </si>
  <si>
    <t>8436564927958</t>
  </si>
  <si>
    <t>MP72-406</t>
  </si>
  <si>
    <t>8436564927965</t>
  </si>
  <si>
    <t>MP72-407</t>
  </si>
  <si>
    <t>8436564927972</t>
  </si>
  <si>
    <t>MP72-408</t>
  </si>
  <si>
    <t>MP72-409</t>
  </si>
  <si>
    <t>MP72-410</t>
  </si>
  <si>
    <t>MP72-411</t>
  </si>
  <si>
    <t>8435568300750</t>
  </si>
  <si>
    <t>MP72-412</t>
  </si>
  <si>
    <t>MP72-424</t>
  </si>
  <si>
    <t>MP93-100</t>
  </si>
  <si>
    <t>WOODLAND</t>
  </si>
  <si>
    <t>WOODLAND SCENICS</t>
  </si>
  <si>
    <t>C1178</t>
  </si>
  <si>
    <t>SHAPER SHEET 9"X 72"</t>
  </si>
  <si>
    <t>C1179</t>
  </si>
  <si>
    <t>SHAPER SHEET 18"X72"</t>
  </si>
  <si>
    <t>C1180</t>
  </si>
  <si>
    <t>SHAPR SHT PLASTER 4#</t>
  </si>
  <si>
    <t>C1198</t>
  </si>
  <si>
    <t>CARVING PLASTER1/2GL</t>
  </si>
  <si>
    <t>C1204</t>
  </si>
  <si>
    <t>LATEX RUBBER 16OZ</t>
  </si>
  <si>
    <t>C1208</t>
  </si>
  <si>
    <t>GUIDE/MODEL SCENERY</t>
  </si>
  <si>
    <t>C1211</t>
  </si>
  <si>
    <t>REALISTIC WATER 16FL</t>
  </si>
  <si>
    <t>C1212</t>
  </si>
  <si>
    <t>WATER EFFECTS 8FL</t>
  </si>
  <si>
    <t>C1215</t>
  </si>
  <si>
    <t>EARTH COLOR KIT</t>
  </si>
  <si>
    <t>C1230</t>
  </si>
  <si>
    <t>OUTCROPPING ROCK MLD</t>
  </si>
  <si>
    <t>C1231</t>
  </si>
  <si>
    <t>SURFACE ROCK MOLDS</t>
  </si>
  <si>
    <t>C1236</t>
  </si>
  <si>
    <t>CLASSIC ROCK MOLD</t>
  </si>
  <si>
    <t>C1240</t>
  </si>
  <si>
    <t>ROCK MASS ROCK MOLD</t>
  </si>
  <si>
    <t>F1660</t>
  </si>
  <si>
    <t>LT GRN FOREST CANOPY</t>
  </si>
  <si>
    <t>F1661</t>
  </si>
  <si>
    <t>MEDGRN FOREST CANOPY</t>
  </si>
  <si>
    <t>F1662</t>
  </si>
  <si>
    <t>DK GRN FOREST CANOPY</t>
  </si>
  <si>
    <t>F1663</t>
  </si>
  <si>
    <t>AUTMIX FOREST CANOPY</t>
  </si>
  <si>
    <t>FC682</t>
  </si>
  <si>
    <t>CLP FOLIAGE LGHT GRN</t>
  </si>
  <si>
    <t>FC683</t>
  </si>
  <si>
    <t>CLP FOLIAGE MED GRN</t>
  </si>
  <si>
    <t>FG171</t>
  </si>
  <si>
    <t>NATURAL STRAW GRASS</t>
  </si>
  <si>
    <t>FG172</t>
  </si>
  <si>
    <t>HARVEST GOLD GRASS</t>
  </si>
  <si>
    <t>FG174</t>
  </si>
  <si>
    <t>MEDIUM GREEN GRASS</t>
  </si>
  <si>
    <t>FS613</t>
  </si>
  <si>
    <t>ST.GR.DARK GREEN 2MM</t>
  </si>
  <si>
    <t>FS614</t>
  </si>
  <si>
    <t>ST.GR.MED.GREEN 2MM</t>
  </si>
  <si>
    <t>FS615</t>
  </si>
  <si>
    <t>ST.GR.LIGHT GREEN2MM</t>
  </si>
  <si>
    <t>FS616</t>
  </si>
  <si>
    <t>ST.GR.STRAW 2MM</t>
  </si>
  <si>
    <t>FS617</t>
  </si>
  <si>
    <t>ST.GR.DARK GREEN 4MM</t>
  </si>
  <si>
    <t>FS618</t>
  </si>
  <si>
    <t>ST.GR.MED.GREEN 4MM</t>
  </si>
  <si>
    <t>FS619</t>
  </si>
  <si>
    <t>ST.GR.LIGHT GREEN4MM</t>
  </si>
  <si>
    <t>FS620</t>
  </si>
  <si>
    <t>ST.GR.STRAW 4MM</t>
  </si>
  <si>
    <t>FS621</t>
  </si>
  <si>
    <t>ST.GR.DARK GREEN 7MM</t>
  </si>
  <si>
    <t>FS623</t>
  </si>
  <si>
    <t>ST.GR.LIGHT GREEN7MM</t>
  </si>
  <si>
    <t>FS625</t>
  </si>
  <si>
    <t>ST.GR.DARK GREEN12MM</t>
  </si>
  <si>
    <t>FS626</t>
  </si>
  <si>
    <t>ST.GR.MED.GREEN 12MM</t>
  </si>
  <si>
    <t>FS637</t>
  </si>
  <si>
    <t>BRIAR PATCH DRY BRN.</t>
  </si>
  <si>
    <t>FS638</t>
  </si>
  <si>
    <t>BRIAR PATCH MED.GRN.</t>
  </si>
  <si>
    <t>FS643</t>
  </si>
  <si>
    <t>TUFT-TAC</t>
  </si>
  <si>
    <t>FS645</t>
  </si>
  <si>
    <t>SPRAY-TAC</t>
  </si>
  <si>
    <t>FS647</t>
  </si>
  <si>
    <t>STATIC GRASS STARTER</t>
  </si>
  <si>
    <t>FS772</t>
  </si>
  <si>
    <t>VIOLET FLOWER TUFTS</t>
  </si>
  <si>
    <t>FS773</t>
  </si>
  <si>
    <t>RED FLOWER TUFTS</t>
  </si>
  <si>
    <t>FS774</t>
  </si>
  <si>
    <t>YELLOW SEEDING TUFTS</t>
  </si>
  <si>
    <t>FS775</t>
  </si>
  <si>
    <t>BROWN SEEDING TUFTS</t>
  </si>
  <si>
    <t>FS777</t>
  </si>
  <si>
    <t>MED.GRN.PRAIRIE GRSS</t>
  </si>
  <si>
    <t>FS778</t>
  </si>
  <si>
    <t>DK.GRN.PRAIRIE GRASS</t>
  </si>
  <si>
    <t>FS779</t>
  </si>
  <si>
    <t>BRN TIP.PRAIRIE GRSS</t>
  </si>
  <si>
    <t>FS780</t>
  </si>
  <si>
    <t>LT.GRN.EDGING STRIPS</t>
  </si>
  <si>
    <t>FS781</t>
  </si>
  <si>
    <t>MED.GRN.EDGING STRIP</t>
  </si>
  <si>
    <t>G6461</t>
  </si>
  <si>
    <t>LT.GRN.FOLIAGE CLUMP</t>
  </si>
  <si>
    <t>G6462</t>
  </si>
  <si>
    <t>MD.GRN FOLIAGE CLUMP</t>
  </si>
  <si>
    <t>L161</t>
  </si>
  <si>
    <t>SPRING GREEN LICHEN</t>
  </si>
  <si>
    <t>L163</t>
  </si>
  <si>
    <t>MED GREEN LICHEN</t>
  </si>
  <si>
    <t>LK956</t>
  </si>
  <si>
    <t>SCEN DETAILS LEARN</t>
  </si>
  <si>
    <t>S190</t>
  </si>
  <si>
    <t>SCENIC GLUE 8FL</t>
  </si>
  <si>
    <t>S191</t>
  </si>
  <si>
    <t>SCENIC CEMENT</t>
  </si>
  <si>
    <t>S192</t>
  </si>
  <si>
    <t>SCENIC SPRAYER</t>
  </si>
  <si>
    <t>T1341</t>
  </si>
  <si>
    <t>SOIL TURF 32 OZ</t>
  </si>
  <si>
    <t>T1343</t>
  </si>
  <si>
    <t>YEL GRASS TURF 32 OZ</t>
  </si>
  <si>
    <t>T1350</t>
  </si>
  <si>
    <t>EARTH BLND TURF 32OZ</t>
  </si>
  <si>
    <t>T1353</t>
  </si>
  <si>
    <t>FALL YEL TURF 32OZ</t>
  </si>
  <si>
    <t>T1364</t>
  </si>
  <si>
    <t>MED GREEN TURF 32OZ</t>
  </si>
  <si>
    <t>T1365</t>
  </si>
  <si>
    <t>DARK GREEN TURF 32OZ</t>
  </si>
  <si>
    <t>T1366</t>
  </si>
  <si>
    <t>CONIFER TURF 32 OZ</t>
  </si>
  <si>
    <t>SW MODEL TOYS</t>
  </si>
  <si>
    <t>EFFECTS</t>
  </si>
  <si>
    <t>GILGAMESH</t>
  </si>
  <si>
    <t>MAWU</t>
  </si>
  <si>
    <t>ANUBIS</t>
  </si>
  <si>
    <t>SA'HELAR AND RAZHA</t>
  </si>
  <si>
    <t>AGATHA</t>
  </si>
  <si>
    <t>ANGELICA</t>
  </si>
  <si>
    <t>SKOLL</t>
  </si>
  <si>
    <t>ISHTAR</t>
  </si>
  <si>
    <t>RUNGARD</t>
  </si>
  <si>
    <t>KURZHOL</t>
  </si>
  <si>
    <t>GERMANIC KNIGHT</t>
  </si>
  <si>
    <t>ST. JOHN'S ORDER KNIGHT</t>
  </si>
  <si>
    <t>TEUTONIC KNIGHT</t>
  </si>
  <si>
    <t>NIGHTMARES OF YLIA BOOK</t>
  </si>
  <si>
    <t>ACRYLIC COLOR SINGLE POT WHITE</t>
  </si>
  <si>
    <t>ACRYLIC COLOR SINGLE POT BLACK</t>
  </si>
  <si>
    <t>ACRYLIC COLOR SINGLE POT YELLOW OXIDE</t>
  </si>
  <si>
    <t>ACRYLIC COLOR SINGLE POT WARM YELLOW</t>
  </si>
  <si>
    <t>ACRYLIC COLOR SINGLE POT COLD YELLOW</t>
  </si>
  <si>
    <t>ACRYLIC COLOR SINGLE POT ORANGE</t>
  </si>
  <si>
    <t>ACRYLIC COLOR SINGLE POT RED OXIDE</t>
  </si>
  <si>
    <t>ACRYLIC COLOR SINGLE POT RED</t>
  </si>
  <si>
    <t>ACRYLIC COLOR SINGLE POT MAGENTA</t>
  </si>
  <si>
    <t>ACRYLIC COLOR SINGLE POT VIOLET</t>
  </si>
  <si>
    <t>ACRYLIC COLOR SINGLE POT BLU RED SHADE</t>
  </si>
  <si>
    <t>ACRYLIC COLOR SINGLE POT BLU GREEN SHADE</t>
  </si>
  <si>
    <t>ACRYLIC COLOR SINGLE POT GREEN</t>
  </si>
  <si>
    <t>ACRYLIC COLOR SINGLE POT SATIN MEDIUM</t>
  </si>
  <si>
    <t>ACRYLIC COLOR SINGLE POT OXIDE BROWN DARK</t>
  </si>
  <si>
    <t>ACRYLIC COLOR SINGLE POT OXIDE BROWN MEDIUM</t>
  </si>
  <si>
    <t>ACRYLIC COLOR SINGLE POT OXIDE BROWN LIGHT</t>
  </si>
  <si>
    <t>ACRYLIC COLOR SINGLE POT MARS ORANGE</t>
  </si>
  <si>
    <t>ACRYLIC COLOR SINGLE POT DARK OCHRE</t>
  </si>
  <si>
    <t>ACRYLIC COLOR SINGLE POT HONEYMOON YELLOW</t>
  </si>
  <si>
    <t>ACRYLIC COLOR SINGLE POT DIARYLIDE YELLOW</t>
  </si>
  <si>
    <t>ACRYLIC COLOR SINGLE POT ALIZARINE CRIMSON</t>
  </si>
  <si>
    <t>ACRYLIC COLOR SINGLE POT ROYAL BROWN</t>
  </si>
  <si>
    <t>ACRYLIC COLOR SINGLE POT ULTRAMARINE BLUE</t>
  </si>
  <si>
    <t>ACRYLIC COLOR SINGLE POT TOLUIDINE RED</t>
  </si>
  <si>
    <t>ACRYLIC COLOR SINGLE POT PURPLE</t>
  </si>
  <si>
    <t>ACRYLIC COLOR SINGLE POT OXIDE GREEN</t>
  </si>
  <si>
    <t>ACRYLIC COLOR SINGLE POT COBALT BLUEGREEN</t>
  </si>
  <si>
    <t>ACRYLIC COLOR SINGLE POT MORNING SKY</t>
  </si>
  <si>
    <t>ACRYLIC COLOR SINGLE POT CLOUDY SKY</t>
  </si>
  <si>
    <t>ACRYLIC COLOR SINGLE POT IRON HUE</t>
  </si>
  <si>
    <t>ACRYLIC COLOR SINGLE POT SUN RAY</t>
  </si>
  <si>
    <t>ACRYLIC COLOR SINGLE POT FALLEN GRASS</t>
  </si>
  <si>
    <t>ACRYLIC COLOR SINGLE POT GROUND BROWN</t>
  </si>
  <si>
    <t>ACRYLIC COLOR SINGLE POT CARTACCI RED</t>
  </si>
  <si>
    <t>ACRYLIC COLOR SINGLE POT CAUCASIAN SKINTONE</t>
  </si>
  <si>
    <t>ACRYLIC COLOR SINGLE POT GOLDEN BROWN</t>
  </si>
  <si>
    <t>ACRYLIC COLOR SINGLE POT SAMURAI GREEN</t>
  </si>
  <si>
    <t>ACRYLIC COLOR SINGLE POT SILVER GREY</t>
  </si>
  <si>
    <t>ACRYLIC COLOR SINGLE POT DARKNESS</t>
  </si>
  <si>
    <t>ACRYLIC COLOR SINGLE POT DEEP RUSTO</t>
  </si>
  <si>
    <t>ACRYLIC COLOR SINGLE POT VIRIDIAN</t>
  </si>
  <si>
    <t>ACRYLIC COLOR SINGLE POT POISON</t>
  </si>
  <si>
    <t>ACRYLIC COLOR SINGLE POT BONE KHAKI</t>
  </si>
  <si>
    <t>ACRYLIC COLOR SINGLE POT GOLD 79</t>
  </si>
  <si>
    <t>ACRYLIC COLOR SINGLE POT SALMON</t>
  </si>
  <si>
    <t>ACRYLIC COLOR SINGLE POT PINK SKIN</t>
  </si>
  <si>
    <t>ACRYLIC COLOR SINGLE POT FUCHSIA</t>
  </si>
  <si>
    <t>ACRYLIC COLOR SINGLE POT SEA BLUE</t>
  </si>
  <si>
    <t>ACRYLIC COLOR SINGLE POT BLUE BLACK</t>
  </si>
  <si>
    <t>PEKI-004</t>
  </si>
  <si>
    <t>KDO-014P</t>
  </si>
  <si>
    <t>KPR-001</t>
  </si>
  <si>
    <t>KPU-019P</t>
  </si>
  <si>
    <t>KPU-021S</t>
  </si>
  <si>
    <t>KDO-010P</t>
  </si>
  <si>
    <t>KPU-009S</t>
  </si>
  <si>
    <t>KDO-002S</t>
  </si>
  <si>
    <t>KPU-018S</t>
  </si>
  <si>
    <t>75-913</t>
  </si>
  <si>
    <t>90-914</t>
  </si>
  <si>
    <t>90-910</t>
  </si>
  <si>
    <t>KM-PPS1</t>
  </si>
  <si>
    <t>KM-PPS2</t>
  </si>
  <si>
    <t>KM-SSMP1</t>
  </si>
  <si>
    <t>KM-SSDC1</t>
  </si>
  <si>
    <t>KM-SSFR1</t>
  </si>
  <si>
    <t>KM-SSRK1</t>
  </si>
  <si>
    <t>KM-SSMM1</t>
  </si>
  <si>
    <t>KM-SSMR1</t>
  </si>
  <si>
    <t>KIMERA</t>
  </si>
  <si>
    <t>PEGASO</t>
  </si>
  <si>
    <t>BOOKS</t>
  </si>
  <si>
    <t>PAINT</t>
  </si>
  <si>
    <t>PAINT SETS</t>
  </si>
  <si>
    <t>SINGLE POT</t>
  </si>
  <si>
    <t>Unit</t>
  </si>
  <si>
    <t>30ml</t>
  </si>
  <si>
    <t>14 units</t>
  </si>
  <si>
    <t>6 units</t>
  </si>
  <si>
    <t>TIENDAS</t>
  </si>
  <si>
    <t>Weathering / Efectos</t>
  </si>
  <si>
    <t>Enamel effects</t>
  </si>
  <si>
    <t>Enamel Air Weathering / Efectos para Aviones</t>
  </si>
  <si>
    <t>Weathering SETS / Sets Efectos</t>
  </si>
  <si>
    <t>AIR Weathering SETS / Set de Efectos para Aviones</t>
  </si>
  <si>
    <t>Weathering products for ships / Efectos para Barcos</t>
  </si>
  <si>
    <t>Trains Weathering SETS / Set de Efectos para Trenes</t>
  </si>
  <si>
    <t>Civilian Vehicles SETS / Set de Efectps para V.Civiles</t>
  </si>
  <si>
    <t>Pigments / Pigmentos</t>
  </si>
  <si>
    <t>Enamel Liquid Pigments</t>
  </si>
  <si>
    <t>Enamel Liquid Pigments SET</t>
  </si>
  <si>
    <t xml:space="preserve">Weathering pencils </t>
  </si>
  <si>
    <t xml:space="preserve">Weathering pencils SETS / Sets de lápices </t>
  </si>
  <si>
    <t>3GEN Acrylics</t>
  </si>
  <si>
    <t>Acrylics 3GEN SETS / Sets ACRILICOS 3GEN</t>
  </si>
  <si>
    <t>3GEN SIGNATURE SETS / Sets de autor 3GEN</t>
  </si>
  <si>
    <t>WARGAME STARTER SETS / Sets iniciación WARGAME</t>
  </si>
  <si>
    <t>Acrylics BRIEFCASE 3GEN</t>
  </si>
  <si>
    <t>Acrylics 3GEN AIRCRAFT SETS / Sets AVIONES 3GEN</t>
  </si>
  <si>
    <t>Acrylics 3GEN FIGURE SETS / Sets de FIGURAS 3GEN</t>
  </si>
  <si>
    <t>Acrylics 3GEN AFV SETS / Sets de AFV 3GEN</t>
  </si>
  <si>
    <t>Acrylics 3GEN CIVIL SETS / SETS V. CIVILES 3GEN</t>
  </si>
  <si>
    <t>3GEN Wargame Sets</t>
  </si>
  <si>
    <t>Acrylics 3GEN / Acrílicos 3GEN   Generales</t>
  </si>
  <si>
    <t>3GEN EFFECTS</t>
  </si>
  <si>
    <t>COLOR PUNCH 3GEN Ultra - Pigmented Colours</t>
  </si>
  <si>
    <t>Acrylics 3GEN AFV Series / 3GEN Serie AFV</t>
  </si>
  <si>
    <t>Acrylics 3GEN Figure Series / 3GEN Serie Figuras</t>
  </si>
  <si>
    <t>Acrylics 3GEN Aircraft Series / 3GEN Serie Aviación</t>
  </si>
  <si>
    <t>PRIMERS 3GEN / Imprimadores 3GEN</t>
  </si>
  <si>
    <t>VARNISH 3GEN/ Barnices 3GEN</t>
  </si>
  <si>
    <t>Auxiliary Products / Productos Auxiliares</t>
  </si>
  <si>
    <t>QUICK GEN Set</t>
  </si>
  <si>
    <t>Acrylic Washes</t>
  </si>
  <si>
    <t>Acrylic Washes FULL RANGE</t>
  </si>
  <si>
    <t>INKS / Tintas</t>
  </si>
  <si>
    <t>Deluxe Case / Estuche</t>
  </si>
  <si>
    <t>The INKS</t>
  </si>
  <si>
    <t>The INKS - SETS</t>
  </si>
  <si>
    <t>DUAL EXO THINNER</t>
  </si>
  <si>
    <t>DUAL EXO SCENERY</t>
  </si>
  <si>
    <t>SET DUAL EXO</t>
  </si>
  <si>
    <t>SET SPECIAL DUAL EXO</t>
  </si>
  <si>
    <t>SET DUAL EXO SCENERY</t>
  </si>
  <si>
    <t>Acrylic</t>
  </si>
  <si>
    <t>Varnishes / Barnices</t>
  </si>
  <si>
    <t>RC Auxiliary Products / RC Productos Auxiliares</t>
  </si>
  <si>
    <t>REAL COLORS Paints /RC Pinturas (Standard)</t>
  </si>
  <si>
    <t>REAL COLORS Paints /RC Pinturas (Civil)</t>
  </si>
  <si>
    <t>REAL COLORS Paints /RC Pinturas (Military)</t>
  </si>
  <si>
    <t>REAL COLORS SETS</t>
  </si>
  <si>
    <t>RC MARKERS</t>
  </si>
  <si>
    <t>RC MARKERS Set</t>
  </si>
  <si>
    <t>Metallics / Metálicos</t>
  </si>
  <si>
    <t>XTREME METAL Color</t>
  </si>
  <si>
    <t>Professional Primers</t>
  </si>
  <si>
    <t>TRUE METAL Colors</t>
  </si>
  <si>
    <t>WAX / Cera</t>
  </si>
  <si>
    <t>Markers / Rotuladores</t>
  </si>
  <si>
    <t>Sprays</t>
  </si>
  <si>
    <t>AK SPRAYS - Basic colors</t>
  </si>
  <si>
    <t xml:space="preserve">AK SPRAYS - WARGAME COLORS </t>
  </si>
  <si>
    <t>Deep Shades for Wargamers</t>
  </si>
  <si>
    <t>Battle Grounds</t>
  </si>
  <si>
    <t>TERRAINS</t>
  </si>
  <si>
    <t>Dioramas</t>
  </si>
  <si>
    <t>WARGAME TUFTS</t>
  </si>
  <si>
    <t>BASING BIT</t>
  </si>
  <si>
    <t>PLANTS</t>
  </si>
  <si>
    <t>WARGAME SCENERY</t>
  </si>
  <si>
    <t>SPECIAL EFFECTS</t>
  </si>
  <si>
    <t>Playmarker</t>
  </si>
  <si>
    <t>Playmarker SET</t>
  </si>
  <si>
    <t>Basics</t>
  </si>
  <si>
    <t>Acrylic auxiliary Products/ Auxiliares Acrílicos</t>
  </si>
  <si>
    <t>Complements / Complementos</t>
  </si>
  <si>
    <t>Masking tape / Cinta de Enmascarar</t>
  </si>
  <si>
    <t xml:space="preserve">Glues &amp; Cement / Pegamentos </t>
  </si>
  <si>
    <t xml:space="preserve">Paneliner / Paneladores </t>
  </si>
  <si>
    <t>Airbrush stencils / Plantillas para aerografiar</t>
  </si>
  <si>
    <t>Brushes / Pinceles</t>
  </si>
  <si>
    <t>SYNTHETIC BRUSHES</t>
  </si>
  <si>
    <t>SYNTHETIC BRUSHES - Set</t>
  </si>
  <si>
    <t>CLOTH CASE</t>
  </si>
  <si>
    <t>Sintéticos</t>
  </si>
  <si>
    <t xml:space="preserve">Sintéticos </t>
  </si>
  <si>
    <t>Weathering Brush</t>
  </si>
  <si>
    <t>Marta Kolinsky</t>
  </si>
  <si>
    <t>DELUXE SYNTHETIC BRUSHES / PINCELES SINTÉTICOS</t>
  </si>
  <si>
    <t>SPECIAL SYNTHETIC BRUSHES / PINCELES SINTÉTICOS</t>
  </si>
  <si>
    <t>Tools / Herramientas</t>
  </si>
  <si>
    <t>Sandpaper / Lijas</t>
  </si>
  <si>
    <t>WET PALETTE</t>
  </si>
  <si>
    <t>Wet Palette Replacement</t>
  </si>
  <si>
    <t>Airbrush</t>
  </si>
  <si>
    <t>Terrains</t>
  </si>
  <si>
    <t>Texturas</t>
  </si>
  <si>
    <t>Dioramas - Vegetation</t>
  </si>
  <si>
    <t>VEGETATION - Hierbas / Tufts</t>
  </si>
  <si>
    <t>VEGETATION - Laser-Cut Realistic Plants</t>
  </si>
  <si>
    <t>VEGETATION - Hierbas / Foliage</t>
  </si>
  <si>
    <t>VEGETATION - Realistic leaves / Hojas</t>
  </si>
  <si>
    <t>SHRUBS, BUSHES &amp; TREES / ARBUSTOS Y ÁRBOLES</t>
  </si>
  <si>
    <t>GRASS FLOCK / HIERBA ARTIFICIAL</t>
  </si>
  <si>
    <t>Rocks</t>
  </si>
  <si>
    <t>Building material / Materiales de construcción</t>
  </si>
  <si>
    <t>Publications / Publicaciones</t>
  </si>
  <si>
    <t>Book</t>
  </si>
  <si>
    <t>Tint Inc. Magazine</t>
  </si>
  <si>
    <t>Worn Art Collection / Colección Worn Art</t>
  </si>
  <si>
    <t xml:space="preserve">Books FAQ Serie / Libros Serie FAQ </t>
  </si>
  <si>
    <t>LEARNING Series / Serie LEARNING</t>
  </si>
  <si>
    <t xml:space="preserve"> ACES HIGH Magazine / Revista </t>
  </si>
  <si>
    <t>SPECIAL ACES HIGH Magazine</t>
  </si>
  <si>
    <t>TANKER Magazine</t>
  </si>
  <si>
    <t>SPECIAL TANKER BOOKS</t>
  </si>
  <si>
    <t>DAMAGED Magazine</t>
  </si>
  <si>
    <t>DVD</t>
  </si>
  <si>
    <t>Resins / Resinas</t>
  </si>
  <si>
    <t>Resin figure</t>
  </si>
  <si>
    <t xml:space="preserve">Wargame Resin Scenery </t>
  </si>
  <si>
    <t>Doozy</t>
  </si>
  <si>
    <t>Accesories</t>
  </si>
  <si>
    <t>Wooden pieces</t>
  </si>
  <si>
    <t>Histórica</t>
  </si>
  <si>
    <t>Histórica Serie Latorre</t>
  </si>
  <si>
    <t>Fantasía Latorre</t>
  </si>
  <si>
    <t xml:space="preserve">Fantasía </t>
  </si>
  <si>
    <t>Oil paints / Óleo</t>
  </si>
  <si>
    <t>Oil Set</t>
  </si>
  <si>
    <t>ARTIST DENSE ACRYLIC COLOR</t>
  </si>
  <si>
    <t>ARTIST DENSE ACRYLIC COLOR Set</t>
  </si>
  <si>
    <t>ARTIST DENSE ACRYLIC COLOR Auxiliary Product</t>
  </si>
  <si>
    <t>Gouache Paints</t>
  </si>
  <si>
    <t>Gouache Paints - Set</t>
  </si>
  <si>
    <t>8435568353404</t>
  </si>
  <si>
    <t>8435568355101</t>
  </si>
  <si>
    <t>8435568354357</t>
  </si>
  <si>
    <t>8435568354364</t>
  </si>
  <si>
    <t>8435568354371</t>
  </si>
  <si>
    <t>8435568354388</t>
  </si>
  <si>
    <t>8435568354395</t>
  </si>
  <si>
    <t>8435568354401</t>
  </si>
  <si>
    <t>8435568354418</t>
  </si>
  <si>
    <t>8435568354425</t>
  </si>
  <si>
    <t>8435568354432</t>
  </si>
  <si>
    <t>8435568354449</t>
  </si>
  <si>
    <t>8435568354456</t>
  </si>
  <si>
    <t>8435568354463</t>
  </si>
  <si>
    <t>8435568354470</t>
  </si>
  <si>
    <t>8435568354487</t>
  </si>
  <si>
    <t>8435568354494</t>
  </si>
  <si>
    <t>8435568354500</t>
  </si>
  <si>
    <t>8435568354517</t>
  </si>
  <si>
    <t>8435568354524</t>
  </si>
  <si>
    <t>8435568354531</t>
  </si>
  <si>
    <t>8435568350991</t>
  </si>
  <si>
    <t>8435568352803</t>
  </si>
  <si>
    <t>8435568352810</t>
  </si>
  <si>
    <t>8435568352827</t>
  </si>
  <si>
    <t>8435568352834</t>
  </si>
  <si>
    <t>8435568352841</t>
  </si>
  <si>
    <t>8435568352858</t>
  </si>
  <si>
    <t>8435568352865</t>
  </si>
  <si>
    <t>8435568352872</t>
  </si>
  <si>
    <t>8435568352889</t>
  </si>
  <si>
    <t>8435568352896</t>
  </si>
  <si>
    <t>8435568352902</t>
  </si>
  <si>
    <t>8435568352919</t>
  </si>
  <si>
    <t>8435568352957</t>
  </si>
  <si>
    <t>8435568352964</t>
  </si>
  <si>
    <t>8435568353206</t>
  </si>
  <si>
    <t>8435568353213</t>
  </si>
  <si>
    <t>8435568353220</t>
  </si>
  <si>
    <t>8435568353237</t>
  </si>
  <si>
    <t>8435568353244</t>
  </si>
  <si>
    <t>8435568353251</t>
  </si>
  <si>
    <t>8435568353268</t>
  </si>
  <si>
    <t>8435568353275</t>
  </si>
  <si>
    <t>8435568353282</t>
  </si>
  <si>
    <t>8435568355019</t>
  </si>
  <si>
    <t>8435568355026</t>
  </si>
  <si>
    <t>8435568355033</t>
  </si>
  <si>
    <t>8435568355040</t>
  </si>
  <si>
    <t>8435568355286</t>
  </si>
  <si>
    <t>8435568355293</t>
  </si>
  <si>
    <t>8435568353176</t>
  </si>
  <si>
    <t>8435568353183</t>
  </si>
  <si>
    <t>8435568350656</t>
  </si>
  <si>
    <t>8435568350663</t>
  </si>
  <si>
    <t>8435568346987</t>
  </si>
  <si>
    <t>8435568350144</t>
  </si>
  <si>
    <t>8435568350953</t>
  </si>
  <si>
    <t>8435568351004</t>
  </si>
  <si>
    <t>8435568351769</t>
  </si>
  <si>
    <t>8435568351783</t>
  </si>
  <si>
    <t>8435568351899</t>
  </si>
  <si>
    <t>8435568348721</t>
  </si>
  <si>
    <t>8435568301573</t>
  </si>
  <si>
    <t>8435568353374</t>
  </si>
  <si>
    <t>8435568353381</t>
  </si>
  <si>
    <t>8435568353398</t>
  </si>
  <si>
    <t>8435568350519</t>
  </si>
  <si>
    <t>8435568350526</t>
  </si>
  <si>
    <t>8435568350533</t>
  </si>
  <si>
    <t>8435568350540</t>
  </si>
  <si>
    <t>8435568350557</t>
  </si>
  <si>
    <t>8435568350564</t>
  </si>
  <si>
    <t>8435568350571</t>
  </si>
  <si>
    <t>8435568350588</t>
  </si>
  <si>
    <t>8435568350595</t>
  </si>
  <si>
    <t>8435568351790</t>
  </si>
  <si>
    <t>8435568353008</t>
  </si>
  <si>
    <t>8435568355217</t>
  </si>
  <si>
    <t>8435568353299</t>
  </si>
  <si>
    <t>8435568353305</t>
  </si>
  <si>
    <t>8435568355088</t>
  </si>
  <si>
    <t>8435568355095</t>
  </si>
  <si>
    <t>8435568353015</t>
  </si>
  <si>
    <t>8435568353022</t>
  </si>
  <si>
    <t>8435568349100</t>
  </si>
  <si>
    <t>AK17526</t>
  </si>
  <si>
    <t>AK11787</t>
  </si>
  <si>
    <t>AK11778</t>
  </si>
  <si>
    <t>AK11260</t>
  </si>
  <si>
    <t>AK11263</t>
  </si>
  <si>
    <t>AK19300</t>
  </si>
  <si>
    <t>AK19301</t>
  </si>
  <si>
    <t>AK19302</t>
  </si>
  <si>
    <t>AK19303</t>
  </si>
  <si>
    <t>AK19304</t>
  </si>
  <si>
    <t>AK19305</t>
  </si>
  <si>
    <t>AK19306</t>
  </si>
  <si>
    <t>AK19307</t>
  </si>
  <si>
    <t>AK19308</t>
  </si>
  <si>
    <t>AK19309</t>
  </si>
  <si>
    <t>AK19310</t>
  </si>
  <si>
    <t>AK19311</t>
  </si>
  <si>
    <t>AK19312</t>
  </si>
  <si>
    <t>AK19313</t>
  </si>
  <si>
    <t>AK19314</t>
  </si>
  <si>
    <t>AK19315</t>
  </si>
  <si>
    <t>AK19316</t>
  </si>
  <si>
    <t>AK19317</t>
  </si>
  <si>
    <t>AK19318</t>
  </si>
  <si>
    <t>AK1060</t>
  </si>
  <si>
    <t>AKBIT0001</t>
  </si>
  <si>
    <t>AKBIT0002</t>
  </si>
  <si>
    <t>AKBIT0003</t>
  </si>
  <si>
    <t>AKBIT0004</t>
  </si>
  <si>
    <t>AKBIT0005</t>
  </si>
  <si>
    <t>AKBIT0006</t>
  </si>
  <si>
    <t>AKBIT0007</t>
  </si>
  <si>
    <t>AKBIT0008</t>
  </si>
  <si>
    <t>AKBIT0009</t>
  </si>
  <si>
    <t>AKBIT0010</t>
  </si>
  <si>
    <t>AKBIT0011</t>
  </si>
  <si>
    <t>AKBIT0012</t>
  </si>
  <si>
    <t>AKBIT0013</t>
  </si>
  <si>
    <t>AKBIT0014</t>
  </si>
  <si>
    <t>AKBIT0015</t>
  </si>
  <si>
    <t>AKBIT0016</t>
  </si>
  <si>
    <t>AKBIT0017</t>
  </si>
  <si>
    <t>AKBIT0018</t>
  </si>
  <si>
    <t>AKBIT0019</t>
  </si>
  <si>
    <t>AKBIT0020</t>
  </si>
  <si>
    <t>AKBIT0021</t>
  </si>
  <si>
    <t>AKBIT0022</t>
  </si>
  <si>
    <t>AKBIT0023</t>
  </si>
  <si>
    <t>AKBIT0024</t>
  </si>
  <si>
    <t>AKBIT0025</t>
  </si>
  <si>
    <t>AKBIT0026</t>
  </si>
  <si>
    <t>AKBIT0027</t>
  </si>
  <si>
    <t>AKBIT0028</t>
  </si>
  <si>
    <t>AKBIT0029</t>
  </si>
  <si>
    <t>AK11586</t>
  </si>
  <si>
    <t>AK329</t>
  </si>
  <si>
    <t>AK330</t>
  </si>
  <si>
    <t>AK12001-B</t>
  </si>
  <si>
    <t>AKB028</t>
  </si>
  <si>
    <t>AKB029</t>
  </si>
  <si>
    <t>AKB103</t>
  </si>
  <si>
    <t>AK851</t>
  </si>
  <si>
    <t>AK852</t>
  </si>
  <si>
    <t>AK9536</t>
  </si>
  <si>
    <t>AK9556</t>
  </si>
  <si>
    <t>AK9558</t>
  </si>
  <si>
    <t>AK9559</t>
  </si>
  <si>
    <t>AK9561</t>
  </si>
  <si>
    <t>AK9562</t>
  </si>
  <si>
    <t>AK9600</t>
  </si>
  <si>
    <t>AK8133</t>
  </si>
  <si>
    <t>AK8273</t>
  </si>
  <si>
    <t>AK8274</t>
  </si>
  <si>
    <t>AK8275</t>
  </si>
  <si>
    <t>AK8301</t>
  </si>
  <si>
    <t>AK8302</t>
  </si>
  <si>
    <t>AK8303</t>
  </si>
  <si>
    <t>AK8304</t>
  </si>
  <si>
    <t>AK8305</t>
  </si>
  <si>
    <t>AK8306</t>
  </si>
  <si>
    <t>AK8307</t>
  </si>
  <si>
    <t>AK8308</t>
  </si>
  <si>
    <t>AK8309</t>
  </si>
  <si>
    <t>AK8310</t>
  </si>
  <si>
    <t>AK8311</t>
  </si>
  <si>
    <t>AK8315</t>
  </si>
  <si>
    <t>AK130014</t>
  </si>
  <si>
    <t>AK130015</t>
  </si>
  <si>
    <t>AK130017</t>
  </si>
  <si>
    <t>AK130019</t>
  </si>
  <si>
    <t>AK130029</t>
  </si>
  <si>
    <t>AK130030</t>
  </si>
  <si>
    <t>AK130031</t>
  </si>
  <si>
    <t>AK130032</t>
  </si>
  <si>
    <t>AK527</t>
  </si>
  <si>
    <t>AK528</t>
  </si>
  <si>
    <t>AK542</t>
  </si>
  <si>
    <t>AK543</t>
  </si>
  <si>
    <t>ABT758</t>
  </si>
  <si>
    <t>AK1361</t>
  </si>
  <si>
    <t>RAGE031</t>
  </si>
  <si>
    <t>AKAD002</t>
  </si>
  <si>
    <t>AKAD003</t>
  </si>
  <si>
    <t>AKAD006</t>
  </si>
  <si>
    <t>AKAD007</t>
  </si>
  <si>
    <t>AKAD100</t>
  </si>
  <si>
    <t>22 pieces</t>
  </si>
  <si>
    <t>35 pieces</t>
  </si>
  <si>
    <t>12 pieces</t>
  </si>
  <si>
    <t>63 pieces</t>
  </si>
  <si>
    <t>17 pieces</t>
  </si>
  <si>
    <t>25 pieces</t>
  </si>
  <si>
    <t>73 pieces</t>
  </si>
  <si>
    <t>72 pieces</t>
  </si>
  <si>
    <t>20 pieces</t>
  </si>
  <si>
    <t>32 pieces</t>
  </si>
  <si>
    <t>120 pieces</t>
  </si>
  <si>
    <t>54 pieces</t>
  </si>
  <si>
    <t>6 pieces</t>
  </si>
  <si>
    <t>10 pieces</t>
  </si>
  <si>
    <t>43 pieces</t>
  </si>
  <si>
    <t>14 pieces</t>
  </si>
  <si>
    <t>8 pieces</t>
  </si>
  <si>
    <t>24 pieces</t>
  </si>
  <si>
    <t>46 pieces</t>
  </si>
  <si>
    <t>11 pieces</t>
  </si>
  <si>
    <t>18 x 20ml</t>
  </si>
  <si>
    <t>PAINTING SKIN TONES by Calvin Tan</t>
  </si>
  <si>
    <t>SUN &amp; SHADE TONE COLLECTION BY KIRILL KANAEV</t>
  </si>
  <si>
    <t>US AIRBORNE DIVISION D-DAY. Wargame Starter SET</t>
  </si>
  <si>
    <t xml:space="preserve">GERMAN PANZERGRENADIER DIVISION EUROPE </t>
  </si>
  <si>
    <t>Dead Orange 17ml</t>
  </si>
  <si>
    <t>Ocher 17ml</t>
  </si>
  <si>
    <t>Green Ocher 17ml</t>
  </si>
  <si>
    <t>MASTER ACRYLIC WASH SET FULL RANGE 18 COLORS</t>
  </si>
  <si>
    <t xml:space="preserve">Rotwood Brown Wash 18ml </t>
  </si>
  <si>
    <t xml:space="preserve">Obsidian Holt Wash 18ml </t>
  </si>
  <si>
    <t xml:space="preserve">Black Night Wash 18ml </t>
  </si>
  <si>
    <t xml:space="preserve">Pure Grime Wash 18ml </t>
  </si>
  <si>
    <t xml:space="preserve">Sepia Filth Wash 18ml </t>
  </si>
  <si>
    <t xml:space="preserve">Hazel Brown Wash 18ml </t>
  </si>
  <si>
    <t xml:space="preserve">Blue Moon Wash 18ml </t>
  </si>
  <si>
    <t xml:space="preserve">Carmine Dawn Wash 18ml </t>
  </si>
  <si>
    <t xml:space="preserve">Invocation Purple Wash 18ml </t>
  </si>
  <si>
    <t xml:space="preserve">Crimson Veil Wash 18ml </t>
  </si>
  <si>
    <t xml:space="preserve">Putrid Green Wash 18ml </t>
  </si>
  <si>
    <t xml:space="preserve">Green Wash 18ml </t>
  </si>
  <si>
    <t xml:space="preserve">Verdigris Wash 18ml </t>
  </si>
  <si>
    <t xml:space="preserve">Dark Grey Wash 18ml </t>
  </si>
  <si>
    <t xml:space="preserve">Standard Rust Wash 18ml </t>
  </si>
  <si>
    <t xml:space="preserve">Light Rust Wash 18ml </t>
  </si>
  <si>
    <t xml:space="preserve">Dirtveil Wash 18ml </t>
  </si>
  <si>
    <t xml:space="preserve">Woodgrain Wash 18ml </t>
  </si>
  <si>
    <t xml:space="preserve">BONE PRIMER QUICK GEN 400ml </t>
  </si>
  <si>
    <t>GRASS TUFTS</t>
  </si>
  <si>
    <t>TALL GRASS</t>
  </si>
  <si>
    <t>ROCKS &amp; TORS</t>
  </si>
  <si>
    <t>FOREST LEAVES</t>
  </si>
  <si>
    <t>FOREST MUSHROOMS</t>
  </si>
  <si>
    <t xml:space="preserve">DEAD TREE BASING </t>
  </si>
  <si>
    <t xml:space="preserve">FERN </t>
  </si>
  <si>
    <t>CANDLES</t>
  </si>
  <si>
    <t>SKULLS</t>
  </si>
  <si>
    <t>CACTUS BARREL</t>
  </si>
  <si>
    <t xml:space="preserve">WOOD BARRELS </t>
  </si>
  <si>
    <t xml:space="preserve">VILLAGE RUINS </t>
  </si>
  <si>
    <t>HUMAN BONES</t>
  </si>
  <si>
    <t>BONES REMAINS</t>
  </si>
  <si>
    <t xml:space="preserve">WEAPONS SHOT FX </t>
  </si>
  <si>
    <t xml:space="preserve">JUMP-PACK TRAIL FX </t>
  </si>
  <si>
    <t>PORTAL FX</t>
  </si>
  <si>
    <t xml:space="preserve">BULLET IMPACT FX </t>
  </si>
  <si>
    <t xml:space="preserve">PLASMA FX </t>
  </si>
  <si>
    <t>BLOOD FX</t>
  </si>
  <si>
    <t xml:space="preserve">TUMBSTONES </t>
  </si>
  <si>
    <t xml:space="preserve">GIGANT MUSROOMS </t>
  </si>
  <si>
    <t>CONCRETE RUINS</t>
  </si>
  <si>
    <t xml:space="preserve">WATER LILIES &amp; CATTAILS </t>
  </si>
  <si>
    <t>MONSTERA</t>
  </si>
  <si>
    <t>NOPAL CACTUS</t>
  </si>
  <si>
    <t>SEALS AND SCROLLS</t>
  </si>
  <si>
    <t>BOMBS &amp; GRENADES</t>
  </si>
  <si>
    <t>JAPANESE SCENERY</t>
  </si>
  <si>
    <t>DECAL SETTER 18ml</t>
  </si>
  <si>
    <t>DECAL SOFTENER 18ml</t>
  </si>
  <si>
    <t>AK SYNTHETIC BRUSH - CHIPPING TECHNIQUE (ROUND)</t>
  </si>
  <si>
    <t>AK SYNTHETIC BRUSH - CHIPPING TECHNIQUE (ANGULAR)</t>
  </si>
  <si>
    <t>DRY BRUSHES SET</t>
  </si>
  <si>
    <t>TOP LINE Pincel Marta Kolinsky 0</t>
  </si>
  <si>
    <t>TOP LINE Pincel Marta Kolinsky 2.0</t>
  </si>
  <si>
    <t>TOP LINE Pincel Marta Kolinsky 1</t>
  </si>
  <si>
    <t>TOP LINE Pincel Marta Kolinsky 2</t>
  </si>
  <si>
    <t>Round Brush 10/0</t>
  </si>
  <si>
    <t>Round Brush 2</t>
  </si>
  <si>
    <t>Round Brush 4</t>
  </si>
  <si>
    <t>Round Brush 4/0</t>
  </si>
  <si>
    <t>Round Brush 6</t>
  </si>
  <si>
    <t>Flat Brush 1</t>
  </si>
  <si>
    <t>Flat Brush 6</t>
  </si>
  <si>
    <t>Flat Brush 8</t>
  </si>
  <si>
    <t>Filbert Brush 4</t>
  </si>
  <si>
    <t>Filbert Brush 8</t>
  </si>
  <si>
    <t>Angular Brush 4</t>
  </si>
  <si>
    <t>Angular Brush 6</t>
  </si>
  <si>
    <t>Angular Brush 8</t>
  </si>
  <si>
    <t>ABT Liner BRUSH 2 (22mm Long Hair)</t>
  </si>
  <si>
    <t>ABT Diffuser BRUSH 1 (8mm Long Hair)</t>
  </si>
  <si>
    <t>PRECISION MODEL SAW</t>
  </si>
  <si>
    <t>CORRUGATOR</t>
  </si>
  <si>
    <t>TEAR-OFF PAPER PALETTE 15 SHEETS</t>
  </si>
  <si>
    <t>ESSENTIAL MODELING TOOLS</t>
  </si>
  <si>
    <t>SILICONE TABLECLOTH BLACK 88,50 X 30 CM</t>
  </si>
  <si>
    <t>SILICONE TABLECLOTH GREY 88,50 X 30 CM</t>
  </si>
  <si>
    <t xml:space="preserve">AK AIRBRUSH 0.3 TOP LINE </t>
  </si>
  <si>
    <t>RADIOACTIVE GREEN MOSS</t>
  </si>
  <si>
    <t>PURPLE-PINK TUFTS 4,5MM</t>
  </si>
  <si>
    <t>LIME-YELLOW TUFTS 4,5MM</t>
  </si>
  <si>
    <t>DARK GREEN TUFTS 2MM</t>
  </si>
  <si>
    <t>SMALL FLAT ROCKS 100ML</t>
  </si>
  <si>
    <t>ROUNDED FLAT ROCKS 100ML</t>
  </si>
  <si>
    <t>ANGULAR FLAT ROCKS 100ML</t>
  </si>
  <si>
    <t>VOLCANIC SMALL ROCKS 100ML</t>
  </si>
  <si>
    <t>VOLCANIC MEDIUM ROCKS 100ML</t>
  </si>
  <si>
    <t>DESERT BIG ROCKS 100ML</t>
  </si>
  <si>
    <t>DESERT MEDIUM ROCKS 100ML</t>
  </si>
  <si>
    <t>FINE GRAY GRAVEL 1-3 MM 100ML</t>
  </si>
  <si>
    <t>BAMBOO 3D PRINTED</t>
  </si>
  <si>
    <t>GRAVEYARD GROUND 100ML</t>
  </si>
  <si>
    <t>BLACK RUBBER GRAVEL 0,8-2MM</t>
  </si>
  <si>
    <t>BLACK RUBBER BIG STONES 100ML</t>
  </si>
  <si>
    <t>ARMOR IN VIETNAM EN</t>
  </si>
  <si>
    <t>ARMOR IN VIETNAM ES</t>
  </si>
  <si>
    <t>POLISH &amp; SOVIET THE 1920 WAR IN THE AIR by LUKASZ BOCH</t>
  </si>
  <si>
    <t>CARRIER OPS NIMITZ CLASS CARRIERS FLIGHT DECK OPERATIONS by JOHN LEKKAS</t>
  </si>
  <si>
    <t>LEARNING 17 REALISTIC LEATHER &amp; CANVAS EN EN</t>
  </si>
  <si>
    <t>LEARNING 17 CUERO Y LONA REALISTAS EN MODELISMO ES</t>
  </si>
  <si>
    <t>DAMAGED, Worn and Weathered Models Magazine - 01 (Spanish)</t>
  </si>
  <si>
    <t>DAMAGED, Worn and Weathered Models Magazine - 02 (Spanish)</t>
  </si>
  <si>
    <t>DAMAGED, Worn and Weathered Models Magazine - 04 (Spanish)</t>
  </si>
  <si>
    <t>DAMAGED, Worn and Weathered Models Magazine - 06 (English)</t>
  </si>
  <si>
    <t>DAMAGED, Worn and Weathered Models Magazine - 06 (Spanish)</t>
  </si>
  <si>
    <t>DAMAGED, Worn and Weathered Models Magazine - 07 (English)</t>
  </si>
  <si>
    <t>DAMAGED, Worn and Weathered Models Magazine - 07 (Spanish)</t>
  </si>
  <si>
    <t>DAMAGED, Worn and Weathered Models Magazine - 08 (English)</t>
  </si>
  <si>
    <t>DAMAGED, Worn and Weathered Models Magazine - 08 (Spanish)</t>
  </si>
  <si>
    <t>SPECIAL SCIFI. DAMAGED Book (English)</t>
  </si>
  <si>
    <t>DAMAGED, Worn and Weathered Models Magazine - 09 (English)</t>
  </si>
  <si>
    <t>DAMAGED, Worn and Weathered Models Magazine - 09 (Spanish)</t>
  </si>
  <si>
    <t>DAMAGED, Worn and Weathered Models Magazine - 10 (English)</t>
  </si>
  <si>
    <t>DAMAGED, Worn and Weathered Models Magazine - 10 (Spanish)</t>
  </si>
  <si>
    <t>DAMAGED, Worn and Weathered Models Magazine - 11 (English)</t>
  </si>
  <si>
    <t>DAMAGED, Worn and Weathered Models Magazine - 11 (Spanish)</t>
  </si>
  <si>
    <t>DAMAGED, Worn and Weathered Models Magazine - 12 (English)</t>
  </si>
  <si>
    <t>DAMAGED, Worn and Weathered Models Magazine - 12 (Spanish)</t>
  </si>
  <si>
    <t>THEIR LAST PATH IDF Tank Wrecks Merkava MK 1 and 2</t>
  </si>
  <si>
    <t>T54/5 TO IDF TIRAN 4/5 THE BIRD OF A BASTARD TANK  (English)</t>
  </si>
  <si>
    <t>1982- Invasion of Lebanon (English)</t>
  </si>
  <si>
    <t>SOVIET ARMOURED FORCE (1939-1945) (English)</t>
  </si>
  <si>
    <t>EL ARMA ACORAZADA SOVIÉTICA (1939-1945) (Spanish)</t>
  </si>
  <si>
    <t>COMBAT VEHICLES OF WORLD WAR II(by Joaquín García) Vol. 1 (English)</t>
  </si>
  <si>
    <t>TIGERS TO SCALE - Joaquín García Gázquez (English)</t>
  </si>
  <si>
    <t>COMBAT VEHICLES OF WW II V2 - EN</t>
  </si>
  <si>
    <t>CARROS DE COMBATE 2º GUERRA MUNIDAL VOL 2 - ES</t>
  </si>
  <si>
    <t>T-34 AND THE IDF. THE UNTOLD STORY (MICHAEL MASS)</t>
  </si>
  <si>
    <t>SPOILS OF WAR  1991 Gulf War (English)</t>
  </si>
  <si>
    <t>AIRCRAFT OF SPANISH CIVIL WAR (English)</t>
  </si>
  <si>
    <t>AIRCRAFT OF SPANISH CIVIL WAR (Spanish)</t>
  </si>
  <si>
    <t>SECRETS OF LEVIATHAN - (English)</t>
  </si>
  <si>
    <t>PANZERDIVISIONEN   (English)</t>
  </si>
  <si>
    <t>PANZERDIVISIONEN  (Spanish)</t>
  </si>
  <si>
    <t>DEUTSCHE PANZER (English)</t>
  </si>
  <si>
    <t>DEUTSCHE PANZER (Spanish)</t>
  </si>
  <si>
    <t>PANZERWAFFE TARNFARBEN (English)</t>
  </si>
  <si>
    <t>PANZERWAFFE TARNFARBEN (Spanish)</t>
  </si>
  <si>
    <t>STURMGESCHÜTZ  (English)</t>
  </si>
  <si>
    <t>STURMGESCHÜTZ (Spanish)</t>
  </si>
  <si>
    <t>DEUTSCHE UNIFORMEN (1919-1945) VOL 1 (English)</t>
  </si>
  <si>
    <t>DEUTSCHE UNIFORMEN (1919-1945) VOL 1 (Spanish)</t>
  </si>
  <si>
    <t>SPECIAL SCIFI. DAMAGED Book  (Spanish)</t>
  </si>
  <si>
    <t>DEUTSCHE UNIFORMEN (1919-1945) VOL 2 (English)</t>
  </si>
  <si>
    <t>SPOILS OF WAR. 1991 Gulf War. Vol. 2 (English)</t>
  </si>
  <si>
    <t>PANZERJÄGER Weapons and Organization of Wehrmacht's Anti-tank Units (1935-1945). (English)</t>
  </si>
  <si>
    <t>DEUTSCHE AFRIKA KORPS (1941 - 1943) (English)</t>
  </si>
  <si>
    <t>IMPERIAL GUARD OF NAPOLEON 1799-1815</t>
  </si>
  <si>
    <t>DEUTSCHE SOLDATEN (1914-18) (English)</t>
  </si>
  <si>
    <t>DEUTSCHE SOLDATEN (1914-18) (Spanish)</t>
  </si>
  <si>
    <t>HALBKETTENFAHRZEUGE GERMAN HALF-TRACKS (1939-1945)</t>
  </si>
  <si>
    <t>TANKS OF THE WEHRMACHT WWII CARLOS DE DIEGO VAQUERIZO - English</t>
  </si>
  <si>
    <t>MASTER MODELER SERIES 1. WITH OR WITHOUT by Rick Lawler (English)</t>
  </si>
  <si>
    <t>MASTER MODELER SERIES 2. WATER, LIGHT &amp; THE WORKS by Jean Bernard André (English)</t>
  </si>
  <si>
    <t>The Filters in modelling (Basics vol.1) - EN</t>
  </si>
  <si>
    <t>The Filters in modelling (Basics vol.1) - ES</t>
  </si>
  <si>
    <t>OLD GAS PUMP SINGLE NOSE / TYPE A</t>
  </si>
  <si>
    <t>OLD GAS PUMP SINGLE NOSE / TYPE B</t>
  </si>
  <si>
    <t>OLD GAS PUMP SINGLE NOSE / TYPE C</t>
  </si>
  <si>
    <t>DRUM CAN SET</t>
  </si>
  <si>
    <t>SODA VENDING MACHINE / TYPE A</t>
  </si>
  <si>
    <t>SODA VENDING MACHINE / TYPE B</t>
  </si>
  <si>
    <t>SODA VENDING MACHINE / TYPE C</t>
  </si>
  <si>
    <t>SODA VENDING MACHINE / TYPE D</t>
  </si>
  <si>
    <t>ICE BOX</t>
  </si>
  <si>
    <t>GARBAGE BOX SET</t>
  </si>
  <si>
    <t>PAY PHONE</t>
  </si>
  <si>
    <t>FIRE HYDRANT</t>
  </si>
  <si>
    <t>EXTINGUISHERS, BOXES AND CANS SET</t>
  </si>
  <si>
    <t>SODA VENDING MACHINE SET 1</t>
  </si>
  <si>
    <t>TRAFIC CONES SET</t>
  </si>
  <si>
    <t>NEWSPAPER MACHINE SETS 1</t>
  </si>
  <si>
    <t>NEWSPAPER MACHINE SETS 2</t>
  </si>
  <si>
    <t>ON THE PHONE</t>
  </si>
  <si>
    <t>CATS AND DOG</t>
  </si>
  <si>
    <t>1940 WESTINGHOUSE COCA COLA COOLER</t>
  </si>
  <si>
    <t>ROUTE 66 GAS PUMP</t>
  </si>
  <si>
    <t>SET OF SODA CANS</t>
  </si>
  <si>
    <t>1940-1980's WOODEN BOX COCA-COLA BOTTLES</t>
  </si>
  <si>
    <t>1940-1980's PLASTIC BOX COCA-COLA BOTTLES</t>
  </si>
  <si>
    <t xml:space="preserve">UNIVERSAL PICK-UP TRUCK FLAMETHROWER / LANZALLAMAS POST APOCALÍPTICO PARA PICK-UP UNIVERSAL </t>
  </si>
  <si>
    <t xml:space="preserve">TRUCK FLAMETHROWER WITH CAR FENDER PROTECTIVE SHIELD / LANZALLAMAS POST APOCALÍPTICO PARA PICK-UP UNIVERSAL CON PROTECTOR HECHO DE UN GUARDABARROS </t>
  </si>
  <si>
    <t>UNIVERSAL STEEL DRUM HATCH WITH FLAMETHROWER MOUNT / LANZALLAMAS POST APOCALÍPTICO CON MONTURA DE TAMBOR</t>
  </si>
  <si>
    <t>UNIVERSAL STEEL DRUM HATCH WITH CROSSBOW MOUNT / BALLESTA POST APOCALÍPTICA CON MONTURA DE TAMBOR</t>
  </si>
  <si>
    <t>ANIMAL SKULLS &amp; SKELETONS / CALAVERAS DE ANIMALES &amp; ESQUELETOS 1:24</t>
  </si>
  <si>
    <t>WOODEN BOX AUTO PARTS 1:24</t>
  </si>
  <si>
    <t>THE DESERT FOX BRITISH 8TH ARMY (NORTH AFRICA 1941-43) 1/10 SCALE</t>
  </si>
  <si>
    <t>THE LAST SAKE Imperial Japanese Fighter Pilot 1/10</t>
  </si>
  <si>
    <t>MIDWAY TARFU – Oerlikon 20MM</t>
  </si>
  <si>
    <t>FREIES INDIEN LEGION</t>
  </si>
  <si>
    <t>79TH CAMERON HIGHLANDERS. Crimea 1854. 54mm Resin. Raúl García Latorre.</t>
  </si>
  <si>
    <t>NORTHUMBRIAN WARRIOR 8TH-9TH C. 54mm Resin. Raúl García Latorre.</t>
  </si>
  <si>
    <t>ROMAN CAVALRY OFFICER 180 A.D. 54mm Resin. Raúl García Latorre.</t>
  </si>
  <si>
    <t>5TH GEORGIA INFANTRY. (CLINCH RIFLES) 1861. 54mm Resin. Raúl García Latorre.</t>
  </si>
  <si>
    <t>GRENADIER GUARD INKERMAN 1854. 54mm Resin. Raúl García Latorre.</t>
  </si>
  <si>
    <t>RIFLE BRIGADE SEVASTOPOL 1855. 54mm Resin. Raúl García Latorre.</t>
  </si>
  <si>
    <t>VIKING WARRIOR 9TH-10TH C. 54mm Resin. Raúl García Latorre</t>
  </si>
  <si>
    <t>CELTIC WARRIOR 3RD CENTURY B.C. 54mm Resin. Raúl García Latorre.</t>
  </si>
  <si>
    <t>30TH REGT.OF FOOT CRIMEA 1854. 54mm Resin. Raúl García Latorre.</t>
  </si>
  <si>
    <t>ROBIN HOOD SHERWOOD FOREST. 54mm Resin. Raúl García Latorre.</t>
  </si>
  <si>
    <t>HERO SAXON WARRIOR 5TH C. 54mm Resin. Raúl García Latorre.</t>
  </si>
  <si>
    <t>44TH REGT. OF FOOT GANDAMAK 1842. 54mm Resin. Raúl García Latorre</t>
  </si>
  <si>
    <t>HIGHLANDER BATTLE OF CULLODEN. 54mm Resin. Raúl García Latorre.</t>
  </si>
  <si>
    <t>93RD HIGHLANDERS, BALAKLAVA 1854 (1/10)</t>
  </si>
  <si>
    <t>PIRATE CAPTAIN, 1700 (1/12)</t>
  </si>
  <si>
    <t>THE OLD PIRATE (1/10)</t>
  </si>
  <si>
    <t>UBBE "THE GREAT PAGAN" (1/54)</t>
  </si>
  <si>
    <t>UBBE "THE GREAT PAGAN" (1/75)</t>
  </si>
  <si>
    <t>Racoon Roughs (Alabama Volunteers 1861) (1/54)</t>
  </si>
  <si>
    <t>Claiborne Guards (Alabama Volunteers 1861) (1/54)</t>
  </si>
  <si>
    <t>Blues of war (Alabama Volunteers 1861) (1/54)</t>
  </si>
  <si>
    <t>SPANISH TERCIOS SOLDIER 65mm</t>
  </si>
  <si>
    <t>SCOTTISH JACOBITE CULLODEN 1746 1:10 Scale</t>
  </si>
  <si>
    <t>HALSTEN WOLF NOSE (90 mm scale)</t>
  </si>
  <si>
    <t>CRASH LANDING (90 mm scale)</t>
  </si>
  <si>
    <t>Thorvin, The Great - 35MM</t>
  </si>
  <si>
    <t>Jesilious, Flame of Pain - 35MM</t>
  </si>
  <si>
    <t>Lathiem, the Oak Leaf - 35MM</t>
  </si>
  <si>
    <t>Brüma, Bone’s whisper - 35MM</t>
  </si>
  <si>
    <t>Toktien, Spiny chaotic dwarf - 35MM</t>
  </si>
  <si>
    <t>Celberum, Dark rune - 35MM</t>
  </si>
  <si>
    <t>Nintphegoz, Lord of the Undeads - 35MM</t>
  </si>
  <si>
    <t>Katherine Vinoq, Noble Adventurer - 35MM</t>
  </si>
  <si>
    <t>Mun Gun Low, Black Moon Captain - 35MM</t>
  </si>
  <si>
    <t>Oqtarimus, Faries Mutilator - 35MM</t>
  </si>
  <si>
    <t>Edühin, Morning star - 35MM</t>
  </si>
  <si>
    <t>Tellcharion, the Blacksmith - 35MM</t>
  </si>
  <si>
    <t>Aslass, the Seer - 35MM</t>
  </si>
  <si>
    <t>Roggus, the Fake King - 35MM</t>
  </si>
  <si>
    <t>Loratham, the Lost and Then Found - 35MM</t>
  </si>
  <si>
    <t>Primus Death, The Dark Executioner - 35MM</t>
  </si>
  <si>
    <t>Gavin, Biting Hornet - 35MM</t>
  </si>
  <si>
    <t>Yürgen, Bad Pipe - 35MM</t>
  </si>
  <si>
    <t>Ulgren - 35MM</t>
  </si>
  <si>
    <t>Yarry, Light Feet - 54MM</t>
  </si>
  <si>
    <t>Sumothay, Prior Warrior - 54MM</t>
  </si>
  <si>
    <t>Airtis, Battle gnome - 54MM</t>
  </si>
  <si>
    <t>Airtis, The barbarian gnome - 54MM</t>
  </si>
  <si>
    <t>Brom, Hard Bark - 54MM</t>
  </si>
  <si>
    <t>Jareck, Demon-hunter - 54MM</t>
  </si>
  <si>
    <t>Uwue, The gatekeeper</t>
  </si>
  <si>
    <t>Captain Nork - 35 MM</t>
  </si>
  <si>
    <t xml:space="preserve">Morgut Wild Orc Shaman 75MM </t>
  </si>
  <si>
    <t>Ghôrm 40mm</t>
  </si>
  <si>
    <t>Julius 40mm</t>
  </si>
  <si>
    <t>Zâbul 40mm</t>
  </si>
  <si>
    <t>Golgar 40mm</t>
  </si>
  <si>
    <t>Iliana 40mm</t>
  </si>
  <si>
    <t>Busto Raldrak</t>
  </si>
  <si>
    <t>Busto Ghôrm</t>
  </si>
  <si>
    <t>DELUXE EDITION BOX FULL RANGE ARTIST DENSE ACRYLIC COLOR</t>
  </si>
  <si>
    <t>STRIPED METAL DRUMS 1:35</t>
  </si>
  <si>
    <t>RUSSIAN HOOLIGAN 1:35</t>
  </si>
  <si>
    <t>NOTEK LIGHT GERMAN LAMP 1:35</t>
  </si>
  <si>
    <t>LEBANESE TANKER</t>
  </si>
  <si>
    <t>RUSSIAN SCROUNGER WITH PANZERFAUST 1:35</t>
  </si>
  <si>
    <t>INSTRUCTING IRAQI COMMANDER</t>
  </si>
  <si>
    <t>WHEEL LOADER  MIDDLE EAST, EUROPE, AFRICA… (CIVIL VERSION)</t>
  </si>
  <si>
    <t>ARAB TANKER 1:35</t>
  </si>
  <si>
    <t>ARAB TANKER WITH AK-47 1:35</t>
  </si>
  <si>
    <t>RUSSIAN TANKER WEARING GERMAN PARKER (WWII) 1:35</t>
  </si>
  <si>
    <t>MODERN RUSSIAN FUEL TANK PLUMBING ATTACHEMENT 1:35</t>
  </si>
  <si>
    <t>BURNT OUT U.S. JERRYCANS 1:35</t>
  </si>
  <si>
    <t>SILICONE BRICK MOLD 1:35</t>
  </si>
  <si>
    <t>U.S. SOUVENIR HUNTER - EUROPE 1943-1945  1:35</t>
  </si>
  <si>
    <t>BOOT PRINTS  German WWII Boots</t>
  </si>
  <si>
    <t>BOOT PRINTS  American WWII Boots</t>
  </si>
  <si>
    <t>BOOT PRINTS  Russian WWII Boots</t>
  </si>
  <si>
    <t>BOOT PRINTS  American Modern Boots</t>
  </si>
  <si>
    <t>BOOT PRINTS  Russian Modern Boots</t>
  </si>
  <si>
    <t>BOOT PRINTS  80's Civilian Casual Sneakers</t>
  </si>
  <si>
    <t>PLASTIC ROAD BARRIERS &amp; CONES 1:35</t>
  </si>
  <si>
    <t>"EASTER GIFTS". WWII U.S. ARTILLERY CREW 1/35</t>
  </si>
  <si>
    <t>BRITISH TANK CREWMAN EATINGNORTH AFRICA 1942 1/35</t>
  </si>
  <si>
    <t>ANIMAL SKULLS &amp; SKELETONS 1:35</t>
  </si>
  <si>
    <t>ANIMAL SKULLS &amp; SKELETONS 1:48</t>
  </si>
  <si>
    <t>COBBLESTONE WITH CRATER 1:72</t>
  </si>
  <si>
    <t>BRITISH WINTER TANK CREW 1:72</t>
  </si>
  <si>
    <t>EUROPEAN INDUSTRIAL WALL 1:72</t>
  </si>
  <si>
    <t>CHECK POINT</t>
  </si>
  <si>
    <t xml:space="preserve">MODULAR FACTORY 1:72 </t>
  </si>
  <si>
    <t>ROOF SECTION  ADD ON 1:72</t>
  </si>
  <si>
    <t>MAIN DOOR SECTION ADD ON 1:72</t>
  </si>
  <si>
    <t>ADDED HEIGH SECTION ADD ON 1:72</t>
  </si>
  <si>
    <t>STANDARD WALL SECTION ADD ON 1:72</t>
  </si>
  <si>
    <t>WALL SECTION IN TWO PARTS ADD ON 1:72</t>
  </si>
  <si>
    <t>PILLARS ADD ON 1:72</t>
  </si>
  <si>
    <t>LOW WALLS SET 1:72</t>
  </si>
  <si>
    <t>AFRIKA KORPS CREW 1:72</t>
  </si>
  <si>
    <t>US. MODERN 1:72</t>
  </si>
  <si>
    <t>RUSSIAN MODERN CREW 1:72</t>
  </si>
  <si>
    <t>ANIMAL SKULLS &amp; SKELETONS 1:72</t>
  </si>
  <si>
    <t>OPEN WINGS CONVERSION FOR KYLO REN'S</t>
  </si>
  <si>
    <t>RIVET MARKING SET 1_1:72 (DISK-S-SET1)</t>
  </si>
  <si>
    <t>RIVET MARKING SET 2_1:48 (DISK-S-SET2)</t>
  </si>
  <si>
    <t>RIVET MARKING SET 3_1:35/1:32 (DISK-S-SET3)</t>
  </si>
  <si>
    <t>Mig Productions</t>
  </si>
  <si>
    <t>PRESENTATION
1</t>
  </si>
  <si>
    <t>PRESENTATION
2</t>
  </si>
  <si>
    <t>5 Brushes</t>
  </si>
  <si>
    <t>3 Brushes</t>
  </si>
  <si>
    <t>4 Brushes</t>
  </si>
  <si>
    <t>(4 ref x 1 unit) + plaster</t>
  </si>
  <si>
    <t>(5 ref x 1unit)</t>
  </si>
  <si>
    <t>(4 ref x 1unit)</t>
  </si>
  <si>
    <t>(37 ref x 1 unit)</t>
  </si>
  <si>
    <t>(6 ref x 1unit)</t>
  </si>
  <si>
    <t>(14 ref x 1unit)</t>
  </si>
  <si>
    <t>(18 ref x 1unit)</t>
  </si>
  <si>
    <t>(14 ref x 1unit) + 1 figure</t>
  </si>
  <si>
    <t>(14 ref x 1unit) + 1 bust</t>
  </si>
  <si>
    <t>(10 ref x 1unit) + 1 figure</t>
  </si>
  <si>
    <t>(8 ref x 1unit)</t>
  </si>
  <si>
    <t>(108 ref x 1unit)</t>
  </si>
  <si>
    <t>(36 ref x 1unit)</t>
  </si>
  <si>
    <t>(72 ref x 1unit)</t>
  </si>
  <si>
    <t>10 caps</t>
  </si>
  <si>
    <t>4 brushes</t>
  </si>
  <si>
    <t>AK10001</t>
  </si>
  <si>
    <t>AK10002</t>
  </si>
  <si>
    <t>AK10003</t>
  </si>
  <si>
    <t>AK10004</t>
  </si>
  <si>
    <t>AK10005</t>
  </si>
  <si>
    <t>AK10006</t>
  </si>
  <si>
    <t>AK10007</t>
  </si>
  <si>
    <t>AK10008</t>
  </si>
  <si>
    <t>AK10009</t>
  </si>
  <si>
    <t>AK10010</t>
  </si>
  <si>
    <t>AK10011</t>
  </si>
  <si>
    <t>AK10012</t>
  </si>
  <si>
    <t>AK10013</t>
  </si>
  <si>
    <t>AK10014</t>
  </si>
  <si>
    <t>AK10015</t>
  </si>
  <si>
    <t>AK10016</t>
  </si>
  <si>
    <t>AK10017</t>
  </si>
  <si>
    <t>AK10018</t>
  </si>
  <si>
    <t>AK10019</t>
  </si>
  <si>
    <t>AK10020</t>
  </si>
  <si>
    <t>AK10021</t>
  </si>
  <si>
    <t>AK10022</t>
  </si>
  <si>
    <t>AK10023</t>
  </si>
  <si>
    <t>AK10024</t>
  </si>
  <si>
    <t>AK10025</t>
  </si>
  <si>
    <t>AK10026</t>
  </si>
  <si>
    <t>AK10027</t>
  </si>
  <si>
    <t>AK10028</t>
  </si>
  <si>
    <t>AK10029</t>
  </si>
  <si>
    <t>AK10030</t>
  </si>
  <si>
    <t>AK10031</t>
  </si>
  <si>
    <t>AK10032</t>
  </si>
  <si>
    <t>AK10033</t>
  </si>
  <si>
    <t>AK10034</t>
  </si>
  <si>
    <t>AK10035</t>
  </si>
  <si>
    <t>AK10036</t>
  </si>
  <si>
    <t>AK10037</t>
  </si>
  <si>
    <t>2 x 60ml</t>
  </si>
  <si>
    <t>1 unit</t>
  </si>
  <si>
    <t>KM-Book02</t>
  </si>
  <si>
    <t>KMP-001</t>
  </si>
  <si>
    <t>KMP-010</t>
  </si>
  <si>
    <t>KMP-004</t>
  </si>
  <si>
    <t>KMP-003</t>
  </si>
  <si>
    <t>KMP-002</t>
  </si>
  <si>
    <t>KMP-005</t>
  </si>
  <si>
    <t>KMP-007</t>
  </si>
  <si>
    <t>KMP-006</t>
  </si>
  <si>
    <t>KMP-008</t>
  </si>
  <si>
    <t>KMP-009</t>
  </si>
  <si>
    <t>KMP-011</t>
  </si>
  <si>
    <t>KMP-012</t>
  </si>
  <si>
    <t>KMP-013</t>
  </si>
  <si>
    <t>KMP-SAT</t>
  </si>
  <si>
    <t>KMP-014</t>
  </si>
  <si>
    <t>KMP-015</t>
  </si>
  <si>
    <t>KMP-016</t>
  </si>
  <si>
    <t>KMP-020</t>
  </si>
  <si>
    <t>KMP-019</t>
  </si>
  <si>
    <t>KMP-018</t>
  </si>
  <si>
    <t>KMP-017</t>
  </si>
  <si>
    <t>KMP-022</t>
  </si>
  <si>
    <t>KMP-021</t>
  </si>
  <si>
    <t>KMP-025</t>
  </si>
  <si>
    <t>KMP-024</t>
  </si>
  <si>
    <t>KMP-023</t>
  </si>
  <si>
    <t>KMP-027</t>
  </si>
  <si>
    <t>KMP-026</t>
  </si>
  <si>
    <t>KMS-008</t>
  </si>
  <si>
    <t>KMS-010</t>
  </si>
  <si>
    <t>KMS-009</t>
  </si>
  <si>
    <t>KMS-011</t>
  </si>
  <si>
    <t>KMS-007</t>
  </si>
  <si>
    <t>KMS-012</t>
  </si>
  <si>
    <t>KMS-001</t>
  </si>
  <si>
    <t>KMS-005</t>
  </si>
  <si>
    <t>KMS-004</t>
  </si>
  <si>
    <t>KMS-027</t>
  </si>
  <si>
    <t>KMS-006</t>
  </si>
  <si>
    <t>KMS-002</t>
  </si>
  <si>
    <t>KMS-018</t>
  </si>
  <si>
    <t>KMS-013</t>
  </si>
  <si>
    <t>KMS-016</t>
  </si>
  <si>
    <t>KMS-015</t>
  </si>
  <si>
    <t>KMS-014</t>
  </si>
  <si>
    <t>KMS-023</t>
  </si>
  <si>
    <t>KMS-019</t>
  </si>
  <si>
    <t>KMS-020</t>
  </si>
  <si>
    <t>KMS-021</t>
  </si>
  <si>
    <t>KMS-024</t>
  </si>
  <si>
    <t>KMS-022</t>
  </si>
  <si>
    <t>ACRYLIC COLOR BASIC SET (14 colours)</t>
  </si>
  <si>
    <t>ACRYLIC COLOR EXPANSION SET 1 (14 colours)</t>
  </si>
  <si>
    <t>ACRYLIC COLOR SIGNATURE SET PISARSKI (6 colours)</t>
  </si>
  <si>
    <t>ACRYLIC COLOR SIGNATURE SET CARTACCI (6 colours)</t>
  </si>
  <si>
    <t>ACRYLIC COLOR SIGNATURE SET RUSSO (6 colours)</t>
  </si>
  <si>
    <t>ACRYLIC COLOR SIGNATURE SET KARLSSON (6 colours)</t>
  </si>
  <si>
    <t>ACRYLIC COLOR SIGNATURE SET MASCLANS (6 colours)</t>
  </si>
  <si>
    <t>ACRYLIC COLOR SIGNATURE SET RICHIERO (6 colours)</t>
  </si>
  <si>
    <t>ACRYLIC COLOR SINGLE POT KIWI BROWN (KMP-027 ó KMS-003)</t>
  </si>
  <si>
    <t>- LISTA DE PRECIOS 2026.01 - MAYOREO - ENERO 2026 -</t>
  </si>
  <si>
    <t>KDL-010S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</si>
</sst>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#,##0.00_ ;[Red]\-#,##0.00\ "/>
    <numFmt numFmtId="166" formatCode="0.0%"/>
    <numFmt numFmtId="167" formatCode="#,##0.00\ &quot;€&quot;"/>
  </numFmts>
  <fonts count="14" x14ac:knownFonts="1">
    <font>
      <sz val="11"/>
      <color theme="1"/>
      <name val="Aptos Narrow"/>
      <family val="2"/>
      <scheme val="minor"/>
    </font>
    <font>
      <b/>
      <sz val="1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2" tint="-0.499984740745262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2" tint="-0.499984740745262"/>
      <name val="Calibri"/>
      <family val="2"/>
    </font>
    <font>
      <b/>
      <sz val="18"/>
      <color theme="2" tint="-0.499984740745262"/>
      <name val="Calibri"/>
      <family val="2"/>
    </font>
    <font>
      <sz val="12"/>
      <color theme="1"/>
      <name val="Calibri"/>
      <family val="2"/>
    </font>
    <font>
      <b/>
      <sz val="44"/>
      <color theme="0" tint="-0.499984740745262"/>
      <name val="Calibri"/>
      <family val="2"/>
    </font>
    <font>
      <b/>
      <sz val="22"/>
      <color rgb="FFFF0000"/>
      <name val="Calibri"/>
      <family val="2"/>
    </font>
    <font>
      <b/>
      <sz val="28"/>
      <color rgb="FFFF0000"/>
      <name val="Calibri"/>
      <family val="2"/>
    </font>
  </fonts>
  <fills count="8">
    <fill>
      <patternFill patternType="none"/>
    </fill>
    <fill>
      <patternFill patternType="gray125"/>
    </fill>
    <fill>
      <gradientFill degree="90">
        <stop position="0">
          <color theme="0" tint="-0.49803155613879818"/>
        </stop>
        <stop position="0.5">
          <color theme="0" tint="-5.0965910824915313E-2"/>
        </stop>
        <stop position="1">
          <color theme="0" tint="-0.49803155613879818"/>
        </stop>
      </gradientFill>
    </fill>
    <fill>
      <patternFill patternType="solid">
        <fgColor rgb="FFFFFFCC"/>
        <bgColor indexed="64"/>
      </patternFill>
    </fill>
    <fill>
      <gradientFill degree="90">
        <stop position="0">
          <color rgb="FFFFFF66"/>
        </stop>
        <stop position="0.5">
          <color rgb="FFFFFFCC"/>
        </stop>
        <stop position="1">
          <color rgb="FFFFFF66"/>
        </stop>
      </gradientFill>
    </fill>
    <fill>
      <gradientFill degree="90">
        <stop position="0">
          <color rgb="FF8FAADC"/>
        </stop>
        <stop position="0.5">
          <color theme="4" tint="0.80001220740379042"/>
        </stop>
        <stop position="1">
          <color rgb="FF8FAADC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indexed="64"/>
      </top>
      <bottom/>
      <diagonal/>
    </border>
    <border>
      <left/>
      <right style="dotted">
        <color theme="0" tint="-0.34998626667073579"/>
      </right>
      <top style="thin">
        <color indexed="64"/>
      </top>
      <bottom/>
      <diagonal/>
    </border>
    <border>
      <left style="dotted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theme="0" tint="-0.34998626667073579"/>
      </right>
      <top style="thin">
        <color indexed="64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/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n">
        <color indexed="64"/>
      </bottom>
      <diagonal/>
    </border>
    <border>
      <left/>
      <right style="dotted">
        <color theme="0" tint="-0.34998626667073579"/>
      </right>
      <top/>
      <bottom style="thin">
        <color indexed="64"/>
      </bottom>
      <diagonal/>
    </border>
    <border>
      <left style="dotted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theme="0" tint="-0.3499862666707357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otted">
        <color theme="0" tint="-0.34998626667073579"/>
      </right>
      <top style="thin">
        <color indexed="64"/>
      </top>
      <bottom style="thin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indexed="64"/>
      </top>
      <bottom style="thin">
        <color indexed="64"/>
      </bottom>
      <diagonal/>
    </border>
    <border>
      <left style="dotted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43" fontId="3" fillId="2" borderId="0" xfId="1" applyFont="1" applyFill="1"/>
    <xf numFmtId="0" fontId="5" fillId="3" borderId="1" xfId="0" applyFont="1" applyFill="1" applyBorder="1" applyAlignment="1" applyProtection="1">
      <alignment horizontal="center" vertical="center"/>
      <protection locked="0"/>
    </xf>
    <xf numFmtId="165" fontId="5" fillId="3" borderId="1" xfId="1" applyNumberFormat="1" applyFont="1" applyFill="1" applyBorder="1" applyAlignment="1" applyProtection="1">
      <alignment horizontal="right" vertical="center"/>
    </xf>
    <xf numFmtId="0" fontId="3" fillId="0" borderId="0" xfId="0" applyFont="1" applyAlignment="1">
      <alignment horizontal="center"/>
    </xf>
    <xf numFmtId="164" fontId="3" fillId="0" borderId="0" xfId="2" applyFont="1" applyAlignment="1"/>
    <xf numFmtId="164" fontId="3" fillId="0" borderId="0" xfId="2" applyFont="1" applyAlignment="1">
      <alignment horizontal="center"/>
    </xf>
    <xf numFmtId="164" fontId="3" fillId="0" borderId="0" xfId="2" applyFont="1" applyFill="1" applyAlignment="1">
      <alignment horizontal="center"/>
    </xf>
    <xf numFmtId="43" fontId="3" fillId="0" borderId="0" xfId="1" applyFont="1" applyAlignment="1"/>
    <xf numFmtId="164" fontId="6" fillId="0" borderId="0" xfId="2" applyFont="1" applyFill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7" fillId="4" borderId="0" xfId="2" applyFont="1" applyFill="1" applyBorder="1" applyAlignment="1">
      <alignment horizontal="centerContinuous" vertical="center"/>
    </xf>
    <xf numFmtId="164" fontId="8" fillId="4" borderId="0" xfId="2" applyFont="1" applyFill="1" applyBorder="1" applyAlignment="1">
      <alignment horizontal="centerContinuous" vertical="center"/>
    </xf>
    <xf numFmtId="164" fontId="7" fillId="5" borderId="0" xfId="2" applyFont="1" applyFill="1" applyBorder="1" applyAlignment="1">
      <alignment horizontal="centerContinuous" vertical="center"/>
    </xf>
    <xf numFmtId="164" fontId="9" fillId="5" borderId="0" xfId="2" applyFont="1" applyFill="1" applyBorder="1" applyAlignment="1">
      <alignment horizontal="centerContinuous" vertical="center"/>
    </xf>
    <xf numFmtId="43" fontId="9" fillId="5" borderId="0" xfId="1" applyFont="1" applyFill="1" applyBorder="1" applyAlignment="1">
      <alignment horizontal="centerContinuous" vertical="center"/>
    </xf>
    <xf numFmtId="164" fontId="1" fillId="5" borderId="0" xfId="2" applyFont="1" applyFill="1" applyBorder="1" applyAlignment="1">
      <alignment horizontal="centerContinuous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3" fontId="10" fillId="0" borderId="2" xfId="1" applyFont="1" applyFill="1" applyBorder="1" applyAlignment="1" applyProtection="1">
      <alignment horizontal="center"/>
    </xf>
    <xf numFmtId="43" fontId="10" fillId="0" borderId="7" xfId="1" applyFont="1" applyFill="1" applyBorder="1" applyAlignment="1" applyProtection="1">
      <alignment horizontal="center"/>
    </xf>
    <xf numFmtId="166" fontId="10" fillId="3" borderId="4" xfId="1" applyNumberFormat="1" applyFont="1" applyFill="1" applyBorder="1" applyAlignment="1" applyProtection="1">
      <alignment horizontal="center"/>
    </xf>
    <xf numFmtId="43" fontId="10" fillId="0" borderId="4" xfId="1" applyFont="1" applyFill="1" applyBorder="1" applyProtection="1"/>
    <xf numFmtId="43" fontId="10" fillId="3" borderId="4" xfId="1" applyFont="1" applyFill="1" applyBorder="1" applyProtection="1"/>
    <xf numFmtId="9" fontId="10" fillId="6" borderId="4" xfId="1" applyNumberFormat="1" applyFont="1" applyFill="1" applyBorder="1" applyAlignment="1" applyProtection="1">
      <alignment horizontal="center"/>
    </xf>
    <xf numFmtId="43" fontId="10" fillId="6" borderId="4" xfId="1" applyFont="1" applyFill="1" applyBorder="1" applyAlignment="1" applyProtection="1">
      <alignment horizontal="center"/>
    </xf>
    <xf numFmtId="43" fontId="10" fillId="6" borderId="6" xfId="1" applyFont="1" applyFill="1" applyBorder="1" applyAlignment="1" applyProtection="1">
      <alignment horizont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3" fontId="10" fillId="0" borderId="11" xfId="1" applyFont="1" applyFill="1" applyBorder="1" applyAlignment="1" applyProtection="1">
      <alignment horizontal="center"/>
    </xf>
    <xf numFmtId="166" fontId="10" fillId="3" borderId="8" xfId="1" applyNumberFormat="1" applyFont="1" applyFill="1" applyBorder="1" applyAlignment="1" applyProtection="1">
      <alignment horizontal="center"/>
    </xf>
    <xf numFmtId="43" fontId="10" fillId="0" borderId="8" xfId="1" applyFont="1" applyFill="1" applyBorder="1" applyProtection="1"/>
    <xf numFmtId="43" fontId="10" fillId="3" borderId="8" xfId="1" applyFont="1" applyFill="1" applyBorder="1" applyProtection="1"/>
    <xf numFmtId="9" fontId="10" fillId="6" borderId="8" xfId="1" applyNumberFormat="1" applyFont="1" applyFill="1" applyBorder="1" applyAlignment="1" applyProtection="1">
      <alignment horizontal="center"/>
    </xf>
    <xf numFmtId="43" fontId="10" fillId="6" borderId="8" xfId="1" applyFont="1" applyFill="1" applyBorder="1" applyAlignment="1" applyProtection="1">
      <alignment horizontal="center"/>
    </xf>
    <xf numFmtId="43" fontId="10" fillId="6" borderId="10" xfId="1" applyFont="1" applyFill="1" applyBorder="1" applyAlignment="1" applyProtection="1">
      <alignment horizontal="center"/>
    </xf>
    <xf numFmtId="1" fontId="10" fillId="0" borderId="12" xfId="0" quotePrefix="1" applyNumberFormat="1" applyFont="1" applyBorder="1" applyAlignment="1">
      <alignment horizontal="center" vertical="center"/>
    </xf>
    <xf numFmtId="1" fontId="10" fillId="0" borderId="13" xfId="0" quotePrefix="1" applyNumberFormat="1" applyFont="1" applyBorder="1" applyAlignment="1">
      <alignment horizontal="center" vertical="center"/>
    </xf>
    <xf numFmtId="49" fontId="10" fillId="0" borderId="12" xfId="0" quotePrefix="1" applyNumberFormat="1" applyFont="1" applyBorder="1" applyAlignment="1">
      <alignment horizontal="center" vertical="center"/>
    </xf>
    <xf numFmtId="43" fontId="10" fillId="0" borderId="15" xfId="1" applyFont="1" applyFill="1" applyBorder="1" applyAlignment="1">
      <alignment horizontal="center"/>
    </xf>
    <xf numFmtId="166" fontId="10" fillId="3" borderId="12" xfId="1" applyNumberFormat="1" applyFont="1" applyFill="1" applyBorder="1" applyAlignment="1">
      <alignment horizontal="center"/>
    </xf>
    <xf numFmtId="43" fontId="10" fillId="0" borderId="12" xfId="1" applyFont="1" applyFill="1" applyBorder="1"/>
    <xf numFmtId="43" fontId="10" fillId="3" borderId="12" xfId="1" applyFont="1" applyFill="1" applyBorder="1"/>
    <xf numFmtId="9" fontId="10" fillId="6" borderId="12" xfId="1" applyNumberFormat="1" applyFont="1" applyFill="1" applyBorder="1" applyAlignment="1">
      <alignment horizontal="center"/>
    </xf>
    <xf numFmtId="43" fontId="10" fillId="6" borderId="12" xfId="1" applyFont="1" applyFill="1" applyBorder="1" applyAlignment="1">
      <alignment horizontal="center"/>
    </xf>
    <xf numFmtId="43" fontId="10" fillId="6" borderId="14" xfId="1" applyFont="1" applyFill="1" applyBorder="1" applyAlignment="1">
      <alignment horizontal="center"/>
    </xf>
    <xf numFmtId="0" fontId="10" fillId="0" borderId="0" xfId="0" applyFont="1"/>
    <xf numFmtId="0" fontId="10" fillId="0" borderId="16" xfId="0" applyFont="1" applyBorder="1" applyAlignment="1" applyProtection="1">
      <alignment horizontal="center"/>
      <protection locked="0"/>
    </xf>
    <xf numFmtId="0" fontId="10" fillId="7" borderId="7" xfId="0" applyFont="1" applyFill="1" applyBorder="1" applyAlignment="1" applyProtection="1">
      <alignment horizontal="center"/>
      <protection locked="0"/>
    </xf>
    <xf numFmtId="43" fontId="10" fillId="0" borderId="4" xfId="1" applyFont="1" applyBorder="1" applyAlignment="1" applyProtection="1">
      <alignment horizontal="center"/>
    </xf>
    <xf numFmtId="43" fontId="10" fillId="0" borderId="4" xfId="1" applyFont="1" applyFill="1" applyBorder="1" applyAlignment="1" applyProtection="1"/>
    <xf numFmtId="0" fontId="10" fillId="0" borderId="17" xfId="0" applyFont="1" applyBorder="1" applyAlignment="1" applyProtection="1">
      <alignment horizontal="center"/>
      <protection locked="0"/>
    </xf>
    <xf numFmtId="0" fontId="10" fillId="7" borderId="11" xfId="0" applyFont="1" applyFill="1" applyBorder="1" applyAlignment="1" applyProtection="1">
      <alignment horizontal="center"/>
      <protection locked="0"/>
    </xf>
    <xf numFmtId="43" fontId="10" fillId="0" borderId="8" xfId="1" applyFont="1" applyBorder="1" applyAlignment="1" applyProtection="1">
      <alignment horizontal="center"/>
    </xf>
    <xf numFmtId="43" fontId="10" fillId="0" borderId="8" xfId="1" applyFont="1" applyFill="1" applyBorder="1" applyAlignment="1" applyProtection="1"/>
    <xf numFmtId="0" fontId="10" fillId="0" borderId="18" xfId="0" applyFont="1" applyBorder="1" applyAlignment="1">
      <alignment horizontal="center"/>
    </xf>
    <xf numFmtId="0" fontId="10" fillId="7" borderId="15" xfId="0" applyFont="1" applyFill="1" applyBorder="1" applyAlignment="1" applyProtection="1">
      <alignment horizontal="center"/>
      <protection locked="0"/>
    </xf>
    <xf numFmtId="43" fontId="10" fillId="0" borderId="12" xfId="1" applyFont="1" applyBorder="1" applyAlignment="1">
      <alignment horizontal="center"/>
    </xf>
    <xf numFmtId="43" fontId="10" fillId="0" borderId="12" xfId="1" applyFont="1" applyFill="1" applyBorder="1" applyAlignment="1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3" fillId="0" borderId="3" xfId="0" applyFont="1" applyBorder="1"/>
    <xf numFmtId="43" fontId="6" fillId="0" borderId="19" xfId="1" applyFont="1" applyFill="1" applyBorder="1" applyAlignment="1">
      <alignment horizontal="center" vertical="top" wrapText="1"/>
    </xf>
    <xf numFmtId="43" fontId="6" fillId="0" borderId="20" xfId="1" applyFont="1" applyFill="1" applyBorder="1" applyAlignment="1">
      <alignment horizontal="center" vertical="top" wrapText="1"/>
    </xf>
    <xf numFmtId="166" fontId="6" fillId="3" borderId="20" xfId="1" applyNumberFormat="1" applyFont="1" applyFill="1" applyBorder="1" applyAlignment="1">
      <alignment horizontal="center" vertical="top" wrapText="1"/>
    </xf>
    <xf numFmtId="9" fontId="6" fillId="6" borderId="20" xfId="1" applyNumberFormat="1" applyFont="1" applyFill="1" applyBorder="1" applyAlignment="1">
      <alignment horizontal="center" vertical="top" wrapText="1"/>
    </xf>
    <xf numFmtId="43" fontId="6" fillId="6" borderId="20" xfId="1" applyFont="1" applyFill="1" applyBorder="1" applyAlignment="1">
      <alignment horizontal="center" vertical="top" wrapText="1"/>
    </xf>
    <xf numFmtId="43" fontId="6" fillId="6" borderId="21" xfId="1" applyFont="1" applyFill="1" applyBorder="1" applyAlignment="1">
      <alignment horizontal="center" vertical="top" wrapText="1"/>
    </xf>
    <xf numFmtId="43" fontId="6" fillId="7" borderId="19" xfId="1" applyFont="1" applyFill="1" applyBorder="1" applyAlignment="1">
      <alignment horizontal="center" vertical="top" wrapText="1"/>
    </xf>
    <xf numFmtId="43" fontId="6" fillId="7" borderId="20" xfId="1" applyFont="1" applyFill="1" applyBorder="1" applyAlignment="1">
      <alignment horizontal="center" vertical="top" wrapText="1"/>
    </xf>
    <xf numFmtId="0" fontId="13" fillId="0" borderId="0" xfId="0" applyFont="1" applyAlignment="1">
      <alignment vertical="center"/>
    </xf>
    <xf numFmtId="43" fontId="10" fillId="0" borderId="2" xfId="1" applyFont="1" applyFill="1" applyBorder="1" applyAlignment="1">
      <alignment horizontal="center" vertical="top" wrapText="1"/>
    </xf>
    <xf numFmtId="43" fontId="6" fillId="0" borderId="1" xfId="1" applyFont="1" applyFill="1" applyBorder="1" applyAlignment="1">
      <alignment horizontal="center" vertical="top" wrapText="1"/>
    </xf>
    <xf numFmtId="49" fontId="4" fillId="0" borderId="0" xfId="0" quotePrefix="1" applyNumberFormat="1" applyFont="1" applyAlignment="1">
      <alignment horizontal="right" vertical="top" indent="2"/>
    </xf>
    <xf numFmtId="0" fontId="0" fillId="0" borderId="3" xfId="0" applyBorder="1"/>
    <xf numFmtId="1" fontId="10" fillId="0" borderId="7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15" xfId="0" quotePrefix="1" applyNumberFormat="1" applyFont="1" applyBorder="1" applyAlignment="1">
      <alignment horizontal="center" vertical="center"/>
    </xf>
    <xf numFmtId="167" fontId="10" fillId="0" borderId="6" xfId="0" applyNumberFormat="1" applyFont="1" applyBorder="1"/>
    <xf numFmtId="167" fontId="10" fillId="0" borderId="10" xfId="0" applyNumberFormat="1" applyFont="1" applyBorder="1"/>
    <xf numFmtId="167" fontId="10" fillId="0" borderId="14" xfId="0" applyNumberFormat="1" applyFont="1" applyBorder="1"/>
    <xf numFmtId="43" fontId="6" fillId="0" borderId="21" xfId="1" applyFont="1" applyFill="1" applyBorder="1" applyAlignment="1">
      <alignment horizontal="center" vertical="top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9D47-A803-4252-B9D3-D5345861DB40}">
  <sheetPr filterMode="1">
    <pageSetUpPr fitToPage="1"/>
  </sheetPr>
  <dimension ref="A1:AA3650"/>
  <sheetViews>
    <sheetView showGridLines="0" tabSelected="1" zoomScale="50" zoomScaleNormal="50" zoomScaleSheetLayoutView="50" workbookViewId="0">
      <pane ySplit="9" topLeftCell="A10" activePane="bottomLeft" state="frozen"/>
      <selection pane="bottomLeft" activeCell="S2155" sqref="S2155"/>
    </sheetView>
  </sheetViews>
  <sheetFormatPr baseColWidth="10" defaultColWidth="11.5703125" defaultRowHeight="15" x14ac:dyDescent="0.25"/>
  <cols>
    <col min="1" max="1" width="21.28515625" style="1" customWidth="1"/>
    <col min="2" max="2" width="22.85546875" style="1" customWidth="1"/>
    <col min="3" max="3" width="35.7109375" style="1" customWidth="1"/>
    <col min="4" max="4" width="21.7109375" style="1" customWidth="1"/>
    <col min="5" max="5" width="16.42578125" style="1" customWidth="1"/>
    <col min="6" max="6" width="21.7109375" style="1" hidden="1" customWidth="1"/>
    <col min="7" max="7" width="23.7109375" style="1" hidden="1" customWidth="1"/>
    <col min="8" max="8" width="53.28515625" style="1" customWidth="1"/>
    <col min="9" max="9" width="2.140625" style="1" customWidth="1"/>
    <col min="10" max="10" width="13.7109375" style="1" customWidth="1"/>
    <col min="11" max="11" width="10.7109375" style="1" customWidth="1"/>
    <col min="12" max="13" width="12.7109375" style="1" customWidth="1"/>
    <col min="14" max="14" width="8" style="1" customWidth="1"/>
    <col min="15" max="16" width="12.7109375" style="1" customWidth="1"/>
    <col min="17" max="17" width="2.140625" style="1" customWidth="1"/>
    <col min="18" max="18" width="7.140625" style="1" customWidth="1"/>
    <col min="19" max="24" width="15" style="1" customWidth="1"/>
    <col min="25" max="25" width="3.42578125" customWidth="1"/>
    <col min="26" max="27" width="13.5703125" bestFit="1" customWidth="1"/>
    <col min="28" max="16384" width="11.5703125" style="1"/>
  </cols>
  <sheetData>
    <row r="1" spans="1:27" ht="6.6" customHeight="1" x14ac:dyDescent="0.25"/>
    <row r="2" spans="1:27" ht="9" customHeight="1" x14ac:dyDescent="0.25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4"/>
      <c r="W2" s="2"/>
      <c r="X2" s="2"/>
    </row>
    <row r="3" spans="1:27" ht="6.6" customHeight="1" x14ac:dyDescent="0.25"/>
    <row r="4" spans="1:27" ht="33" customHeight="1" x14ac:dyDescent="0.25">
      <c r="C4" s="64" t="s">
        <v>9193</v>
      </c>
      <c r="X4" s="78" t="s">
        <v>10065</v>
      </c>
    </row>
    <row r="5" spans="1:27" ht="34.15" customHeight="1" x14ac:dyDescent="0.25">
      <c r="A5" s="65"/>
      <c r="C5" s="75" t="s">
        <v>9289</v>
      </c>
      <c r="S5" s="5">
        <f>SUM(S10:S10000)</f>
        <v>33</v>
      </c>
      <c r="T5" s="6">
        <f t="shared" ref="T5:X5" si="0">SUM(T10:T10000)</f>
        <v>4320</v>
      </c>
      <c r="U5" s="6">
        <f t="shared" si="0"/>
        <v>1080</v>
      </c>
      <c r="V5" s="6">
        <f t="shared" si="0"/>
        <v>3240</v>
      </c>
      <c r="W5" s="6">
        <f t="shared" si="0"/>
        <v>518.4</v>
      </c>
      <c r="X5" s="6">
        <f t="shared" si="0"/>
        <v>3758.3999999999996</v>
      </c>
    </row>
    <row r="6" spans="1:27" x14ac:dyDescent="0.25">
      <c r="G6" s="7"/>
      <c r="I6" s="8"/>
      <c r="J6" s="8"/>
      <c r="K6" s="9"/>
      <c r="L6" s="8"/>
      <c r="M6" s="8"/>
      <c r="N6" s="10"/>
      <c r="O6" s="8"/>
      <c r="P6" s="8"/>
      <c r="Q6" s="8"/>
      <c r="R6" s="9"/>
      <c r="S6" s="9"/>
      <c r="T6" s="8"/>
      <c r="U6" s="8"/>
      <c r="V6" s="11"/>
      <c r="W6" s="8"/>
    </row>
    <row r="7" spans="1:27" ht="23.25" x14ac:dyDescent="0.25">
      <c r="A7" s="12"/>
      <c r="B7" s="12"/>
      <c r="C7" s="12"/>
      <c r="D7" s="12"/>
      <c r="E7" s="12"/>
      <c r="F7" s="12"/>
      <c r="G7" s="13"/>
      <c r="H7" s="12"/>
      <c r="I7" s="12"/>
      <c r="J7" s="14" t="s">
        <v>1</v>
      </c>
      <c r="K7" s="15"/>
      <c r="L7" s="15"/>
      <c r="M7" s="15"/>
      <c r="N7" s="15"/>
      <c r="O7" s="15"/>
      <c r="P7" s="15"/>
      <c r="Q7" s="12"/>
      <c r="S7" s="16" t="s">
        <v>0</v>
      </c>
      <c r="T7" s="17"/>
      <c r="U7" s="17"/>
      <c r="V7" s="18"/>
      <c r="W7" s="17"/>
      <c r="X7" s="19"/>
    </row>
    <row r="8" spans="1:27" ht="6.6" customHeight="1" x14ac:dyDescent="0.25">
      <c r="G8" s="7"/>
      <c r="I8" s="8"/>
      <c r="J8" s="8"/>
      <c r="K8" s="9"/>
      <c r="L8" s="8"/>
      <c r="M8" s="8"/>
      <c r="N8" s="10"/>
      <c r="O8" s="8"/>
      <c r="P8" s="8"/>
      <c r="Q8" s="8"/>
      <c r="R8" s="9"/>
      <c r="S8" s="9"/>
      <c r="T8" s="8"/>
      <c r="U8" s="8"/>
      <c r="V8" s="11"/>
      <c r="W8" s="8"/>
    </row>
    <row r="9" spans="1:27" ht="57" customHeight="1" x14ac:dyDescent="0.25">
      <c r="A9" s="67" t="s">
        <v>2</v>
      </c>
      <c r="B9" s="67" t="s">
        <v>3</v>
      </c>
      <c r="C9" s="67" t="s">
        <v>4</v>
      </c>
      <c r="D9" s="68" t="s">
        <v>5</v>
      </c>
      <c r="E9" s="68" t="s">
        <v>6</v>
      </c>
      <c r="F9" s="68" t="s">
        <v>9944</v>
      </c>
      <c r="G9" s="68" t="s">
        <v>9945</v>
      </c>
      <c r="H9" s="86" t="s">
        <v>7</v>
      </c>
      <c r="I9" s="76" t="s">
        <v>24</v>
      </c>
      <c r="J9" s="67" t="s">
        <v>8</v>
      </c>
      <c r="K9" s="69" t="s">
        <v>9</v>
      </c>
      <c r="L9" s="68" t="s">
        <v>10</v>
      </c>
      <c r="M9" s="69" t="s">
        <v>11</v>
      </c>
      <c r="N9" s="70" t="s">
        <v>12</v>
      </c>
      <c r="O9" s="71" t="s">
        <v>13</v>
      </c>
      <c r="P9" s="72" t="s">
        <v>14</v>
      </c>
      <c r="Q9" s="76"/>
      <c r="R9" s="77"/>
      <c r="S9" s="73" t="s">
        <v>15</v>
      </c>
      <c r="T9" s="68" t="s">
        <v>8</v>
      </c>
      <c r="U9" s="68" t="s">
        <v>10</v>
      </c>
      <c r="V9" s="74" t="s">
        <v>11</v>
      </c>
      <c r="W9" s="71" t="s">
        <v>13</v>
      </c>
      <c r="X9" s="72" t="s">
        <v>14</v>
      </c>
    </row>
    <row r="10" spans="1:27" s="51" customFormat="1" ht="18.600000000000001" hidden="1" customHeight="1" x14ac:dyDescent="0.25">
      <c r="A10" s="80" t="s">
        <v>16</v>
      </c>
      <c r="B10" s="20" t="s">
        <v>17</v>
      </c>
      <c r="C10" s="21" t="s">
        <v>18</v>
      </c>
      <c r="D10" s="20" t="s">
        <v>19</v>
      </c>
      <c r="E10" s="22" t="s">
        <v>20</v>
      </c>
      <c r="F10" s="22" t="s">
        <v>21</v>
      </c>
      <c r="G10" s="22" t="s">
        <v>22</v>
      </c>
      <c r="H10" s="83" t="s">
        <v>23</v>
      </c>
      <c r="I10" s="23" t="s">
        <v>24</v>
      </c>
      <c r="J10" s="24">
        <v>95</v>
      </c>
      <c r="K10" s="25">
        <v>0.25</v>
      </c>
      <c r="L10" s="26">
        <f t="shared" ref="L10:L73" si="1">+J10*K10</f>
        <v>23.75</v>
      </c>
      <c r="M10" s="27">
        <f t="shared" ref="M10:M73" si="2">+J10-L10</f>
        <v>71.25</v>
      </c>
      <c r="N10" s="28">
        <v>0.16</v>
      </c>
      <c r="O10" s="29">
        <f>+M10*N10</f>
        <v>11.4</v>
      </c>
      <c r="P10" s="30">
        <f>+M10+O10</f>
        <v>82.65</v>
      </c>
      <c r="Q10" s="23"/>
      <c r="R10" s="52"/>
      <c r="S10" s="53"/>
      <c r="T10" s="54">
        <f t="shared" ref="T10:U25" si="3">+S10*J10</f>
        <v>0</v>
      </c>
      <c r="U10" s="26">
        <f t="shared" si="3"/>
        <v>0</v>
      </c>
      <c r="V10" s="55">
        <f t="shared" ref="V10:V24" si="4">+T10-U10</f>
        <v>0</v>
      </c>
      <c r="W10" s="29">
        <f t="shared" ref="W10:W73" si="5">+V10*N10</f>
        <v>0</v>
      </c>
      <c r="X10" s="30">
        <f>+V10+W10</f>
        <v>0</v>
      </c>
      <c r="Y10"/>
      <c r="Z10"/>
      <c r="AA10"/>
    </row>
    <row r="11" spans="1:27" s="51" customFormat="1" ht="18.600000000000001" hidden="1" customHeight="1" x14ac:dyDescent="0.25">
      <c r="A11" s="81" t="s">
        <v>16</v>
      </c>
      <c r="B11" s="31" t="s">
        <v>17</v>
      </c>
      <c r="C11" s="32" t="s">
        <v>18</v>
      </c>
      <c r="D11" s="31" t="s">
        <v>25</v>
      </c>
      <c r="E11" s="33" t="s">
        <v>26</v>
      </c>
      <c r="F11" s="33" t="s">
        <v>21</v>
      </c>
      <c r="G11" s="33" t="s">
        <v>22</v>
      </c>
      <c r="H11" s="84" t="s">
        <v>27</v>
      </c>
      <c r="I11" s="23" t="s">
        <v>24</v>
      </c>
      <c r="J11" s="34">
        <v>95</v>
      </c>
      <c r="K11" s="35">
        <v>0.25</v>
      </c>
      <c r="L11" s="36">
        <f t="shared" si="1"/>
        <v>23.75</v>
      </c>
      <c r="M11" s="37">
        <f t="shared" si="2"/>
        <v>71.25</v>
      </c>
      <c r="N11" s="38">
        <v>0.16</v>
      </c>
      <c r="O11" s="39">
        <f t="shared" ref="O11:O74" si="6">+M11*N11</f>
        <v>11.4</v>
      </c>
      <c r="P11" s="40">
        <f t="shared" ref="P11:P74" si="7">+M11+O11</f>
        <v>82.65</v>
      </c>
      <c r="Q11" s="23"/>
      <c r="R11" s="56"/>
      <c r="S11" s="57"/>
      <c r="T11" s="58">
        <f t="shared" si="3"/>
        <v>0</v>
      </c>
      <c r="U11" s="36">
        <f t="shared" si="3"/>
        <v>0</v>
      </c>
      <c r="V11" s="59">
        <f t="shared" si="4"/>
        <v>0</v>
      </c>
      <c r="W11" s="39">
        <f t="shared" si="5"/>
        <v>0</v>
      </c>
      <c r="X11" s="40">
        <f t="shared" ref="X11:X74" si="8">+V11+W11</f>
        <v>0</v>
      </c>
      <c r="Y11"/>
      <c r="Z11"/>
      <c r="AA11"/>
    </row>
    <row r="12" spans="1:27" s="51" customFormat="1" ht="18.600000000000001" hidden="1" customHeight="1" x14ac:dyDescent="0.25">
      <c r="A12" s="82" t="s">
        <v>16</v>
      </c>
      <c r="B12" s="41" t="s">
        <v>17</v>
      </c>
      <c r="C12" s="42" t="s">
        <v>18</v>
      </c>
      <c r="D12" s="41" t="s">
        <v>28</v>
      </c>
      <c r="E12" s="43" t="s">
        <v>29</v>
      </c>
      <c r="F12" s="43" t="s">
        <v>21</v>
      </c>
      <c r="G12" s="43" t="s">
        <v>22</v>
      </c>
      <c r="H12" s="85" t="s">
        <v>30</v>
      </c>
      <c r="I12" s="23" t="s">
        <v>24</v>
      </c>
      <c r="J12" s="44">
        <v>95</v>
      </c>
      <c r="K12" s="45">
        <v>0.25</v>
      </c>
      <c r="L12" s="46">
        <f t="shared" si="1"/>
        <v>23.75</v>
      </c>
      <c r="M12" s="47">
        <f t="shared" si="2"/>
        <v>71.25</v>
      </c>
      <c r="N12" s="48">
        <v>0.16</v>
      </c>
      <c r="O12" s="49">
        <f t="shared" si="6"/>
        <v>11.4</v>
      </c>
      <c r="P12" s="50">
        <f t="shared" si="7"/>
        <v>82.65</v>
      </c>
      <c r="Q12" s="23"/>
      <c r="R12" s="60"/>
      <c r="S12" s="61"/>
      <c r="T12" s="62">
        <f t="shared" si="3"/>
        <v>0</v>
      </c>
      <c r="U12" s="46">
        <f t="shared" si="3"/>
        <v>0</v>
      </c>
      <c r="V12" s="63">
        <f t="shared" si="4"/>
        <v>0</v>
      </c>
      <c r="W12" s="49">
        <f t="shared" si="5"/>
        <v>0</v>
      </c>
      <c r="X12" s="50">
        <f t="shared" si="8"/>
        <v>0</v>
      </c>
      <c r="Y12"/>
      <c r="Z12"/>
      <c r="AA12"/>
    </row>
    <row r="13" spans="1:27" s="51" customFormat="1" ht="18.600000000000001" hidden="1" customHeight="1" x14ac:dyDescent="0.25">
      <c r="A13" s="80" t="s">
        <v>16</v>
      </c>
      <c r="B13" s="20" t="s">
        <v>17</v>
      </c>
      <c r="C13" s="21" t="s">
        <v>18</v>
      </c>
      <c r="D13" s="20" t="s">
        <v>31</v>
      </c>
      <c r="E13" s="22" t="s">
        <v>32</v>
      </c>
      <c r="F13" s="22" t="s">
        <v>21</v>
      </c>
      <c r="G13" s="22" t="s">
        <v>22</v>
      </c>
      <c r="H13" s="83" t="s">
        <v>33</v>
      </c>
      <c r="I13" s="23" t="s">
        <v>24</v>
      </c>
      <c r="J13" s="24">
        <v>95</v>
      </c>
      <c r="K13" s="25">
        <v>0.25</v>
      </c>
      <c r="L13" s="26">
        <f t="shared" si="1"/>
        <v>23.75</v>
      </c>
      <c r="M13" s="27">
        <f t="shared" si="2"/>
        <v>71.25</v>
      </c>
      <c r="N13" s="28">
        <v>0.16</v>
      </c>
      <c r="O13" s="29">
        <f t="shared" si="6"/>
        <v>11.4</v>
      </c>
      <c r="P13" s="30">
        <f t="shared" si="7"/>
        <v>82.65</v>
      </c>
      <c r="Q13" s="23"/>
      <c r="R13" s="52"/>
      <c r="S13" s="53"/>
      <c r="T13" s="54">
        <f t="shared" si="3"/>
        <v>0</v>
      </c>
      <c r="U13" s="26">
        <f t="shared" si="3"/>
        <v>0</v>
      </c>
      <c r="V13" s="55">
        <f t="shared" si="4"/>
        <v>0</v>
      </c>
      <c r="W13" s="29">
        <f t="shared" si="5"/>
        <v>0</v>
      </c>
      <c r="X13" s="30">
        <f t="shared" si="8"/>
        <v>0</v>
      </c>
      <c r="Y13"/>
      <c r="Z13"/>
      <c r="AA13"/>
    </row>
    <row r="14" spans="1:27" s="51" customFormat="1" ht="18.600000000000001" hidden="1" customHeight="1" x14ac:dyDescent="0.25">
      <c r="A14" s="81" t="s">
        <v>16</v>
      </c>
      <c r="B14" s="31" t="s">
        <v>17</v>
      </c>
      <c r="C14" s="32" t="s">
        <v>18</v>
      </c>
      <c r="D14" s="31" t="s">
        <v>34</v>
      </c>
      <c r="E14" s="33" t="s">
        <v>35</v>
      </c>
      <c r="F14" s="33" t="s">
        <v>21</v>
      </c>
      <c r="G14" s="33" t="s">
        <v>22</v>
      </c>
      <c r="H14" s="84" t="s">
        <v>36</v>
      </c>
      <c r="I14" s="23" t="s">
        <v>24</v>
      </c>
      <c r="J14" s="34">
        <v>95</v>
      </c>
      <c r="K14" s="35">
        <v>0.25</v>
      </c>
      <c r="L14" s="36">
        <f t="shared" si="1"/>
        <v>23.75</v>
      </c>
      <c r="M14" s="37">
        <f t="shared" si="2"/>
        <v>71.25</v>
      </c>
      <c r="N14" s="38">
        <v>0.16</v>
      </c>
      <c r="O14" s="39">
        <f t="shared" si="6"/>
        <v>11.4</v>
      </c>
      <c r="P14" s="40">
        <f t="shared" si="7"/>
        <v>82.65</v>
      </c>
      <c r="Q14" s="23"/>
      <c r="R14" s="56"/>
      <c r="S14" s="57"/>
      <c r="T14" s="58">
        <f t="shared" si="3"/>
        <v>0</v>
      </c>
      <c r="U14" s="36">
        <f t="shared" si="3"/>
        <v>0</v>
      </c>
      <c r="V14" s="59">
        <f t="shared" si="4"/>
        <v>0</v>
      </c>
      <c r="W14" s="39">
        <f t="shared" si="5"/>
        <v>0</v>
      </c>
      <c r="X14" s="40">
        <f t="shared" si="8"/>
        <v>0</v>
      </c>
      <c r="Y14"/>
      <c r="Z14"/>
      <c r="AA14"/>
    </row>
    <row r="15" spans="1:27" s="51" customFormat="1" ht="18.600000000000001" hidden="1" customHeight="1" x14ac:dyDescent="0.25">
      <c r="A15" s="82" t="s">
        <v>16</v>
      </c>
      <c r="B15" s="41" t="s">
        <v>17</v>
      </c>
      <c r="C15" s="42" t="s">
        <v>18</v>
      </c>
      <c r="D15" s="41" t="s">
        <v>37</v>
      </c>
      <c r="E15" s="43" t="s">
        <v>38</v>
      </c>
      <c r="F15" s="43" t="s">
        <v>21</v>
      </c>
      <c r="G15" s="43" t="s">
        <v>22</v>
      </c>
      <c r="H15" s="85" t="s">
        <v>39</v>
      </c>
      <c r="I15" s="23" t="s">
        <v>24</v>
      </c>
      <c r="J15" s="44">
        <v>95</v>
      </c>
      <c r="K15" s="45">
        <v>0.25</v>
      </c>
      <c r="L15" s="46">
        <f t="shared" si="1"/>
        <v>23.75</v>
      </c>
      <c r="M15" s="47">
        <f t="shared" si="2"/>
        <v>71.25</v>
      </c>
      <c r="N15" s="48">
        <v>0.16</v>
      </c>
      <c r="O15" s="49">
        <f t="shared" si="6"/>
        <v>11.4</v>
      </c>
      <c r="P15" s="50">
        <f t="shared" si="7"/>
        <v>82.65</v>
      </c>
      <c r="Q15" s="23"/>
      <c r="R15" s="60"/>
      <c r="S15" s="61"/>
      <c r="T15" s="62">
        <f t="shared" si="3"/>
        <v>0</v>
      </c>
      <c r="U15" s="46">
        <f t="shared" si="3"/>
        <v>0</v>
      </c>
      <c r="V15" s="63">
        <f t="shared" si="4"/>
        <v>0</v>
      </c>
      <c r="W15" s="49">
        <f t="shared" si="5"/>
        <v>0</v>
      </c>
      <c r="X15" s="50">
        <f t="shared" si="8"/>
        <v>0</v>
      </c>
      <c r="Y15"/>
      <c r="Z15"/>
      <c r="AA15"/>
    </row>
    <row r="16" spans="1:27" s="51" customFormat="1" ht="18.600000000000001" hidden="1" customHeight="1" x14ac:dyDescent="0.25">
      <c r="A16" s="80" t="s">
        <v>16</v>
      </c>
      <c r="B16" s="20" t="s">
        <v>17</v>
      </c>
      <c r="C16" s="21" t="s">
        <v>18</v>
      </c>
      <c r="D16" s="20" t="s">
        <v>40</v>
      </c>
      <c r="E16" s="22" t="s">
        <v>41</v>
      </c>
      <c r="F16" s="22" t="s">
        <v>21</v>
      </c>
      <c r="G16" s="22" t="s">
        <v>22</v>
      </c>
      <c r="H16" s="83" t="s">
        <v>42</v>
      </c>
      <c r="I16" s="23" t="s">
        <v>24</v>
      </c>
      <c r="J16" s="24">
        <v>95</v>
      </c>
      <c r="K16" s="25">
        <v>0.25</v>
      </c>
      <c r="L16" s="26">
        <f t="shared" si="1"/>
        <v>23.75</v>
      </c>
      <c r="M16" s="27">
        <f t="shared" si="2"/>
        <v>71.25</v>
      </c>
      <c r="N16" s="28">
        <v>0.16</v>
      </c>
      <c r="O16" s="29">
        <f t="shared" si="6"/>
        <v>11.4</v>
      </c>
      <c r="P16" s="30">
        <f t="shared" si="7"/>
        <v>82.65</v>
      </c>
      <c r="Q16" s="23"/>
      <c r="R16" s="52"/>
      <c r="S16" s="53"/>
      <c r="T16" s="54">
        <f t="shared" si="3"/>
        <v>0</v>
      </c>
      <c r="U16" s="26">
        <f t="shared" si="3"/>
        <v>0</v>
      </c>
      <c r="V16" s="55">
        <f t="shared" si="4"/>
        <v>0</v>
      </c>
      <c r="W16" s="29">
        <f t="shared" si="5"/>
        <v>0</v>
      </c>
      <c r="X16" s="30">
        <f t="shared" si="8"/>
        <v>0</v>
      </c>
      <c r="Y16"/>
      <c r="Z16"/>
      <c r="AA16"/>
    </row>
    <row r="17" spans="1:27" s="51" customFormat="1" ht="18.600000000000001" hidden="1" customHeight="1" x14ac:dyDescent="0.25">
      <c r="A17" s="81" t="s">
        <v>16</v>
      </c>
      <c r="B17" s="31" t="s">
        <v>17</v>
      </c>
      <c r="C17" s="32" t="s">
        <v>18</v>
      </c>
      <c r="D17" s="31" t="s">
        <v>43</v>
      </c>
      <c r="E17" s="33" t="s">
        <v>44</v>
      </c>
      <c r="F17" s="33" t="s">
        <v>21</v>
      </c>
      <c r="G17" s="33" t="s">
        <v>22</v>
      </c>
      <c r="H17" s="84" t="s">
        <v>45</v>
      </c>
      <c r="I17" s="23" t="s">
        <v>24</v>
      </c>
      <c r="J17" s="34">
        <v>95</v>
      </c>
      <c r="K17" s="35">
        <v>0.25</v>
      </c>
      <c r="L17" s="36">
        <f t="shared" si="1"/>
        <v>23.75</v>
      </c>
      <c r="M17" s="37">
        <f t="shared" si="2"/>
        <v>71.25</v>
      </c>
      <c r="N17" s="38">
        <v>0.16</v>
      </c>
      <c r="O17" s="39">
        <f t="shared" si="6"/>
        <v>11.4</v>
      </c>
      <c r="P17" s="40">
        <f t="shared" si="7"/>
        <v>82.65</v>
      </c>
      <c r="Q17" s="23"/>
      <c r="R17" s="56"/>
      <c r="S17" s="57"/>
      <c r="T17" s="58">
        <f t="shared" si="3"/>
        <v>0</v>
      </c>
      <c r="U17" s="36">
        <f t="shared" si="3"/>
        <v>0</v>
      </c>
      <c r="V17" s="59">
        <f t="shared" si="4"/>
        <v>0</v>
      </c>
      <c r="W17" s="39">
        <f t="shared" si="5"/>
        <v>0</v>
      </c>
      <c r="X17" s="40">
        <f t="shared" si="8"/>
        <v>0</v>
      </c>
      <c r="Y17"/>
      <c r="Z17"/>
      <c r="AA17"/>
    </row>
    <row r="18" spans="1:27" s="51" customFormat="1" ht="18.600000000000001" hidden="1" customHeight="1" x14ac:dyDescent="0.25">
      <c r="A18" s="82" t="s">
        <v>16</v>
      </c>
      <c r="B18" s="41" t="s">
        <v>17</v>
      </c>
      <c r="C18" s="42" t="s">
        <v>18</v>
      </c>
      <c r="D18" s="41" t="s">
        <v>46</v>
      </c>
      <c r="E18" s="43" t="s">
        <v>47</v>
      </c>
      <c r="F18" s="43" t="s">
        <v>21</v>
      </c>
      <c r="G18" s="43" t="s">
        <v>22</v>
      </c>
      <c r="H18" s="85" t="s">
        <v>48</v>
      </c>
      <c r="I18" s="23" t="s">
        <v>24</v>
      </c>
      <c r="J18" s="44">
        <v>95</v>
      </c>
      <c r="K18" s="45">
        <v>0.25</v>
      </c>
      <c r="L18" s="46">
        <f t="shared" si="1"/>
        <v>23.75</v>
      </c>
      <c r="M18" s="47">
        <f t="shared" si="2"/>
        <v>71.25</v>
      </c>
      <c r="N18" s="48">
        <v>0.16</v>
      </c>
      <c r="O18" s="49">
        <f t="shared" si="6"/>
        <v>11.4</v>
      </c>
      <c r="P18" s="50">
        <f t="shared" si="7"/>
        <v>82.65</v>
      </c>
      <c r="Q18" s="23"/>
      <c r="R18" s="60"/>
      <c r="S18" s="61"/>
      <c r="T18" s="62">
        <f t="shared" si="3"/>
        <v>0</v>
      </c>
      <c r="U18" s="46">
        <f t="shared" si="3"/>
        <v>0</v>
      </c>
      <c r="V18" s="63">
        <f t="shared" si="4"/>
        <v>0</v>
      </c>
      <c r="W18" s="49">
        <f t="shared" si="5"/>
        <v>0</v>
      </c>
      <c r="X18" s="50">
        <f t="shared" si="8"/>
        <v>0</v>
      </c>
      <c r="Y18"/>
      <c r="Z18"/>
      <c r="AA18"/>
    </row>
    <row r="19" spans="1:27" s="51" customFormat="1" ht="18.600000000000001" hidden="1" customHeight="1" x14ac:dyDescent="0.25">
      <c r="A19" s="80" t="s">
        <v>16</v>
      </c>
      <c r="B19" s="20" t="s">
        <v>17</v>
      </c>
      <c r="C19" s="21" t="s">
        <v>18</v>
      </c>
      <c r="D19" s="20" t="s">
        <v>49</v>
      </c>
      <c r="E19" s="22" t="s">
        <v>50</v>
      </c>
      <c r="F19" s="22" t="s">
        <v>21</v>
      </c>
      <c r="G19" s="22" t="s">
        <v>22</v>
      </c>
      <c r="H19" s="83" t="s">
        <v>51</v>
      </c>
      <c r="I19" s="23" t="s">
        <v>24</v>
      </c>
      <c r="J19" s="24">
        <v>95</v>
      </c>
      <c r="K19" s="25">
        <v>0.25</v>
      </c>
      <c r="L19" s="26">
        <f t="shared" si="1"/>
        <v>23.75</v>
      </c>
      <c r="M19" s="27">
        <f t="shared" si="2"/>
        <v>71.25</v>
      </c>
      <c r="N19" s="28">
        <v>0.16</v>
      </c>
      <c r="O19" s="29">
        <f t="shared" si="6"/>
        <v>11.4</v>
      </c>
      <c r="P19" s="30">
        <f t="shared" si="7"/>
        <v>82.65</v>
      </c>
      <c r="Q19" s="23"/>
      <c r="R19" s="52"/>
      <c r="S19" s="53"/>
      <c r="T19" s="54">
        <f t="shared" si="3"/>
        <v>0</v>
      </c>
      <c r="U19" s="26">
        <f t="shared" si="3"/>
        <v>0</v>
      </c>
      <c r="V19" s="55">
        <f t="shared" si="4"/>
        <v>0</v>
      </c>
      <c r="W19" s="29">
        <f t="shared" si="5"/>
        <v>0</v>
      </c>
      <c r="X19" s="30">
        <f t="shared" si="8"/>
        <v>0</v>
      </c>
      <c r="Y19"/>
      <c r="Z19"/>
      <c r="AA19"/>
    </row>
    <row r="20" spans="1:27" s="51" customFormat="1" ht="18.600000000000001" hidden="1" customHeight="1" x14ac:dyDescent="0.25">
      <c r="A20" s="81" t="s">
        <v>16</v>
      </c>
      <c r="B20" s="31" t="s">
        <v>17</v>
      </c>
      <c r="C20" s="32" t="s">
        <v>18</v>
      </c>
      <c r="D20" s="31" t="s">
        <v>52</v>
      </c>
      <c r="E20" s="33" t="s">
        <v>53</v>
      </c>
      <c r="F20" s="33" t="s">
        <v>21</v>
      </c>
      <c r="G20" s="33" t="s">
        <v>22</v>
      </c>
      <c r="H20" s="84" t="s">
        <v>54</v>
      </c>
      <c r="I20" s="23" t="s">
        <v>24</v>
      </c>
      <c r="J20" s="34">
        <v>95</v>
      </c>
      <c r="K20" s="35">
        <v>0.25</v>
      </c>
      <c r="L20" s="36">
        <f t="shared" si="1"/>
        <v>23.75</v>
      </c>
      <c r="M20" s="37">
        <f t="shared" si="2"/>
        <v>71.25</v>
      </c>
      <c r="N20" s="38">
        <v>0.16</v>
      </c>
      <c r="O20" s="39">
        <f t="shared" si="6"/>
        <v>11.4</v>
      </c>
      <c r="P20" s="40">
        <f t="shared" si="7"/>
        <v>82.65</v>
      </c>
      <c r="Q20" s="23"/>
      <c r="R20" s="56"/>
      <c r="S20" s="57"/>
      <c r="T20" s="58">
        <f t="shared" si="3"/>
        <v>0</v>
      </c>
      <c r="U20" s="36">
        <f t="shared" si="3"/>
        <v>0</v>
      </c>
      <c r="V20" s="59">
        <f t="shared" si="4"/>
        <v>0</v>
      </c>
      <c r="W20" s="39">
        <f t="shared" si="5"/>
        <v>0</v>
      </c>
      <c r="X20" s="40">
        <f t="shared" si="8"/>
        <v>0</v>
      </c>
      <c r="Y20"/>
      <c r="Z20"/>
      <c r="AA20"/>
    </row>
    <row r="21" spans="1:27" s="51" customFormat="1" ht="18.600000000000001" hidden="1" customHeight="1" x14ac:dyDescent="0.25">
      <c r="A21" s="82" t="s">
        <v>16</v>
      </c>
      <c r="B21" s="41" t="s">
        <v>17</v>
      </c>
      <c r="C21" s="42" t="s">
        <v>18</v>
      </c>
      <c r="D21" s="41" t="s">
        <v>55</v>
      </c>
      <c r="E21" s="43" t="s">
        <v>56</v>
      </c>
      <c r="F21" s="43" t="s">
        <v>21</v>
      </c>
      <c r="G21" s="43" t="s">
        <v>22</v>
      </c>
      <c r="H21" s="85" t="s">
        <v>57</v>
      </c>
      <c r="I21" s="23" t="s">
        <v>24</v>
      </c>
      <c r="J21" s="44">
        <v>95</v>
      </c>
      <c r="K21" s="45">
        <v>0.25</v>
      </c>
      <c r="L21" s="46">
        <f t="shared" si="1"/>
        <v>23.75</v>
      </c>
      <c r="M21" s="47">
        <f t="shared" si="2"/>
        <v>71.25</v>
      </c>
      <c r="N21" s="48">
        <v>0.16</v>
      </c>
      <c r="O21" s="49">
        <f t="shared" si="6"/>
        <v>11.4</v>
      </c>
      <c r="P21" s="50">
        <f t="shared" si="7"/>
        <v>82.65</v>
      </c>
      <c r="Q21" s="23"/>
      <c r="R21" s="60"/>
      <c r="S21" s="61"/>
      <c r="T21" s="62">
        <f t="shared" si="3"/>
        <v>0</v>
      </c>
      <c r="U21" s="46">
        <f t="shared" si="3"/>
        <v>0</v>
      </c>
      <c r="V21" s="63">
        <f t="shared" si="4"/>
        <v>0</v>
      </c>
      <c r="W21" s="49">
        <f t="shared" si="5"/>
        <v>0</v>
      </c>
      <c r="X21" s="50">
        <f t="shared" si="8"/>
        <v>0</v>
      </c>
      <c r="Y21"/>
      <c r="Z21"/>
      <c r="AA21"/>
    </row>
    <row r="22" spans="1:27" s="51" customFormat="1" ht="18.600000000000001" hidden="1" customHeight="1" x14ac:dyDescent="0.25">
      <c r="A22" s="80" t="s">
        <v>16</v>
      </c>
      <c r="B22" s="20" t="s">
        <v>17</v>
      </c>
      <c r="C22" s="21" t="s">
        <v>18</v>
      </c>
      <c r="D22" s="20" t="s">
        <v>58</v>
      </c>
      <c r="E22" s="22" t="s">
        <v>59</v>
      </c>
      <c r="F22" s="22" t="s">
        <v>21</v>
      </c>
      <c r="G22" s="22" t="s">
        <v>22</v>
      </c>
      <c r="H22" s="83" t="s">
        <v>60</v>
      </c>
      <c r="I22" s="23" t="s">
        <v>24</v>
      </c>
      <c r="J22" s="24">
        <v>95</v>
      </c>
      <c r="K22" s="25">
        <v>0.25</v>
      </c>
      <c r="L22" s="26">
        <f t="shared" si="1"/>
        <v>23.75</v>
      </c>
      <c r="M22" s="27">
        <f t="shared" si="2"/>
        <v>71.25</v>
      </c>
      <c r="N22" s="28">
        <v>0.16</v>
      </c>
      <c r="O22" s="29">
        <f t="shared" si="6"/>
        <v>11.4</v>
      </c>
      <c r="P22" s="30">
        <f t="shared" si="7"/>
        <v>82.65</v>
      </c>
      <c r="Q22" s="23"/>
      <c r="R22" s="52"/>
      <c r="S22" s="53"/>
      <c r="T22" s="54">
        <f t="shared" si="3"/>
        <v>0</v>
      </c>
      <c r="U22" s="26">
        <f t="shared" si="3"/>
        <v>0</v>
      </c>
      <c r="V22" s="55">
        <f t="shared" si="4"/>
        <v>0</v>
      </c>
      <c r="W22" s="29">
        <f t="shared" si="5"/>
        <v>0</v>
      </c>
      <c r="X22" s="30">
        <f t="shared" si="8"/>
        <v>0</v>
      </c>
      <c r="Y22"/>
      <c r="Z22"/>
      <c r="AA22"/>
    </row>
    <row r="23" spans="1:27" s="51" customFormat="1" ht="18.600000000000001" hidden="1" customHeight="1" x14ac:dyDescent="0.25">
      <c r="A23" s="81" t="s">
        <v>16</v>
      </c>
      <c r="B23" s="31" t="s">
        <v>17</v>
      </c>
      <c r="C23" s="32" t="s">
        <v>18</v>
      </c>
      <c r="D23" s="31" t="s">
        <v>61</v>
      </c>
      <c r="E23" s="33" t="s">
        <v>62</v>
      </c>
      <c r="F23" s="33" t="s">
        <v>21</v>
      </c>
      <c r="G23" s="33" t="s">
        <v>22</v>
      </c>
      <c r="H23" s="84" t="s">
        <v>63</v>
      </c>
      <c r="I23" s="23" t="s">
        <v>24</v>
      </c>
      <c r="J23" s="34">
        <v>95</v>
      </c>
      <c r="K23" s="35">
        <v>0.25</v>
      </c>
      <c r="L23" s="36">
        <f t="shared" si="1"/>
        <v>23.75</v>
      </c>
      <c r="M23" s="37">
        <f t="shared" si="2"/>
        <v>71.25</v>
      </c>
      <c r="N23" s="38">
        <v>0.16</v>
      </c>
      <c r="O23" s="39">
        <f t="shared" si="6"/>
        <v>11.4</v>
      </c>
      <c r="P23" s="40">
        <f t="shared" si="7"/>
        <v>82.65</v>
      </c>
      <c r="Q23" s="23"/>
      <c r="R23" s="56"/>
      <c r="S23" s="57"/>
      <c r="T23" s="58">
        <f t="shared" si="3"/>
        <v>0</v>
      </c>
      <c r="U23" s="36">
        <f t="shared" si="3"/>
        <v>0</v>
      </c>
      <c r="V23" s="59">
        <f t="shared" si="4"/>
        <v>0</v>
      </c>
      <c r="W23" s="39">
        <f t="shared" si="5"/>
        <v>0</v>
      </c>
      <c r="X23" s="40">
        <f t="shared" si="8"/>
        <v>0</v>
      </c>
      <c r="Y23"/>
      <c r="Z23"/>
      <c r="AA23"/>
    </row>
    <row r="24" spans="1:27" s="51" customFormat="1" ht="18.600000000000001" hidden="1" customHeight="1" x14ac:dyDescent="0.25">
      <c r="A24" s="82" t="s">
        <v>16</v>
      </c>
      <c r="B24" s="41" t="s">
        <v>17</v>
      </c>
      <c r="C24" s="42" t="s">
        <v>18</v>
      </c>
      <c r="D24" s="41" t="s">
        <v>64</v>
      </c>
      <c r="E24" s="43" t="s">
        <v>65</v>
      </c>
      <c r="F24" s="43" t="s">
        <v>21</v>
      </c>
      <c r="G24" s="43" t="s">
        <v>22</v>
      </c>
      <c r="H24" s="85" t="s">
        <v>66</v>
      </c>
      <c r="I24" s="23" t="s">
        <v>24</v>
      </c>
      <c r="J24" s="44">
        <v>95</v>
      </c>
      <c r="K24" s="45">
        <v>0.25</v>
      </c>
      <c r="L24" s="46">
        <f t="shared" si="1"/>
        <v>23.75</v>
      </c>
      <c r="M24" s="47">
        <f t="shared" si="2"/>
        <v>71.25</v>
      </c>
      <c r="N24" s="48">
        <v>0.16</v>
      </c>
      <c r="O24" s="49">
        <f t="shared" si="6"/>
        <v>11.4</v>
      </c>
      <c r="P24" s="50">
        <f t="shared" si="7"/>
        <v>82.65</v>
      </c>
      <c r="Q24" s="23"/>
      <c r="R24" s="60"/>
      <c r="S24" s="61"/>
      <c r="T24" s="62">
        <f t="shared" si="3"/>
        <v>0</v>
      </c>
      <c r="U24" s="46">
        <f t="shared" si="3"/>
        <v>0</v>
      </c>
      <c r="V24" s="63">
        <f t="shared" si="4"/>
        <v>0</v>
      </c>
      <c r="W24" s="49">
        <f t="shared" si="5"/>
        <v>0</v>
      </c>
      <c r="X24" s="50">
        <f t="shared" si="8"/>
        <v>0</v>
      </c>
      <c r="Y24"/>
      <c r="Z24"/>
      <c r="AA24"/>
    </row>
    <row r="25" spans="1:27" s="51" customFormat="1" ht="18.600000000000001" hidden="1" customHeight="1" x14ac:dyDescent="0.25">
      <c r="A25" s="80" t="s">
        <v>16</v>
      </c>
      <c r="B25" s="20" t="s">
        <v>17</v>
      </c>
      <c r="C25" s="21" t="s">
        <v>18</v>
      </c>
      <c r="D25" s="20" t="s">
        <v>67</v>
      </c>
      <c r="E25" s="22" t="s">
        <v>68</v>
      </c>
      <c r="F25" s="22" t="s">
        <v>21</v>
      </c>
      <c r="G25" s="22" t="s">
        <v>22</v>
      </c>
      <c r="H25" s="83" t="s">
        <v>69</v>
      </c>
      <c r="I25" s="23" t="s">
        <v>24</v>
      </c>
      <c r="J25" s="24">
        <v>95</v>
      </c>
      <c r="K25" s="25">
        <v>0.25</v>
      </c>
      <c r="L25" s="26">
        <f t="shared" si="1"/>
        <v>23.75</v>
      </c>
      <c r="M25" s="27">
        <f t="shared" si="2"/>
        <v>71.25</v>
      </c>
      <c r="N25" s="28">
        <v>0.16</v>
      </c>
      <c r="O25" s="29">
        <f t="shared" si="6"/>
        <v>11.4</v>
      </c>
      <c r="P25" s="30">
        <f t="shared" si="7"/>
        <v>82.65</v>
      </c>
      <c r="Q25" s="23"/>
      <c r="R25" s="52"/>
      <c r="S25" s="53"/>
      <c r="T25" s="54">
        <f t="shared" si="3"/>
        <v>0</v>
      </c>
      <c r="U25" s="26">
        <f t="shared" si="3"/>
        <v>0</v>
      </c>
      <c r="V25" s="55">
        <f>+T25-U25</f>
        <v>0</v>
      </c>
      <c r="W25" s="29">
        <f t="shared" si="5"/>
        <v>0</v>
      </c>
      <c r="X25" s="30">
        <f t="shared" si="8"/>
        <v>0</v>
      </c>
      <c r="Y25"/>
      <c r="Z25"/>
      <c r="AA25"/>
    </row>
    <row r="26" spans="1:27" s="51" customFormat="1" ht="18.600000000000001" hidden="1" customHeight="1" x14ac:dyDescent="0.25">
      <c r="A26" s="81" t="s">
        <v>16</v>
      </c>
      <c r="B26" s="31" t="s">
        <v>17</v>
      </c>
      <c r="C26" s="32" t="s">
        <v>18</v>
      </c>
      <c r="D26" s="31" t="s">
        <v>70</v>
      </c>
      <c r="E26" s="33" t="s">
        <v>71</v>
      </c>
      <c r="F26" s="33" t="s">
        <v>21</v>
      </c>
      <c r="G26" s="33" t="s">
        <v>22</v>
      </c>
      <c r="H26" s="84" t="s">
        <v>72</v>
      </c>
      <c r="I26" s="23" t="s">
        <v>24</v>
      </c>
      <c r="J26" s="34">
        <v>95</v>
      </c>
      <c r="K26" s="35">
        <v>0.25</v>
      </c>
      <c r="L26" s="36">
        <f t="shared" si="1"/>
        <v>23.75</v>
      </c>
      <c r="M26" s="37">
        <f t="shared" si="2"/>
        <v>71.25</v>
      </c>
      <c r="N26" s="38">
        <v>0.16</v>
      </c>
      <c r="O26" s="39">
        <f t="shared" si="6"/>
        <v>11.4</v>
      </c>
      <c r="P26" s="40">
        <f t="shared" si="7"/>
        <v>82.65</v>
      </c>
      <c r="Q26" s="23"/>
      <c r="R26" s="56"/>
      <c r="S26" s="57"/>
      <c r="T26" s="58">
        <f t="shared" ref="T26:U89" si="9">+S26*J26</f>
        <v>0</v>
      </c>
      <c r="U26" s="36">
        <f t="shared" si="9"/>
        <v>0</v>
      </c>
      <c r="V26" s="59">
        <f t="shared" ref="V26:V89" si="10">+T26-U26</f>
        <v>0</v>
      </c>
      <c r="W26" s="39">
        <f t="shared" si="5"/>
        <v>0</v>
      </c>
      <c r="X26" s="40">
        <f t="shared" si="8"/>
        <v>0</v>
      </c>
      <c r="Y26"/>
      <c r="Z26"/>
      <c r="AA26"/>
    </row>
    <row r="27" spans="1:27" s="51" customFormat="1" ht="18.600000000000001" hidden="1" customHeight="1" x14ac:dyDescent="0.25">
      <c r="A27" s="82" t="s">
        <v>16</v>
      </c>
      <c r="B27" s="41" t="s">
        <v>17</v>
      </c>
      <c r="C27" s="42" t="s">
        <v>18</v>
      </c>
      <c r="D27" s="41" t="s">
        <v>73</v>
      </c>
      <c r="E27" s="43" t="s">
        <v>74</v>
      </c>
      <c r="F27" s="43" t="s">
        <v>21</v>
      </c>
      <c r="G27" s="43" t="s">
        <v>22</v>
      </c>
      <c r="H27" s="85" t="s">
        <v>75</v>
      </c>
      <c r="I27" s="23" t="s">
        <v>24</v>
      </c>
      <c r="J27" s="44">
        <v>95</v>
      </c>
      <c r="K27" s="45">
        <v>0.25</v>
      </c>
      <c r="L27" s="46">
        <f t="shared" si="1"/>
        <v>23.75</v>
      </c>
      <c r="M27" s="47">
        <f t="shared" si="2"/>
        <v>71.25</v>
      </c>
      <c r="N27" s="48">
        <v>0.16</v>
      </c>
      <c r="O27" s="49">
        <f t="shared" si="6"/>
        <v>11.4</v>
      </c>
      <c r="P27" s="50">
        <f t="shared" si="7"/>
        <v>82.65</v>
      </c>
      <c r="Q27" s="23"/>
      <c r="R27" s="60"/>
      <c r="S27" s="61"/>
      <c r="T27" s="62">
        <f t="shared" si="9"/>
        <v>0</v>
      </c>
      <c r="U27" s="46">
        <f t="shared" si="9"/>
        <v>0</v>
      </c>
      <c r="V27" s="63">
        <f t="shared" si="10"/>
        <v>0</v>
      </c>
      <c r="W27" s="49">
        <f t="shared" si="5"/>
        <v>0</v>
      </c>
      <c r="X27" s="50">
        <f t="shared" si="8"/>
        <v>0</v>
      </c>
      <c r="Y27"/>
      <c r="Z27"/>
      <c r="AA27"/>
    </row>
    <row r="28" spans="1:27" s="51" customFormat="1" ht="18.600000000000001" hidden="1" customHeight="1" x14ac:dyDescent="0.25">
      <c r="A28" s="80" t="s">
        <v>16</v>
      </c>
      <c r="B28" s="20" t="s">
        <v>17</v>
      </c>
      <c r="C28" s="21" t="s">
        <v>18</v>
      </c>
      <c r="D28" s="20" t="s">
        <v>76</v>
      </c>
      <c r="E28" s="22" t="s">
        <v>77</v>
      </c>
      <c r="F28" s="22" t="s">
        <v>21</v>
      </c>
      <c r="G28" s="22" t="s">
        <v>22</v>
      </c>
      <c r="H28" s="83" t="s">
        <v>78</v>
      </c>
      <c r="I28" s="23" t="s">
        <v>24</v>
      </c>
      <c r="J28" s="24">
        <v>95</v>
      </c>
      <c r="K28" s="25">
        <v>0.25</v>
      </c>
      <c r="L28" s="26">
        <f t="shared" si="1"/>
        <v>23.75</v>
      </c>
      <c r="M28" s="27">
        <f t="shared" si="2"/>
        <v>71.25</v>
      </c>
      <c r="N28" s="28">
        <v>0.16</v>
      </c>
      <c r="O28" s="29">
        <f t="shared" si="6"/>
        <v>11.4</v>
      </c>
      <c r="P28" s="30">
        <f t="shared" si="7"/>
        <v>82.65</v>
      </c>
      <c r="Q28" s="23"/>
      <c r="R28" s="52"/>
      <c r="S28" s="53"/>
      <c r="T28" s="54">
        <f t="shared" si="9"/>
        <v>0</v>
      </c>
      <c r="U28" s="26">
        <f t="shared" si="9"/>
        <v>0</v>
      </c>
      <c r="V28" s="55">
        <f t="shared" si="10"/>
        <v>0</v>
      </c>
      <c r="W28" s="29">
        <f t="shared" si="5"/>
        <v>0</v>
      </c>
      <c r="X28" s="30">
        <f t="shared" si="8"/>
        <v>0</v>
      </c>
      <c r="Y28"/>
      <c r="Z28"/>
      <c r="AA28"/>
    </row>
    <row r="29" spans="1:27" s="51" customFormat="1" ht="18.600000000000001" hidden="1" customHeight="1" x14ac:dyDescent="0.25">
      <c r="A29" s="81" t="s">
        <v>16</v>
      </c>
      <c r="B29" s="31" t="s">
        <v>17</v>
      </c>
      <c r="C29" s="32" t="s">
        <v>18</v>
      </c>
      <c r="D29" s="31" t="s">
        <v>79</v>
      </c>
      <c r="E29" s="33" t="s">
        <v>80</v>
      </c>
      <c r="F29" s="33" t="s">
        <v>21</v>
      </c>
      <c r="G29" s="33" t="s">
        <v>22</v>
      </c>
      <c r="H29" s="84" t="s">
        <v>81</v>
      </c>
      <c r="I29" s="23" t="s">
        <v>24</v>
      </c>
      <c r="J29" s="34">
        <v>95</v>
      </c>
      <c r="K29" s="35">
        <v>0.25</v>
      </c>
      <c r="L29" s="36">
        <f t="shared" si="1"/>
        <v>23.75</v>
      </c>
      <c r="M29" s="37">
        <f t="shared" si="2"/>
        <v>71.25</v>
      </c>
      <c r="N29" s="38">
        <v>0.16</v>
      </c>
      <c r="O29" s="39">
        <f t="shared" si="6"/>
        <v>11.4</v>
      </c>
      <c r="P29" s="40">
        <f t="shared" si="7"/>
        <v>82.65</v>
      </c>
      <c r="Q29" s="23"/>
      <c r="R29" s="56"/>
      <c r="S29" s="57"/>
      <c r="T29" s="58">
        <f t="shared" si="9"/>
        <v>0</v>
      </c>
      <c r="U29" s="36">
        <f t="shared" si="9"/>
        <v>0</v>
      </c>
      <c r="V29" s="59">
        <f t="shared" si="10"/>
        <v>0</v>
      </c>
      <c r="W29" s="39">
        <f t="shared" si="5"/>
        <v>0</v>
      </c>
      <c r="X29" s="40">
        <f t="shared" si="8"/>
        <v>0</v>
      </c>
      <c r="Y29"/>
      <c r="Z29"/>
      <c r="AA29"/>
    </row>
    <row r="30" spans="1:27" s="51" customFormat="1" ht="18.600000000000001" hidden="1" customHeight="1" x14ac:dyDescent="0.25">
      <c r="A30" s="82" t="s">
        <v>16</v>
      </c>
      <c r="B30" s="41" t="s">
        <v>17</v>
      </c>
      <c r="C30" s="42" t="s">
        <v>18</v>
      </c>
      <c r="D30" s="41" t="s">
        <v>82</v>
      </c>
      <c r="E30" s="43" t="s">
        <v>83</v>
      </c>
      <c r="F30" s="43" t="s">
        <v>21</v>
      </c>
      <c r="G30" s="43" t="s">
        <v>22</v>
      </c>
      <c r="H30" s="85" t="s">
        <v>84</v>
      </c>
      <c r="I30" s="23" t="s">
        <v>24</v>
      </c>
      <c r="J30" s="44">
        <v>95</v>
      </c>
      <c r="K30" s="45">
        <v>0.25</v>
      </c>
      <c r="L30" s="46">
        <f t="shared" si="1"/>
        <v>23.75</v>
      </c>
      <c r="M30" s="47">
        <f t="shared" si="2"/>
        <v>71.25</v>
      </c>
      <c r="N30" s="48">
        <v>0.16</v>
      </c>
      <c r="O30" s="49">
        <f t="shared" si="6"/>
        <v>11.4</v>
      </c>
      <c r="P30" s="50">
        <f t="shared" si="7"/>
        <v>82.65</v>
      </c>
      <c r="Q30" s="23"/>
      <c r="R30" s="60"/>
      <c r="S30" s="61"/>
      <c r="T30" s="62">
        <f t="shared" si="9"/>
        <v>0</v>
      </c>
      <c r="U30" s="46">
        <f t="shared" si="9"/>
        <v>0</v>
      </c>
      <c r="V30" s="63">
        <f t="shared" si="10"/>
        <v>0</v>
      </c>
      <c r="W30" s="49">
        <f t="shared" si="5"/>
        <v>0</v>
      </c>
      <c r="X30" s="50">
        <f t="shared" si="8"/>
        <v>0</v>
      </c>
      <c r="Y30"/>
      <c r="Z30"/>
      <c r="AA30"/>
    </row>
    <row r="31" spans="1:27" s="51" customFormat="1" ht="18.600000000000001" hidden="1" customHeight="1" x14ac:dyDescent="0.25">
      <c r="A31" s="80" t="s">
        <v>16</v>
      </c>
      <c r="B31" s="20" t="s">
        <v>17</v>
      </c>
      <c r="C31" s="21" t="s">
        <v>18</v>
      </c>
      <c r="D31" s="20" t="s">
        <v>85</v>
      </c>
      <c r="E31" s="22" t="s">
        <v>86</v>
      </c>
      <c r="F31" s="22" t="s">
        <v>21</v>
      </c>
      <c r="G31" s="22" t="s">
        <v>22</v>
      </c>
      <c r="H31" s="83" t="s">
        <v>87</v>
      </c>
      <c r="I31" s="23" t="s">
        <v>24</v>
      </c>
      <c r="J31" s="24">
        <v>95</v>
      </c>
      <c r="K31" s="25">
        <v>0.25</v>
      </c>
      <c r="L31" s="26">
        <f t="shared" si="1"/>
        <v>23.75</v>
      </c>
      <c r="M31" s="27">
        <f t="shared" si="2"/>
        <v>71.25</v>
      </c>
      <c r="N31" s="28">
        <v>0.16</v>
      </c>
      <c r="O31" s="29">
        <f t="shared" si="6"/>
        <v>11.4</v>
      </c>
      <c r="P31" s="30">
        <f t="shared" si="7"/>
        <v>82.65</v>
      </c>
      <c r="Q31" s="23"/>
      <c r="R31" s="52"/>
      <c r="S31" s="53"/>
      <c r="T31" s="54">
        <f t="shared" si="9"/>
        <v>0</v>
      </c>
      <c r="U31" s="26">
        <f t="shared" si="9"/>
        <v>0</v>
      </c>
      <c r="V31" s="55">
        <f t="shared" si="10"/>
        <v>0</v>
      </c>
      <c r="W31" s="29">
        <f t="shared" si="5"/>
        <v>0</v>
      </c>
      <c r="X31" s="30">
        <f t="shared" si="8"/>
        <v>0</v>
      </c>
      <c r="Y31"/>
      <c r="Z31"/>
      <c r="AA31"/>
    </row>
    <row r="32" spans="1:27" s="51" customFormat="1" ht="18.600000000000001" hidden="1" customHeight="1" x14ac:dyDescent="0.25">
      <c r="A32" s="81" t="s">
        <v>16</v>
      </c>
      <c r="B32" s="31" t="s">
        <v>17</v>
      </c>
      <c r="C32" s="32" t="s">
        <v>18</v>
      </c>
      <c r="D32" s="31" t="s">
        <v>88</v>
      </c>
      <c r="E32" s="33" t="s">
        <v>89</v>
      </c>
      <c r="F32" s="33" t="s">
        <v>21</v>
      </c>
      <c r="G32" s="33" t="s">
        <v>22</v>
      </c>
      <c r="H32" s="84" t="s">
        <v>90</v>
      </c>
      <c r="I32" s="23" t="s">
        <v>24</v>
      </c>
      <c r="J32" s="34">
        <v>95</v>
      </c>
      <c r="K32" s="35">
        <v>0.25</v>
      </c>
      <c r="L32" s="36">
        <f t="shared" si="1"/>
        <v>23.75</v>
      </c>
      <c r="M32" s="37">
        <f t="shared" si="2"/>
        <v>71.25</v>
      </c>
      <c r="N32" s="38">
        <v>0.16</v>
      </c>
      <c r="O32" s="39">
        <f t="shared" si="6"/>
        <v>11.4</v>
      </c>
      <c r="P32" s="40">
        <f t="shared" si="7"/>
        <v>82.65</v>
      </c>
      <c r="Q32" s="23"/>
      <c r="R32" s="56"/>
      <c r="S32" s="57"/>
      <c r="T32" s="58">
        <f t="shared" si="9"/>
        <v>0</v>
      </c>
      <c r="U32" s="36">
        <f t="shared" si="9"/>
        <v>0</v>
      </c>
      <c r="V32" s="59">
        <f t="shared" si="10"/>
        <v>0</v>
      </c>
      <c r="W32" s="39">
        <f t="shared" si="5"/>
        <v>0</v>
      </c>
      <c r="X32" s="40">
        <f t="shared" si="8"/>
        <v>0</v>
      </c>
      <c r="Y32"/>
      <c r="Z32"/>
      <c r="AA32"/>
    </row>
    <row r="33" spans="1:27" s="51" customFormat="1" ht="18.600000000000001" hidden="1" customHeight="1" x14ac:dyDescent="0.25">
      <c r="A33" s="82" t="s">
        <v>16</v>
      </c>
      <c r="B33" s="41" t="s">
        <v>17</v>
      </c>
      <c r="C33" s="42" t="s">
        <v>18</v>
      </c>
      <c r="D33" s="41" t="s">
        <v>91</v>
      </c>
      <c r="E33" s="43" t="s">
        <v>92</v>
      </c>
      <c r="F33" s="43" t="s">
        <v>21</v>
      </c>
      <c r="G33" s="43" t="s">
        <v>22</v>
      </c>
      <c r="H33" s="85" t="s">
        <v>93</v>
      </c>
      <c r="I33" s="23" t="s">
        <v>24</v>
      </c>
      <c r="J33" s="44">
        <v>95</v>
      </c>
      <c r="K33" s="45">
        <v>0.25</v>
      </c>
      <c r="L33" s="46">
        <f t="shared" si="1"/>
        <v>23.75</v>
      </c>
      <c r="M33" s="47">
        <f t="shared" si="2"/>
        <v>71.25</v>
      </c>
      <c r="N33" s="48">
        <v>0.16</v>
      </c>
      <c r="O33" s="49">
        <f t="shared" si="6"/>
        <v>11.4</v>
      </c>
      <c r="P33" s="50">
        <f t="shared" si="7"/>
        <v>82.65</v>
      </c>
      <c r="Q33" s="23"/>
      <c r="R33" s="60"/>
      <c r="S33" s="61"/>
      <c r="T33" s="62">
        <f t="shared" si="9"/>
        <v>0</v>
      </c>
      <c r="U33" s="46">
        <f t="shared" si="9"/>
        <v>0</v>
      </c>
      <c r="V33" s="63">
        <f t="shared" si="10"/>
        <v>0</v>
      </c>
      <c r="W33" s="49">
        <f t="shared" si="5"/>
        <v>0</v>
      </c>
      <c r="X33" s="50">
        <f t="shared" si="8"/>
        <v>0</v>
      </c>
      <c r="Y33"/>
      <c r="Z33"/>
      <c r="AA33"/>
    </row>
    <row r="34" spans="1:27" s="51" customFormat="1" ht="18.600000000000001" hidden="1" customHeight="1" x14ac:dyDescent="0.25">
      <c r="A34" s="80" t="s">
        <v>16</v>
      </c>
      <c r="B34" s="20" t="s">
        <v>17</v>
      </c>
      <c r="C34" s="21" t="s">
        <v>18</v>
      </c>
      <c r="D34" s="20" t="s">
        <v>94</v>
      </c>
      <c r="E34" s="22" t="s">
        <v>95</v>
      </c>
      <c r="F34" s="22" t="s">
        <v>21</v>
      </c>
      <c r="G34" s="22" t="s">
        <v>22</v>
      </c>
      <c r="H34" s="83" t="s">
        <v>96</v>
      </c>
      <c r="I34" s="23" t="s">
        <v>24</v>
      </c>
      <c r="J34" s="24">
        <v>95</v>
      </c>
      <c r="K34" s="25">
        <v>0.25</v>
      </c>
      <c r="L34" s="26">
        <f t="shared" si="1"/>
        <v>23.75</v>
      </c>
      <c r="M34" s="27">
        <f t="shared" si="2"/>
        <v>71.25</v>
      </c>
      <c r="N34" s="28">
        <v>0.16</v>
      </c>
      <c r="O34" s="29">
        <f t="shared" si="6"/>
        <v>11.4</v>
      </c>
      <c r="P34" s="30">
        <f t="shared" si="7"/>
        <v>82.65</v>
      </c>
      <c r="Q34" s="23"/>
      <c r="R34" s="52"/>
      <c r="S34" s="53"/>
      <c r="T34" s="54">
        <f t="shared" si="9"/>
        <v>0</v>
      </c>
      <c r="U34" s="26">
        <f t="shared" si="9"/>
        <v>0</v>
      </c>
      <c r="V34" s="55">
        <f t="shared" si="10"/>
        <v>0</v>
      </c>
      <c r="W34" s="29">
        <f t="shared" si="5"/>
        <v>0</v>
      </c>
      <c r="X34" s="30">
        <f t="shared" si="8"/>
        <v>0</v>
      </c>
      <c r="Y34"/>
      <c r="Z34"/>
      <c r="AA34"/>
    </row>
    <row r="35" spans="1:27" s="51" customFormat="1" ht="18.600000000000001" hidden="1" customHeight="1" x14ac:dyDescent="0.25">
      <c r="A35" s="81" t="s">
        <v>16</v>
      </c>
      <c r="B35" s="31" t="s">
        <v>17</v>
      </c>
      <c r="C35" s="32" t="s">
        <v>18</v>
      </c>
      <c r="D35" s="31" t="s">
        <v>97</v>
      </c>
      <c r="E35" s="33" t="s">
        <v>98</v>
      </c>
      <c r="F35" s="33" t="s">
        <v>21</v>
      </c>
      <c r="G35" s="33" t="s">
        <v>22</v>
      </c>
      <c r="H35" s="84" t="s">
        <v>99</v>
      </c>
      <c r="I35" s="23" t="s">
        <v>24</v>
      </c>
      <c r="J35" s="34">
        <v>95</v>
      </c>
      <c r="K35" s="35">
        <v>0.25</v>
      </c>
      <c r="L35" s="36">
        <f t="shared" si="1"/>
        <v>23.75</v>
      </c>
      <c r="M35" s="37">
        <f t="shared" si="2"/>
        <v>71.25</v>
      </c>
      <c r="N35" s="38">
        <v>0.16</v>
      </c>
      <c r="O35" s="39">
        <f t="shared" si="6"/>
        <v>11.4</v>
      </c>
      <c r="P35" s="40">
        <f t="shared" si="7"/>
        <v>82.65</v>
      </c>
      <c r="Q35" s="23"/>
      <c r="R35" s="56"/>
      <c r="S35" s="57"/>
      <c r="T35" s="58">
        <f t="shared" si="9"/>
        <v>0</v>
      </c>
      <c r="U35" s="36">
        <f t="shared" si="9"/>
        <v>0</v>
      </c>
      <c r="V35" s="59">
        <f t="shared" si="10"/>
        <v>0</v>
      </c>
      <c r="W35" s="39">
        <f t="shared" si="5"/>
        <v>0</v>
      </c>
      <c r="X35" s="40">
        <f t="shared" si="8"/>
        <v>0</v>
      </c>
      <c r="Y35"/>
      <c r="Z35"/>
      <c r="AA35"/>
    </row>
    <row r="36" spans="1:27" s="51" customFormat="1" ht="18.600000000000001" hidden="1" customHeight="1" x14ac:dyDescent="0.25">
      <c r="A36" s="82" t="s">
        <v>16</v>
      </c>
      <c r="B36" s="41" t="s">
        <v>17</v>
      </c>
      <c r="C36" s="42" t="s">
        <v>18</v>
      </c>
      <c r="D36" s="41" t="s">
        <v>100</v>
      </c>
      <c r="E36" s="43" t="s">
        <v>101</v>
      </c>
      <c r="F36" s="43" t="s">
        <v>21</v>
      </c>
      <c r="G36" s="43" t="s">
        <v>22</v>
      </c>
      <c r="H36" s="85" t="s">
        <v>102</v>
      </c>
      <c r="I36" s="23" t="s">
        <v>24</v>
      </c>
      <c r="J36" s="44">
        <v>95</v>
      </c>
      <c r="K36" s="45">
        <v>0.25</v>
      </c>
      <c r="L36" s="46">
        <f t="shared" si="1"/>
        <v>23.75</v>
      </c>
      <c r="M36" s="47">
        <f t="shared" si="2"/>
        <v>71.25</v>
      </c>
      <c r="N36" s="48">
        <v>0.16</v>
      </c>
      <c r="O36" s="49">
        <f t="shared" si="6"/>
        <v>11.4</v>
      </c>
      <c r="P36" s="50">
        <f t="shared" si="7"/>
        <v>82.65</v>
      </c>
      <c r="Q36" s="23"/>
      <c r="R36" s="60"/>
      <c r="S36" s="61"/>
      <c r="T36" s="62">
        <f t="shared" si="9"/>
        <v>0</v>
      </c>
      <c r="U36" s="46">
        <f t="shared" si="9"/>
        <v>0</v>
      </c>
      <c r="V36" s="63">
        <f t="shared" si="10"/>
        <v>0</v>
      </c>
      <c r="W36" s="49">
        <f t="shared" si="5"/>
        <v>0</v>
      </c>
      <c r="X36" s="50">
        <f t="shared" si="8"/>
        <v>0</v>
      </c>
      <c r="Y36"/>
      <c r="Z36"/>
      <c r="AA36"/>
    </row>
    <row r="37" spans="1:27" s="51" customFormat="1" ht="18.600000000000001" hidden="1" customHeight="1" x14ac:dyDescent="0.25">
      <c r="A37" s="80" t="s">
        <v>16</v>
      </c>
      <c r="B37" s="20" t="s">
        <v>17</v>
      </c>
      <c r="C37" s="21" t="s">
        <v>18</v>
      </c>
      <c r="D37" s="20" t="s">
        <v>103</v>
      </c>
      <c r="E37" s="22" t="s">
        <v>104</v>
      </c>
      <c r="F37" s="22" t="s">
        <v>21</v>
      </c>
      <c r="G37" s="22" t="s">
        <v>22</v>
      </c>
      <c r="H37" s="83" t="s">
        <v>105</v>
      </c>
      <c r="I37" s="23" t="s">
        <v>24</v>
      </c>
      <c r="J37" s="24">
        <v>95</v>
      </c>
      <c r="K37" s="25">
        <v>0.25</v>
      </c>
      <c r="L37" s="26">
        <f t="shared" si="1"/>
        <v>23.75</v>
      </c>
      <c r="M37" s="27">
        <f t="shared" si="2"/>
        <v>71.25</v>
      </c>
      <c r="N37" s="28">
        <v>0.16</v>
      </c>
      <c r="O37" s="29">
        <f t="shared" si="6"/>
        <v>11.4</v>
      </c>
      <c r="P37" s="30">
        <f t="shared" si="7"/>
        <v>82.65</v>
      </c>
      <c r="Q37" s="23"/>
      <c r="R37" s="52"/>
      <c r="S37" s="53"/>
      <c r="T37" s="54">
        <f t="shared" si="9"/>
        <v>0</v>
      </c>
      <c r="U37" s="26">
        <f t="shared" si="9"/>
        <v>0</v>
      </c>
      <c r="V37" s="55">
        <f t="shared" si="10"/>
        <v>0</v>
      </c>
      <c r="W37" s="29">
        <f t="shared" si="5"/>
        <v>0</v>
      </c>
      <c r="X37" s="30">
        <f t="shared" si="8"/>
        <v>0</v>
      </c>
      <c r="Y37"/>
      <c r="Z37"/>
      <c r="AA37"/>
    </row>
    <row r="38" spans="1:27" s="51" customFormat="1" ht="18.600000000000001" hidden="1" customHeight="1" x14ac:dyDescent="0.25">
      <c r="A38" s="81" t="s">
        <v>16</v>
      </c>
      <c r="B38" s="31" t="s">
        <v>17</v>
      </c>
      <c r="C38" s="32" t="s">
        <v>18</v>
      </c>
      <c r="D38" s="31" t="s">
        <v>106</v>
      </c>
      <c r="E38" s="33" t="s">
        <v>107</v>
      </c>
      <c r="F38" s="33" t="s">
        <v>21</v>
      </c>
      <c r="G38" s="33" t="s">
        <v>22</v>
      </c>
      <c r="H38" s="84" t="s">
        <v>108</v>
      </c>
      <c r="I38" s="23" t="s">
        <v>24</v>
      </c>
      <c r="J38" s="34">
        <v>95</v>
      </c>
      <c r="K38" s="35">
        <v>0.25</v>
      </c>
      <c r="L38" s="36">
        <f t="shared" si="1"/>
        <v>23.75</v>
      </c>
      <c r="M38" s="37">
        <f t="shared" si="2"/>
        <v>71.25</v>
      </c>
      <c r="N38" s="38">
        <v>0.16</v>
      </c>
      <c r="O38" s="39">
        <f t="shared" si="6"/>
        <v>11.4</v>
      </c>
      <c r="P38" s="40">
        <f t="shared" si="7"/>
        <v>82.65</v>
      </c>
      <c r="Q38" s="23"/>
      <c r="R38" s="56"/>
      <c r="S38" s="57"/>
      <c r="T38" s="58">
        <f t="shared" si="9"/>
        <v>0</v>
      </c>
      <c r="U38" s="36">
        <f t="shared" si="9"/>
        <v>0</v>
      </c>
      <c r="V38" s="59">
        <f t="shared" si="10"/>
        <v>0</v>
      </c>
      <c r="W38" s="39">
        <f t="shared" si="5"/>
        <v>0</v>
      </c>
      <c r="X38" s="40">
        <f t="shared" si="8"/>
        <v>0</v>
      </c>
      <c r="Y38"/>
      <c r="Z38"/>
      <c r="AA38"/>
    </row>
    <row r="39" spans="1:27" s="51" customFormat="1" ht="18.600000000000001" hidden="1" customHeight="1" x14ac:dyDescent="0.25">
      <c r="A39" s="82" t="s">
        <v>16</v>
      </c>
      <c r="B39" s="41" t="s">
        <v>17</v>
      </c>
      <c r="C39" s="42" t="s">
        <v>18</v>
      </c>
      <c r="D39" s="41" t="s">
        <v>109</v>
      </c>
      <c r="E39" s="43" t="s">
        <v>110</v>
      </c>
      <c r="F39" s="43" t="s">
        <v>21</v>
      </c>
      <c r="G39" s="43" t="s">
        <v>22</v>
      </c>
      <c r="H39" s="85" t="s">
        <v>111</v>
      </c>
      <c r="I39" s="23" t="s">
        <v>24</v>
      </c>
      <c r="J39" s="44">
        <v>95</v>
      </c>
      <c r="K39" s="45">
        <v>0.25</v>
      </c>
      <c r="L39" s="46">
        <f t="shared" si="1"/>
        <v>23.75</v>
      </c>
      <c r="M39" s="47">
        <f t="shared" si="2"/>
        <v>71.25</v>
      </c>
      <c r="N39" s="48">
        <v>0.16</v>
      </c>
      <c r="O39" s="49">
        <f t="shared" si="6"/>
        <v>11.4</v>
      </c>
      <c r="P39" s="50">
        <f t="shared" si="7"/>
        <v>82.65</v>
      </c>
      <c r="Q39" s="23"/>
      <c r="R39" s="60"/>
      <c r="S39" s="61"/>
      <c r="T39" s="62">
        <f t="shared" si="9"/>
        <v>0</v>
      </c>
      <c r="U39" s="46">
        <f t="shared" si="9"/>
        <v>0</v>
      </c>
      <c r="V39" s="63">
        <f t="shared" si="10"/>
        <v>0</v>
      </c>
      <c r="W39" s="49">
        <f t="shared" si="5"/>
        <v>0</v>
      </c>
      <c r="X39" s="50">
        <f t="shared" si="8"/>
        <v>0</v>
      </c>
      <c r="Y39"/>
      <c r="Z39"/>
      <c r="AA39"/>
    </row>
    <row r="40" spans="1:27" s="51" customFormat="1" ht="18.600000000000001" hidden="1" customHeight="1" x14ac:dyDescent="0.25">
      <c r="A40" s="80" t="s">
        <v>16</v>
      </c>
      <c r="B40" s="20" t="s">
        <v>17</v>
      </c>
      <c r="C40" s="21" t="s">
        <v>18</v>
      </c>
      <c r="D40" s="20" t="s">
        <v>112</v>
      </c>
      <c r="E40" s="22" t="s">
        <v>113</v>
      </c>
      <c r="F40" s="22" t="s">
        <v>21</v>
      </c>
      <c r="G40" s="22" t="s">
        <v>22</v>
      </c>
      <c r="H40" s="83" t="s">
        <v>114</v>
      </c>
      <c r="I40" s="23" t="s">
        <v>24</v>
      </c>
      <c r="J40" s="24">
        <v>95</v>
      </c>
      <c r="K40" s="25">
        <v>0.25</v>
      </c>
      <c r="L40" s="26">
        <f t="shared" si="1"/>
        <v>23.75</v>
      </c>
      <c r="M40" s="27">
        <f t="shared" si="2"/>
        <v>71.25</v>
      </c>
      <c r="N40" s="28">
        <v>0.16</v>
      </c>
      <c r="O40" s="29">
        <f t="shared" si="6"/>
        <v>11.4</v>
      </c>
      <c r="P40" s="30">
        <f t="shared" si="7"/>
        <v>82.65</v>
      </c>
      <c r="Q40" s="23"/>
      <c r="R40" s="52"/>
      <c r="S40" s="53"/>
      <c r="T40" s="54">
        <f t="shared" si="9"/>
        <v>0</v>
      </c>
      <c r="U40" s="26">
        <f t="shared" si="9"/>
        <v>0</v>
      </c>
      <c r="V40" s="55">
        <f t="shared" si="10"/>
        <v>0</v>
      </c>
      <c r="W40" s="29">
        <f t="shared" si="5"/>
        <v>0</v>
      </c>
      <c r="X40" s="30">
        <f t="shared" si="8"/>
        <v>0</v>
      </c>
      <c r="Y40"/>
      <c r="Z40"/>
      <c r="AA40"/>
    </row>
    <row r="41" spans="1:27" s="51" customFormat="1" ht="18.600000000000001" hidden="1" customHeight="1" x14ac:dyDescent="0.25">
      <c r="A41" s="81" t="s">
        <v>16</v>
      </c>
      <c r="B41" s="31" t="s">
        <v>17</v>
      </c>
      <c r="C41" s="32" t="s">
        <v>18</v>
      </c>
      <c r="D41" s="31" t="s">
        <v>115</v>
      </c>
      <c r="E41" s="33" t="s">
        <v>116</v>
      </c>
      <c r="F41" s="33" t="s">
        <v>21</v>
      </c>
      <c r="G41" s="33" t="s">
        <v>22</v>
      </c>
      <c r="H41" s="84" t="s">
        <v>117</v>
      </c>
      <c r="I41" s="23" t="s">
        <v>24</v>
      </c>
      <c r="J41" s="34">
        <v>95</v>
      </c>
      <c r="K41" s="35">
        <v>0.25</v>
      </c>
      <c r="L41" s="36">
        <f t="shared" si="1"/>
        <v>23.75</v>
      </c>
      <c r="M41" s="37">
        <f t="shared" si="2"/>
        <v>71.25</v>
      </c>
      <c r="N41" s="38">
        <v>0.16</v>
      </c>
      <c r="O41" s="39">
        <f t="shared" si="6"/>
        <v>11.4</v>
      </c>
      <c r="P41" s="40">
        <f t="shared" si="7"/>
        <v>82.65</v>
      </c>
      <c r="Q41" s="23"/>
      <c r="R41" s="56"/>
      <c r="S41" s="57"/>
      <c r="T41" s="58">
        <f t="shared" si="9"/>
        <v>0</v>
      </c>
      <c r="U41" s="36">
        <f t="shared" si="9"/>
        <v>0</v>
      </c>
      <c r="V41" s="59">
        <f t="shared" si="10"/>
        <v>0</v>
      </c>
      <c r="W41" s="39">
        <f t="shared" si="5"/>
        <v>0</v>
      </c>
      <c r="X41" s="40">
        <f t="shared" si="8"/>
        <v>0</v>
      </c>
      <c r="Y41"/>
      <c r="Z41"/>
      <c r="AA41"/>
    </row>
    <row r="42" spans="1:27" s="51" customFormat="1" ht="18.600000000000001" hidden="1" customHeight="1" x14ac:dyDescent="0.25">
      <c r="A42" s="82" t="s">
        <v>16</v>
      </c>
      <c r="B42" s="41" t="s">
        <v>17</v>
      </c>
      <c r="C42" s="42" t="s">
        <v>18</v>
      </c>
      <c r="D42" s="41" t="s">
        <v>118</v>
      </c>
      <c r="E42" s="43" t="s">
        <v>119</v>
      </c>
      <c r="F42" s="43" t="s">
        <v>21</v>
      </c>
      <c r="G42" s="43" t="s">
        <v>22</v>
      </c>
      <c r="H42" s="85" t="s">
        <v>120</v>
      </c>
      <c r="I42" s="23" t="s">
        <v>24</v>
      </c>
      <c r="J42" s="44">
        <v>95</v>
      </c>
      <c r="K42" s="45">
        <v>0.25</v>
      </c>
      <c r="L42" s="46">
        <f t="shared" si="1"/>
        <v>23.75</v>
      </c>
      <c r="M42" s="47">
        <f t="shared" si="2"/>
        <v>71.25</v>
      </c>
      <c r="N42" s="48">
        <v>0.16</v>
      </c>
      <c r="O42" s="49">
        <f t="shared" si="6"/>
        <v>11.4</v>
      </c>
      <c r="P42" s="50">
        <f t="shared" si="7"/>
        <v>82.65</v>
      </c>
      <c r="Q42" s="23"/>
      <c r="R42" s="60"/>
      <c r="S42" s="61"/>
      <c r="T42" s="62">
        <f t="shared" si="9"/>
        <v>0</v>
      </c>
      <c r="U42" s="46">
        <f t="shared" si="9"/>
        <v>0</v>
      </c>
      <c r="V42" s="63">
        <f t="shared" si="10"/>
        <v>0</v>
      </c>
      <c r="W42" s="49">
        <f t="shared" si="5"/>
        <v>0</v>
      </c>
      <c r="X42" s="50">
        <f t="shared" si="8"/>
        <v>0</v>
      </c>
      <c r="Y42"/>
      <c r="Z42"/>
      <c r="AA42"/>
    </row>
    <row r="43" spans="1:27" s="51" customFormat="1" ht="18.600000000000001" hidden="1" customHeight="1" x14ac:dyDescent="0.25">
      <c r="A43" s="80" t="s">
        <v>16</v>
      </c>
      <c r="B43" s="20" t="s">
        <v>17</v>
      </c>
      <c r="C43" s="21" t="s">
        <v>18</v>
      </c>
      <c r="D43" s="20" t="s">
        <v>121</v>
      </c>
      <c r="E43" s="22" t="s">
        <v>122</v>
      </c>
      <c r="F43" s="22" t="s">
        <v>21</v>
      </c>
      <c r="G43" s="22" t="s">
        <v>22</v>
      </c>
      <c r="H43" s="83" t="s">
        <v>123</v>
      </c>
      <c r="I43" s="23" t="s">
        <v>24</v>
      </c>
      <c r="J43" s="24">
        <v>95</v>
      </c>
      <c r="K43" s="25">
        <v>0.25</v>
      </c>
      <c r="L43" s="26">
        <f t="shared" si="1"/>
        <v>23.75</v>
      </c>
      <c r="M43" s="27">
        <f t="shared" si="2"/>
        <v>71.25</v>
      </c>
      <c r="N43" s="28">
        <v>0.16</v>
      </c>
      <c r="O43" s="29">
        <f t="shared" si="6"/>
        <v>11.4</v>
      </c>
      <c r="P43" s="30">
        <f t="shared" si="7"/>
        <v>82.65</v>
      </c>
      <c r="Q43" s="23"/>
      <c r="R43" s="52"/>
      <c r="S43" s="53"/>
      <c r="T43" s="54">
        <f t="shared" si="9"/>
        <v>0</v>
      </c>
      <c r="U43" s="26">
        <f t="shared" si="9"/>
        <v>0</v>
      </c>
      <c r="V43" s="55">
        <f t="shared" si="10"/>
        <v>0</v>
      </c>
      <c r="W43" s="29">
        <f t="shared" si="5"/>
        <v>0</v>
      </c>
      <c r="X43" s="30">
        <f t="shared" si="8"/>
        <v>0</v>
      </c>
      <c r="Y43"/>
      <c r="Z43"/>
      <c r="AA43"/>
    </row>
    <row r="44" spans="1:27" s="51" customFormat="1" ht="18.600000000000001" hidden="1" customHeight="1" x14ac:dyDescent="0.25">
      <c r="A44" s="81" t="s">
        <v>16</v>
      </c>
      <c r="B44" s="31" t="s">
        <v>17</v>
      </c>
      <c r="C44" s="32" t="s">
        <v>18</v>
      </c>
      <c r="D44" s="31" t="s">
        <v>124</v>
      </c>
      <c r="E44" s="33" t="s">
        <v>125</v>
      </c>
      <c r="F44" s="33" t="s">
        <v>21</v>
      </c>
      <c r="G44" s="33" t="s">
        <v>22</v>
      </c>
      <c r="H44" s="84" t="s">
        <v>126</v>
      </c>
      <c r="I44" s="23" t="s">
        <v>24</v>
      </c>
      <c r="J44" s="34">
        <v>95</v>
      </c>
      <c r="K44" s="35">
        <v>0.25</v>
      </c>
      <c r="L44" s="36">
        <f t="shared" si="1"/>
        <v>23.75</v>
      </c>
      <c r="M44" s="37">
        <f t="shared" si="2"/>
        <v>71.25</v>
      </c>
      <c r="N44" s="38">
        <v>0.16</v>
      </c>
      <c r="O44" s="39">
        <f t="shared" si="6"/>
        <v>11.4</v>
      </c>
      <c r="P44" s="40">
        <f t="shared" si="7"/>
        <v>82.65</v>
      </c>
      <c r="Q44" s="23"/>
      <c r="R44" s="56"/>
      <c r="S44" s="57"/>
      <c r="T44" s="58">
        <f t="shared" si="9"/>
        <v>0</v>
      </c>
      <c r="U44" s="36">
        <f t="shared" si="9"/>
        <v>0</v>
      </c>
      <c r="V44" s="59">
        <f t="shared" si="10"/>
        <v>0</v>
      </c>
      <c r="W44" s="39">
        <f t="shared" si="5"/>
        <v>0</v>
      </c>
      <c r="X44" s="40">
        <f t="shared" si="8"/>
        <v>0</v>
      </c>
      <c r="Y44"/>
      <c r="Z44"/>
      <c r="AA44"/>
    </row>
    <row r="45" spans="1:27" s="51" customFormat="1" ht="18.600000000000001" hidden="1" customHeight="1" x14ac:dyDescent="0.25">
      <c r="A45" s="82" t="s">
        <v>16</v>
      </c>
      <c r="B45" s="41" t="s">
        <v>17</v>
      </c>
      <c r="C45" s="42" t="s">
        <v>18</v>
      </c>
      <c r="D45" s="41" t="s">
        <v>127</v>
      </c>
      <c r="E45" s="43" t="s">
        <v>128</v>
      </c>
      <c r="F45" s="43" t="s">
        <v>21</v>
      </c>
      <c r="G45" s="43" t="s">
        <v>22</v>
      </c>
      <c r="H45" s="85" t="s">
        <v>129</v>
      </c>
      <c r="I45" s="23" t="s">
        <v>24</v>
      </c>
      <c r="J45" s="44">
        <v>95</v>
      </c>
      <c r="K45" s="45">
        <v>0.25</v>
      </c>
      <c r="L45" s="46">
        <f t="shared" si="1"/>
        <v>23.75</v>
      </c>
      <c r="M45" s="47">
        <f t="shared" si="2"/>
        <v>71.25</v>
      </c>
      <c r="N45" s="48">
        <v>0.16</v>
      </c>
      <c r="O45" s="49">
        <f t="shared" si="6"/>
        <v>11.4</v>
      </c>
      <c r="P45" s="50">
        <f t="shared" si="7"/>
        <v>82.65</v>
      </c>
      <c r="Q45" s="23"/>
      <c r="R45" s="60"/>
      <c r="S45" s="61"/>
      <c r="T45" s="62">
        <f t="shared" si="9"/>
        <v>0</v>
      </c>
      <c r="U45" s="46">
        <f t="shared" si="9"/>
        <v>0</v>
      </c>
      <c r="V45" s="63">
        <f t="shared" si="10"/>
        <v>0</v>
      </c>
      <c r="W45" s="49">
        <f t="shared" si="5"/>
        <v>0</v>
      </c>
      <c r="X45" s="50">
        <f t="shared" si="8"/>
        <v>0</v>
      </c>
      <c r="Y45"/>
      <c r="Z45"/>
      <c r="AA45"/>
    </row>
    <row r="46" spans="1:27" s="51" customFormat="1" ht="18.600000000000001" hidden="1" customHeight="1" x14ac:dyDescent="0.25">
      <c r="A46" s="80" t="s">
        <v>16</v>
      </c>
      <c r="B46" s="20" t="s">
        <v>17</v>
      </c>
      <c r="C46" s="21" t="s">
        <v>18</v>
      </c>
      <c r="D46" s="20" t="s">
        <v>130</v>
      </c>
      <c r="E46" s="22" t="s">
        <v>131</v>
      </c>
      <c r="F46" s="22" t="s">
        <v>21</v>
      </c>
      <c r="G46" s="22" t="s">
        <v>22</v>
      </c>
      <c r="H46" s="83" t="s">
        <v>132</v>
      </c>
      <c r="I46" s="23" t="s">
        <v>24</v>
      </c>
      <c r="J46" s="24">
        <v>95</v>
      </c>
      <c r="K46" s="25">
        <v>0.25</v>
      </c>
      <c r="L46" s="26">
        <f t="shared" si="1"/>
        <v>23.75</v>
      </c>
      <c r="M46" s="27">
        <f t="shared" si="2"/>
        <v>71.25</v>
      </c>
      <c r="N46" s="28">
        <v>0.16</v>
      </c>
      <c r="O46" s="29">
        <f t="shared" si="6"/>
        <v>11.4</v>
      </c>
      <c r="P46" s="30">
        <f t="shared" si="7"/>
        <v>82.65</v>
      </c>
      <c r="Q46" s="23"/>
      <c r="R46" s="52"/>
      <c r="S46" s="53"/>
      <c r="T46" s="54">
        <f t="shared" si="9"/>
        <v>0</v>
      </c>
      <c r="U46" s="26">
        <f t="shared" si="9"/>
        <v>0</v>
      </c>
      <c r="V46" s="55">
        <f t="shared" si="10"/>
        <v>0</v>
      </c>
      <c r="W46" s="29">
        <f t="shared" si="5"/>
        <v>0</v>
      </c>
      <c r="X46" s="30">
        <f t="shared" si="8"/>
        <v>0</v>
      </c>
      <c r="Y46"/>
      <c r="Z46"/>
      <c r="AA46"/>
    </row>
    <row r="47" spans="1:27" s="51" customFormat="1" ht="18.600000000000001" hidden="1" customHeight="1" x14ac:dyDescent="0.25">
      <c r="A47" s="81" t="s">
        <v>16</v>
      </c>
      <c r="B47" s="31" t="s">
        <v>17</v>
      </c>
      <c r="C47" s="32" t="s">
        <v>18</v>
      </c>
      <c r="D47" s="31" t="s">
        <v>133</v>
      </c>
      <c r="E47" s="33" t="s">
        <v>134</v>
      </c>
      <c r="F47" s="33" t="s">
        <v>21</v>
      </c>
      <c r="G47" s="33" t="s">
        <v>22</v>
      </c>
      <c r="H47" s="84" t="s">
        <v>135</v>
      </c>
      <c r="I47" s="23" t="s">
        <v>24</v>
      </c>
      <c r="J47" s="34">
        <v>95</v>
      </c>
      <c r="K47" s="35">
        <v>0.25</v>
      </c>
      <c r="L47" s="36">
        <f t="shared" si="1"/>
        <v>23.75</v>
      </c>
      <c r="M47" s="37">
        <f t="shared" si="2"/>
        <v>71.25</v>
      </c>
      <c r="N47" s="38">
        <v>0.16</v>
      </c>
      <c r="O47" s="39">
        <f t="shared" si="6"/>
        <v>11.4</v>
      </c>
      <c r="P47" s="40">
        <f t="shared" si="7"/>
        <v>82.65</v>
      </c>
      <c r="Q47" s="23"/>
      <c r="R47" s="56"/>
      <c r="S47" s="57"/>
      <c r="T47" s="58">
        <f t="shared" si="9"/>
        <v>0</v>
      </c>
      <c r="U47" s="36">
        <f t="shared" si="9"/>
        <v>0</v>
      </c>
      <c r="V47" s="59">
        <f t="shared" si="10"/>
        <v>0</v>
      </c>
      <c r="W47" s="39">
        <f t="shared" si="5"/>
        <v>0</v>
      </c>
      <c r="X47" s="40">
        <f t="shared" si="8"/>
        <v>0</v>
      </c>
      <c r="Y47"/>
      <c r="Z47"/>
      <c r="AA47"/>
    </row>
    <row r="48" spans="1:27" s="51" customFormat="1" ht="18.600000000000001" hidden="1" customHeight="1" x14ac:dyDescent="0.25">
      <c r="A48" s="82" t="s">
        <v>16</v>
      </c>
      <c r="B48" s="41" t="s">
        <v>17</v>
      </c>
      <c r="C48" s="42" t="s">
        <v>18</v>
      </c>
      <c r="D48" s="41" t="s">
        <v>136</v>
      </c>
      <c r="E48" s="43" t="s">
        <v>137</v>
      </c>
      <c r="F48" s="43" t="s">
        <v>21</v>
      </c>
      <c r="G48" s="43" t="s">
        <v>22</v>
      </c>
      <c r="H48" s="85" t="s">
        <v>138</v>
      </c>
      <c r="I48" s="23" t="s">
        <v>24</v>
      </c>
      <c r="J48" s="44">
        <v>95</v>
      </c>
      <c r="K48" s="45">
        <v>0.25</v>
      </c>
      <c r="L48" s="46">
        <f t="shared" si="1"/>
        <v>23.75</v>
      </c>
      <c r="M48" s="47">
        <f t="shared" si="2"/>
        <v>71.25</v>
      </c>
      <c r="N48" s="48">
        <v>0.16</v>
      </c>
      <c r="O48" s="49">
        <f t="shared" si="6"/>
        <v>11.4</v>
      </c>
      <c r="P48" s="50">
        <f t="shared" si="7"/>
        <v>82.65</v>
      </c>
      <c r="Q48" s="23"/>
      <c r="R48" s="60"/>
      <c r="S48" s="61"/>
      <c r="T48" s="62">
        <f t="shared" si="9"/>
        <v>0</v>
      </c>
      <c r="U48" s="46">
        <f t="shared" si="9"/>
        <v>0</v>
      </c>
      <c r="V48" s="63">
        <f t="shared" si="10"/>
        <v>0</v>
      </c>
      <c r="W48" s="49">
        <f t="shared" si="5"/>
        <v>0</v>
      </c>
      <c r="X48" s="50">
        <f t="shared" si="8"/>
        <v>0</v>
      </c>
      <c r="Y48"/>
      <c r="Z48"/>
      <c r="AA48"/>
    </row>
    <row r="49" spans="1:27" s="51" customFormat="1" ht="18.600000000000001" hidden="1" customHeight="1" x14ac:dyDescent="0.25">
      <c r="A49" s="80" t="s">
        <v>16</v>
      </c>
      <c r="B49" s="20" t="s">
        <v>17</v>
      </c>
      <c r="C49" s="21" t="s">
        <v>18</v>
      </c>
      <c r="D49" s="20" t="s">
        <v>139</v>
      </c>
      <c r="E49" s="22" t="s">
        <v>140</v>
      </c>
      <c r="F49" s="22" t="s">
        <v>21</v>
      </c>
      <c r="G49" s="22" t="s">
        <v>22</v>
      </c>
      <c r="H49" s="83" t="s">
        <v>141</v>
      </c>
      <c r="I49" s="23" t="s">
        <v>24</v>
      </c>
      <c r="J49" s="24">
        <v>95</v>
      </c>
      <c r="K49" s="25">
        <v>0.25</v>
      </c>
      <c r="L49" s="26">
        <f t="shared" si="1"/>
        <v>23.75</v>
      </c>
      <c r="M49" s="27">
        <f t="shared" si="2"/>
        <v>71.25</v>
      </c>
      <c r="N49" s="28">
        <v>0.16</v>
      </c>
      <c r="O49" s="29">
        <f t="shared" si="6"/>
        <v>11.4</v>
      </c>
      <c r="P49" s="30">
        <f t="shared" si="7"/>
        <v>82.65</v>
      </c>
      <c r="Q49" s="23"/>
      <c r="R49" s="52"/>
      <c r="S49" s="53"/>
      <c r="T49" s="54">
        <f t="shared" si="9"/>
        <v>0</v>
      </c>
      <c r="U49" s="26">
        <f t="shared" si="9"/>
        <v>0</v>
      </c>
      <c r="V49" s="55">
        <f t="shared" si="10"/>
        <v>0</v>
      </c>
      <c r="W49" s="29">
        <f t="shared" si="5"/>
        <v>0</v>
      </c>
      <c r="X49" s="30">
        <f t="shared" si="8"/>
        <v>0</v>
      </c>
      <c r="Y49"/>
      <c r="Z49"/>
      <c r="AA49"/>
    </row>
    <row r="50" spans="1:27" s="51" customFormat="1" ht="18.600000000000001" hidden="1" customHeight="1" x14ac:dyDescent="0.25">
      <c r="A50" s="81" t="s">
        <v>16</v>
      </c>
      <c r="B50" s="31" t="s">
        <v>17</v>
      </c>
      <c r="C50" s="32" t="s">
        <v>18</v>
      </c>
      <c r="D50" s="31" t="s">
        <v>142</v>
      </c>
      <c r="E50" s="33" t="s">
        <v>143</v>
      </c>
      <c r="F50" s="33" t="s">
        <v>21</v>
      </c>
      <c r="G50" s="33" t="s">
        <v>22</v>
      </c>
      <c r="H50" s="84" t="s">
        <v>144</v>
      </c>
      <c r="I50" s="23" t="s">
        <v>24</v>
      </c>
      <c r="J50" s="34">
        <v>95</v>
      </c>
      <c r="K50" s="35">
        <v>0.25</v>
      </c>
      <c r="L50" s="36">
        <f t="shared" si="1"/>
        <v>23.75</v>
      </c>
      <c r="M50" s="37">
        <f t="shared" si="2"/>
        <v>71.25</v>
      </c>
      <c r="N50" s="38">
        <v>0.16</v>
      </c>
      <c r="O50" s="39">
        <f t="shared" si="6"/>
        <v>11.4</v>
      </c>
      <c r="P50" s="40">
        <f t="shared" si="7"/>
        <v>82.65</v>
      </c>
      <c r="Q50" s="23"/>
      <c r="R50" s="56"/>
      <c r="S50" s="57"/>
      <c r="T50" s="58">
        <f t="shared" si="9"/>
        <v>0</v>
      </c>
      <c r="U50" s="36">
        <f t="shared" si="9"/>
        <v>0</v>
      </c>
      <c r="V50" s="59">
        <f t="shared" si="10"/>
        <v>0</v>
      </c>
      <c r="W50" s="39">
        <f t="shared" si="5"/>
        <v>0</v>
      </c>
      <c r="X50" s="40">
        <f t="shared" si="8"/>
        <v>0</v>
      </c>
      <c r="Y50"/>
      <c r="Z50"/>
      <c r="AA50"/>
    </row>
    <row r="51" spans="1:27" s="51" customFormat="1" ht="18.600000000000001" hidden="1" customHeight="1" x14ac:dyDescent="0.25">
      <c r="A51" s="82" t="s">
        <v>16</v>
      </c>
      <c r="B51" s="41" t="s">
        <v>17</v>
      </c>
      <c r="C51" s="42" t="s">
        <v>18</v>
      </c>
      <c r="D51" s="41" t="s">
        <v>145</v>
      </c>
      <c r="E51" s="43" t="s">
        <v>146</v>
      </c>
      <c r="F51" s="43" t="s">
        <v>21</v>
      </c>
      <c r="G51" s="43" t="s">
        <v>22</v>
      </c>
      <c r="H51" s="85" t="s">
        <v>147</v>
      </c>
      <c r="I51" s="23" t="s">
        <v>24</v>
      </c>
      <c r="J51" s="44">
        <v>95</v>
      </c>
      <c r="K51" s="45">
        <v>0.25</v>
      </c>
      <c r="L51" s="46">
        <f t="shared" si="1"/>
        <v>23.75</v>
      </c>
      <c r="M51" s="47">
        <f t="shared" si="2"/>
        <v>71.25</v>
      </c>
      <c r="N51" s="48">
        <v>0.16</v>
      </c>
      <c r="O51" s="49">
        <f t="shared" si="6"/>
        <v>11.4</v>
      </c>
      <c r="P51" s="50">
        <f t="shared" si="7"/>
        <v>82.65</v>
      </c>
      <c r="Q51" s="23"/>
      <c r="R51" s="60"/>
      <c r="S51" s="61"/>
      <c r="T51" s="62">
        <f t="shared" si="9"/>
        <v>0</v>
      </c>
      <c r="U51" s="46">
        <f t="shared" si="9"/>
        <v>0</v>
      </c>
      <c r="V51" s="63">
        <f t="shared" si="10"/>
        <v>0</v>
      </c>
      <c r="W51" s="49">
        <f t="shared" si="5"/>
        <v>0</v>
      </c>
      <c r="X51" s="50">
        <f t="shared" si="8"/>
        <v>0</v>
      </c>
      <c r="Y51"/>
      <c r="Z51"/>
      <c r="AA51"/>
    </row>
    <row r="52" spans="1:27" s="51" customFormat="1" ht="18.600000000000001" hidden="1" customHeight="1" x14ac:dyDescent="0.25">
      <c r="A52" s="80" t="s">
        <v>16</v>
      </c>
      <c r="B52" s="20" t="s">
        <v>17</v>
      </c>
      <c r="C52" s="21" t="s">
        <v>18</v>
      </c>
      <c r="D52" s="20" t="s">
        <v>148</v>
      </c>
      <c r="E52" s="22" t="s">
        <v>149</v>
      </c>
      <c r="F52" s="22" t="s">
        <v>21</v>
      </c>
      <c r="G52" s="22" t="s">
        <v>22</v>
      </c>
      <c r="H52" s="83" t="s">
        <v>150</v>
      </c>
      <c r="I52" s="23" t="s">
        <v>24</v>
      </c>
      <c r="J52" s="24">
        <v>95</v>
      </c>
      <c r="K52" s="25">
        <v>0.25</v>
      </c>
      <c r="L52" s="26">
        <f t="shared" si="1"/>
        <v>23.75</v>
      </c>
      <c r="M52" s="27">
        <f t="shared" si="2"/>
        <v>71.25</v>
      </c>
      <c r="N52" s="28">
        <v>0.16</v>
      </c>
      <c r="O52" s="29">
        <f t="shared" si="6"/>
        <v>11.4</v>
      </c>
      <c r="P52" s="30">
        <f t="shared" si="7"/>
        <v>82.65</v>
      </c>
      <c r="Q52" s="23"/>
      <c r="R52" s="52"/>
      <c r="S52" s="53"/>
      <c r="T52" s="54">
        <f t="shared" si="9"/>
        <v>0</v>
      </c>
      <c r="U52" s="26">
        <f t="shared" si="9"/>
        <v>0</v>
      </c>
      <c r="V52" s="55">
        <f t="shared" si="10"/>
        <v>0</v>
      </c>
      <c r="W52" s="29">
        <f t="shared" si="5"/>
        <v>0</v>
      </c>
      <c r="X52" s="30">
        <f t="shared" si="8"/>
        <v>0</v>
      </c>
      <c r="Y52"/>
      <c r="Z52"/>
      <c r="AA52"/>
    </row>
    <row r="53" spans="1:27" s="51" customFormat="1" ht="18.600000000000001" hidden="1" customHeight="1" x14ac:dyDescent="0.25">
      <c r="A53" s="81" t="s">
        <v>16</v>
      </c>
      <c r="B53" s="31" t="s">
        <v>17</v>
      </c>
      <c r="C53" s="32" t="s">
        <v>18</v>
      </c>
      <c r="D53" s="31" t="s">
        <v>151</v>
      </c>
      <c r="E53" s="33" t="s">
        <v>152</v>
      </c>
      <c r="F53" s="33" t="s">
        <v>21</v>
      </c>
      <c r="G53" s="33" t="s">
        <v>22</v>
      </c>
      <c r="H53" s="84" t="s">
        <v>153</v>
      </c>
      <c r="I53" s="23" t="s">
        <v>24</v>
      </c>
      <c r="J53" s="34">
        <v>95</v>
      </c>
      <c r="K53" s="35">
        <v>0.25</v>
      </c>
      <c r="L53" s="36">
        <f t="shared" si="1"/>
        <v>23.75</v>
      </c>
      <c r="M53" s="37">
        <f t="shared" si="2"/>
        <v>71.25</v>
      </c>
      <c r="N53" s="38">
        <v>0.16</v>
      </c>
      <c r="O53" s="39">
        <f t="shared" si="6"/>
        <v>11.4</v>
      </c>
      <c r="P53" s="40">
        <f t="shared" si="7"/>
        <v>82.65</v>
      </c>
      <c r="Q53" s="23"/>
      <c r="R53" s="56"/>
      <c r="S53" s="57"/>
      <c r="T53" s="58">
        <f t="shared" si="9"/>
        <v>0</v>
      </c>
      <c r="U53" s="36">
        <f t="shared" si="9"/>
        <v>0</v>
      </c>
      <c r="V53" s="59">
        <f t="shared" si="10"/>
        <v>0</v>
      </c>
      <c r="W53" s="39">
        <f t="shared" si="5"/>
        <v>0</v>
      </c>
      <c r="X53" s="40">
        <f t="shared" si="8"/>
        <v>0</v>
      </c>
      <c r="Y53"/>
      <c r="Z53"/>
      <c r="AA53"/>
    </row>
    <row r="54" spans="1:27" s="51" customFormat="1" ht="18.600000000000001" hidden="1" customHeight="1" x14ac:dyDescent="0.25">
      <c r="A54" s="82" t="s">
        <v>16</v>
      </c>
      <c r="B54" s="41" t="s">
        <v>17</v>
      </c>
      <c r="C54" s="42" t="s">
        <v>18</v>
      </c>
      <c r="D54" s="41" t="s">
        <v>154</v>
      </c>
      <c r="E54" s="43" t="s">
        <v>155</v>
      </c>
      <c r="F54" s="43" t="s">
        <v>21</v>
      </c>
      <c r="G54" s="43" t="s">
        <v>22</v>
      </c>
      <c r="H54" s="85" t="s">
        <v>156</v>
      </c>
      <c r="I54" s="23" t="s">
        <v>24</v>
      </c>
      <c r="J54" s="44">
        <v>95</v>
      </c>
      <c r="K54" s="45">
        <v>0.25</v>
      </c>
      <c r="L54" s="46">
        <f t="shared" si="1"/>
        <v>23.75</v>
      </c>
      <c r="M54" s="47">
        <f t="shared" si="2"/>
        <v>71.25</v>
      </c>
      <c r="N54" s="48">
        <v>0.16</v>
      </c>
      <c r="O54" s="49">
        <f t="shared" si="6"/>
        <v>11.4</v>
      </c>
      <c r="P54" s="50">
        <f t="shared" si="7"/>
        <v>82.65</v>
      </c>
      <c r="Q54" s="23"/>
      <c r="R54" s="60"/>
      <c r="S54" s="61"/>
      <c r="T54" s="62">
        <f t="shared" si="9"/>
        <v>0</v>
      </c>
      <c r="U54" s="46">
        <f t="shared" si="9"/>
        <v>0</v>
      </c>
      <c r="V54" s="63">
        <f t="shared" si="10"/>
        <v>0</v>
      </c>
      <c r="W54" s="49">
        <f t="shared" si="5"/>
        <v>0</v>
      </c>
      <c r="X54" s="50">
        <f t="shared" si="8"/>
        <v>0</v>
      </c>
      <c r="Y54"/>
      <c r="Z54"/>
      <c r="AA54"/>
    </row>
    <row r="55" spans="1:27" s="51" customFormat="1" ht="18.600000000000001" hidden="1" customHeight="1" x14ac:dyDescent="0.25">
      <c r="A55" s="80" t="s">
        <v>16</v>
      </c>
      <c r="B55" s="20" t="s">
        <v>17</v>
      </c>
      <c r="C55" s="21" t="s">
        <v>18</v>
      </c>
      <c r="D55" s="20" t="s">
        <v>157</v>
      </c>
      <c r="E55" s="22" t="s">
        <v>158</v>
      </c>
      <c r="F55" s="22" t="s">
        <v>21</v>
      </c>
      <c r="G55" s="22" t="s">
        <v>22</v>
      </c>
      <c r="H55" s="83" t="s">
        <v>159</v>
      </c>
      <c r="I55" s="23" t="s">
        <v>24</v>
      </c>
      <c r="J55" s="24">
        <v>95</v>
      </c>
      <c r="K55" s="25">
        <v>0.25</v>
      </c>
      <c r="L55" s="26">
        <f t="shared" si="1"/>
        <v>23.75</v>
      </c>
      <c r="M55" s="27">
        <f t="shared" si="2"/>
        <v>71.25</v>
      </c>
      <c r="N55" s="28">
        <v>0.16</v>
      </c>
      <c r="O55" s="29">
        <f t="shared" si="6"/>
        <v>11.4</v>
      </c>
      <c r="P55" s="30">
        <f t="shared" si="7"/>
        <v>82.65</v>
      </c>
      <c r="Q55" s="23"/>
      <c r="R55" s="52"/>
      <c r="S55" s="53"/>
      <c r="T55" s="54">
        <f t="shared" si="9"/>
        <v>0</v>
      </c>
      <c r="U55" s="26">
        <f t="shared" si="9"/>
        <v>0</v>
      </c>
      <c r="V55" s="55">
        <f t="shared" si="10"/>
        <v>0</v>
      </c>
      <c r="W55" s="29">
        <f t="shared" si="5"/>
        <v>0</v>
      </c>
      <c r="X55" s="30">
        <f t="shared" si="8"/>
        <v>0</v>
      </c>
      <c r="Y55"/>
      <c r="Z55"/>
      <c r="AA55"/>
    </row>
    <row r="56" spans="1:27" s="51" customFormat="1" ht="18.600000000000001" hidden="1" customHeight="1" x14ac:dyDescent="0.25">
      <c r="A56" s="81" t="s">
        <v>16</v>
      </c>
      <c r="B56" s="31" t="s">
        <v>17</v>
      </c>
      <c r="C56" s="32" t="s">
        <v>18</v>
      </c>
      <c r="D56" s="31" t="s">
        <v>160</v>
      </c>
      <c r="E56" s="33" t="s">
        <v>161</v>
      </c>
      <c r="F56" s="33" t="s">
        <v>21</v>
      </c>
      <c r="G56" s="33" t="s">
        <v>22</v>
      </c>
      <c r="H56" s="84" t="s">
        <v>162</v>
      </c>
      <c r="I56" s="23" t="s">
        <v>24</v>
      </c>
      <c r="J56" s="34">
        <v>95</v>
      </c>
      <c r="K56" s="35">
        <v>0.25</v>
      </c>
      <c r="L56" s="36">
        <f t="shared" si="1"/>
        <v>23.75</v>
      </c>
      <c r="M56" s="37">
        <f t="shared" si="2"/>
        <v>71.25</v>
      </c>
      <c r="N56" s="38">
        <v>0.16</v>
      </c>
      <c r="O56" s="39">
        <f t="shared" si="6"/>
        <v>11.4</v>
      </c>
      <c r="P56" s="40">
        <f t="shared" si="7"/>
        <v>82.65</v>
      </c>
      <c r="Q56" s="23"/>
      <c r="R56" s="56"/>
      <c r="S56" s="57"/>
      <c r="T56" s="58">
        <f t="shared" si="9"/>
        <v>0</v>
      </c>
      <c r="U56" s="36">
        <f t="shared" si="9"/>
        <v>0</v>
      </c>
      <c r="V56" s="59">
        <f t="shared" si="10"/>
        <v>0</v>
      </c>
      <c r="W56" s="39">
        <f t="shared" si="5"/>
        <v>0</v>
      </c>
      <c r="X56" s="40">
        <f t="shared" si="8"/>
        <v>0</v>
      </c>
      <c r="Y56"/>
      <c r="Z56"/>
      <c r="AA56"/>
    </row>
    <row r="57" spans="1:27" s="51" customFormat="1" ht="18.600000000000001" hidden="1" customHeight="1" x14ac:dyDescent="0.25">
      <c r="A57" s="82" t="s">
        <v>16</v>
      </c>
      <c r="B57" s="41" t="s">
        <v>17</v>
      </c>
      <c r="C57" s="42" t="s">
        <v>18</v>
      </c>
      <c r="D57" s="41" t="s">
        <v>163</v>
      </c>
      <c r="E57" s="43" t="s">
        <v>164</v>
      </c>
      <c r="F57" s="43" t="s">
        <v>21</v>
      </c>
      <c r="G57" s="43" t="s">
        <v>22</v>
      </c>
      <c r="H57" s="85" t="s">
        <v>165</v>
      </c>
      <c r="I57" s="23" t="s">
        <v>24</v>
      </c>
      <c r="J57" s="44">
        <v>95</v>
      </c>
      <c r="K57" s="45">
        <v>0.25</v>
      </c>
      <c r="L57" s="46">
        <f t="shared" si="1"/>
        <v>23.75</v>
      </c>
      <c r="M57" s="47">
        <f t="shared" si="2"/>
        <v>71.25</v>
      </c>
      <c r="N57" s="48">
        <v>0.16</v>
      </c>
      <c r="O57" s="49">
        <f t="shared" si="6"/>
        <v>11.4</v>
      </c>
      <c r="P57" s="50">
        <f t="shared" si="7"/>
        <v>82.65</v>
      </c>
      <c r="Q57" s="23"/>
      <c r="R57" s="60"/>
      <c r="S57" s="61"/>
      <c r="T57" s="62">
        <f t="shared" si="9"/>
        <v>0</v>
      </c>
      <c r="U57" s="46">
        <f t="shared" si="9"/>
        <v>0</v>
      </c>
      <c r="V57" s="63">
        <f t="shared" si="10"/>
        <v>0</v>
      </c>
      <c r="W57" s="49">
        <f t="shared" si="5"/>
        <v>0</v>
      </c>
      <c r="X57" s="50">
        <f t="shared" si="8"/>
        <v>0</v>
      </c>
      <c r="Y57"/>
      <c r="Z57"/>
      <c r="AA57"/>
    </row>
    <row r="58" spans="1:27" s="51" customFormat="1" ht="18.600000000000001" hidden="1" customHeight="1" x14ac:dyDescent="0.25">
      <c r="A58" s="80" t="s">
        <v>16</v>
      </c>
      <c r="B58" s="20" t="s">
        <v>17</v>
      </c>
      <c r="C58" s="21" t="s">
        <v>18</v>
      </c>
      <c r="D58" s="20" t="s">
        <v>166</v>
      </c>
      <c r="E58" s="22" t="s">
        <v>167</v>
      </c>
      <c r="F58" s="22" t="s">
        <v>21</v>
      </c>
      <c r="G58" s="22" t="s">
        <v>22</v>
      </c>
      <c r="H58" s="83" t="s">
        <v>168</v>
      </c>
      <c r="I58" s="23" t="s">
        <v>24</v>
      </c>
      <c r="J58" s="24">
        <v>95</v>
      </c>
      <c r="K58" s="25">
        <v>0.25</v>
      </c>
      <c r="L58" s="26">
        <f t="shared" si="1"/>
        <v>23.75</v>
      </c>
      <c r="M58" s="27">
        <f t="shared" si="2"/>
        <v>71.25</v>
      </c>
      <c r="N58" s="28">
        <v>0.16</v>
      </c>
      <c r="O58" s="29">
        <f t="shared" si="6"/>
        <v>11.4</v>
      </c>
      <c r="P58" s="30">
        <f t="shared" si="7"/>
        <v>82.65</v>
      </c>
      <c r="Q58" s="23"/>
      <c r="R58" s="52"/>
      <c r="S58" s="53"/>
      <c r="T58" s="54">
        <f t="shared" si="9"/>
        <v>0</v>
      </c>
      <c r="U58" s="26">
        <f t="shared" si="9"/>
        <v>0</v>
      </c>
      <c r="V58" s="55">
        <f t="shared" si="10"/>
        <v>0</v>
      </c>
      <c r="W58" s="29">
        <f t="shared" si="5"/>
        <v>0</v>
      </c>
      <c r="X58" s="30">
        <f t="shared" si="8"/>
        <v>0</v>
      </c>
      <c r="Y58"/>
      <c r="Z58"/>
      <c r="AA58"/>
    </row>
    <row r="59" spans="1:27" s="51" customFormat="1" ht="18.600000000000001" hidden="1" customHeight="1" x14ac:dyDescent="0.25">
      <c r="A59" s="81" t="s">
        <v>16</v>
      </c>
      <c r="B59" s="31" t="s">
        <v>17</v>
      </c>
      <c r="C59" s="32" t="s">
        <v>18</v>
      </c>
      <c r="D59" s="31" t="s">
        <v>169</v>
      </c>
      <c r="E59" s="33" t="s">
        <v>170</v>
      </c>
      <c r="F59" s="33" t="s">
        <v>21</v>
      </c>
      <c r="G59" s="33" t="s">
        <v>22</v>
      </c>
      <c r="H59" s="84" t="s">
        <v>171</v>
      </c>
      <c r="I59" s="23" t="s">
        <v>24</v>
      </c>
      <c r="J59" s="34">
        <v>95</v>
      </c>
      <c r="K59" s="35">
        <v>0.25</v>
      </c>
      <c r="L59" s="36">
        <f t="shared" si="1"/>
        <v>23.75</v>
      </c>
      <c r="M59" s="37">
        <f t="shared" si="2"/>
        <v>71.25</v>
      </c>
      <c r="N59" s="38">
        <v>0.16</v>
      </c>
      <c r="O59" s="39">
        <f t="shared" si="6"/>
        <v>11.4</v>
      </c>
      <c r="P59" s="40">
        <f t="shared" si="7"/>
        <v>82.65</v>
      </c>
      <c r="Q59" s="23"/>
      <c r="R59" s="56"/>
      <c r="S59" s="57"/>
      <c r="T59" s="58">
        <f t="shared" si="9"/>
        <v>0</v>
      </c>
      <c r="U59" s="36">
        <f t="shared" si="9"/>
        <v>0</v>
      </c>
      <c r="V59" s="59">
        <f t="shared" si="10"/>
        <v>0</v>
      </c>
      <c r="W59" s="39">
        <f t="shared" si="5"/>
        <v>0</v>
      </c>
      <c r="X59" s="40">
        <f t="shared" si="8"/>
        <v>0</v>
      </c>
      <c r="Y59"/>
      <c r="Z59"/>
      <c r="AA59"/>
    </row>
    <row r="60" spans="1:27" s="51" customFormat="1" ht="18.600000000000001" hidden="1" customHeight="1" x14ac:dyDescent="0.25">
      <c r="A60" s="82" t="s">
        <v>16</v>
      </c>
      <c r="B60" s="41" t="s">
        <v>17</v>
      </c>
      <c r="C60" s="42" t="s">
        <v>18</v>
      </c>
      <c r="D60" s="41" t="s">
        <v>172</v>
      </c>
      <c r="E60" s="43" t="s">
        <v>173</v>
      </c>
      <c r="F60" s="43" t="s">
        <v>21</v>
      </c>
      <c r="G60" s="43" t="s">
        <v>22</v>
      </c>
      <c r="H60" s="85" t="s">
        <v>174</v>
      </c>
      <c r="I60" s="23" t="s">
        <v>24</v>
      </c>
      <c r="J60" s="44">
        <v>95</v>
      </c>
      <c r="K60" s="45">
        <v>0.25</v>
      </c>
      <c r="L60" s="46">
        <f t="shared" si="1"/>
        <v>23.75</v>
      </c>
      <c r="M60" s="47">
        <f t="shared" si="2"/>
        <v>71.25</v>
      </c>
      <c r="N60" s="48">
        <v>0.16</v>
      </c>
      <c r="O60" s="49">
        <f t="shared" si="6"/>
        <v>11.4</v>
      </c>
      <c r="P60" s="50">
        <f t="shared" si="7"/>
        <v>82.65</v>
      </c>
      <c r="Q60" s="23"/>
      <c r="R60" s="60"/>
      <c r="S60" s="61"/>
      <c r="T60" s="62">
        <f t="shared" si="9"/>
        <v>0</v>
      </c>
      <c r="U60" s="46">
        <f t="shared" si="9"/>
        <v>0</v>
      </c>
      <c r="V60" s="63">
        <f t="shared" si="10"/>
        <v>0</v>
      </c>
      <c r="W60" s="49">
        <f t="shared" si="5"/>
        <v>0</v>
      </c>
      <c r="X60" s="50">
        <f t="shared" si="8"/>
        <v>0</v>
      </c>
      <c r="Y60"/>
      <c r="Z60"/>
      <c r="AA60"/>
    </row>
    <row r="61" spans="1:27" s="51" customFormat="1" ht="18.600000000000001" hidden="1" customHeight="1" x14ac:dyDescent="0.25">
      <c r="A61" s="80" t="s">
        <v>16</v>
      </c>
      <c r="B61" s="20" t="s">
        <v>17</v>
      </c>
      <c r="C61" s="21" t="s">
        <v>18</v>
      </c>
      <c r="D61" s="20" t="s">
        <v>175</v>
      </c>
      <c r="E61" s="22" t="s">
        <v>176</v>
      </c>
      <c r="F61" s="22" t="s">
        <v>21</v>
      </c>
      <c r="G61" s="22" t="s">
        <v>22</v>
      </c>
      <c r="H61" s="83" t="s">
        <v>177</v>
      </c>
      <c r="I61" s="23" t="s">
        <v>24</v>
      </c>
      <c r="J61" s="24">
        <v>95</v>
      </c>
      <c r="K61" s="25">
        <v>0.25</v>
      </c>
      <c r="L61" s="26">
        <f t="shared" si="1"/>
        <v>23.75</v>
      </c>
      <c r="M61" s="27">
        <f t="shared" si="2"/>
        <v>71.25</v>
      </c>
      <c r="N61" s="28">
        <v>0.16</v>
      </c>
      <c r="O61" s="29">
        <f t="shared" si="6"/>
        <v>11.4</v>
      </c>
      <c r="P61" s="30">
        <f t="shared" si="7"/>
        <v>82.65</v>
      </c>
      <c r="Q61" s="23"/>
      <c r="R61" s="52"/>
      <c r="S61" s="53"/>
      <c r="T61" s="54">
        <f t="shared" si="9"/>
        <v>0</v>
      </c>
      <c r="U61" s="26">
        <f t="shared" si="9"/>
        <v>0</v>
      </c>
      <c r="V61" s="55">
        <f t="shared" si="10"/>
        <v>0</v>
      </c>
      <c r="W61" s="29">
        <f t="shared" si="5"/>
        <v>0</v>
      </c>
      <c r="X61" s="30">
        <f t="shared" si="8"/>
        <v>0</v>
      </c>
      <c r="Y61"/>
      <c r="Z61"/>
      <c r="AA61"/>
    </row>
    <row r="62" spans="1:27" s="51" customFormat="1" ht="18.600000000000001" hidden="1" customHeight="1" x14ac:dyDescent="0.25">
      <c r="A62" s="81" t="s">
        <v>16</v>
      </c>
      <c r="B62" s="31" t="s">
        <v>17</v>
      </c>
      <c r="C62" s="32" t="s">
        <v>18</v>
      </c>
      <c r="D62" s="31" t="s">
        <v>178</v>
      </c>
      <c r="E62" s="33" t="s">
        <v>179</v>
      </c>
      <c r="F62" s="33" t="s">
        <v>21</v>
      </c>
      <c r="G62" s="33" t="s">
        <v>22</v>
      </c>
      <c r="H62" s="84" t="s">
        <v>180</v>
      </c>
      <c r="I62" s="23" t="s">
        <v>24</v>
      </c>
      <c r="J62" s="34">
        <v>95</v>
      </c>
      <c r="K62" s="35">
        <v>0.25</v>
      </c>
      <c r="L62" s="36">
        <f t="shared" si="1"/>
        <v>23.75</v>
      </c>
      <c r="M62" s="37">
        <f t="shared" si="2"/>
        <v>71.25</v>
      </c>
      <c r="N62" s="38">
        <v>0.16</v>
      </c>
      <c r="O62" s="39">
        <f t="shared" si="6"/>
        <v>11.4</v>
      </c>
      <c r="P62" s="40">
        <f t="shared" si="7"/>
        <v>82.65</v>
      </c>
      <c r="Q62" s="23"/>
      <c r="R62" s="56"/>
      <c r="S62" s="57"/>
      <c r="T62" s="58">
        <f t="shared" si="9"/>
        <v>0</v>
      </c>
      <c r="U62" s="36">
        <f t="shared" si="9"/>
        <v>0</v>
      </c>
      <c r="V62" s="59">
        <f t="shared" si="10"/>
        <v>0</v>
      </c>
      <c r="W62" s="39">
        <f t="shared" si="5"/>
        <v>0</v>
      </c>
      <c r="X62" s="40">
        <f t="shared" si="8"/>
        <v>0</v>
      </c>
      <c r="Y62"/>
      <c r="Z62"/>
      <c r="AA62"/>
    </row>
    <row r="63" spans="1:27" s="51" customFormat="1" ht="18.600000000000001" hidden="1" customHeight="1" x14ac:dyDescent="0.25">
      <c r="A63" s="82" t="s">
        <v>16</v>
      </c>
      <c r="B63" s="41" t="s">
        <v>17</v>
      </c>
      <c r="C63" s="42" t="s">
        <v>18</v>
      </c>
      <c r="D63" s="41" t="s">
        <v>181</v>
      </c>
      <c r="E63" s="43" t="s">
        <v>182</v>
      </c>
      <c r="F63" s="43" t="s">
        <v>21</v>
      </c>
      <c r="G63" s="43" t="s">
        <v>22</v>
      </c>
      <c r="H63" s="85" t="s">
        <v>183</v>
      </c>
      <c r="I63" s="23" t="s">
        <v>24</v>
      </c>
      <c r="J63" s="44">
        <v>95</v>
      </c>
      <c r="K63" s="45">
        <v>0.25</v>
      </c>
      <c r="L63" s="46">
        <f t="shared" si="1"/>
        <v>23.75</v>
      </c>
      <c r="M63" s="47">
        <f t="shared" si="2"/>
        <v>71.25</v>
      </c>
      <c r="N63" s="48">
        <v>0.16</v>
      </c>
      <c r="O63" s="49">
        <f t="shared" si="6"/>
        <v>11.4</v>
      </c>
      <c r="P63" s="50">
        <f t="shared" si="7"/>
        <v>82.65</v>
      </c>
      <c r="Q63" s="23"/>
      <c r="R63" s="60"/>
      <c r="S63" s="61"/>
      <c r="T63" s="62">
        <f t="shared" si="9"/>
        <v>0</v>
      </c>
      <c r="U63" s="46">
        <f t="shared" si="9"/>
        <v>0</v>
      </c>
      <c r="V63" s="63">
        <f t="shared" si="10"/>
        <v>0</v>
      </c>
      <c r="W63" s="49">
        <f t="shared" si="5"/>
        <v>0</v>
      </c>
      <c r="X63" s="50">
        <f t="shared" si="8"/>
        <v>0</v>
      </c>
      <c r="Y63"/>
      <c r="Z63"/>
      <c r="AA63"/>
    </row>
    <row r="64" spans="1:27" s="51" customFormat="1" ht="18.600000000000001" hidden="1" customHeight="1" x14ac:dyDescent="0.25">
      <c r="A64" s="80" t="s">
        <v>16</v>
      </c>
      <c r="B64" s="20" t="s">
        <v>17</v>
      </c>
      <c r="C64" s="21" t="s">
        <v>18</v>
      </c>
      <c r="D64" s="20" t="s">
        <v>184</v>
      </c>
      <c r="E64" s="22" t="s">
        <v>185</v>
      </c>
      <c r="F64" s="22" t="s">
        <v>21</v>
      </c>
      <c r="G64" s="22" t="s">
        <v>22</v>
      </c>
      <c r="H64" s="83" t="s">
        <v>186</v>
      </c>
      <c r="I64" s="23" t="s">
        <v>24</v>
      </c>
      <c r="J64" s="24">
        <v>95</v>
      </c>
      <c r="K64" s="25">
        <v>0.25</v>
      </c>
      <c r="L64" s="26">
        <f t="shared" si="1"/>
        <v>23.75</v>
      </c>
      <c r="M64" s="27">
        <f t="shared" si="2"/>
        <v>71.25</v>
      </c>
      <c r="N64" s="28">
        <v>0.16</v>
      </c>
      <c r="O64" s="29">
        <f t="shared" si="6"/>
        <v>11.4</v>
      </c>
      <c r="P64" s="30">
        <f t="shared" si="7"/>
        <v>82.65</v>
      </c>
      <c r="Q64" s="23"/>
      <c r="R64" s="52"/>
      <c r="S64" s="53"/>
      <c r="T64" s="54">
        <f t="shared" si="9"/>
        <v>0</v>
      </c>
      <c r="U64" s="26">
        <f t="shared" si="9"/>
        <v>0</v>
      </c>
      <c r="V64" s="55">
        <f t="shared" si="10"/>
        <v>0</v>
      </c>
      <c r="W64" s="29">
        <f t="shared" si="5"/>
        <v>0</v>
      </c>
      <c r="X64" s="30">
        <f t="shared" si="8"/>
        <v>0</v>
      </c>
      <c r="Y64"/>
      <c r="Z64"/>
      <c r="AA64"/>
    </row>
    <row r="65" spans="1:27" s="51" customFormat="1" ht="18.600000000000001" hidden="1" customHeight="1" x14ac:dyDescent="0.25">
      <c r="A65" s="81" t="s">
        <v>16</v>
      </c>
      <c r="B65" s="31" t="s">
        <v>17</v>
      </c>
      <c r="C65" s="32" t="s">
        <v>18</v>
      </c>
      <c r="D65" s="31" t="s">
        <v>187</v>
      </c>
      <c r="E65" s="33" t="s">
        <v>188</v>
      </c>
      <c r="F65" s="33" t="s">
        <v>21</v>
      </c>
      <c r="G65" s="33" t="s">
        <v>22</v>
      </c>
      <c r="H65" s="84" t="s">
        <v>189</v>
      </c>
      <c r="I65" s="23" t="s">
        <v>24</v>
      </c>
      <c r="J65" s="34">
        <v>95</v>
      </c>
      <c r="K65" s="35">
        <v>0.25</v>
      </c>
      <c r="L65" s="36">
        <f t="shared" si="1"/>
        <v>23.75</v>
      </c>
      <c r="M65" s="37">
        <f t="shared" si="2"/>
        <v>71.25</v>
      </c>
      <c r="N65" s="38">
        <v>0.16</v>
      </c>
      <c r="O65" s="39">
        <f t="shared" si="6"/>
        <v>11.4</v>
      </c>
      <c r="P65" s="40">
        <f t="shared" si="7"/>
        <v>82.65</v>
      </c>
      <c r="Q65" s="23"/>
      <c r="R65" s="56"/>
      <c r="S65" s="57"/>
      <c r="T65" s="58">
        <f t="shared" si="9"/>
        <v>0</v>
      </c>
      <c r="U65" s="36">
        <f t="shared" si="9"/>
        <v>0</v>
      </c>
      <c r="V65" s="59">
        <f t="shared" si="10"/>
        <v>0</v>
      </c>
      <c r="W65" s="39">
        <f t="shared" si="5"/>
        <v>0</v>
      </c>
      <c r="X65" s="40">
        <f t="shared" si="8"/>
        <v>0</v>
      </c>
      <c r="Y65"/>
      <c r="Z65"/>
      <c r="AA65"/>
    </row>
    <row r="66" spans="1:27" s="51" customFormat="1" ht="18.600000000000001" hidden="1" customHeight="1" x14ac:dyDescent="0.25">
      <c r="A66" s="82" t="s">
        <v>16</v>
      </c>
      <c r="B66" s="41" t="s">
        <v>17</v>
      </c>
      <c r="C66" s="42" t="s">
        <v>18</v>
      </c>
      <c r="D66" s="41" t="s">
        <v>190</v>
      </c>
      <c r="E66" s="43" t="s">
        <v>191</v>
      </c>
      <c r="F66" s="43" t="s">
        <v>21</v>
      </c>
      <c r="G66" s="43" t="s">
        <v>22</v>
      </c>
      <c r="H66" s="85" t="s">
        <v>192</v>
      </c>
      <c r="I66" s="23" t="s">
        <v>24</v>
      </c>
      <c r="J66" s="44">
        <v>95</v>
      </c>
      <c r="K66" s="45">
        <v>0.25</v>
      </c>
      <c r="L66" s="46">
        <f t="shared" si="1"/>
        <v>23.75</v>
      </c>
      <c r="M66" s="47">
        <f t="shared" si="2"/>
        <v>71.25</v>
      </c>
      <c r="N66" s="48">
        <v>0.16</v>
      </c>
      <c r="O66" s="49">
        <f t="shared" si="6"/>
        <v>11.4</v>
      </c>
      <c r="P66" s="50">
        <f t="shared" si="7"/>
        <v>82.65</v>
      </c>
      <c r="Q66" s="23"/>
      <c r="R66" s="60"/>
      <c r="S66" s="61"/>
      <c r="T66" s="62">
        <f t="shared" si="9"/>
        <v>0</v>
      </c>
      <c r="U66" s="46">
        <f t="shared" si="9"/>
        <v>0</v>
      </c>
      <c r="V66" s="63">
        <f t="shared" si="10"/>
        <v>0</v>
      </c>
      <c r="W66" s="49">
        <f t="shared" si="5"/>
        <v>0</v>
      </c>
      <c r="X66" s="50">
        <f t="shared" si="8"/>
        <v>0</v>
      </c>
      <c r="Y66"/>
      <c r="Z66"/>
      <c r="AA66"/>
    </row>
    <row r="67" spans="1:27" s="51" customFormat="1" ht="18.600000000000001" hidden="1" customHeight="1" x14ac:dyDescent="0.25">
      <c r="A67" s="80" t="s">
        <v>16</v>
      </c>
      <c r="B67" s="20" t="s">
        <v>17</v>
      </c>
      <c r="C67" s="21" t="s">
        <v>18</v>
      </c>
      <c r="D67" s="20" t="s">
        <v>193</v>
      </c>
      <c r="E67" s="22" t="s">
        <v>194</v>
      </c>
      <c r="F67" s="22" t="s">
        <v>21</v>
      </c>
      <c r="G67" s="22" t="s">
        <v>22</v>
      </c>
      <c r="H67" s="83" t="s">
        <v>195</v>
      </c>
      <c r="I67" s="23" t="s">
        <v>24</v>
      </c>
      <c r="J67" s="24">
        <v>95</v>
      </c>
      <c r="K67" s="25">
        <v>0.25</v>
      </c>
      <c r="L67" s="26">
        <f t="shared" si="1"/>
        <v>23.75</v>
      </c>
      <c r="M67" s="27">
        <f t="shared" si="2"/>
        <v>71.25</v>
      </c>
      <c r="N67" s="28">
        <v>0.16</v>
      </c>
      <c r="O67" s="29">
        <f t="shared" si="6"/>
        <v>11.4</v>
      </c>
      <c r="P67" s="30">
        <f t="shared" si="7"/>
        <v>82.65</v>
      </c>
      <c r="Q67" s="23"/>
      <c r="R67" s="52"/>
      <c r="S67" s="53"/>
      <c r="T67" s="54">
        <f t="shared" si="9"/>
        <v>0</v>
      </c>
      <c r="U67" s="26">
        <f t="shared" si="9"/>
        <v>0</v>
      </c>
      <c r="V67" s="55">
        <f t="shared" si="10"/>
        <v>0</v>
      </c>
      <c r="W67" s="29">
        <f t="shared" si="5"/>
        <v>0</v>
      </c>
      <c r="X67" s="30">
        <f t="shared" si="8"/>
        <v>0</v>
      </c>
      <c r="Y67"/>
      <c r="Z67"/>
      <c r="AA67"/>
    </row>
    <row r="68" spans="1:27" s="51" customFormat="1" ht="18.600000000000001" hidden="1" customHeight="1" x14ac:dyDescent="0.25">
      <c r="A68" s="81" t="s">
        <v>16</v>
      </c>
      <c r="B68" s="31" t="s">
        <v>17</v>
      </c>
      <c r="C68" s="32" t="s">
        <v>18</v>
      </c>
      <c r="D68" s="31" t="s">
        <v>196</v>
      </c>
      <c r="E68" s="33" t="s">
        <v>197</v>
      </c>
      <c r="F68" s="33" t="s">
        <v>21</v>
      </c>
      <c r="G68" s="33" t="s">
        <v>22</v>
      </c>
      <c r="H68" s="84" t="s">
        <v>198</v>
      </c>
      <c r="I68" s="23" t="s">
        <v>24</v>
      </c>
      <c r="J68" s="34">
        <v>95</v>
      </c>
      <c r="K68" s="35">
        <v>0.25</v>
      </c>
      <c r="L68" s="36">
        <f t="shared" si="1"/>
        <v>23.75</v>
      </c>
      <c r="M68" s="37">
        <f t="shared" si="2"/>
        <v>71.25</v>
      </c>
      <c r="N68" s="38">
        <v>0.16</v>
      </c>
      <c r="O68" s="39">
        <f t="shared" si="6"/>
        <v>11.4</v>
      </c>
      <c r="P68" s="40">
        <f t="shared" si="7"/>
        <v>82.65</v>
      </c>
      <c r="Q68" s="23"/>
      <c r="R68" s="56"/>
      <c r="S68" s="57"/>
      <c r="T68" s="58">
        <f t="shared" si="9"/>
        <v>0</v>
      </c>
      <c r="U68" s="36">
        <f t="shared" si="9"/>
        <v>0</v>
      </c>
      <c r="V68" s="59">
        <f t="shared" si="10"/>
        <v>0</v>
      </c>
      <c r="W68" s="39">
        <f t="shared" si="5"/>
        <v>0</v>
      </c>
      <c r="X68" s="40">
        <f t="shared" si="8"/>
        <v>0</v>
      </c>
      <c r="Y68"/>
      <c r="Z68"/>
      <c r="AA68"/>
    </row>
    <row r="69" spans="1:27" s="51" customFormat="1" ht="18.600000000000001" hidden="1" customHeight="1" x14ac:dyDescent="0.25">
      <c r="A69" s="82" t="s">
        <v>16</v>
      </c>
      <c r="B69" s="41" t="s">
        <v>17</v>
      </c>
      <c r="C69" s="42" t="s">
        <v>18</v>
      </c>
      <c r="D69" s="41" t="s">
        <v>199</v>
      </c>
      <c r="E69" s="43" t="s">
        <v>200</v>
      </c>
      <c r="F69" s="43" t="s">
        <v>21</v>
      </c>
      <c r="G69" s="43" t="s">
        <v>22</v>
      </c>
      <c r="H69" s="85" t="s">
        <v>201</v>
      </c>
      <c r="I69" s="23" t="s">
        <v>24</v>
      </c>
      <c r="J69" s="44">
        <v>95</v>
      </c>
      <c r="K69" s="45">
        <v>0.25</v>
      </c>
      <c r="L69" s="46">
        <f t="shared" si="1"/>
        <v>23.75</v>
      </c>
      <c r="M69" s="47">
        <f t="shared" si="2"/>
        <v>71.25</v>
      </c>
      <c r="N69" s="48">
        <v>0.16</v>
      </c>
      <c r="O69" s="49">
        <f t="shared" si="6"/>
        <v>11.4</v>
      </c>
      <c r="P69" s="50">
        <f t="shared" si="7"/>
        <v>82.65</v>
      </c>
      <c r="Q69" s="23"/>
      <c r="R69" s="60"/>
      <c r="S69" s="61"/>
      <c r="T69" s="62">
        <f t="shared" si="9"/>
        <v>0</v>
      </c>
      <c r="U69" s="46">
        <f t="shared" si="9"/>
        <v>0</v>
      </c>
      <c r="V69" s="63">
        <f t="shared" si="10"/>
        <v>0</v>
      </c>
      <c r="W69" s="49">
        <f t="shared" si="5"/>
        <v>0</v>
      </c>
      <c r="X69" s="50">
        <f t="shared" si="8"/>
        <v>0</v>
      </c>
      <c r="Y69"/>
      <c r="Z69"/>
      <c r="AA69"/>
    </row>
    <row r="70" spans="1:27" s="51" customFormat="1" ht="18.600000000000001" hidden="1" customHeight="1" x14ac:dyDescent="0.25">
      <c r="A70" s="80" t="s">
        <v>16</v>
      </c>
      <c r="B70" s="20" t="s">
        <v>17</v>
      </c>
      <c r="C70" s="21" t="s">
        <v>18</v>
      </c>
      <c r="D70" s="20" t="s">
        <v>202</v>
      </c>
      <c r="E70" s="22" t="s">
        <v>203</v>
      </c>
      <c r="F70" s="22" t="s">
        <v>21</v>
      </c>
      <c r="G70" s="22" t="s">
        <v>22</v>
      </c>
      <c r="H70" s="83" t="s">
        <v>204</v>
      </c>
      <c r="I70" s="23" t="s">
        <v>24</v>
      </c>
      <c r="J70" s="24">
        <v>95</v>
      </c>
      <c r="K70" s="25">
        <v>0.25</v>
      </c>
      <c r="L70" s="26">
        <f t="shared" si="1"/>
        <v>23.75</v>
      </c>
      <c r="M70" s="27">
        <f t="shared" si="2"/>
        <v>71.25</v>
      </c>
      <c r="N70" s="28">
        <v>0.16</v>
      </c>
      <c r="O70" s="29">
        <f t="shared" si="6"/>
        <v>11.4</v>
      </c>
      <c r="P70" s="30">
        <f t="shared" si="7"/>
        <v>82.65</v>
      </c>
      <c r="Q70" s="23"/>
      <c r="R70" s="52"/>
      <c r="S70" s="53"/>
      <c r="T70" s="54">
        <f t="shared" si="9"/>
        <v>0</v>
      </c>
      <c r="U70" s="26">
        <f t="shared" si="9"/>
        <v>0</v>
      </c>
      <c r="V70" s="55">
        <f t="shared" si="10"/>
        <v>0</v>
      </c>
      <c r="W70" s="29">
        <f t="shared" si="5"/>
        <v>0</v>
      </c>
      <c r="X70" s="30">
        <f t="shared" si="8"/>
        <v>0</v>
      </c>
      <c r="Y70"/>
      <c r="Z70"/>
      <c r="AA70"/>
    </row>
    <row r="71" spans="1:27" s="51" customFormat="1" ht="18.600000000000001" hidden="1" customHeight="1" x14ac:dyDescent="0.25">
      <c r="A71" s="81" t="s">
        <v>16</v>
      </c>
      <c r="B71" s="31" t="s">
        <v>17</v>
      </c>
      <c r="C71" s="32" t="s">
        <v>18</v>
      </c>
      <c r="D71" s="31" t="s">
        <v>205</v>
      </c>
      <c r="E71" s="33" t="s">
        <v>206</v>
      </c>
      <c r="F71" s="33" t="s">
        <v>21</v>
      </c>
      <c r="G71" s="33" t="s">
        <v>22</v>
      </c>
      <c r="H71" s="84" t="s">
        <v>207</v>
      </c>
      <c r="I71" s="23" t="s">
        <v>24</v>
      </c>
      <c r="J71" s="34">
        <v>95</v>
      </c>
      <c r="K71" s="35">
        <v>0.25</v>
      </c>
      <c r="L71" s="36">
        <f t="shared" si="1"/>
        <v>23.75</v>
      </c>
      <c r="M71" s="37">
        <f t="shared" si="2"/>
        <v>71.25</v>
      </c>
      <c r="N71" s="38">
        <v>0.16</v>
      </c>
      <c r="O71" s="39">
        <f t="shared" si="6"/>
        <v>11.4</v>
      </c>
      <c r="P71" s="40">
        <f t="shared" si="7"/>
        <v>82.65</v>
      </c>
      <c r="Q71" s="23"/>
      <c r="R71" s="56"/>
      <c r="S71" s="57"/>
      <c r="T71" s="58">
        <f t="shared" si="9"/>
        <v>0</v>
      </c>
      <c r="U71" s="36">
        <f t="shared" si="9"/>
        <v>0</v>
      </c>
      <c r="V71" s="59">
        <f t="shared" si="10"/>
        <v>0</v>
      </c>
      <c r="W71" s="39">
        <f t="shared" si="5"/>
        <v>0</v>
      </c>
      <c r="X71" s="40">
        <f t="shared" si="8"/>
        <v>0</v>
      </c>
      <c r="Y71"/>
      <c r="Z71"/>
      <c r="AA71"/>
    </row>
    <row r="72" spans="1:27" s="51" customFormat="1" ht="18.600000000000001" hidden="1" customHeight="1" x14ac:dyDescent="0.25">
      <c r="A72" s="82" t="s">
        <v>16</v>
      </c>
      <c r="B72" s="41" t="s">
        <v>17</v>
      </c>
      <c r="C72" s="42" t="s">
        <v>18</v>
      </c>
      <c r="D72" s="41" t="s">
        <v>208</v>
      </c>
      <c r="E72" s="43" t="s">
        <v>209</v>
      </c>
      <c r="F72" s="43" t="s">
        <v>21</v>
      </c>
      <c r="G72" s="43" t="s">
        <v>22</v>
      </c>
      <c r="H72" s="85" t="s">
        <v>210</v>
      </c>
      <c r="I72" s="23" t="s">
        <v>24</v>
      </c>
      <c r="J72" s="44">
        <v>95</v>
      </c>
      <c r="K72" s="45">
        <v>0.25</v>
      </c>
      <c r="L72" s="46">
        <f t="shared" si="1"/>
        <v>23.75</v>
      </c>
      <c r="M72" s="47">
        <f t="shared" si="2"/>
        <v>71.25</v>
      </c>
      <c r="N72" s="48">
        <v>0.16</v>
      </c>
      <c r="O72" s="49">
        <f t="shared" si="6"/>
        <v>11.4</v>
      </c>
      <c r="P72" s="50">
        <f t="shared" si="7"/>
        <v>82.65</v>
      </c>
      <c r="Q72" s="23"/>
      <c r="R72" s="60"/>
      <c r="S72" s="61"/>
      <c r="T72" s="62">
        <f t="shared" si="9"/>
        <v>0</v>
      </c>
      <c r="U72" s="46">
        <f t="shared" si="9"/>
        <v>0</v>
      </c>
      <c r="V72" s="63">
        <f t="shared" si="10"/>
        <v>0</v>
      </c>
      <c r="W72" s="49">
        <f t="shared" si="5"/>
        <v>0</v>
      </c>
      <c r="X72" s="50">
        <f t="shared" si="8"/>
        <v>0</v>
      </c>
      <c r="Y72"/>
      <c r="Z72"/>
      <c r="AA72"/>
    </row>
    <row r="73" spans="1:27" s="51" customFormat="1" ht="18.600000000000001" hidden="1" customHeight="1" x14ac:dyDescent="0.25">
      <c r="A73" s="80" t="s">
        <v>16</v>
      </c>
      <c r="B73" s="20" t="s">
        <v>17</v>
      </c>
      <c r="C73" s="21" t="s">
        <v>211</v>
      </c>
      <c r="D73" s="20" t="s">
        <v>212</v>
      </c>
      <c r="E73" s="22" t="s">
        <v>213</v>
      </c>
      <c r="F73" s="22" t="s">
        <v>21</v>
      </c>
      <c r="G73" s="22" t="s">
        <v>22</v>
      </c>
      <c r="H73" s="83" t="s">
        <v>214</v>
      </c>
      <c r="I73" s="23" t="s">
        <v>24</v>
      </c>
      <c r="J73" s="24">
        <v>120</v>
      </c>
      <c r="K73" s="25">
        <v>0.25</v>
      </c>
      <c r="L73" s="26">
        <f t="shared" si="1"/>
        <v>30</v>
      </c>
      <c r="M73" s="27">
        <f t="shared" si="2"/>
        <v>90</v>
      </c>
      <c r="N73" s="28">
        <v>0.16</v>
      </c>
      <c r="O73" s="29">
        <f t="shared" si="6"/>
        <v>14.4</v>
      </c>
      <c r="P73" s="30">
        <f t="shared" si="7"/>
        <v>104.4</v>
      </c>
      <c r="Q73" s="23"/>
      <c r="R73" s="52"/>
      <c r="S73" s="53"/>
      <c r="T73" s="54">
        <f t="shared" si="9"/>
        <v>0</v>
      </c>
      <c r="U73" s="26">
        <f t="shared" si="9"/>
        <v>0</v>
      </c>
      <c r="V73" s="55">
        <f t="shared" si="10"/>
        <v>0</v>
      </c>
      <c r="W73" s="29">
        <f t="shared" si="5"/>
        <v>0</v>
      </c>
      <c r="X73" s="30">
        <f t="shared" si="8"/>
        <v>0</v>
      </c>
      <c r="Y73"/>
      <c r="Z73"/>
      <c r="AA73"/>
    </row>
    <row r="74" spans="1:27" s="51" customFormat="1" ht="18.600000000000001" hidden="1" customHeight="1" x14ac:dyDescent="0.25">
      <c r="A74" s="81" t="s">
        <v>16</v>
      </c>
      <c r="B74" s="31" t="s">
        <v>17</v>
      </c>
      <c r="C74" s="32" t="s">
        <v>211</v>
      </c>
      <c r="D74" s="31" t="s">
        <v>215</v>
      </c>
      <c r="E74" s="33" t="s">
        <v>216</v>
      </c>
      <c r="F74" s="33" t="s">
        <v>21</v>
      </c>
      <c r="G74" s="33" t="s">
        <v>22</v>
      </c>
      <c r="H74" s="84" t="s">
        <v>217</v>
      </c>
      <c r="I74" s="23" t="s">
        <v>24</v>
      </c>
      <c r="J74" s="34">
        <v>120</v>
      </c>
      <c r="K74" s="35">
        <v>0.25</v>
      </c>
      <c r="L74" s="36">
        <f t="shared" ref="L74:L137" si="11">+J74*K74</f>
        <v>30</v>
      </c>
      <c r="M74" s="37">
        <f t="shared" ref="M74:M137" si="12">+J74-L74</f>
        <v>90</v>
      </c>
      <c r="N74" s="38">
        <v>0.16</v>
      </c>
      <c r="O74" s="39">
        <f t="shared" si="6"/>
        <v>14.4</v>
      </c>
      <c r="P74" s="40">
        <f t="shared" si="7"/>
        <v>104.4</v>
      </c>
      <c r="Q74" s="23"/>
      <c r="R74" s="56"/>
      <c r="S74" s="57"/>
      <c r="T74" s="58">
        <f t="shared" si="9"/>
        <v>0</v>
      </c>
      <c r="U74" s="36">
        <f t="shared" si="9"/>
        <v>0</v>
      </c>
      <c r="V74" s="59">
        <f t="shared" si="10"/>
        <v>0</v>
      </c>
      <c r="W74" s="39">
        <f t="shared" ref="W74:W137" si="13">+V74*N74</f>
        <v>0</v>
      </c>
      <c r="X74" s="40">
        <f t="shared" si="8"/>
        <v>0</v>
      </c>
      <c r="Y74"/>
      <c r="Z74"/>
      <c r="AA74"/>
    </row>
    <row r="75" spans="1:27" s="51" customFormat="1" ht="18.600000000000001" hidden="1" customHeight="1" x14ac:dyDescent="0.25">
      <c r="A75" s="82" t="s">
        <v>16</v>
      </c>
      <c r="B75" s="41" t="s">
        <v>17</v>
      </c>
      <c r="C75" s="42" t="s">
        <v>211</v>
      </c>
      <c r="D75" s="41" t="s">
        <v>218</v>
      </c>
      <c r="E75" s="43" t="s">
        <v>219</v>
      </c>
      <c r="F75" s="43" t="s">
        <v>21</v>
      </c>
      <c r="G75" s="43" t="s">
        <v>22</v>
      </c>
      <c r="H75" s="85" t="s">
        <v>220</v>
      </c>
      <c r="I75" s="23" t="s">
        <v>24</v>
      </c>
      <c r="J75" s="44">
        <v>120</v>
      </c>
      <c r="K75" s="45">
        <v>0.25</v>
      </c>
      <c r="L75" s="46">
        <f t="shared" si="11"/>
        <v>30</v>
      </c>
      <c r="M75" s="47">
        <f t="shared" si="12"/>
        <v>90</v>
      </c>
      <c r="N75" s="48">
        <v>0.16</v>
      </c>
      <c r="O75" s="49">
        <f t="shared" ref="O75:O138" si="14">+M75*N75</f>
        <v>14.4</v>
      </c>
      <c r="P75" s="50">
        <f t="shared" ref="P75:P138" si="15">+M75+O75</f>
        <v>104.4</v>
      </c>
      <c r="Q75" s="23"/>
      <c r="R75" s="60"/>
      <c r="S75" s="61"/>
      <c r="T75" s="62">
        <f t="shared" si="9"/>
        <v>0</v>
      </c>
      <c r="U75" s="46">
        <f t="shared" si="9"/>
        <v>0</v>
      </c>
      <c r="V75" s="63">
        <f t="shared" si="10"/>
        <v>0</v>
      </c>
      <c r="W75" s="49">
        <f t="shared" si="13"/>
        <v>0</v>
      </c>
      <c r="X75" s="50">
        <f t="shared" ref="X75:X138" si="16">+V75+W75</f>
        <v>0</v>
      </c>
      <c r="Y75"/>
      <c r="Z75"/>
      <c r="AA75"/>
    </row>
    <row r="76" spans="1:27" s="51" customFormat="1" ht="18.600000000000001" hidden="1" customHeight="1" x14ac:dyDescent="0.25">
      <c r="A76" s="80" t="s">
        <v>16</v>
      </c>
      <c r="B76" s="20" t="s">
        <v>17</v>
      </c>
      <c r="C76" s="21" t="s">
        <v>211</v>
      </c>
      <c r="D76" s="20" t="s">
        <v>221</v>
      </c>
      <c r="E76" s="22" t="s">
        <v>222</v>
      </c>
      <c r="F76" s="22" t="s">
        <v>21</v>
      </c>
      <c r="G76" s="22" t="s">
        <v>22</v>
      </c>
      <c r="H76" s="83" t="s">
        <v>223</v>
      </c>
      <c r="I76" s="23" t="s">
        <v>24</v>
      </c>
      <c r="J76" s="24">
        <v>120</v>
      </c>
      <c r="K76" s="25">
        <v>0.25</v>
      </c>
      <c r="L76" s="26">
        <f t="shared" si="11"/>
        <v>30</v>
      </c>
      <c r="M76" s="27">
        <f t="shared" si="12"/>
        <v>90</v>
      </c>
      <c r="N76" s="28">
        <v>0.16</v>
      </c>
      <c r="O76" s="29">
        <f t="shared" si="14"/>
        <v>14.4</v>
      </c>
      <c r="P76" s="30">
        <f t="shared" si="15"/>
        <v>104.4</v>
      </c>
      <c r="Q76" s="23"/>
      <c r="R76" s="52"/>
      <c r="S76" s="53"/>
      <c r="T76" s="54">
        <f t="shared" si="9"/>
        <v>0</v>
      </c>
      <c r="U76" s="26">
        <f t="shared" si="9"/>
        <v>0</v>
      </c>
      <c r="V76" s="55">
        <f t="shared" si="10"/>
        <v>0</v>
      </c>
      <c r="W76" s="29">
        <f t="shared" si="13"/>
        <v>0</v>
      </c>
      <c r="X76" s="30">
        <f t="shared" si="16"/>
        <v>0</v>
      </c>
      <c r="Y76"/>
      <c r="Z76"/>
      <c r="AA76"/>
    </row>
    <row r="77" spans="1:27" s="51" customFormat="1" ht="18.600000000000001" hidden="1" customHeight="1" x14ac:dyDescent="0.25">
      <c r="A77" s="81" t="s">
        <v>16</v>
      </c>
      <c r="B77" s="31" t="s">
        <v>17</v>
      </c>
      <c r="C77" s="32" t="s">
        <v>211</v>
      </c>
      <c r="D77" s="31" t="s">
        <v>224</v>
      </c>
      <c r="E77" s="33" t="s">
        <v>225</v>
      </c>
      <c r="F77" s="33" t="s">
        <v>21</v>
      </c>
      <c r="G77" s="33" t="s">
        <v>22</v>
      </c>
      <c r="H77" s="84" t="s">
        <v>226</v>
      </c>
      <c r="I77" s="23" t="s">
        <v>24</v>
      </c>
      <c r="J77" s="34">
        <v>120</v>
      </c>
      <c r="K77" s="35">
        <v>0.25</v>
      </c>
      <c r="L77" s="36">
        <f t="shared" si="11"/>
        <v>30</v>
      </c>
      <c r="M77" s="37">
        <f t="shared" si="12"/>
        <v>90</v>
      </c>
      <c r="N77" s="38">
        <v>0.16</v>
      </c>
      <c r="O77" s="39">
        <f t="shared" si="14"/>
        <v>14.4</v>
      </c>
      <c r="P77" s="40">
        <f t="shared" si="15"/>
        <v>104.4</v>
      </c>
      <c r="Q77" s="23"/>
      <c r="R77" s="56"/>
      <c r="S77" s="57"/>
      <c r="T77" s="58">
        <f t="shared" si="9"/>
        <v>0</v>
      </c>
      <c r="U77" s="36">
        <f t="shared" si="9"/>
        <v>0</v>
      </c>
      <c r="V77" s="59">
        <f t="shared" si="10"/>
        <v>0</v>
      </c>
      <c r="W77" s="39">
        <f t="shared" si="13"/>
        <v>0</v>
      </c>
      <c r="X77" s="40">
        <f t="shared" si="16"/>
        <v>0</v>
      </c>
      <c r="Y77"/>
      <c r="Z77"/>
      <c r="AA77"/>
    </row>
    <row r="78" spans="1:27" s="51" customFormat="1" ht="18.600000000000001" hidden="1" customHeight="1" x14ac:dyDescent="0.25">
      <c r="A78" s="82" t="s">
        <v>16</v>
      </c>
      <c r="B78" s="41" t="s">
        <v>17</v>
      </c>
      <c r="C78" s="42" t="s">
        <v>211</v>
      </c>
      <c r="D78" s="41" t="s">
        <v>227</v>
      </c>
      <c r="E78" s="43" t="s">
        <v>228</v>
      </c>
      <c r="F78" s="43" t="s">
        <v>21</v>
      </c>
      <c r="G78" s="43" t="s">
        <v>22</v>
      </c>
      <c r="H78" s="85" t="s">
        <v>229</v>
      </c>
      <c r="I78" s="23" t="s">
        <v>24</v>
      </c>
      <c r="J78" s="44">
        <v>120</v>
      </c>
      <c r="K78" s="45">
        <v>0.25</v>
      </c>
      <c r="L78" s="46">
        <f t="shared" si="11"/>
        <v>30</v>
      </c>
      <c r="M78" s="47">
        <f t="shared" si="12"/>
        <v>90</v>
      </c>
      <c r="N78" s="48">
        <v>0.16</v>
      </c>
      <c r="O78" s="49">
        <f t="shared" si="14"/>
        <v>14.4</v>
      </c>
      <c r="P78" s="50">
        <f t="shared" si="15"/>
        <v>104.4</v>
      </c>
      <c r="Q78" s="23"/>
      <c r="R78" s="60"/>
      <c r="S78" s="61"/>
      <c r="T78" s="62">
        <f t="shared" si="9"/>
        <v>0</v>
      </c>
      <c r="U78" s="46">
        <f t="shared" si="9"/>
        <v>0</v>
      </c>
      <c r="V78" s="63">
        <f t="shared" si="10"/>
        <v>0</v>
      </c>
      <c r="W78" s="49">
        <f t="shared" si="13"/>
        <v>0</v>
      </c>
      <c r="X78" s="50">
        <f t="shared" si="16"/>
        <v>0</v>
      </c>
      <c r="Y78"/>
      <c r="Z78"/>
      <c r="AA78"/>
    </row>
    <row r="79" spans="1:27" s="51" customFormat="1" ht="18.600000000000001" hidden="1" customHeight="1" x14ac:dyDescent="0.25">
      <c r="A79" s="80" t="s">
        <v>16</v>
      </c>
      <c r="B79" s="20" t="s">
        <v>17</v>
      </c>
      <c r="C79" s="21" t="s">
        <v>211</v>
      </c>
      <c r="D79" s="20" t="s">
        <v>230</v>
      </c>
      <c r="E79" s="22" t="s">
        <v>231</v>
      </c>
      <c r="F79" s="22" t="s">
        <v>21</v>
      </c>
      <c r="G79" s="22" t="s">
        <v>22</v>
      </c>
      <c r="H79" s="83" t="s">
        <v>232</v>
      </c>
      <c r="I79" s="23" t="s">
        <v>24</v>
      </c>
      <c r="J79" s="24">
        <v>120</v>
      </c>
      <c r="K79" s="25">
        <v>0.25</v>
      </c>
      <c r="L79" s="26">
        <f t="shared" si="11"/>
        <v>30</v>
      </c>
      <c r="M79" s="27">
        <f t="shared" si="12"/>
        <v>90</v>
      </c>
      <c r="N79" s="28">
        <v>0.16</v>
      </c>
      <c r="O79" s="29">
        <f t="shared" si="14"/>
        <v>14.4</v>
      </c>
      <c r="P79" s="30">
        <f t="shared" si="15"/>
        <v>104.4</v>
      </c>
      <c r="Q79" s="23"/>
      <c r="R79" s="52"/>
      <c r="S79" s="53"/>
      <c r="T79" s="54">
        <f t="shared" si="9"/>
        <v>0</v>
      </c>
      <c r="U79" s="26">
        <f t="shared" si="9"/>
        <v>0</v>
      </c>
      <c r="V79" s="55">
        <f t="shared" si="10"/>
        <v>0</v>
      </c>
      <c r="W79" s="29">
        <f t="shared" si="13"/>
        <v>0</v>
      </c>
      <c r="X79" s="30">
        <f t="shared" si="16"/>
        <v>0</v>
      </c>
      <c r="Y79"/>
      <c r="Z79"/>
      <c r="AA79"/>
    </row>
    <row r="80" spans="1:27" s="51" customFormat="1" ht="18.600000000000001" hidden="1" customHeight="1" x14ac:dyDescent="0.25">
      <c r="A80" s="81" t="s">
        <v>16</v>
      </c>
      <c r="B80" s="31" t="s">
        <v>17</v>
      </c>
      <c r="C80" s="32" t="s">
        <v>211</v>
      </c>
      <c r="D80" s="31" t="s">
        <v>233</v>
      </c>
      <c r="E80" s="33" t="s">
        <v>234</v>
      </c>
      <c r="F80" s="33" t="s">
        <v>21</v>
      </c>
      <c r="G80" s="33" t="s">
        <v>22</v>
      </c>
      <c r="H80" s="84" t="s">
        <v>235</v>
      </c>
      <c r="I80" s="23" t="s">
        <v>24</v>
      </c>
      <c r="J80" s="34">
        <v>120</v>
      </c>
      <c r="K80" s="35">
        <v>0.25</v>
      </c>
      <c r="L80" s="36">
        <f t="shared" si="11"/>
        <v>30</v>
      </c>
      <c r="M80" s="37">
        <f t="shared" si="12"/>
        <v>90</v>
      </c>
      <c r="N80" s="38">
        <v>0.16</v>
      </c>
      <c r="O80" s="39">
        <f t="shared" si="14"/>
        <v>14.4</v>
      </c>
      <c r="P80" s="40">
        <f t="shared" si="15"/>
        <v>104.4</v>
      </c>
      <c r="Q80" s="23"/>
      <c r="R80" s="56"/>
      <c r="S80" s="57"/>
      <c r="T80" s="58">
        <f t="shared" si="9"/>
        <v>0</v>
      </c>
      <c r="U80" s="36">
        <f t="shared" si="9"/>
        <v>0</v>
      </c>
      <c r="V80" s="59">
        <f t="shared" si="10"/>
        <v>0</v>
      </c>
      <c r="W80" s="39">
        <f t="shared" si="13"/>
        <v>0</v>
      </c>
      <c r="X80" s="40">
        <f t="shared" si="16"/>
        <v>0</v>
      </c>
      <c r="Y80"/>
      <c r="Z80"/>
      <c r="AA80"/>
    </row>
    <row r="81" spans="1:27" s="51" customFormat="1" ht="18.600000000000001" hidden="1" customHeight="1" x14ac:dyDescent="0.25">
      <c r="A81" s="82" t="s">
        <v>16</v>
      </c>
      <c r="B81" s="41" t="s">
        <v>17</v>
      </c>
      <c r="C81" s="42" t="s">
        <v>211</v>
      </c>
      <c r="D81" s="41" t="s">
        <v>236</v>
      </c>
      <c r="E81" s="43" t="s">
        <v>237</v>
      </c>
      <c r="F81" s="43" t="s">
        <v>21</v>
      </c>
      <c r="G81" s="43" t="s">
        <v>22</v>
      </c>
      <c r="H81" s="85" t="s">
        <v>238</v>
      </c>
      <c r="I81" s="23" t="s">
        <v>24</v>
      </c>
      <c r="J81" s="44">
        <v>120</v>
      </c>
      <c r="K81" s="45">
        <v>0.25</v>
      </c>
      <c r="L81" s="46">
        <f t="shared" si="11"/>
        <v>30</v>
      </c>
      <c r="M81" s="47">
        <f t="shared" si="12"/>
        <v>90</v>
      </c>
      <c r="N81" s="48">
        <v>0.16</v>
      </c>
      <c r="O81" s="49">
        <f t="shared" si="14"/>
        <v>14.4</v>
      </c>
      <c r="P81" s="50">
        <f t="shared" si="15"/>
        <v>104.4</v>
      </c>
      <c r="Q81" s="23"/>
      <c r="R81" s="60"/>
      <c r="S81" s="61"/>
      <c r="T81" s="62">
        <f t="shared" si="9"/>
        <v>0</v>
      </c>
      <c r="U81" s="46">
        <f t="shared" si="9"/>
        <v>0</v>
      </c>
      <c r="V81" s="63">
        <f t="shared" si="10"/>
        <v>0</v>
      </c>
      <c r="W81" s="49">
        <f t="shared" si="13"/>
        <v>0</v>
      </c>
      <c r="X81" s="50">
        <f t="shared" si="16"/>
        <v>0</v>
      </c>
      <c r="Y81"/>
      <c r="Z81"/>
      <c r="AA81"/>
    </row>
    <row r="82" spans="1:27" s="51" customFormat="1" ht="18.600000000000001" hidden="1" customHeight="1" x14ac:dyDescent="0.25">
      <c r="A82" s="80" t="s">
        <v>16</v>
      </c>
      <c r="B82" s="20" t="s">
        <v>17</v>
      </c>
      <c r="C82" s="21" t="s">
        <v>211</v>
      </c>
      <c r="D82" s="20" t="s">
        <v>239</v>
      </c>
      <c r="E82" s="22" t="s">
        <v>240</v>
      </c>
      <c r="F82" s="22" t="s">
        <v>21</v>
      </c>
      <c r="G82" s="22" t="s">
        <v>22</v>
      </c>
      <c r="H82" s="83" t="s">
        <v>241</v>
      </c>
      <c r="I82" s="23" t="s">
        <v>24</v>
      </c>
      <c r="J82" s="24">
        <v>120</v>
      </c>
      <c r="K82" s="25">
        <v>0.25</v>
      </c>
      <c r="L82" s="26">
        <f t="shared" si="11"/>
        <v>30</v>
      </c>
      <c r="M82" s="27">
        <f t="shared" si="12"/>
        <v>90</v>
      </c>
      <c r="N82" s="28">
        <v>0.16</v>
      </c>
      <c r="O82" s="29">
        <f t="shared" si="14"/>
        <v>14.4</v>
      </c>
      <c r="P82" s="30">
        <f t="shared" si="15"/>
        <v>104.4</v>
      </c>
      <c r="Q82" s="23"/>
      <c r="R82" s="52"/>
      <c r="S82" s="53"/>
      <c r="T82" s="54">
        <f t="shared" si="9"/>
        <v>0</v>
      </c>
      <c r="U82" s="26">
        <f t="shared" si="9"/>
        <v>0</v>
      </c>
      <c r="V82" s="55">
        <f>+T82-U82</f>
        <v>0</v>
      </c>
      <c r="W82" s="29">
        <f t="shared" si="13"/>
        <v>0</v>
      </c>
      <c r="X82" s="30">
        <f>+V82+W82</f>
        <v>0</v>
      </c>
      <c r="Y82"/>
      <c r="Z82"/>
      <c r="AA82"/>
    </row>
    <row r="83" spans="1:27" s="51" customFormat="1" ht="18.600000000000001" hidden="1" customHeight="1" x14ac:dyDescent="0.25">
      <c r="A83" s="81" t="s">
        <v>16</v>
      </c>
      <c r="B83" s="31" t="s">
        <v>17</v>
      </c>
      <c r="C83" s="32" t="s">
        <v>211</v>
      </c>
      <c r="D83" s="31" t="s">
        <v>242</v>
      </c>
      <c r="E83" s="33" t="s">
        <v>243</v>
      </c>
      <c r="F83" s="33" t="s">
        <v>21</v>
      </c>
      <c r="G83" s="33" t="s">
        <v>22</v>
      </c>
      <c r="H83" s="84" t="s">
        <v>244</v>
      </c>
      <c r="I83" s="23" t="s">
        <v>24</v>
      </c>
      <c r="J83" s="34">
        <v>120</v>
      </c>
      <c r="K83" s="35">
        <v>0.25</v>
      </c>
      <c r="L83" s="36">
        <f t="shared" si="11"/>
        <v>30</v>
      </c>
      <c r="M83" s="37">
        <f t="shared" si="12"/>
        <v>90</v>
      </c>
      <c r="N83" s="38">
        <v>0.16</v>
      </c>
      <c r="O83" s="39">
        <f t="shared" si="14"/>
        <v>14.4</v>
      </c>
      <c r="P83" s="40">
        <f t="shared" si="15"/>
        <v>104.4</v>
      </c>
      <c r="Q83" s="23"/>
      <c r="R83" s="56"/>
      <c r="S83" s="57"/>
      <c r="T83" s="58">
        <f t="shared" si="9"/>
        <v>0</v>
      </c>
      <c r="U83" s="36">
        <f t="shared" si="9"/>
        <v>0</v>
      </c>
      <c r="V83" s="59">
        <f>+T83-U83</f>
        <v>0</v>
      </c>
      <c r="W83" s="39">
        <f t="shared" si="13"/>
        <v>0</v>
      </c>
      <c r="X83" s="40">
        <f>+V83+W83</f>
        <v>0</v>
      </c>
      <c r="Y83"/>
      <c r="Z83"/>
      <c r="AA83"/>
    </row>
    <row r="84" spans="1:27" s="51" customFormat="1" ht="18.600000000000001" hidden="1" customHeight="1" x14ac:dyDescent="0.25">
      <c r="A84" s="82" t="s">
        <v>16</v>
      </c>
      <c r="B84" s="41" t="s">
        <v>17</v>
      </c>
      <c r="C84" s="42" t="s">
        <v>211</v>
      </c>
      <c r="D84" s="41" t="s">
        <v>245</v>
      </c>
      <c r="E84" s="43" t="s">
        <v>246</v>
      </c>
      <c r="F84" s="43" t="s">
        <v>21</v>
      </c>
      <c r="G84" s="43" t="s">
        <v>22</v>
      </c>
      <c r="H84" s="85" t="s">
        <v>247</v>
      </c>
      <c r="I84" s="23" t="s">
        <v>24</v>
      </c>
      <c r="J84" s="44">
        <v>120</v>
      </c>
      <c r="K84" s="45">
        <v>0.25</v>
      </c>
      <c r="L84" s="46">
        <f t="shared" si="11"/>
        <v>30</v>
      </c>
      <c r="M84" s="47">
        <f t="shared" si="12"/>
        <v>90</v>
      </c>
      <c r="N84" s="48">
        <v>0.16</v>
      </c>
      <c r="O84" s="49">
        <f t="shared" si="14"/>
        <v>14.4</v>
      </c>
      <c r="P84" s="50">
        <f t="shared" si="15"/>
        <v>104.4</v>
      </c>
      <c r="Q84" s="23"/>
      <c r="R84" s="60"/>
      <c r="S84" s="61"/>
      <c r="T84" s="62">
        <f t="shared" si="9"/>
        <v>0</v>
      </c>
      <c r="U84" s="46">
        <f t="shared" si="9"/>
        <v>0</v>
      </c>
      <c r="V84" s="63">
        <f t="shared" si="10"/>
        <v>0</v>
      </c>
      <c r="W84" s="49">
        <f t="shared" si="13"/>
        <v>0</v>
      </c>
      <c r="X84" s="50">
        <f t="shared" si="16"/>
        <v>0</v>
      </c>
      <c r="Y84"/>
      <c r="Z84"/>
      <c r="AA84"/>
    </row>
    <row r="85" spans="1:27" s="51" customFormat="1" ht="18.600000000000001" hidden="1" customHeight="1" x14ac:dyDescent="0.25">
      <c r="A85" s="80" t="s">
        <v>16</v>
      </c>
      <c r="B85" s="20" t="s">
        <v>17</v>
      </c>
      <c r="C85" s="21" t="s">
        <v>211</v>
      </c>
      <c r="D85" s="20" t="s">
        <v>248</v>
      </c>
      <c r="E85" s="22" t="s">
        <v>249</v>
      </c>
      <c r="F85" s="22" t="s">
        <v>21</v>
      </c>
      <c r="G85" s="22" t="s">
        <v>22</v>
      </c>
      <c r="H85" s="83" t="s">
        <v>250</v>
      </c>
      <c r="I85" s="23" t="s">
        <v>24</v>
      </c>
      <c r="J85" s="24">
        <v>120</v>
      </c>
      <c r="K85" s="25">
        <v>0.25</v>
      </c>
      <c r="L85" s="26">
        <f t="shared" si="11"/>
        <v>30</v>
      </c>
      <c r="M85" s="27">
        <f t="shared" si="12"/>
        <v>90</v>
      </c>
      <c r="N85" s="28">
        <v>0.16</v>
      </c>
      <c r="O85" s="29">
        <f t="shared" si="14"/>
        <v>14.4</v>
      </c>
      <c r="P85" s="30">
        <f t="shared" si="15"/>
        <v>104.4</v>
      </c>
      <c r="Q85" s="23"/>
      <c r="R85" s="52"/>
      <c r="S85" s="53"/>
      <c r="T85" s="54">
        <f t="shared" si="9"/>
        <v>0</v>
      </c>
      <c r="U85" s="26">
        <f t="shared" si="9"/>
        <v>0</v>
      </c>
      <c r="V85" s="55">
        <f t="shared" si="10"/>
        <v>0</v>
      </c>
      <c r="W85" s="29">
        <f t="shared" si="13"/>
        <v>0</v>
      </c>
      <c r="X85" s="30">
        <f t="shared" si="16"/>
        <v>0</v>
      </c>
      <c r="Y85"/>
      <c r="Z85"/>
      <c r="AA85"/>
    </row>
    <row r="86" spans="1:27" s="51" customFormat="1" ht="18.600000000000001" hidden="1" customHeight="1" x14ac:dyDescent="0.25">
      <c r="A86" s="81" t="s">
        <v>16</v>
      </c>
      <c r="B86" s="31" t="s">
        <v>17</v>
      </c>
      <c r="C86" s="32" t="s">
        <v>211</v>
      </c>
      <c r="D86" s="31" t="s">
        <v>251</v>
      </c>
      <c r="E86" s="33" t="s">
        <v>252</v>
      </c>
      <c r="F86" s="33" t="s">
        <v>21</v>
      </c>
      <c r="G86" s="33" t="s">
        <v>22</v>
      </c>
      <c r="H86" s="84" t="s">
        <v>253</v>
      </c>
      <c r="I86" s="23" t="s">
        <v>24</v>
      </c>
      <c r="J86" s="34">
        <v>120</v>
      </c>
      <c r="K86" s="35">
        <v>0.25</v>
      </c>
      <c r="L86" s="36">
        <f t="shared" si="11"/>
        <v>30</v>
      </c>
      <c r="M86" s="37">
        <f t="shared" si="12"/>
        <v>90</v>
      </c>
      <c r="N86" s="38">
        <v>0.16</v>
      </c>
      <c r="O86" s="39">
        <f t="shared" si="14"/>
        <v>14.4</v>
      </c>
      <c r="P86" s="40">
        <f t="shared" si="15"/>
        <v>104.4</v>
      </c>
      <c r="Q86" s="23"/>
      <c r="R86" s="56"/>
      <c r="S86" s="57"/>
      <c r="T86" s="58">
        <f t="shared" si="9"/>
        <v>0</v>
      </c>
      <c r="U86" s="36">
        <f t="shared" si="9"/>
        <v>0</v>
      </c>
      <c r="V86" s="59">
        <f t="shared" si="10"/>
        <v>0</v>
      </c>
      <c r="W86" s="39">
        <f t="shared" si="13"/>
        <v>0</v>
      </c>
      <c r="X86" s="40">
        <f t="shared" si="16"/>
        <v>0</v>
      </c>
      <c r="Y86"/>
      <c r="Z86"/>
      <c r="AA86"/>
    </row>
    <row r="87" spans="1:27" s="51" customFormat="1" ht="18.600000000000001" hidden="1" customHeight="1" x14ac:dyDescent="0.25">
      <c r="A87" s="82" t="s">
        <v>16</v>
      </c>
      <c r="B87" s="41" t="s">
        <v>17</v>
      </c>
      <c r="C87" s="42" t="s">
        <v>211</v>
      </c>
      <c r="D87" s="41" t="s">
        <v>254</v>
      </c>
      <c r="E87" s="43" t="s">
        <v>255</v>
      </c>
      <c r="F87" s="43" t="s">
        <v>21</v>
      </c>
      <c r="G87" s="43" t="s">
        <v>22</v>
      </c>
      <c r="H87" s="85" t="s">
        <v>256</v>
      </c>
      <c r="I87" s="23" t="s">
        <v>24</v>
      </c>
      <c r="J87" s="44">
        <v>120</v>
      </c>
      <c r="K87" s="45">
        <v>0.25</v>
      </c>
      <c r="L87" s="46">
        <f t="shared" si="11"/>
        <v>30</v>
      </c>
      <c r="M87" s="47">
        <f t="shared" si="12"/>
        <v>90</v>
      </c>
      <c r="N87" s="48">
        <v>0.16</v>
      </c>
      <c r="O87" s="49">
        <f t="shared" si="14"/>
        <v>14.4</v>
      </c>
      <c r="P87" s="50">
        <f t="shared" si="15"/>
        <v>104.4</v>
      </c>
      <c r="Q87" s="23"/>
      <c r="R87" s="60"/>
      <c r="S87" s="61"/>
      <c r="T87" s="62">
        <f t="shared" si="9"/>
        <v>0</v>
      </c>
      <c r="U87" s="46">
        <f t="shared" si="9"/>
        <v>0</v>
      </c>
      <c r="V87" s="63">
        <f t="shared" si="10"/>
        <v>0</v>
      </c>
      <c r="W87" s="49">
        <f t="shared" si="13"/>
        <v>0</v>
      </c>
      <c r="X87" s="50">
        <f t="shared" si="16"/>
        <v>0</v>
      </c>
      <c r="Y87"/>
      <c r="Z87"/>
      <c r="AA87"/>
    </row>
    <row r="88" spans="1:27" s="51" customFormat="1" ht="18.600000000000001" hidden="1" customHeight="1" x14ac:dyDescent="0.25">
      <c r="A88" s="80" t="s">
        <v>16</v>
      </c>
      <c r="B88" s="20" t="s">
        <v>17</v>
      </c>
      <c r="C88" s="21" t="s">
        <v>211</v>
      </c>
      <c r="D88" s="20" t="s">
        <v>257</v>
      </c>
      <c r="E88" s="22" t="s">
        <v>258</v>
      </c>
      <c r="F88" s="22" t="s">
        <v>21</v>
      </c>
      <c r="G88" s="22" t="s">
        <v>22</v>
      </c>
      <c r="H88" s="83" t="s">
        <v>259</v>
      </c>
      <c r="I88" s="23" t="s">
        <v>24</v>
      </c>
      <c r="J88" s="24">
        <v>120</v>
      </c>
      <c r="K88" s="25">
        <v>0.25</v>
      </c>
      <c r="L88" s="26">
        <f t="shared" si="11"/>
        <v>30</v>
      </c>
      <c r="M88" s="27">
        <f t="shared" si="12"/>
        <v>90</v>
      </c>
      <c r="N88" s="28">
        <v>0.16</v>
      </c>
      <c r="O88" s="29">
        <f t="shared" si="14"/>
        <v>14.4</v>
      </c>
      <c r="P88" s="30">
        <f t="shared" si="15"/>
        <v>104.4</v>
      </c>
      <c r="Q88" s="23"/>
      <c r="R88" s="52"/>
      <c r="S88" s="53"/>
      <c r="T88" s="54">
        <f t="shared" si="9"/>
        <v>0</v>
      </c>
      <c r="U88" s="26">
        <f t="shared" si="9"/>
        <v>0</v>
      </c>
      <c r="V88" s="55">
        <f t="shared" si="10"/>
        <v>0</v>
      </c>
      <c r="W88" s="29">
        <f t="shared" si="13"/>
        <v>0</v>
      </c>
      <c r="X88" s="30">
        <f t="shared" si="16"/>
        <v>0</v>
      </c>
      <c r="Y88"/>
      <c r="Z88"/>
      <c r="AA88"/>
    </row>
    <row r="89" spans="1:27" s="51" customFormat="1" ht="18.600000000000001" hidden="1" customHeight="1" x14ac:dyDescent="0.25">
      <c r="A89" s="81" t="s">
        <v>16</v>
      </c>
      <c r="B89" s="31" t="s">
        <v>17</v>
      </c>
      <c r="C89" s="32" t="s">
        <v>260</v>
      </c>
      <c r="D89" s="31" t="s">
        <v>261</v>
      </c>
      <c r="E89" s="33" t="s">
        <v>262</v>
      </c>
      <c r="F89" s="33" t="s">
        <v>21</v>
      </c>
      <c r="G89" s="33" t="s">
        <v>22</v>
      </c>
      <c r="H89" s="84" t="s">
        <v>263</v>
      </c>
      <c r="I89" s="23" t="s">
        <v>24</v>
      </c>
      <c r="J89" s="34">
        <v>120</v>
      </c>
      <c r="K89" s="35">
        <v>0.25</v>
      </c>
      <c r="L89" s="36">
        <f t="shared" si="11"/>
        <v>30</v>
      </c>
      <c r="M89" s="37">
        <f t="shared" si="12"/>
        <v>90</v>
      </c>
      <c r="N89" s="38">
        <v>0.16</v>
      </c>
      <c r="O89" s="39">
        <f t="shared" si="14"/>
        <v>14.4</v>
      </c>
      <c r="P89" s="40">
        <f t="shared" si="15"/>
        <v>104.4</v>
      </c>
      <c r="Q89" s="23"/>
      <c r="R89" s="56"/>
      <c r="S89" s="57"/>
      <c r="T89" s="58">
        <f t="shared" si="9"/>
        <v>0</v>
      </c>
      <c r="U89" s="36">
        <f t="shared" si="9"/>
        <v>0</v>
      </c>
      <c r="V89" s="59">
        <f t="shared" si="10"/>
        <v>0</v>
      </c>
      <c r="W89" s="39">
        <f t="shared" si="13"/>
        <v>0</v>
      </c>
      <c r="X89" s="40">
        <f t="shared" si="16"/>
        <v>0</v>
      </c>
      <c r="Y89"/>
      <c r="Z89"/>
      <c r="AA89"/>
    </row>
    <row r="90" spans="1:27" s="51" customFormat="1" ht="18.600000000000001" hidden="1" customHeight="1" x14ac:dyDescent="0.25">
      <c r="A90" s="82" t="s">
        <v>16</v>
      </c>
      <c r="B90" s="41" t="s">
        <v>17</v>
      </c>
      <c r="C90" s="42" t="s">
        <v>260</v>
      </c>
      <c r="D90" s="41" t="s">
        <v>264</v>
      </c>
      <c r="E90" s="43" t="s">
        <v>265</v>
      </c>
      <c r="F90" s="43" t="s">
        <v>21</v>
      </c>
      <c r="G90" s="43" t="s">
        <v>22</v>
      </c>
      <c r="H90" s="85" t="s">
        <v>266</v>
      </c>
      <c r="I90" s="23" t="s">
        <v>24</v>
      </c>
      <c r="J90" s="44">
        <v>120</v>
      </c>
      <c r="K90" s="45">
        <v>0.25</v>
      </c>
      <c r="L90" s="46">
        <f t="shared" si="11"/>
        <v>30</v>
      </c>
      <c r="M90" s="47">
        <f t="shared" si="12"/>
        <v>90</v>
      </c>
      <c r="N90" s="48">
        <v>0.16</v>
      </c>
      <c r="O90" s="49">
        <f t="shared" si="14"/>
        <v>14.4</v>
      </c>
      <c r="P90" s="50">
        <f t="shared" si="15"/>
        <v>104.4</v>
      </c>
      <c r="Q90" s="23"/>
      <c r="R90" s="60"/>
      <c r="S90" s="61"/>
      <c r="T90" s="62">
        <f t="shared" ref="T90:U136" si="17">+S90*J90</f>
        <v>0</v>
      </c>
      <c r="U90" s="46">
        <f t="shared" si="17"/>
        <v>0</v>
      </c>
      <c r="V90" s="63">
        <f t="shared" ref="V90:V153" si="18">+T90-U90</f>
        <v>0</v>
      </c>
      <c r="W90" s="49">
        <f t="shared" si="13"/>
        <v>0</v>
      </c>
      <c r="X90" s="50">
        <f t="shared" si="16"/>
        <v>0</v>
      </c>
      <c r="Y90"/>
      <c r="Z90"/>
      <c r="AA90"/>
    </row>
    <row r="91" spans="1:27" s="51" customFormat="1" ht="18.600000000000001" hidden="1" customHeight="1" x14ac:dyDescent="0.25">
      <c r="A91" s="80" t="s">
        <v>16</v>
      </c>
      <c r="B91" s="20" t="s">
        <v>17</v>
      </c>
      <c r="C91" s="21" t="s">
        <v>260</v>
      </c>
      <c r="D91" s="20" t="s">
        <v>267</v>
      </c>
      <c r="E91" s="22" t="s">
        <v>268</v>
      </c>
      <c r="F91" s="22" t="s">
        <v>21</v>
      </c>
      <c r="G91" s="22" t="s">
        <v>22</v>
      </c>
      <c r="H91" s="83" t="s">
        <v>269</v>
      </c>
      <c r="I91" s="23" t="s">
        <v>24</v>
      </c>
      <c r="J91" s="24">
        <v>120</v>
      </c>
      <c r="K91" s="25">
        <v>0.25</v>
      </c>
      <c r="L91" s="26">
        <f t="shared" si="11"/>
        <v>30</v>
      </c>
      <c r="M91" s="27">
        <f t="shared" si="12"/>
        <v>90</v>
      </c>
      <c r="N91" s="28">
        <v>0.16</v>
      </c>
      <c r="O91" s="29">
        <f t="shared" si="14"/>
        <v>14.4</v>
      </c>
      <c r="P91" s="30">
        <f t="shared" si="15"/>
        <v>104.4</v>
      </c>
      <c r="Q91" s="23"/>
      <c r="R91" s="52"/>
      <c r="S91" s="53"/>
      <c r="T91" s="54">
        <f t="shared" si="17"/>
        <v>0</v>
      </c>
      <c r="U91" s="26">
        <f t="shared" si="17"/>
        <v>0</v>
      </c>
      <c r="V91" s="55">
        <f t="shared" si="18"/>
        <v>0</v>
      </c>
      <c r="W91" s="29">
        <f t="shared" si="13"/>
        <v>0</v>
      </c>
      <c r="X91" s="30">
        <f t="shared" si="16"/>
        <v>0</v>
      </c>
      <c r="Y91"/>
      <c r="Z91"/>
      <c r="AA91"/>
    </row>
    <row r="92" spans="1:27" s="51" customFormat="1" ht="18.600000000000001" hidden="1" customHeight="1" x14ac:dyDescent="0.25">
      <c r="A92" s="81" t="s">
        <v>16</v>
      </c>
      <c r="B92" s="31" t="s">
        <v>17</v>
      </c>
      <c r="C92" s="32" t="s">
        <v>260</v>
      </c>
      <c r="D92" s="31" t="s">
        <v>270</v>
      </c>
      <c r="E92" s="33" t="s">
        <v>271</v>
      </c>
      <c r="F92" s="33" t="s">
        <v>21</v>
      </c>
      <c r="G92" s="33" t="s">
        <v>22</v>
      </c>
      <c r="H92" s="84" t="s">
        <v>272</v>
      </c>
      <c r="I92" s="23" t="s">
        <v>24</v>
      </c>
      <c r="J92" s="34">
        <v>120</v>
      </c>
      <c r="K92" s="35">
        <v>0.25</v>
      </c>
      <c r="L92" s="36">
        <f t="shared" si="11"/>
        <v>30</v>
      </c>
      <c r="M92" s="37">
        <f t="shared" si="12"/>
        <v>90</v>
      </c>
      <c r="N92" s="38">
        <v>0.16</v>
      </c>
      <c r="O92" s="39">
        <f t="shared" si="14"/>
        <v>14.4</v>
      </c>
      <c r="P92" s="40">
        <f t="shared" si="15"/>
        <v>104.4</v>
      </c>
      <c r="Q92" s="23"/>
      <c r="R92" s="56"/>
      <c r="S92" s="57"/>
      <c r="T92" s="58">
        <f t="shared" si="17"/>
        <v>0</v>
      </c>
      <c r="U92" s="36">
        <f t="shared" si="17"/>
        <v>0</v>
      </c>
      <c r="V92" s="59">
        <f t="shared" si="18"/>
        <v>0</v>
      </c>
      <c r="W92" s="39">
        <f t="shared" si="13"/>
        <v>0</v>
      </c>
      <c r="X92" s="40">
        <f t="shared" si="16"/>
        <v>0</v>
      </c>
      <c r="Y92"/>
      <c r="Z92"/>
      <c r="AA92"/>
    </row>
    <row r="93" spans="1:27" s="51" customFormat="1" ht="18.600000000000001" hidden="1" customHeight="1" x14ac:dyDescent="0.25">
      <c r="A93" s="82" t="s">
        <v>16</v>
      </c>
      <c r="B93" s="41" t="s">
        <v>17</v>
      </c>
      <c r="C93" s="42" t="s">
        <v>260</v>
      </c>
      <c r="D93" s="41" t="s">
        <v>273</v>
      </c>
      <c r="E93" s="43" t="s">
        <v>274</v>
      </c>
      <c r="F93" s="43" t="s">
        <v>21</v>
      </c>
      <c r="G93" s="43" t="s">
        <v>22</v>
      </c>
      <c r="H93" s="85" t="s">
        <v>275</v>
      </c>
      <c r="I93" s="23" t="s">
        <v>24</v>
      </c>
      <c r="J93" s="44">
        <v>120</v>
      </c>
      <c r="K93" s="45">
        <v>0.25</v>
      </c>
      <c r="L93" s="46">
        <f t="shared" si="11"/>
        <v>30</v>
      </c>
      <c r="M93" s="47">
        <f t="shared" si="12"/>
        <v>90</v>
      </c>
      <c r="N93" s="48">
        <v>0.16</v>
      </c>
      <c r="O93" s="49">
        <f t="shared" si="14"/>
        <v>14.4</v>
      </c>
      <c r="P93" s="50">
        <f t="shared" si="15"/>
        <v>104.4</v>
      </c>
      <c r="Q93" s="23"/>
      <c r="R93" s="60"/>
      <c r="S93" s="61"/>
      <c r="T93" s="62">
        <f t="shared" si="17"/>
        <v>0</v>
      </c>
      <c r="U93" s="46">
        <f t="shared" si="17"/>
        <v>0</v>
      </c>
      <c r="V93" s="63">
        <f t="shared" si="18"/>
        <v>0</v>
      </c>
      <c r="W93" s="49">
        <f t="shared" si="13"/>
        <v>0</v>
      </c>
      <c r="X93" s="50">
        <f t="shared" si="16"/>
        <v>0</v>
      </c>
      <c r="Y93"/>
      <c r="Z93"/>
      <c r="AA93"/>
    </row>
    <row r="94" spans="1:27" s="51" customFormat="1" ht="18.600000000000001" hidden="1" customHeight="1" x14ac:dyDescent="0.25">
      <c r="A94" s="80" t="s">
        <v>16</v>
      </c>
      <c r="B94" s="20" t="s">
        <v>17</v>
      </c>
      <c r="C94" s="21" t="s">
        <v>260</v>
      </c>
      <c r="D94" s="20" t="s">
        <v>276</v>
      </c>
      <c r="E94" s="22" t="s">
        <v>277</v>
      </c>
      <c r="F94" s="22" t="s">
        <v>21</v>
      </c>
      <c r="G94" s="22" t="s">
        <v>22</v>
      </c>
      <c r="H94" s="83" t="s">
        <v>278</v>
      </c>
      <c r="I94" s="23" t="s">
        <v>24</v>
      </c>
      <c r="J94" s="24">
        <v>120</v>
      </c>
      <c r="K94" s="25">
        <v>0.25</v>
      </c>
      <c r="L94" s="26">
        <f t="shared" si="11"/>
        <v>30</v>
      </c>
      <c r="M94" s="27">
        <f t="shared" si="12"/>
        <v>90</v>
      </c>
      <c r="N94" s="28">
        <v>0.16</v>
      </c>
      <c r="O94" s="29">
        <f t="shared" si="14"/>
        <v>14.4</v>
      </c>
      <c r="P94" s="30">
        <f t="shared" si="15"/>
        <v>104.4</v>
      </c>
      <c r="Q94" s="23"/>
      <c r="R94" s="52"/>
      <c r="S94" s="53"/>
      <c r="T94" s="54">
        <f t="shared" si="17"/>
        <v>0</v>
      </c>
      <c r="U94" s="26">
        <f t="shared" si="17"/>
        <v>0</v>
      </c>
      <c r="V94" s="55">
        <f t="shared" si="18"/>
        <v>0</v>
      </c>
      <c r="W94" s="29">
        <f t="shared" si="13"/>
        <v>0</v>
      </c>
      <c r="X94" s="30">
        <f t="shared" si="16"/>
        <v>0</v>
      </c>
      <c r="Y94"/>
      <c r="Z94"/>
      <c r="AA94"/>
    </row>
    <row r="95" spans="1:27" s="51" customFormat="1" ht="18.600000000000001" hidden="1" customHeight="1" x14ac:dyDescent="0.25">
      <c r="A95" s="81" t="s">
        <v>16</v>
      </c>
      <c r="B95" s="31" t="s">
        <v>17</v>
      </c>
      <c r="C95" s="32" t="s">
        <v>260</v>
      </c>
      <c r="D95" s="31" t="s">
        <v>279</v>
      </c>
      <c r="E95" s="33" t="s">
        <v>280</v>
      </c>
      <c r="F95" s="33" t="s">
        <v>21</v>
      </c>
      <c r="G95" s="33" t="s">
        <v>22</v>
      </c>
      <c r="H95" s="84" t="s">
        <v>281</v>
      </c>
      <c r="I95" s="23" t="s">
        <v>24</v>
      </c>
      <c r="J95" s="34">
        <v>120</v>
      </c>
      <c r="K95" s="35">
        <v>0.25</v>
      </c>
      <c r="L95" s="36">
        <f t="shared" si="11"/>
        <v>30</v>
      </c>
      <c r="M95" s="37">
        <f t="shared" si="12"/>
        <v>90</v>
      </c>
      <c r="N95" s="38">
        <v>0.16</v>
      </c>
      <c r="O95" s="39">
        <f t="shared" si="14"/>
        <v>14.4</v>
      </c>
      <c r="P95" s="40">
        <f t="shared" si="15"/>
        <v>104.4</v>
      </c>
      <c r="Q95" s="23"/>
      <c r="R95" s="56"/>
      <c r="S95" s="57"/>
      <c r="T95" s="58">
        <f t="shared" si="17"/>
        <v>0</v>
      </c>
      <c r="U95" s="36">
        <f t="shared" si="17"/>
        <v>0</v>
      </c>
      <c r="V95" s="59">
        <f t="shared" si="18"/>
        <v>0</v>
      </c>
      <c r="W95" s="39">
        <f t="shared" si="13"/>
        <v>0</v>
      </c>
      <c r="X95" s="40">
        <f t="shared" si="16"/>
        <v>0</v>
      </c>
      <c r="Y95"/>
      <c r="Z95"/>
      <c r="AA95"/>
    </row>
    <row r="96" spans="1:27" s="51" customFormat="1" ht="18.600000000000001" hidden="1" customHeight="1" x14ac:dyDescent="0.25">
      <c r="A96" s="82" t="s">
        <v>16</v>
      </c>
      <c r="B96" s="41" t="s">
        <v>17</v>
      </c>
      <c r="C96" s="42" t="s">
        <v>260</v>
      </c>
      <c r="D96" s="41" t="s">
        <v>282</v>
      </c>
      <c r="E96" s="43" t="s">
        <v>283</v>
      </c>
      <c r="F96" s="43" t="s">
        <v>21</v>
      </c>
      <c r="G96" s="43" t="s">
        <v>22</v>
      </c>
      <c r="H96" s="85" t="s">
        <v>284</v>
      </c>
      <c r="I96" s="23" t="s">
        <v>24</v>
      </c>
      <c r="J96" s="44">
        <v>120</v>
      </c>
      <c r="K96" s="45">
        <v>0.25</v>
      </c>
      <c r="L96" s="46">
        <f t="shared" si="11"/>
        <v>30</v>
      </c>
      <c r="M96" s="47">
        <f t="shared" si="12"/>
        <v>90</v>
      </c>
      <c r="N96" s="48">
        <v>0.16</v>
      </c>
      <c r="O96" s="49">
        <f t="shared" si="14"/>
        <v>14.4</v>
      </c>
      <c r="P96" s="50">
        <f t="shared" si="15"/>
        <v>104.4</v>
      </c>
      <c r="Q96" s="23"/>
      <c r="R96" s="60"/>
      <c r="S96" s="61"/>
      <c r="T96" s="62">
        <f t="shared" si="17"/>
        <v>0</v>
      </c>
      <c r="U96" s="46">
        <f t="shared" si="17"/>
        <v>0</v>
      </c>
      <c r="V96" s="63">
        <f t="shared" si="18"/>
        <v>0</v>
      </c>
      <c r="W96" s="49">
        <f t="shared" si="13"/>
        <v>0</v>
      </c>
      <c r="X96" s="50">
        <f t="shared" si="16"/>
        <v>0</v>
      </c>
      <c r="Y96"/>
      <c r="Z96"/>
      <c r="AA96"/>
    </row>
    <row r="97" spans="1:27" s="51" customFormat="1" ht="18.600000000000001" hidden="1" customHeight="1" x14ac:dyDescent="0.25">
      <c r="A97" s="80" t="s">
        <v>16</v>
      </c>
      <c r="B97" s="20" t="s">
        <v>17</v>
      </c>
      <c r="C97" s="21" t="s">
        <v>211</v>
      </c>
      <c r="D97" s="20" t="s">
        <v>285</v>
      </c>
      <c r="E97" s="22" t="s">
        <v>286</v>
      </c>
      <c r="F97" s="22" t="s">
        <v>21</v>
      </c>
      <c r="G97" s="22" t="s">
        <v>22</v>
      </c>
      <c r="H97" s="83" t="s">
        <v>287</v>
      </c>
      <c r="I97" s="23" t="s">
        <v>24</v>
      </c>
      <c r="J97" s="24">
        <v>120</v>
      </c>
      <c r="K97" s="25">
        <v>0.25</v>
      </c>
      <c r="L97" s="26">
        <f t="shared" si="11"/>
        <v>30</v>
      </c>
      <c r="M97" s="27">
        <f t="shared" si="12"/>
        <v>90</v>
      </c>
      <c r="N97" s="28">
        <v>0.16</v>
      </c>
      <c r="O97" s="29">
        <f t="shared" si="14"/>
        <v>14.4</v>
      </c>
      <c r="P97" s="30">
        <f t="shared" si="15"/>
        <v>104.4</v>
      </c>
      <c r="Q97" s="23"/>
      <c r="R97" s="52"/>
      <c r="S97" s="53"/>
      <c r="T97" s="54">
        <f t="shared" si="17"/>
        <v>0</v>
      </c>
      <c r="U97" s="26">
        <f t="shared" si="17"/>
        <v>0</v>
      </c>
      <c r="V97" s="55">
        <f t="shared" si="18"/>
        <v>0</v>
      </c>
      <c r="W97" s="29">
        <f t="shared" si="13"/>
        <v>0</v>
      </c>
      <c r="X97" s="30">
        <f t="shared" si="16"/>
        <v>0</v>
      </c>
      <c r="Y97"/>
      <c r="Z97"/>
      <c r="AA97"/>
    </row>
    <row r="98" spans="1:27" s="51" customFormat="1" ht="18.600000000000001" hidden="1" customHeight="1" x14ac:dyDescent="0.25">
      <c r="A98" s="81" t="s">
        <v>16</v>
      </c>
      <c r="B98" s="31" t="s">
        <v>17</v>
      </c>
      <c r="C98" s="32" t="s">
        <v>211</v>
      </c>
      <c r="D98" s="31" t="s">
        <v>288</v>
      </c>
      <c r="E98" s="33" t="s">
        <v>289</v>
      </c>
      <c r="F98" s="33" t="s">
        <v>21</v>
      </c>
      <c r="G98" s="33" t="s">
        <v>22</v>
      </c>
      <c r="H98" s="84" t="s">
        <v>290</v>
      </c>
      <c r="I98" s="23" t="s">
        <v>24</v>
      </c>
      <c r="J98" s="34">
        <v>120</v>
      </c>
      <c r="K98" s="35">
        <v>0.25</v>
      </c>
      <c r="L98" s="36">
        <f t="shared" si="11"/>
        <v>30</v>
      </c>
      <c r="M98" s="37">
        <f t="shared" si="12"/>
        <v>90</v>
      </c>
      <c r="N98" s="38">
        <v>0.16</v>
      </c>
      <c r="O98" s="39">
        <f t="shared" si="14"/>
        <v>14.4</v>
      </c>
      <c r="P98" s="40">
        <f t="shared" si="15"/>
        <v>104.4</v>
      </c>
      <c r="Q98" s="23"/>
      <c r="R98" s="56"/>
      <c r="S98" s="57"/>
      <c r="T98" s="58">
        <f t="shared" si="17"/>
        <v>0</v>
      </c>
      <c r="U98" s="36">
        <f t="shared" si="17"/>
        <v>0</v>
      </c>
      <c r="V98" s="59">
        <f t="shared" si="18"/>
        <v>0</v>
      </c>
      <c r="W98" s="39">
        <f t="shared" si="13"/>
        <v>0</v>
      </c>
      <c r="X98" s="40">
        <f t="shared" si="16"/>
        <v>0</v>
      </c>
      <c r="Y98"/>
      <c r="Z98"/>
      <c r="AA98"/>
    </row>
    <row r="99" spans="1:27" s="51" customFormat="1" ht="18.600000000000001" hidden="1" customHeight="1" x14ac:dyDescent="0.25">
      <c r="A99" s="82" t="s">
        <v>16</v>
      </c>
      <c r="B99" s="41" t="s">
        <v>17</v>
      </c>
      <c r="C99" s="42" t="s">
        <v>211</v>
      </c>
      <c r="D99" s="41" t="s">
        <v>291</v>
      </c>
      <c r="E99" s="43" t="s">
        <v>292</v>
      </c>
      <c r="F99" s="43" t="s">
        <v>21</v>
      </c>
      <c r="G99" s="43" t="s">
        <v>22</v>
      </c>
      <c r="H99" s="85" t="s">
        <v>293</v>
      </c>
      <c r="I99" s="23" t="s">
        <v>24</v>
      </c>
      <c r="J99" s="44">
        <v>120</v>
      </c>
      <c r="K99" s="45">
        <v>0.25</v>
      </c>
      <c r="L99" s="46">
        <f t="shared" si="11"/>
        <v>30</v>
      </c>
      <c r="M99" s="47">
        <f t="shared" si="12"/>
        <v>90</v>
      </c>
      <c r="N99" s="48">
        <v>0.16</v>
      </c>
      <c r="O99" s="49">
        <f t="shared" si="14"/>
        <v>14.4</v>
      </c>
      <c r="P99" s="50">
        <f t="shared" si="15"/>
        <v>104.4</v>
      </c>
      <c r="Q99" s="23"/>
      <c r="R99" s="60"/>
      <c r="S99" s="61"/>
      <c r="T99" s="62">
        <f t="shared" si="17"/>
        <v>0</v>
      </c>
      <c r="U99" s="46">
        <f t="shared" si="17"/>
        <v>0</v>
      </c>
      <c r="V99" s="63">
        <f t="shared" si="18"/>
        <v>0</v>
      </c>
      <c r="W99" s="49">
        <f t="shared" si="13"/>
        <v>0</v>
      </c>
      <c r="X99" s="50">
        <f t="shared" si="16"/>
        <v>0</v>
      </c>
      <c r="Y99"/>
      <c r="Z99"/>
      <c r="AA99"/>
    </row>
    <row r="100" spans="1:27" s="51" customFormat="1" ht="18.600000000000001" hidden="1" customHeight="1" x14ac:dyDescent="0.25">
      <c r="A100" s="80" t="s">
        <v>16</v>
      </c>
      <c r="B100" s="20" t="s">
        <v>17</v>
      </c>
      <c r="C100" s="21" t="s">
        <v>211</v>
      </c>
      <c r="D100" s="20" t="s">
        <v>294</v>
      </c>
      <c r="E100" s="22" t="s">
        <v>295</v>
      </c>
      <c r="F100" s="22" t="s">
        <v>21</v>
      </c>
      <c r="G100" s="22" t="s">
        <v>22</v>
      </c>
      <c r="H100" s="83" t="s">
        <v>296</v>
      </c>
      <c r="I100" s="23" t="s">
        <v>24</v>
      </c>
      <c r="J100" s="24">
        <v>120</v>
      </c>
      <c r="K100" s="25">
        <v>0.25</v>
      </c>
      <c r="L100" s="26">
        <f t="shared" si="11"/>
        <v>30</v>
      </c>
      <c r="M100" s="27">
        <f t="shared" si="12"/>
        <v>90</v>
      </c>
      <c r="N100" s="28">
        <v>0.16</v>
      </c>
      <c r="O100" s="29">
        <f t="shared" si="14"/>
        <v>14.4</v>
      </c>
      <c r="P100" s="30">
        <f t="shared" si="15"/>
        <v>104.4</v>
      </c>
      <c r="Q100" s="23"/>
      <c r="R100" s="52"/>
      <c r="S100" s="53"/>
      <c r="T100" s="54">
        <f t="shared" si="17"/>
        <v>0</v>
      </c>
      <c r="U100" s="26">
        <f t="shared" si="17"/>
        <v>0</v>
      </c>
      <c r="V100" s="55">
        <f t="shared" si="18"/>
        <v>0</v>
      </c>
      <c r="W100" s="29">
        <f t="shared" si="13"/>
        <v>0</v>
      </c>
      <c r="X100" s="30">
        <f t="shared" si="16"/>
        <v>0</v>
      </c>
      <c r="Y100"/>
      <c r="Z100"/>
      <c r="AA100"/>
    </row>
    <row r="101" spans="1:27" s="51" customFormat="1" ht="18.600000000000001" hidden="1" customHeight="1" x14ac:dyDescent="0.25">
      <c r="A101" s="81" t="s">
        <v>16</v>
      </c>
      <c r="B101" s="31" t="s">
        <v>17</v>
      </c>
      <c r="C101" s="32" t="s">
        <v>211</v>
      </c>
      <c r="D101" s="31" t="s">
        <v>297</v>
      </c>
      <c r="E101" s="33" t="s">
        <v>298</v>
      </c>
      <c r="F101" s="33" t="s">
        <v>21</v>
      </c>
      <c r="G101" s="33" t="s">
        <v>22</v>
      </c>
      <c r="H101" s="84" t="s">
        <v>299</v>
      </c>
      <c r="I101" s="23" t="s">
        <v>24</v>
      </c>
      <c r="J101" s="34">
        <v>120</v>
      </c>
      <c r="K101" s="35">
        <v>0.25</v>
      </c>
      <c r="L101" s="36">
        <f t="shared" si="11"/>
        <v>30</v>
      </c>
      <c r="M101" s="37">
        <f t="shared" si="12"/>
        <v>90</v>
      </c>
      <c r="N101" s="38">
        <v>0.16</v>
      </c>
      <c r="O101" s="39">
        <f t="shared" si="14"/>
        <v>14.4</v>
      </c>
      <c r="P101" s="40">
        <f t="shared" si="15"/>
        <v>104.4</v>
      </c>
      <c r="Q101" s="23"/>
      <c r="R101" s="56"/>
      <c r="S101" s="57"/>
      <c r="T101" s="58">
        <f t="shared" si="17"/>
        <v>0</v>
      </c>
      <c r="U101" s="36">
        <f t="shared" si="17"/>
        <v>0</v>
      </c>
      <c r="V101" s="59">
        <f t="shared" si="18"/>
        <v>0</v>
      </c>
      <c r="W101" s="39">
        <f t="shared" si="13"/>
        <v>0</v>
      </c>
      <c r="X101" s="40">
        <f t="shared" si="16"/>
        <v>0</v>
      </c>
      <c r="Y101"/>
      <c r="Z101"/>
      <c r="AA101"/>
    </row>
    <row r="102" spans="1:27" s="51" customFormat="1" ht="18.600000000000001" hidden="1" customHeight="1" x14ac:dyDescent="0.25">
      <c r="A102" s="82" t="s">
        <v>16</v>
      </c>
      <c r="B102" s="41" t="s">
        <v>17</v>
      </c>
      <c r="C102" s="42" t="s">
        <v>211</v>
      </c>
      <c r="D102" s="41" t="s">
        <v>300</v>
      </c>
      <c r="E102" s="43" t="s">
        <v>301</v>
      </c>
      <c r="F102" s="43" t="s">
        <v>21</v>
      </c>
      <c r="G102" s="43" t="s">
        <v>22</v>
      </c>
      <c r="H102" s="85" t="s">
        <v>302</v>
      </c>
      <c r="I102" s="23" t="s">
        <v>24</v>
      </c>
      <c r="J102" s="44">
        <v>120</v>
      </c>
      <c r="K102" s="45">
        <v>0.25</v>
      </c>
      <c r="L102" s="46">
        <f t="shared" si="11"/>
        <v>30</v>
      </c>
      <c r="M102" s="47">
        <f t="shared" si="12"/>
        <v>90</v>
      </c>
      <c r="N102" s="48">
        <v>0.16</v>
      </c>
      <c r="O102" s="49">
        <f t="shared" si="14"/>
        <v>14.4</v>
      </c>
      <c r="P102" s="50">
        <f t="shared" si="15"/>
        <v>104.4</v>
      </c>
      <c r="Q102" s="23"/>
      <c r="R102" s="60"/>
      <c r="S102" s="61"/>
      <c r="T102" s="62">
        <f t="shared" si="17"/>
        <v>0</v>
      </c>
      <c r="U102" s="46">
        <f t="shared" si="17"/>
        <v>0</v>
      </c>
      <c r="V102" s="63">
        <f t="shared" si="18"/>
        <v>0</v>
      </c>
      <c r="W102" s="49">
        <f t="shared" si="13"/>
        <v>0</v>
      </c>
      <c r="X102" s="50">
        <f t="shared" si="16"/>
        <v>0</v>
      </c>
      <c r="Y102"/>
      <c r="Z102"/>
      <c r="AA102"/>
    </row>
    <row r="103" spans="1:27" s="51" customFormat="1" ht="18.600000000000001" hidden="1" customHeight="1" x14ac:dyDescent="0.25">
      <c r="A103" s="80" t="s">
        <v>16</v>
      </c>
      <c r="B103" s="20" t="s">
        <v>17</v>
      </c>
      <c r="C103" s="21" t="s">
        <v>211</v>
      </c>
      <c r="D103" s="20" t="s">
        <v>303</v>
      </c>
      <c r="E103" s="22" t="s">
        <v>304</v>
      </c>
      <c r="F103" s="22" t="s">
        <v>21</v>
      </c>
      <c r="G103" s="22" t="s">
        <v>22</v>
      </c>
      <c r="H103" s="83" t="s">
        <v>305</v>
      </c>
      <c r="I103" s="23" t="s">
        <v>24</v>
      </c>
      <c r="J103" s="24">
        <v>120</v>
      </c>
      <c r="K103" s="25">
        <v>0.25</v>
      </c>
      <c r="L103" s="26">
        <f t="shared" si="11"/>
        <v>30</v>
      </c>
      <c r="M103" s="27">
        <f t="shared" si="12"/>
        <v>90</v>
      </c>
      <c r="N103" s="28">
        <v>0.16</v>
      </c>
      <c r="O103" s="29">
        <f t="shared" si="14"/>
        <v>14.4</v>
      </c>
      <c r="P103" s="30">
        <f t="shared" si="15"/>
        <v>104.4</v>
      </c>
      <c r="Q103" s="23"/>
      <c r="R103" s="52"/>
      <c r="S103" s="53"/>
      <c r="T103" s="54">
        <f t="shared" si="17"/>
        <v>0</v>
      </c>
      <c r="U103" s="26">
        <f t="shared" si="17"/>
        <v>0</v>
      </c>
      <c r="V103" s="55">
        <f t="shared" si="18"/>
        <v>0</v>
      </c>
      <c r="W103" s="29">
        <f t="shared" si="13"/>
        <v>0</v>
      </c>
      <c r="X103" s="30">
        <f t="shared" si="16"/>
        <v>0</v>
      </c>
      <c r="Y103"/>
      <c r="Z103"/>
      <c r="AA103"/>
    </row>
    <row r="104" spans="1:27" s="51" customFormat="1" ht="18.600000000000001" hidden="1" customHeight="1" x14ac:dyDescent="0.25">
      <c r="A104" s="81" t="s">
        <v>16</v>
      </c>
      <c r="B104" s="31" t="s">
        <v>17</v>
      </c>
      <c r="C104" s="32" t="s">
        <v>211</v>
      </c>
      <c r="D104" s="31" t="s">
        <v>306</v>
      </c>
      <c r="E104" s="33" t="s">
        <v>307</v>
      </c>
      <c r="F104" s="33" t="s">
        <v>21</v>
      </c>
      <c r="G104" s="33" t="s">
        <v>22</v>
      </c>
      <c r="H104" s="84" t="s">
        <v>308</v>
      </c>
      <c r="I104" s="23" t="s">
        <v>24</v>
      </c>
      <c r="J104" s="34">
        <v>120</v>
      </c>
      <c r="K104" s="35">
        <v>0.25</v>
      </c>
      <c r="L104" s="36">
        <f t="shared" si="11"/>
        <v>30</v>
      </c>
      <c r="M104" s="37">
        <f t="shared" si="12"/>
        <v>90</v>
      </c>
      <c r="N104" s="38">
        <v>0.16</v>
      </c>
      <c r="O104" s="39">
        <f t="shared" si="14"/>
        <v>14.4</v>
      </c>
      <c r="P104" s="40">
        <f t="shared" si="15"/>
        <v>104.4</v>
      </c>
      <c r="Q104" s="23"/>
      <c r="R104" s="56"/>
      <c r="S104" s="57"/>
      <c r="T104" s="58">
        <f t="shared" si="17"/>
        <v>0</v>
      </c>
      <c r="U104" s="36">
        <f t="shared" si="17"/>
        <v>0</v>
      </c>
      <c r="V104" s="59">
        <f t="shared" si="18"/>
        <v>0</v>
      </c>
      <c r="W104" s="39">
        <f t="shared" si="13"/>
        <v>0</v>
      </c>
      <c r="X104" s="40">
        <f t="shared" si="16"/>
        <v>0</v>
      </c>
      <c r="Y104"/>
      <c r="Z104"/>
      <c r="AA104"/>
    </row>
    <row r="105" spans="1:27" s="51" customFormat="1" ht="18.600000000000001" hidden="1" customHeight="1" x14ac:dyDescent="0.25">
      <c r="A105" s="82" t="s">
        <v>16</v>
      </c>
      <c r="B105" s="41" t="s">
        <v>17</v>
      </c>
      <c r="C105" s="42" t="s">
        <v>260</v>
      </c>
      <c r="D105" s="41" t="s">
        <v>309</v>
      </c>
      <c r="E105" s="43" t="s">
        <v>310</v>
      </c>
      <c r="F105" s="43" t="s">
        <v>21</v>
      </c>
      <c r="G105" s="43" t="s">
        <v>22</v>
      </c>
      <c r="H105" s="85" t="s">
        <v>311</v>
      </c>
      <c r="I105" s="23" t="s">
        <v>24</v>
      </c>
      <c r="J105" s="44">
        <v>120</v>
      </c>
      <c r="K105" s="45">
        <v>0.25</v>
      </c>
      <c r="L105" s="46">
        <f t="shared" si="11"/>
        <v>30</v>
      </c>
      <c r="M105" s="47">
        <f t="shared" si="12"/>
        <v>90</v>
      </c>
      <c r="N105" s="48">
        <v>0.16</v>
      </c>
      <c r="O105" s="49">
        <f t="shared" si="14"/>
        <v>14.4</v>
      </c>
      <c r="P105" s="50">
        <f t="shared" si="15"/>
        <v>104.4</v>
      </c>
      <c r="Q105" s="23"/>
      <c r="R105" s="60"/>
      <c r="S105" s="61"/>
      <c r="T105" s="62">
        <f t="shared" si="17"/>
        <v>0</v>
      </c>
      <c r="U105" s="46">
        <f t="shared" si="17"/>
        <v>0</v>
      </c>
      <c r="V105" s="63">
        <f t="shared" si="18"/>
        <v>0</v>
      </c>
      <c r="W105" s="49">
        <f t="shared" si="13"/>
        <v>0</v>
      </c>
      <c r="X105" s="50">
        <f t="shared" si="16"/>
        <v>0</v>
      </c>
      <c r="Y105"/>
      <c r="Z105"/>
      <c r="AA105"/>
    </row>
    <row r="106" spans="1:27" s="51" customFormat="1" ht="18.600000000000001" hidden="1" customHeight="1" x14ac:dyDescent="0.25">
      <c r="A106" s="80" t="s">
        <v>16</v>
      </c>
      <c r="B106" s="20" t="s">
        <v>17</v>
      </c>
      <c r="C106" s="21" t="s">
        <v>260</v>
      </c>
      <c r="D106" s="20" t="s">
        <v>312</v>
      </c>
      <c r="E106" s="22" t="s">
        <v>313</v>
      </c>
      <c r="F106" s="22" t="s">
        <v>21</v>
      </c>
      <c r="G106" s="22" t="s">
        <v>22</v>
      </c>
      <c r="H106" s="83" t="s">
        <v>314</v>
      </c>
      <c r="I106" s="23" t="s">
        <v>24</v>
      </c>
      <c r="J106" s="24">
        <v>120</v>
      </c>
      <c r="K106" s="25">
        <v>0.25</v>
      </c>
      <c r="L106" s="26">
        <f t="shared" si="11"/>
        <v>30</v>
      </c>
      <c r="M106" s="27">
        <f t="shared" si="12"/>
        <v>90</v>
      </c>
      <c r="N106" s="28">
        <v>0.16</v>
      </c>
      <c r="O106" s="29">
        <f t="shared" si="14"/>
        <v>14.4</v>
      </c>
      <c r="P106" s="30">
        <f t="shared" si="15"/>
        <v>104.4</v>
      </c>
      <c r="Q106" s="23"/>
      <c r="R106" s="52"/>
      <c r="S106" s="53"/>
      <c r="T106" s="54">
        <f t="shared" si="17"/>
        <v>0</v>
      </c>
      <c r="U106" s="26">
        <f t="shared" si="17"/>
        <v>0</v>
      </c>
      <c r="V106" s="55">
        <f t="shared" si="18"/>
        <v>0</v>
      </c>
      <c r="W106" s="29">
        <f t="shared" si="13"/>
        <v>0</v>
      </c>
      <c r="X106" s="30">
        <f t="shared" si="16"/>
        <v>0</v>
      </c>
      <c r="Y106"/>
      <c r="Z106"/>
      <c r="AA106"/>
    </row>
    <row r="107" spans="1:27" s="51" customFormat="1" ht="18.600000000000001" hidden="1" customHeight="1" x14ac:dyDescent="0.25">
      <c r="A107" s="81" t="s">
        <v>16</v>
      </c>
      <c r="B107" s="31" t="s">
        <v>17</v>
      </c>
      <c r="C107" s="32" t="s">
        <v>260</v>
      </c>
      <c r="D107" s="31" t="s">
        <v>315</v>
      </c>
      <c r="E107" s="33" t="s">
        <v>316</v>
      </c>
      <c r="F107" s="33" t="s">
        <v>21</v>
      </c>
      <c r="G107" s="33" t="s">
        <v>22</v>
      </c>
      <c r="H107" s="84" t="s">
        <v>317</v>
      </c>
      <c r="I107" s="23" t="s">
        <v>24</v>
      </c>
      <c r="J107" s="34">
        <v>120</v>
      </c>
      <c r="K107" s="35">
        <v>0.25</v>
      </c>
      <c r="L107" s="36">
        <f t="shared" si="11"/>
        <v>30</v>
      </c>
      <c r="M107" s="37">
        <f t="shared" si="12"/>
        <v>90</v>
      </c>
      <c r="N107" s="38">
        <v>0.16</v>
      </c>
      <c r="O107" s="39">
        <f t="shared" si="14"/>
        <v>14.4</v>
      </c>
      <c r="P107" s="40">
        <f t="shared" si="15"/>
        <v>104.4</v>
      </c>
      <c r="Q107" s="23"/>
      <c r="R107" s="56"/>
      <c r="S107" s="57"/>
      <c r="T107" s="58">
        <f t="shared" si="17"/>
        <v>0</v>
      </c>
      <c r="U107" s="36">
        <f t="shared" si="17"/>
        <v>0</v>
      </c>
      <c r="V107" s="59">
        <f t="shared" si="18"/>
        <v>0</v>
      </c>
      <c r="W107" s="39">
        <f t="shared" si="13"/>
        <v>0</v>
      </c>
      <c r="X107" s="40">
        <f t="shared" si="16"/>
        <v>0</v>
      </c>
      <c r="Y107"/>
      <c r="Z107"/>
      <c r="AA107"/>
    </row>
    <row r="108" spans="1:27" s="51" customFormat="1" ht="18.600000000000001" hidden="1" customHeight="1" x14ac:dyDescent="0.25">
      <c r="A108" s="82" t="s">
        <v>16</v>
      </c>
      <c r="B108" s="41" t="s">
        <v>17</v>
      </c>
      <c r="C108" s="42" t="s">
        <v>260</v>
      </c>
      <c r="D108" s="41" t="s">
        <v>318</v>
      </c>
      <c r="E108" s="43" t="s">
        <v>319</v>
      </c>
      <c r="F108" s="43" t="s">
        <v>21</v>
      </c>
      <c r="G108" s="43" t="s">
        <v>22</v>
      </c>
      <c r="H108" s="85" t="s">
        <v>320</v>
      </c>
      <c r="I108" s="23" t="s">
        <v>24</v>
      </c>
      <c r="J108" s="44">
        <v>120</v>
      </c>
      <c r="K108" s="45">
        <v>0.25</v>
      </c>
      <c r="L108" s="46">
        <f t="shared" si="11"/>
        <v>30</v>
      </c>
      <c r="M108" s="47">
        <f t="shared" si="12"/>
        <v>90</v>
      </c>
      <c r="N108" s="48">
        <v>0.16</v>
      </c>
      <c r="O108" s="49">
        <f t="shared" si="14"/>
        <v>14.4</v>
      </c>
      <c r="P108" s="50">
        <f t="shared" si="15"/>
        <v>104.4</v>
      </c>
      <c r="Q108" s="23"/>
      <c r="R108" s="60"/>
      <c r="S108" s="61"/>
      <c r="T108" s="62">
        <f t="shared" si="17"/>
        <v>0</v>
      </c>
      <c r="U108" s="46">
        <f t="shared" si="17"/>
        <v>0</v>
      </c>
      <c r="V108" s="63">
        <f t="shared" si="18"/>
        <v>0</v>
      </c>
      <c r="W108" s="49">
        <f t="shared" si="13"/>
        <v>0</v>
      </c>
      <c r="X108" s="50">
        <f t="shared" si="16"/>
        <v>0</v>
      </c>
      <c r="Y108"/>
      <c r="Z108"/>
      <c r="AA108"/>
    </row>
    <row r="109" spans="1:27" s="51" customFormat="1" ht="18.600000000000001" hidden="1" customHeight="1" x14ac:dyDescent="0.25">
      <c r="A109" s="80" t="s">
        <v>16</v>
      </c>
      <c r="B109" s="20" t="s">
        <v>17</v>
      </c>
      <c r="C109" s="21" t="s">
        <v>260</v>
      </c>
      <c r="D109" s="20" t="s">
        <v>321</v>
      </c>
      <c r="E109" s="22" t="s">
        <v>322</v>
      </c>
      <c r="F109" s="22" t="s">
        <v>21</v>
      </c>
      <c r="G109" s="22" t="s">
        <v>22</v>
      </c>
      <c r="H109" s="83" t="s">
        <v>323</v>
      </c>
      <c r="I109" s="23" t="s">
        <v>24</v>
      </c>
      <c r="J109" s="24">
        <v>120</v>
      </c>
      <c r="K109" s="25">
        <v>0.25</v>
      </c>
      <c r="L109" s="26">
        <f t="shared" si="11"/>
        <v>30</v>
      </c>
      <c r="M109" s="27">
        <f t="shared" si="12"/>
        <v>90</v>
      </c>
      <c r="N109" s="28">
        <v>0.16</v>
      </c>
      <c r="O109" s="29">
        <f t="shared" si="14"/>
        <v>14.4</v>
      </c>
      <c r="P109" s="30">
        <f t="shared" si="15"/>
        <v>104.4</v>
      </c>
      <c r="Q109" s="23"/>
      <c r="R109" s="52"/>
      <c r="S109" s="53"/>
      <c r="T109" s="54">
        <f t="shared" si="17"/>
        <v>0</v>
      </c>
      <c r="U109" s="26">
        <f t="shared" si="17"/>
        <v>0</v>
      </c>
      <c r="V109" s="55">
        <f t="shared" si="18"/>
        <v>0</v>
      </c>
      <c r="W109" s="29">
        <f t="shared" si="13"/>
        <v>0</v>
      </c>
      <c r="X109" s="30">
        <f t="shared" si="16"/>
        <v>0</v>
      </c>
      <c r="Y109"/>
      <c r="Z109"/>
      <c r="AA109"/>
    </row>
    <row r="110" spans="1:27" s="51" customFormat="1" ht="18.600000000000001" hidden="1" customHeight="1" x14ac:dyDescent="0.25">
      <c r="A110" s="81" t="s">
        <v>16</v>
      </c>
      <c r="B110" s="31" t="s">
        <v>17</v>
      </c>
      <c r="C110" s="32" t="s">
        <v>260</v>
      </c>
      <c r="D110" s="31" t="s">
        <v>324</v>
      </c>
      <c r="E110" s="33" t="s">
        <v>325</v>
      </c>
      <c r="F110" s="33" t="s">
        <v>21</v>
      </c>
      <c r="G110" s="33" t="s">
        <v>22</v>
      </c>
      <c r="H110" s="84" t="s">
        <v>326</v>
      </c>
      <c r="I110" s="23" t="s">
        <v>24</v>
      </c>
      <c r="J110" s="34">
        <v>120</v>
      </c>
      <c r="K110" s="35">
        <v>0.25</v>
      </c>
      <c r="L110" s="36">
        <f t="shared" si="11"/>
        <v>30</v>
      </c>
      <c r="M110" s="37">
        <f t="shared" si="12"/>
        <v>90</v>
      </c>
      <c r="N110" s="38">
        <v>0.16</v>
      </c>
      <c r="O110" s="39">
        <f t="shared" si="14"/>
        <v>14.4</v>
      </c>
      <c r="P110" s="40">
        <f t="shared" si="15"/>
        <v>104.4</v>
      </c>
      <c r="Q110" s="23"/>
      <c r="R110" s="56"/>
      <c r="S110" s="57"/>
      <c r="T110" s="58">
        <f t="shared" si="17"/>
        <v>0</v>
      </c>
      <c r="U110" s="36">
        <f t="shared" si="17"/>
        <v>0</v>
      </c>
      <c r="V110" s="59">
        <f t="shared" si="18"/>
        <v>0</v>
      </c>
      <c r="W110" s="39">
        <f t="shared" si="13"/>
        <v>0</v>
      </c>
      <c r="X110" s="40">
        <f t="shared" si="16"/>
        <v>0</v>
      </c>
      <c r="Y110"/>
      <c r="Z110"/>
      <c r="AA110"/>
    </row>
    <row r="111" spans="1:27" s="51" customFormat="1" ht="18.600000000000001" hidden="1" customHeight="1" x14ac:dyDescent="0.25">
      <c r="A111" s="82" t="s">
        <v>16</v>
      </c>
      <c r="B111" s="41" t="s">
        <v>17</v>
      </c>
      <c r="C111" s="42" t="s">
        <v>260</v>
      </c>
      <c r="D111" s="41" t="s">
        <v>327</v>
      </c>
      <c r="E111" s="43" t="s">
        <v>328</v>
      </c>
      <c r="F111" s="43" t="s">
        <v>21</v>
      </c>
      <c r="G111" s="43" t="s">
        <v>22</v>
      </c>
      <c r="H111" s="85" t="s">
        <v>329</v>
      </c>
      <c r="I111" s="23" t="s">
        <v>24</v>
      </c>
      <c r="J111" s="44">
        <v>120</v>
      </c>
      <c r="K111" s="45">
        <v>0.25</v>
      </c>
      <c r="L111" s="46">
        <f t="shared" si="11"/>
        <v>30</v>
      </c>
      <c r="M111" s="47">
        <f t="shared" si="12"/>
        <v>90</v>
      </c>
      <c r="N111" s="48">
        <v>0.16</v>
      </c>
      <c r="O111" s="49">
        <f t="shared" si="14"/>
        <v>14.4</v>
      </c>
      <c r="P111" s="50">
        <f t="shared" si="15"/>
        <v>104.4</v>
      </c>
      <c r="Q111" s="23"/>
      <c r="R111" s="60"/>
      <c r="S111" s="61"/>
      <c r="T111" s="62">
        <f t="shared" si="17"/>
        <v>0</v>
      </c>
      <c r="U111" s="46">
        <f t="shared" si="17"/>
        <v>0</v>
      </c>
      <c r="V111" s="63">
        <f t="shared" si="18"/>
        <v>0</v>
      </c>
      <c r="W111" s="49">
        <f t="shared" si="13"/>
        <v>0</v>
      </c>
      <c r="X111" s="50">
        <f t="shared" si="16"/>
        <v>0</v>
      </c>
      <c r="Y111"/>
      <c r="Z111"/>
      <c r="AA111"/>
    </row>
    <row r="112" spans="1:27" s="51" customFormat="1" ht="18.600000000000001" hidden="1" customHeight="1" x14ac:dyDescent="0.25">
      <c r="A112" s="80" t="s">
        <v>16</v>
      </c>
      <c r="B112" s="20" t="s">
        <v>17</v>
      </c>
      <c r="C112" s="21" t="s">
        <v>260</v>
      </c>
      <c r="D112" s="20" t="s">
        <v>330</v>
      </c>
      <c r="E112" s="22" t="s">
        <v>331</v>
      </c>
      <c r="F112" s="22" t="s">
        <v>21</v>
      </c>
      <c r="G112" s="22" t="s">
        <v>22</v>
      </c>
      <c r="H112" s="83" t="s">
        <v>332</v>
      </c>
      <c r="I112" s="23" t="s">
        <v>24</v>
      </c>
      <c r="J112" s="24">
        <v>120</v>
      </c>
      <c r="K112" s="25">
        <v>0.25</v>
      </c>
      <c r="L112" s="26">
        <f t="shared" si="11"/>
        <v>30</v>
      </c>
      <c r="M112" s="27">
        <f t="shared" si="12"/>
        <v>90</v>
      </c>
      <c r="N112" s="28">
        <v>0.16</v>
      </c>
      <c r="O112" s="29">
        <f t="shared" si="14"/>
        <v>14.4</v>
      </c>
      <c r="P112" s="30">
        <f t="shared" si="15"/>
        <v>104.4</v>
      </c>
      <c r="Q112" s="23"/>
      <c r="R112" s="52"/>
      <c r="S112" s="53"/>
      <c r="T112" s="54">
        <f t="shared" si="17"/>
        <v>0</v>
      </c>
      <c r="U112" s="26">
        <f t="shared" si="17"/>
        <v>0</v>
      </c>
      <c r="V112" s="55">
        <f t="shared" si="18"/>
        <v>0</v>
      </c>
      <c r="W112" s="29">
        <f t="shared" si="13"/>
        <v>0</v>
      </c>
      <c r="X112" s="30">
        <f t="shared" si="16"/>
        <v>0</v>
      </c>
      <c r="Y112"/>
      <c r="Z112"/>
      <c r="AA112"/>
    </row>
    <row r="113" spans="1:27" s="51" customFormat="1" ht="18.600000000000001" hidden="1" customHeight="1" x14ac:dyDescent="0.25">
      <c r="A113" s="81" t="s">
        <v>16</v>
      </c>
      <c r="B113" s="31" t="s">
        <v>17</v>
      </c>
      <c r="C113" s="32" t="s">
        <v>333</v>
      </c>
      <c r="D113" s="31" t="s">
        <v>334</v>
      </c>
      <c r="E113" s="33" t="s">
        <v>335</v>
      </c>
      <c r="F113" s="33" t="s">
        <v>21</v>
      </c>
      <c r="G113" s="33" t="s">
        <v>22</v>
      </c>
      <c r="H113" s="84" t="s">
        <v>336</v>
      </c>
      <c r="I113" s="23" t="s">
        <v>24</v>
      </c>
      <c r="J113" s="34">
        <v>110</v>
      </c>
      <c r="K113" s="35">
        <v>0.25</v>
      </c>
      <c r="L113" s="36">
        <f t="shared" si="11"/>
        <v>27.5</v>
      </c>
      <c r="M113" s="37">
        <f t="shared" si="12"/>
        <v>82.5</v>
      </c>
      <c r="N113" s="38">
        <v>0.16</v>
      </c>
      <c r="O113" s="39">
        <f t="shared" si="14"/>
        <v>13.200000000000001</v>
      </c>
      <c r="P113" s="40">
        <f t="shared" si="15"/>
        <v>95.7</v>
      </c>
      <c r="Q113" s="23"/>
      <c r="R113" s="56"/>
      <c r="S113" s="57"/>
      <c r="T113" s="58">
        <f t="shared" si="17"/>
        <v>0</v>
      </c>
      <c r="U113" s="36">
        <f t="shared" si="17"/>
        <v>0</v>
      </c>
      <c r="V113" s="59">
        <f t="shared" si="18"/>
        <v>0</v>
      </c>
      <c r="W113" s="39">
        <f t="shared" si="13"/>
        <v>0</v>
      </c>
      <c r="X113" s="40">
        <f t="shared" si="16"/>
        <v>0</v>
      </c>
      <c r="Y113"/>
      <c r="Z113"/>
      <c r="AA113"/>
    </row>
    <row r="114" spans="1:27" s="51" customFormat="1" ht="18.600000000000001" hidden="1" customHeight="1" x14ac:dyDescent="0.25">
      <c r="A114" s="82" t="s">
        <v>16</v>
      </c>
      <c r="B114" s="41" t="s">
        <v>17</v>
      </c>
      <c r="C114" s="42" t="s">
        <v>333</v>
      </c>
      <c r="D114" s="41" t="s">
        <v>337</v>
      </c>
      <c r="E114" s="43" t="s">
        <v>338</v>
      </c>
      <c r="F114" s="43" t="s">
        <v>21</v>
      </c>
      <c r="G114" s="43" t="s">
        <v>22</v>
      </c>
      <c r="H114" s="85" t="s">
        <v>339</v>
      </c>
      <c r="I114" s="23" t="s">
        <v>24</v>
      </c>
      <c r="J114" s="44">
        <v>110</v>
      </c>
      <c r="K114" s="45">
        <v>0.25</v>
      </c>
      <c r="L114" s="46">
        <f t="shared" si="11"/>
        <v>27.5</v>
      </c>
      <c r="M114" s="47">
        <f t="shared" si="12"/>
        <v>82.5</v>
      </c>
      <c r="N114" s="48">
        <v>0.16</v>
      </c>
      <c r="O114" s="49">
        <f t="shared" si="14"/>
        <v>13.200000000000001</v>
      </c>
      <c r="P114" s="50">
        <f t="shared" si="15"/>
        <v>95.7</v>
      </c>
      <c r="Q114" s="23"/>
      <c r="R114" s="60"/>
      <c r="S114" s="61"/>
      <c r="T114" s="62">
        <f t="shared" si="17"/>
        <v>0</v>
      </c>
      <c r="U114" s="46">
        <f t="shared" si="17"/>
        <v>0</v>
      </c>
      <c r="V114" s="63">
        <f t="shared" si="18"/>
        <v>0</v>
      </c>
      <c r="W114" s="49">
        <f t="shared" si="13"/>
        <v>0</v>
      </c>
      <c r="X114" s="50">
        <f t="shared" si="16"/>
        <v>0</v>
      </c>
      <c r="Y114"/>
      <c r="Z114"/>
      <c r="AA114"/>
    </row>
    <row r="115" spans="1:27" s="51" customFormat="1" ht="18.600000000000001" hidden="1" customHeight="1" x14ac:dyDescent="0.25">
      <c r="A115" s="80" t="s">
        <v>16</v>
      </c>
      <c r="B115" s="20" t="s">
        <v>17</v>
      </c>
      <c r="C115" s="21" t="s">
        <v>333</v>
      </c>
      <c r="D115" s="20" t="s">
        <v>340</v>
      </c>
      <c r="E115" s="22" t="s">
        <v>341</v>
      </c>
      <c r="F115" s="22" t="s">
        <v>21</v>
      </c>
      <c r="G115" s="22" t="s">
        <v>22</v>
      </c>
      <c r="H115" s="83" t="s">
        <v>342</v>
      </c>
      <c r="I115" s="23" t="s">
        <v>24</v>
      </c>
      <c r="J115" s="24">
        <v>110</v>
      </c>
      <c r="K115" s="25">
        <v>0.25</v>
      </c>
      <c r="L115" s="26">
        <f t="shared" si="11"/>
        <v>27.5</v>
      </c>
      <c r="M115" s="27">
        <f t="shared" si="12"/>
        <v>82.5</v>
      </c>
      <c r="N115" s="28">
        <v>0.16</v>
      </c>
      <c r="O115" s="29">
        <f t="shared" si="14"/>
        <v>13.200000000000001</v>
      </c>
      <c r="P115" s="30">
        <f t="shared" si="15"/>
        <v>95.7</v>
      </c>
      <c r="Q115" s="23"/>
      <c r="R115" s="52"/>
      <c r="S115" s="53"/>
      <c r="T115" s="54">
        <f t="shared" si="17"/>
        <v>0</v>
      </c>
      <c r="U115" s="26">
        <f t="shared" si="17"/>
        <v>0</v>
      </c>
      <c r="V115" s="55">
        <f t="shared" si="18"/>
        <v>0</v>
      </c>
      <c r="W115" s="29">
        <f t="shared" si="13"/>
        <v>0</v>
      </c>
      <c r="X115" s="30">
        <f t="shared" si="16"/>
        <v>0</v>
      </c>
      <c r="Y115"/>
      <c r="Z115"/>
      <c r="AA115"/>
    </row>
    <row r="116" spans="1:27" s="51" customFormat="1" ht="18.600000000000001" hidden="1" customHeight="1" x14ac:dyDescent="0.25">
      <c r="A116" s="81" t="s">
        <v>16</v>
      </c>
      <c r="B116" s="31" t="s">
        <v>17</v>
      </c>
      <c r="C116" s="32" t="s">
        <v>333</v>
      </c>
      <c r="D116" s="31" t="s">
        <v>343</v>
      </c>
      <c r="E116" s="33" t="s">
        <v>344</v>
      </c>
      <c r="F116" s="33" t="s">
        <v>21</v>
      </c>
      <c r="G116" s="33" t="s">
        <v>22</v>
      </c>
      <c r="H116" s="84" t="s">
        <v>345</v>
      </c>
      <c r="I116" s="23" t="s">
        <v>24</v>
      </c>
      <c r="J116" s="34">
        <v>110</v>
      </c>
      <c r="K116" s="35">
        <v>0.25</v>
      </c>
      <c r="L116" s="36">
        <f t="shared" si="11"/>
        <v>27.5</v>
      </c>
      <c r="M116" s="37">
        <f t="shared" si="12"/>
        <v>82.5</v>
      </c>
      <c r="N116" s="38">
        <v>0.16</v>
      </c>
      <c r="O116" s="39">
        <f t="shared" si="14"/>
        <v>13.200000000000001</v>
      </c>
      <c r="P116" s="40">
        <f t="shared" si="15"/>
        <v>95.7</v>
      </c>
      <c r="Q116" s="23"/>
      <c r="R116" s="56"/>
      <c r="S116" s="57"/>
      <c r="T116" s="58">
        <f t="shared" si="17"/>
        <v>0</v>
      </c>
      <c r="U116" s="36">
        <f t="shared" si="17"/>
        <v>0</v>
      </c>
      <c r="V116" s="59">
        <f t="shared" si="18"/>
        <v>0</v>
      </c>
      <c r="W116" s="39">
        <f t="shared" si="13"/>
        <v>0</v>
      </c>
      <c r="X116" s="40">
        <f t="shared" si="16"/>
        <v>0</v>
      </c>
      <c r="Y116"/>
      <c r="Z116"/>
      <c r="AA116"/>
    </row>
    <row r="117" spans="1:27" s="51" customFormat="1" ht="18.600000000000001" hidden="1" customHeight="1" x14ac:dyDescent="0.25">
      <c r="A117" s="82" t="s">
        <v>16</v>
      </c>
      <c r="B117" s="41" t="s">
        <v>17</v>
      </c>
      <c r="C117" s="42" t="s">
        <v>333</v>
      </c>
      <c r="D117" s="41" t="s">
        <v>346</v>
      </c>
      <c r="E117" s="43" t="s">
        <v>347</v>
      </c>
      <c r="F117" s="43" t="s">
        <v>21</v>
      </c>
      <c r="G117" s="43" t="s">
        <v>22</v>
      </c>
      <c r="H117" s="85" t="s">
        <v>348</v>
      </c>
      <c r="I117" s="23" t="s">
        <v>24</v>
      </c>
      <c r="J117" s="44">
        <v>110</v>
      </c>
      <c r="K117" s="45">
        <v>0.25</v>
      </c>
      <c r="L117" s="46">
        <f t="shared" si="11"/>
        <v>27.5</v>
      </c>
      <c r="M117" s="47">
        <f t="shared" si="12"/>
        <v>82.5</v>
      </c>
      <c r="N117" s="48">
        <v>0.16</v>
      </c>
      <c r="O117" s="49">
        <f t="shared" si="14"/>
        <v>13.200000000000001</v>
      </c>
      <c r="P117" s="50">
        <f t="shared" si="15"/>
        <v>95.7</v>
      </c>
      <c r="Q117" s="23"/>
      <c r="R117" s="60"/>
      <c r="S117" s="61"/>
      <c r="T117" s="62">
        <f t="shared" si="17"/>
        <v>0</v>
      </c>
      <c r="U117" s="46">
        <f t="shared" si="17"/>
        <v>0</v>
      </c>
      <c r="V117" s="63">
        <f t="shared" si="18"/>
        <v>0</v>
      </c>
      <c r="W117" s="49">
        <f t="shared" si="13"/>
        <v>0</v>
      </c>
      <c r="X117" s="50">
        <f t="shared" si="16"/>
        <v>0</v>
      </c>
      <c r="Y117"/>
      <c r="Z117"/>
      <c r="AA117"/>
    </row>
    <row r="118" spans="1:27" s="51" customFormat="1" ht="18.600000000000001" hidden="1" customHeight="1" x14ac:dyDescent="0.25">
      <c r="A118" s="80" t="s">
        <v>16</v>
      </c>
      <c r="B118" s="20" t="s">
        <v>17</v>
      </c>
      <c r="C118" s="21" t="s">
        <v>333</v>
      </c>
      <c r="D118" s="20" t="s">
        <v>349</v>
      </c>
      <c r="E118" s="22" t="s">
        <v>350</v>
      </c>
      <c r="F118" s="22" t="s">
        <v>21</v>
      </c>
      <c r="G118" s="22" t="s">
        <v>22</v>
      </c>
      <c r="H118" s="83" t="s">
        <v>351</v>
      </c>
      <c r="I118" s="23" t="s">
        <v>24</v>
      </c>
      <c r="J118" s="24">
        <v>110</v>
      </c>
      <c r="K118" s="25">
        <v>0.25</v>
      </c>
      <c r="L118" s="26">
        <f t="shared" si="11"/>
        <v>27.5</v>
      </c>
      <c r="M118" s="27">
        <f t="shared" si="12"/>
        <v>82.5</v>
      </c>
      <c r="N118" s="28">
        <v>0.16</v>
      </c>
      <c r="O118" s="29">
        <f t="shared" si="14"/>
        <v>13.200000000000001</v>
      </c>
      <c r="P118" s="30">
        <f t="shared" si="15"/>
        <v>95.7</v>
      </c>
      <c r="Q118" s="23"/>
      <c r="R118" s="52"/>
      <c r="S118" s="53"/>
      <c r="T118" s="54">
        <f t="shared" si="17"/>
        <v>0</v>
      </c>
      <c r="U118" s="26">
        <f t="shared" si="17"/>
        <v>0</v>
      </c>
      <c r="V118" s="55">
        <f t="shared" si="18"/>
        <v>0</v>
      </c>
      <c r="W118" s="29">
        <f t="shared" si="13"/>
        <v>0</v>
      </c>
      <c r="X118" s="30">
        <f t="shared" si="16"/>
        <v>0</v>
      </c>
      <c r="Y118"/>
      <c r="Z118"/>
      <c r="AA118"/>
    </row>
    <row r="119" spans="1:27" s="51" customFormat="1" ht="18.600000000000001" hidden="1" customHeight="1" x14ac:dyDescent="0.25">
      <c r="A119" s="81" t="s">
        <v>16</v>
      </c>
      <c r="B119" s="31" t="s">
        <v>17</v>
      </c>
      <c r="C119" s="32" t="s">
        <v>333</v>
      </c>
      <c r="D119" s="31" t="s">
        <v>352</v>
      </c>
      <c r="E119" s="33" t="s">
        <v>353</v>
      </c>
      <c r="F119" s="33" t="s">
        <v>21</v>
      </c>
      <c r="G119" s="33" t="s">
        <v>22</v>
      </c>
      <c r="H119" s="84" t="s">
        <v>354</v>
      </c>
      <c r="I119" s="23" t="s">
        <v>24</v>
      </c>
      <c r="J119" s="34">
        <v>110</v>
      </c>
      <c r="K119" s="35">
        <v>0.25</v>
      </c>
      <c r="L119" s="36">
        <f t="shared" si="11"/>
        <v>27.5</v>
      </c>
      <c r="M119" s="37">
        <f t="shared" si="12"/>
        <v>82.5</v>
      </c>
      <c r="N119" s="38">
        <v>0.16</v>
      </c>
      <c r="O119" s="39">
        <f t="shared" si="14"/>
        <v>13.200000000000001</v>
      </c>
      <c r="P119" s="40">
        <f t="shared" si="15"/>
        <v>95.7</v>
      </c>
      <c r="Q119" s="23"/>
      <c r="R119" s="56"/>
      <c r="S119" s="57"/>
      <c r="T119" s="58">
        <f t="shared" si="17"/>
        <v>0</v>
      </c>
      <c r="U119" s="36">
        <f t="shared" si="17"/>
        <v>0</v>
      </c>
      <c r="V119" s="59">
        <f t="shared" si="18"/>
        <v>0</v>
      </c>
      <c r="W119" s="39">
        <f t="shared" si="13"/>
        <v>0</v>
      </c>
      <c r="X119" s="40">
        <f t="shared" si="16"/>
        <v>0</v>
      </c>
      <c r="Y119"/>
      <c r="Z119"/>
      <c r="AA119"/>
    </row>
    <row r="120" spans="1:27" s="51" customFormat="1" ht="18.600000000000001" hidden="1" customHeight="1" x14ac:dyDescent="0.25">
      <c r="A120" s="82" t="s">
        <v>16</v>
      </c>
      <c r="B120" s="41" t="s">
        <v>17</v>
      </c>
      <c r="C120" s="42" t="s">
        <v>333</v>
      </c>
      <c r="D120" s="41" t="s">
        <v>355</v>
      </c>
      <c r="E120" s="43" t="s">
        <v>356</v>
      </c>
      <c r="F120" s="43" t="s">
        <v>21</v>
      </c>
      <c r="G120" s="43" t="s">
        <v>22</v>
      </c>
      <c r="H120" s="85" t="s">
        <v>357</v>
      </c>
      <c r="I120" s="23" t="s">
        <v>24</v>
      </c>
      <c r="J120" s="44">
        <v>110</v>
      </c>
      <c r="K120" s="45">
        <v>0.25</v>
      </c>
      <c r="L120" s="46">
        <f t="shared" si="11"/>
        <v>27.5</v>
      </c>
      <c r="M120" s="47">
        <f t="shared" si="12"/>
        <v>82.5</v>
      </c>
      <c r="N120" s="48">
        <v>0.16</v>
      </c>
      <c r="O120" s="49">
        <f t="shared" si="14"/>
        <v>13.200000000000001</v>
      </c>
      <c r="P120" s="50">
        <f t="shared" si="15"/>
        <v>95.7</v>
      </c>
      <c r="Q120" s="23"/>
      <c r="R120" s="60"/>
      <c r="S120" s="61"/>
      <c r="T120" s="62">
        <f t="shared" si="17"/>
        <v>0</v>
      </c>
      <c r="U120" s="46">
        <f t="shared" si="17"/>
        <v>0</v>
      </c>
      <c r="V120" s="63">
        <f t="shared" si="18"/>
        <v>0</v>
      </c>
      <c r="W120" s="49">
        <f t="shared" si="13"/>
        <v>0</v>
      </c>
      <c r="X120" s="50">
        <f t="shared" si="16"/>
        <v>0</v>
      </c>
      <c r="Y120"/>
      <c r="Z120"/>
      <c r="AA120"/>
    </row>
    <row r="121" spans="1:27" s="51" customFormat="1" ht="18.600000000000001" hidden="1" customHeight="1" x14ac:dyDescent="0.25">
      <c r="A121" s="80" t="s">
        <v>16</v>
      </c>
      <c r="B121" s="20" t="s">
        <v>358</v>
      </c>
      <c r="C121" s="21" t="s">
        <v>18</v>
      </c>
      <c r="D121" s="20">
        <v>8435635305077</v>
      </c>
      <c r="E121" s="22" t="s">
        <v>359</v>
      </c>
      <c r="F121" s="22" t="s">
        <v>21</v>
      </c>
      <c r="G121" s="22" t="s">
        <v>360</v>
      </c>
      <c r="H121" s="83" t="s">
        <v>361</v>
      </c>
      <c r="I121" s="23" t="s">
        <v>24</v>
      </c>
      <c r="J121" s="24">
        <v>6100</v>
      </c>
      <c r="K121" s="25">
        <v>0.25</v>
      </c>
      <c r="L121" s="26">
        <f t="shared" si="11"/>
        <v>1525</v>
      </c>
      <c r="M121" s="27">
        <f t="shared" si="12"/>
        <v>4575</v>
      </c>
      <c r="N121" s="28">
        <v>0.16</v>
      </c>
      <c r="O121" s="29">
        <f t="shared" si="14"/>
        <v>732</v>
      </c>
      <c r="P121" s="30">
        <f t="shared" si="15"/>
        <v>5307</v>
      </c>
      <c r="Q121" s="23"/>
      <c r="R121" s="52"/>
      <c r="S121" s="53"/>
      <c r="T121" s="54">
        <f t="shared" si="17"/>
        <v>0</v>
      </c>
      <c r="U121" s="26">
        <f t="shared" si="17"/>
        <v>0</v>
      </c>
      <c r="V121" s="55">
        <f t="shared" si="18"/>
        <v>0</v>
      </c>
      <c r="W121" s="29">
        <f t="shared" si="13"/>
        <v>0</v>
      </c>
      <c r="X121" s="30">
        <f t="shared" si="16"/>
        <v>0</v>
      </c>
      <c r="Y121"/>
      <c r="Z121"/>
      <c r="AA121"/>
    </row>
    <row r="122" spans="1:27" s="51" customFormat="1" ht="18.600000000000001" hidden="1" customHeight="1" x14ac:dyDescent="0.25">
      <c r="A122" s="81" t="s">
        <v>16</v>
      </c>
      <c r="B122" s="31" t="s">
        <v>358</v>
      </c>
      <c r="C122" s="32" t="s">
        <v>18</v>
      </c>
      <c r="D122" s="31" t="s">
        <v>362</v>
      </c>
      <c r="E122" s="33" t="s">
        <v>363</v>
      </c>
      <c r="F122" s="33" t="s">
        <v>21</v>
      </c>
      <c r="G122" s="33" t="s">
        <v>364</v>
      </c>
      <c r="H122" s="84" t="s">
        <v>365</v>
      </c>
      <c r="I122" s="23" t="s">
        <v>24</v>
      </c>
      <c r="J122" s="34">
        <v>750</v>
      </c>
      <c r="K122" s="35">
        <v>0.25</v>
      </c>
      <c r="L122" s="36">
        <f t="shared" si="11"/>
        <v>187.5</v>
      </c>
      <c r="M122" s="37">
        <f t="shared" si="12"/>
        <v>562.5</v>
      </c>
      <c r="N122" s="38">
        <v>0.16</v>
      </c>
      <c r="O122" s="39">
        <f t="shared" si="14"/>
        <v>90</v>
      </c>
      <c r="P122" s="40">
        <f t="shared" si="15"/>
        <v>652.5</v>
      </c>
      <c r="Q122" s="23"/>
      <c r="R122" s="56"/>
      <c r="S122" s="57"/>
      <c r="T122" s="58">
        <f t="shared" si="17"/>
        <v>0</v>
      </c>
      <c r="U122" s="36">
        <f t="shared" si="17"/>
        <v>0</v>
      </c>
      <c r="V122" s="59">
        <f t="shared" si="18"/>
        <v>0</v>
      </c>
      <c r="W122" s="39">
        <f t="shared" si="13"/>
        <v>0</v>
      </c>
      <c r="X122" s="40">
        <f t="shared" si="16"/>
        <v>0</v>
      </c>
      <c r="Y122"/>
      <c r="Z122"/>
      <c r="AA122"/>
    </row>
    <row r="123" spans="1:27" s="51" customFormat="1" ht="18.600000000000001" hidden="1" customHeight="1" x14ac:dyDescent="0.25">
      <c r="A123" s="82" t="s">
        <v>16</v>
      </c>
      <c r="B123" s="41" t="s">
        <v>358</v>
      </c>
      <c r="C123" s="42" t="s">
        <v>18</v>
      </c>
      <c r="D123" s="41" t="s">
        <v>366</v>
      </c>
      <c r="E123" s="43" t="s">
        <v>367</v>
      </c>
      <c r="F123" s="43" t="s">
        <v>21</v>
      </c>
      <c r="G123" s="43" t="s">
        <v>364</v>
      </c>
      <c r="H123" s="85" t="s">
        <v>368</v>
      </c>
      <c r="I123" s="23" t="s">
        <v>24</v>
      </c>
      <c r="J123" s="44">
        <v>750</v>
      </c>
      <c r="K123" s="45">
        <v>0.25</v>
      </c>
      <c r="L123" s="46">
        <f t="shared" si="11"/>
        <v>187.5</v>
      </c>
      <c r="M123" s="47">
        <f t="shared" si="12"/>
        <v>562.5</v>
      </c>
      <c r="N123" s="48">
        <v>0.16</v>
      </c>
      <c r="O123" s="49">
        <f t="shared" si="14"/>
        <v>90</v>
      </c>
      <c r="P123" s="50">
        <f t="shared" si="15"/>
        <v>652.5</v>
      </c>
      <c r="Q123" s="23"/>
      <c r="R123" s="60"/>
      <c r="S123" s="61"/>
      <c r="T123" s="62">
        <f t="shared" si="17"/>
        <v>0</v>
      </c>
      <c r="U123" s="46">
        <f t="shared" si="17"/>
        <v>0</v>
      </c>
      <c r="V123" s="63">
        <f t="shared" si="18"/>
        <v>0</v>
      </c>
      <c r="W123" s="49">
        <f t="shared" si="13"/>
        <v>0</v>
      </c>
      <c r="X123" s="50">
        <f t="shared" si="16"/>
        <v>0</v>
      </c>
      <c r="Y123"/>
      <c r="Z123"/>
      <c r="AA123"/>
    </row>
    <row r="124" spans="1:27" s="51" customFormat="1" ht="18.600000000000001" hidden="1" customHeight="1" x14ac:dyDescent="0.25">
      <c r="A124" s="80" t="s">
        <v>16</v>
      </c>
      <c r="B124" s="20" t="s">
        <v>358</v>
      </c>
      <c r="C124" s="21" t="s">
        <v>18</v>
      </c>
      <c r="D124" s="20" t="s">
        <v>369</v>
      </c>
      <c r="E124" s="22" t="s">
        <v>370</v>
      </c>
      <c r="F124" s="22" t="s">
        <v>21</v>
      </c>
      <c r="G124" s="22" t="s">
        <v>364</v>
      </c>
      <c r="H124" s="83" t="s">
        <v>371</v>
      </c>
      <c r="I124" s="23" t="s">
        <v>24</v>
      </c>
      <c r="J124" s="24">
        <v>750</v>
      </c>
      <c r="K124" s="25">
        <v>0.25</v>
      </c>
      <c r="L124" s="26">
        <f t="shared" si="11"/>
        <v>187.5</v>
      </c>
      <c r="M124" s="27">
        <f t="shared" si="12"/>
        <v>562.5</v>
      </c>
      <c r="N124" s="28">
        <v>0.16</v>
      </c>
      <c r="O124" s="29">
        <f t="shared" si="14"/>
        <v>90</v>
      </c>
      <c r="P124" s="30">
        <f t="shared" si="15"/>
        <v>652.5</v>
      </c>
      <c r="Q124" s="23"/>
      <c r="R124" s="52"/>
      <c r="S124" s="53"/>
      <c r="T124" s="54">
        <f t="shared" si="17"/>
        <v>0</v>
      </c>
      <c r="U124" s="26">
        <f t="shared" si="17"/>
        <v>0</v>
      </c>
      <c r="V124" s="55">
        <f t="shared" si="18"/>
        <v>0</v>
      </c>
      <c r="W124" s="29">
        <f t="shared" si="13"/>
        <v>0</v>
      </c>
      <c r="X124" s="30">
        <f t="shared" si="16"/>
        <v>0</v>
      </c>
      <c r="Y124"/>
      <c r="Z124"/>
      <c r="AA124"/>
    </row>
    <row r="125" spans="1:27" s="51" customFormat="1" ht="18.600000000000001" hidden="1" customHeight="1" x14ac:dyDescent="0.25">
      <c r="A125" s="81" t="s">
        <v>16</v>
      </c>
      <c r="B125" s="31" t="s">
        <v>358</v>
      </c>
      <c r="C125" s="32" t="s">
        <v>18</v>
      </c>
      <c r="D125" s="31" t="s">
        <v>372</v>
      </c>
      <c r="E125" s="33" t="s">
        <v>373</v>
      </c>
      <c r="F125" s="33" t="s">
        <v>21</v>
      </c>
      <c r="G125" s="33" t="s">
        <v>364</v>
      </c>
      <c r="H125" s="84" t="s">
        <v>374</v>
      </c>
      <c r="I125" s="23" t="s">
        <v>24</v>
      </c>
      <c r="J125" s="34">
        <v>750</v>
      </c>
      <c r="K125" s="35">
        <v>0.25</v>
      </c>
      <c r="L125" s="36">
        <f t="shared" si="11"/>
        <v>187.5</v>
      </c>
      <c r="M125" s="37">
        <f t="shared" si="12"/>
        <v>562.5</v>
      </c>
      <c r="N125" s="38">
        <v>0.16</v>
      </c>
      <c r="O125" s="39">
        <f t="shared" si="14"/>
        <v>90</v>
      </c>
      <c r="P125" s="40">
        <f t="shared" si="15"/>
        <v>652.5</v>
      </c>
      <c r="Q125" s="23"/>
      <c r="R125" s="56"/>
      <c r="S125" s="57"/>
      <c r="T125" s="58">
        <f t="shared" si="17"/>
        <v>0</v>
      </c>
      <c r="U125" s="36">
        <f t="shared" si="17"/>
        <v>0</v>
      </c>
      <c r="V125" s="59">
        <f t="shared" si="18"/>
        <v>0</v>
      </c>
      <c r="W125" s="39">
        <f t="shared" si="13"/>
        <v>0</v>
      </c>
      <c r="X125" s="40">
        <f t="shared" si="16"/>
        <v>0</v>
      </c>
      <c r="Y125"/>
      <c r="Z125"/>
      <c r="AA125"/>
    </row>
    <row r="126" spans="1:27" s="51" customFormat="1" ht="18.600000000000001" hidden="1" customHeight="1" x14ac:dyDescent="0.25">
      <c r="A126" s="82" t="s">
        <v>16</v>
      </c>
      <c r="B126" s="41" t="s">
        <v>358</v>
      </c>
      <c r="C126" s="42" t="s">
        <v>18</v>
      </c>
      <c r="D126" s="41" t="s">
        <v>375</v>
      </c>
      <c r="E126" s="43" t="s">
        <v>376</v>
      </c>
      <c r="F126" s="43" t="s">
        <v>21</v>
      </c>
      <c r="G126" s="43" t="s">
        <v>364</v>
      </c>
      <c r="H126" s="85" t="s">
        <v>377</v>
      </c>
      <c r="I126" s="23" t="s">
        <v>24</v>
      </c>
      <c r="J126" s="44">
        <v>750</v>
      </c>
      <c r="K126" s="45">
        <v>0.25</v>
      </c>
      <c r="L126" s="46">
        <f t="shared" si="11"/>
        <v>187.5</v>
      </c>
      <c r="M126" s="47">
        <f t="shared" si="12"/>
        <v>562.5</v>
      </c>
      <c r="N126" s="48">
        <v>0.16</v>
      </c>
      <c r="O126" s="49">
        <f t="shared" si="14"/>
        <v>90</v>
      </c>
      <c r="P126" s="50">
        <f t="shared" si="15"/>
        <v>652.5</v>
      </c>
      <c r="Q126" s="23"/>
      <c r="R126" s="60"/>
      <c r="S126" s="61"/>
      <c r="T126" s="62">
        <f t="shared" si="17"/>
        <v>0</v>
      </c>
      <c r="U126" s="46">
        <f t="shared" si="17"/>
        <v>0</v>
      </c>
      <c r="V126" s="63">
        <f t="shared" si="18"/>
        <v>0</v>
      </c>
      <c r="W126" s="49">
        <f t="shared" si="13"/>
        <v>0</v>
      </c>
      <c r="X126" s="50">
        <f t="shared" si="16"/>
        <v>0</v>
      </c>
      <c r="Y126"/>
      <c r="Z126"/>
      <c r="AA126"/>
    </row>
    <row r="127" spans="1:27" s="51" customFormat="1" ht="18.600000000000001" hidden="1" customHeight="1" x14ac:dyDescent="0.25">
      <c r="A127" s="80" t="s">
        <v>16</v>
      </c>
      <c r="B127" s="20" t="s">
        <v>358</v>
      </c>
      <c r="C127" s="21" t="s">
        <v>18</v>
      </c>
      <c r="D127" s="20" t="s">
        <v>378</v>
      </c>
      <c r="E127" s="22" t="s">
        <v>379</v>
      </c>
      <c r="F127" s="22" t="s">
        <v>21</v>
      </c>
      <c r="G127" s="22" t="s">
        <v>364</v>
      </c>
      <c r="H127" s="83" t="s">
        <v>380</v>
      </c>
      <c r="I127" s="23" t="s">
        <v>24</v>
      </c>
      <c r="J127" s="24">
        <v>750</v>
      </c>
      <c r="K127" s="25">
        <v>0.25</v>
      </c>
      <c r="L127" s="26">
        <f t="shared" si="11"/>
        <v>187.5</v>
      </c>
      <c r="M127" s="27">
        <f t="shared" si="12"/>
        <v>562.5</v>
      </c>
      <c r="N127" s="28">
        <v>0.16</v>
      </c>
      <c r="O127" s="29">
        <f t="shared" si="14"/>
        <v>90</v>
      </c>
      <c r="P127" s="30">
        <f t="shared" si="15"/>
        <v>652.5</v>
      </c>
      <c r="Q127" s="23"/>
      <c r="R127" s="52"/>
      <c r="S127" s="53"/>
      <c r="T127" s="54">
        <f t="shared" si="17"/>
        <v>0</v>
      </c>
      <c r="U127" s="26">
        <f t="shared" si="17"/>
        <v>0</v>
      </c>
      <c r="V127" s="55">
        <f t="shared" si="18"/>
        <v>0</v>
      </c>
      <c r="W127" s="29">
        <f t="shared" si="13"/>
        <v>0</v>
      </c>
      <c r="X127" s="30">
        <f t="shared" si="16"/>
        <v>0</v>
      </c>
      <c r="Y127"/>
      <c r="Z127"/>
      <c r="AA127"/>
    </row>
    <row r="128" spans="1:27" s="51" customFormat="1" ht="18.600000000000001" hidden="1" customHeight="1" x14ac:dyDescent="0.25">
      <c r="A128" s="81" t="s">
        <v>16</v>
      </c>
      <c r="B128" s="31" t="s">
        <v>358</v>
      </c>
      <c r="C128" s="32" t="s">
        <v>18</v>
      </c>
      <c r="D128" s="31" t="s">
        <v>381</v>
      </c>
      <c r="E128" s="33" t="s">
        <v>382</v>
      </c>
      <c r="F128" s="33" t="s">
        <v>21</v>
      </c>
      <c r="G128" s="33" t="s">
        <v>364</v>
      </c>
      <c r="H128" s="84" t="s">
        <v>383</v>
      </c>
      <c r="I128" s="23" t="s">
        <v>24</v>
      </c>
      <c r="J128" s="34">
        <v>750</v>
      </c>
      <c r="K128" s="35">
        <v>0.25</v>
      </c>
      <c r="L128" s="36">
        <f t="shared" si="11"/>
        <v>187.5</v>
      </c>
      <c r="M128" s="37">
        <f t="shared" si="12"/>
        <v>562.5</v>
      </c>
      <c r="N128" s="38">
        <v>0.16</v>
      </c>
      <c r="O128" s="39">
        <f t="shared" si="14"/>
        <v>90</v>
      </c>
      <c r="P128" s="40">
        <f t="shared" si="15"/>
        <v>652.5</v>
      </c>
      <c r="Q128" s="23"/>
      <c r="R128" s="56"/>
      <c r="S128" s="57"/>
      <c r="T128" s="58">
        <f t="shared" si="17"/>
        <v>0</v>
      </c>
      <c r="U128" s="36">
        <f t="shared" si="17"/>
        <v>0</v>
      </c>
      <c r="V128" s="59">
        <f t="shared" si="18"/>
        <v>0</v>
      </c>
      <c r="W128" s="39">
        <f t="shared" si="13"/>
        <v>0</v>
      </c>
      <c r="X128" s="40">
        <f t="shared" si="16"/>
        <v>0</v>
      </c>
      <c r="Y128"/>
      <c r="Z128"/>
      <c r="AA128"/>
    </row>
    <row r="129" spans="1:27" s="51" customFormat="1" ht="18.600000000000001" hidden="1" customHeight="1" x14ac:dyDescent="0.25">
      <c r="A129" s="82" t="s">
        <v>16</v>
      </c>
      <c r="B129" s="41" t="s">
        <v>358</v>
      </c>
      <c r="C129" s="42" t="s">
        <v>18</v>
      </c>
      <c r="D129" s="41" t="s">
        <v>384</v>
      </c>
      <c r="E129" s="43" t="s">
        <v>385</v>
      </c>
      <c r="F129" s="43" t="s">
        <v>21</v>
      </c>
      <c r="G129" s="43" t="s">
        <v>364</v>
      </c>
      <c r="H129" s="85" t="s">
        <v>386</v>
      </c>
      <c r="I129" s="23" t="s">
        <v>24</v>
      </c>
      <c r="J129" s="44">
        <v>750</v>
      </c>
      <c r="K129" s="45">
        <v>0.25</v>
      </c>
      <c r="L129" s="46">
        <f t="shared" si="11"/>
        <v>187.5</v>
      </c>
      <c r="M129" s="47">
        <f t="shared" si="12"/>
        <v>562.5</v>
      </c>
      <c r="N129" s="48">
        <v>0.16</v>
      </c>
      <c r="O129" s="49">
        <f t="shared" si="14"/>
        <v>90</v>
      </c>
      <c r="P129" s="50">
        <f t="shared" si="15"/>
        <v>652.5</v>
      </c>
      <c r="Q129" s="23"/>
      <c r="R129" s="60"/>
      <c r="S129" s="61"/>
      <c r="T129" s="62">
        <f t="shared" si="17"/>
        <v>0</v>
      </c>
      <c r="U129" s="46">
        <f t="shared" si="17"/>
        <v>0</v>
      </c>
      <c r="V129" s="63">
        <f t="shared" si="18"/>
        <v>0</v>
      </c>
      <c r="W129" s="49">
        <f t="shared" si="13"/>
        <v>0</v>
      </c>
      <c r="X129" s="50">
        <f t="shared" si="16"/>
        <v>0</v>
      </c>
      <c r="Y129"/>
      <c r="Z129"/>
      <c r="AA129"/>
    </row>
    <row r="130" spans="1:27" s="51" customFormat="1" ht="18.600000000000001" hidden="1" customHeight="1" x14ac:dyDescent="0.25">
      <c r="A130" s="80" t="s">
        <v>16</v>
      </c>
      <c r="B130" s="20" t="s">
        <v>358</v>
      </c>
      <c r="C130" s="21" t="s">
        <v>211</v>
      </c>
      <c r="D130" s="20" t="s">
        <v>387</v>
      </c>
      <c r="E130" s="22" t="s">
        <v>388</v>
      </c>
      <c r="F130" s="22" t="s">
        <v>21</v>
      </c>
      <c r="G130" s="22" t="s">
        <v>364</v>
      </c>
      <c r="H130" s="83" t="s">
        <v>389</v>
      </c>
      <c r="I130" s="23" t="s">
        <v>24</v>
      </c>
      <c r="J130" s="24">
        <v>920</v>
      </c>
      <c r="K130" s="25">
        <v>0.25</v>
      </c>
      <c r="L130" s="26">
        <f t="shared" si="11"/>
        <v>230</v>
      </c>
      <c r="M130" s="27">
        <f t="shared" si="12"/>
        <v>690</v>
      </c>
      <c r="N130" s="28">
        <v>0.16</v>
      </c>
      <c r="O130" s="29">
        <f t="shared" si="14"/>
        <v>110.4</v>
      </c>
      <c r="P130" s="30">
        <f t="shared" si="15"/>
        <v>800.4</v>
      </c>
      <c r="Q130" s="23"/>
      <c r="R130" s="52"/>
      <c r="S130" s="53"/>
      <c r="T130" s="54">
        <f t="shared" si="17"/>
        <v>0</v>
      </c>
      <c r="U130" s="26">
        <f t="shared" si="17"/>
        <v>0</v>
      </c>
      <c r="V130" s="55">
        <f t="shared" si="18"/>
        <v>0</v>
      </c>
      <c r="W130" s="29">
        <f t="shared" si="13"/>
        <v>0</v>
      </c>
      <c r="X130" s="30">
        <f t="shared" si="16"/>
        <v>0</v>
      </c>
      <c r="Y130"/>
      <c r="Z130"/>
      <c r="AA130"/>
    </row>
    <row r="131" spans="1:27" s="51" customFormat="1" ht="18.600000000000001" hidden="1" customHeight="1" x14ac:dyDescent="0.25">
      <c r="A131" s="81" t="s">
        <v>16</v>
      </c>
      <c r="B131" s="31" t="s">
        <v>358</v>
      </c>
      <c r="C131" s="32" t="s">
        <v>211</v>
      </c>
      <c r="D131" s="31" t="s">
        <v>390</v>
      </c>
      <c r="E131" s="33" t="s">
        <v>391</v>
      </c>
      <c r="F131" s="33" t="s">
        <v>21</v>
      </c>
      <c r="G131" s="33" t="s">
        <v>364</v>
      </c>
      <c r="H131" s="84" t="s">
        <v>392</v>
      </c>
      <c r="I131" s="23" t="s">
        <v>24</v>
      </c>
      <c r="J131" s="34">
        <v>920</v>
      </c>
      <c r="K131" s="35">
        <v>0.25</v>
      </c>
      <c r="L131" s="36">
        <f t="shared" si="11"/>
        <v>230</v>
      </c>
      <c r="M131" s="37">
        <f t="shared" si="12"/>
        <v>690</v>
      </c>
      <c r="N131" s="38">
        <v>0.16</v>
      </c>
      <c r="O131" s="39">
        <f t="shared" si="14"/>
        <v>110.4</v>
      </c>
      <c r="P131" s="40">
        <f t="shared" si="15"/>
        <v>800.4</v>
      </c>
      <c r="Q131" s="23"/>
      <c r="R131" s="56"/>
      <c r="S131" s="57"/>
      <c r="T131" s="58">
        <f t="shared" si="17"/>
        <v>0</v>
      </c>
      <c r="U131" s="36">
        <f t="shared" si="17"/>
        <v>0</v>
      </c>
      <c r="V131" s="59">
        <f t="shared" si="18"/>
        <v>0</v>
      </c>
      <c r="W131" s="39">
        <f t="shared" si="13"/>
        <v>0</v>
      </c>
      <c r="X131" s="40">
        <f t="shared" si="16"/>
        <v>0</v>
      </c>
      <c r="Y131"/>
      <c r="Z131"/>
      <c r="AA131"/>
    </row>
    <row r="132" spans="1:27" s="51" customFormat="1" ht="18.600000000000001" hidden="1" customHeight="1" x14ac:dyDescent="0.25">
      <c r="A132" s="82" t="s">
        <v>16</v>
      </c>
      <c r="B132" s="41" t="s">
        <v>358</v>
      </c>
      <c r="C132" s="42" t="s">
        <v>260</v>
      </c>
      <c r="D132" s="41" t="s">
        <v>393</v>
      </c>
      <c r="E132" s="43" t="s">
        <v>394</v>
      </c>
      <c r="F132" s="43" t="s">
        <v>21</v>
      </c>
      <c r="G132" s="43" t="s">
        <v>364</v>
      </c>
      <c r="H132" s="85" t="s">
        <v>260</v>
      </c>
      <c r="I132" s="23" t="s">
        <v>24</v>
      </c>
      <c r="J132" s="44">
        <v>920</v>
      </c>
      <c r="K132" s="45">
        <v>0.25</v>
      </c>
      <c r="L132" s="46">
        <f t="shared" si="11"/>
        <v>230</v>
      </c>
      <c r="M132" s="47">
        <f t="shared" si="12"/>
        <v>690</v>
      </c>
      <c r="N132" s="48">
        <v>0.16</v>
      </c>
      <c r="O132" s="49">
        <f t="shared" si="14"/>
        <v>110.4</v>
      </c>
      <c r="P132" s="50">
        <f t="shared" si="15"/>
        <v>800.4</v>
      </c>
      <c r="Q132" s="23"/>
      <c r="R132" s="60"/>
      <c r="S132" s="61"/>
      <c r="T132" s="62">
        <f t="shared" si="17"/>
        <v>0</v>
      </c>
      <c r="U132" s="46">
        <f t="shared" si="17"/>
        <v>0</v>
      </c>
      <c r="V132" s="63">
        <f t="shared" si="18"/>
        <v>0</v>
      </c>
      <c r="W132" s="49">
        <f t="shared" si="13"/>
        <v>0</v>
      </c>
      <c r="X132" s="50">
        <f t="shared" si="16"/>
        <v>0</v>
      </c>
      <c r="Y132"/>
      <c r="Z132"/>
      <c r="AA132"/>
    </row>
    <row r="133" spans="1:27" s="51" customFormat="1" ht="18.600000000000001" hidden="1" customHeight="1" x14ac:dyDescent="0.25">
      <c r="A133" s="80" t="s">
        <v>16</v>
      </c>
      <c r="B133" s="20" t="s">
        <v>358</v>
      </c>
      <c r="C133" s="21" t="s">
        <v>211</v>
      </c>
      <c r="D133" s="20" t="s">
        <v>395</v>
      </c>
      <c r="E133" s="22" t="s">
        <v>396</v>
      </c>
      <c r="F133" s="22" t="s">
        <v>21</v>
      </c>
      <c r="G133" s="22" t="s">
        <v>364</v>
      </c>
      <c r="H133" s="83" t="s">
        <v>397</v>
      </c>
      <c r="I133" s="23" t="s">
        <v>24</v>
      </c>
      <c r="J133" s="24">
        <v>920</v>
      </c>
      <c r="K133" s="25">
        <v>0.25</v>
      </c>
      <c r="L133" s="26">
        <f t="shared" si="11"/>
        <v>230</v>
      </c>
      <c r="M133" s="27">
        <f t="shared" si="12"/>
        <v>690</v>
      </c>
      <c r="N133" s="28">
        <v>0.16</v>
      </c>
      <c r="O133" s="29">
        <f t="shared" si="14"/>
        <v>110.4</v>
      </c>
      <c r="P133" s="30">
        <f t="shared" si="15"/>
        <v>800.4</v>
      </c>
      <c r="Q133" s="23"/>
      <c r="R133" s="52"/>
      <c r="S133" s="53"/>
      <c r="T133" s="54">
        <f t="shared" si="17"/>
        <v>0</v>
      </c>
      <c r="U133" s="26">
        <f t="shared" si="17"/>
        <v>0</v>
      </c>
      <c r="V133" s="55">
        <f t="shared" si="18"/>
        <v>0</v>
      </c>
      <c r="W133" s="29">
        <f t="shared" si="13"/>
        <v>0</v>
      </c>
      <c r="X133" s="30">
        <f t="shared" si="16"/>
        <v>0</v>
      </c>
      <c r="Y133"/>
      <c r="Z133"/>
      <c r="AA133"/>
    </row>
    <row r="134" spans="1:27" s="51" customFormat="1" ht="18.600000000000001" hidden="1" customHeight="1" x14ac:dyDescent="0.25">
      <c r="A134" s="81" t="s">
        <v>16</v>
      </c>
      <c r="B134" s="31" t="s">
        <v>358</v>
      </c>
      <c r="C134" s="32" t="s">
        <v>333</v>
      </c>
      <c r="D134" s="31" t="s">
        <v>398</v>
      </c>
      <c r="E134" s="33" t="s">
        <v>399</v>
      </c>
      <c r="F134" s="33" t="s">
        <v>21</v>
      </c>
      <c r="G134" s="33" t="s">
        <v>364</v>
      </c>
      <c r="H134" s="84" t="s">
        <v>400</v>
      </c>
      <c r="I134" s="23" t="s">
        <v>24</v>
      </c>
      <c r="J134" s="34">
        <v>920</v>
      </c>
      <c r="K134" s="35">
        <v>0.25</v>
      </c>
      <c r="L134" s="36">
        <f t="shared" si="11"/>
        <v>230</v>
      </c>
      <c r="M134" s="37">
        <f t="shared" si="12"/>
        <v>690</v>
      </c>
      <c r="N134" s="38">
        <v>0.16</v>
      </c>
      <c r="O134" s="39">
        <f t="shared" si="14"/>
        <v>110.4</v>
      </c>
      <c r="P134" s="40">
        <f t="shared" si="15"/>
        <v>800.4</v>
      </c>
      <c r="Q134" s="23"/>
      <c r="R134" s="56"/>
      <c r="S134" s="57"/>
      <c r="T134" s="58">
        <f t="shared" si="17"/>
        <v>0</v>
      </c>
      <c r="U134" s="36">
        <f t="shared" si="17"/>
        <v>0</v>
      </c>
      <c r="V134" s="59">
        <f t="shared" si="18"/>
        <v>0</v>
      </c>
      <c r="W134" s="39">
        <f t="shared" si="13"/>
        <v>0</v>
      </c>
      <c r="X134" s="40">
        <f t="shared" si="16"/>
        <v>0</v>
      </c>
      <c r="Y134"/>
      <c r="Z134"/>
      <c r="AA134"/>
    </row>
    <row r="135" spans="1:27" s="51" customFormat="1" ht="18.600000000000001" hidden="1" customHeight="1" x14ac:dyDescent="0.25">
      <c r="A135" s="82" t="s">
        <v>16</v>
      </c>
      <c r="B135" s="41" t="s">
        <v>358</v>
      </c>
      <c r="C135" s="42" t="s">
        <v>401</v>
      </c>
      <c r="D135" s="41" t="s">
        <v>402</v>
      </c>
      <c r="E135" s="43" t="s">
        <v>403</v>
      </c>
      <c r="F135" s="43" t="s">
        <v>21</v>
      </c>
      <c r="G135" s="43" t="s">
        <v>364</v>
      </c>
      <c r="H135" s="85" t="s">
        <v>404</v>
      </c>
      <c r="I135" s="23" t="s">
        <v>24</v>
      </c>
      <c r="J135" s="44">
        <v>920</v>
      </c>
      <c r="K135" s="45">
        <v>0.25</v>
      </c>
      <c r="L135" s="46">
        <f t="shared" si="11"/>
        <v>230</v>
      </c>
      <c r="M135" s="47">
        <f t="shared" si="12"/>
        <v>690</v>
      </c>
      <c r="N135" s="48">
        <v>0.16</v>
      </c>
      <c r="O135" s="49">
        <f t="shared" si="14"/>
        <v>110.4</v>
      </c>
      <c r="P135" s="50">
        <f t="shared" si="15"/>
        <v>800.4</v>
      </c>
      <c r="Q135" s="23"/>
      <c r="R135" s="60"/>
      <c r="S135" s="61"/>
      <c r="T135" s="62">
        <f t="shared" si="17"/>
        <v>0</v>
      </c>
      <c r="U135" s="46">
        <f t="shared" si="17"/>
        <v>0</v>
      </c>
      <c r="V135" s="63">
        <f t="shared" si="18"/>
        <v>0</v>
      </c>
      <c r="W135" s="49">
        <f t="shared" si="13"/>
        <v>0</v>
      </c>
      <c r="X135" s="50">
        <f t="shared" si="16"/>
        <v>0</v>
      </c>
      <c r="Y135"/>
      <c r="Z135"/>
      <c r="AA135"/>
    </row>
    <row r="136" spans="1:27" s="51" customFormat="1" ht="18.600000000000001" hidden="1" customHeight="1" x14ac:dyDescent="0.25">
      <c r="A136" s="80" t="s">
        <v>16</v>
      </c>
      <c r="B136" s="20" t="s">
        <v>358</v>
      </c>
      <c r="C136" s="21" t="s">
        <v>405</v>
      </c>
      <c r="D136" s="20" t="s">
        <v>406</v>
      </c>
      <c r="E136" s="22" t="s">
        <v>407</v>
      </c>
      <c r="F136" s="22" t="s">
        <v>21</v>
      </c>
      <c r="G136" s="22" t="s">
        <v>364</v>
      </c>
      <c r="H136" s="83" t="s">
        <v>408</v>
      </c>
      <c r="I136" s="23" t="s">
        <v>24</v>
      </c>
      <c r="J136" s="24">
        <v>920</v>
      </c>
      <c r="K136" s="25">
        <v>0.25</v>
      </c>
      <c r="L136" s="26">
        <f t="shared" si="11"/>
        <v>230</v>
      </c>
      <c r="M136" s="27">
        <f t="shared" si="12"/>
        <v>690</v>
      </c>
      <c r="N136" s="28">
        <v>0.16</v>
      </c>
      <c r="O136" s="29">
        <f t="shared" si="14"/>
        <v>110.4</v>
      </c>
      <c r="P136" s="30">
        <f t="shared" si="15"/>
        <v>800.4</v>
      </c>
      <c r="Q136" s="23"/>
      <c r="R136" s="52"/>
      <c r="S136" s="53"/>
      <c r="T136" s="54">
        <f t="shared" si="17"/>
        <v>0</v>
      </c>
      <c r="U136" s="26">
        <f t="shared" si="17"/>
        <v>0</v>
      </c>
      <c r="V136" s="55">
        <f t="shared" si="18"/>
        <v>0</v>
      </c>
      <c r="W136" s="29">
        <f t="shared" si="13"/>
        <v>0</v>
      </c>
      <c r="X136" s="30">
        <f t="shared" si="16"/>
        <v>0</v>
      </c>
      <c r="Y136"/>
      <c r="Z136"/>
      <c r="AA136"/>
    </row>
    <row r="137" spans="1:27" s="51" customFormat="1" ht="18.600000000000001" hidden="1" customHeight="1" x14ac:dyDescent="0.25">
      <c r="A137" s="81" t="s">
        <v>16</v>
      </c>
      <c r="B137" s="31" t="s">
        <v>358</v>
      </c>
      <c r="C137" s="32" t="s">
        <v>260</v>
      </c>
      <c r="D137" s="31" t="s">
        <v>409</v>
      </c>
      <c r="E137" s="33" t="s">
        <v>410</v>
      </c>
      <c r="F137" s="33" t="s">
        <v>21</v>
      </c>
      <c r="G137" s="33" t="s">
        <v>364</v>
      </c>
      <c r="H137" s="84" t="s">
        <v>411</v>
      </c>
      <c r="I137" s="23" t="s">
        <v>24</v>
      </c>
      <c r="J137" s="34">
        <v>920</v>
      </c>
      <c r="K137" s="35">
        <v>0.25</v>
      </c>
      <c r="L137" s="36">
        <f t="shared" si="11"/>
        <v>230</v>
      </c>
      <c r="M137" s="37">
        <f t="shared" si="12"/>
        <v>690</v>
      </c>
      <c r="N137" s="38">
        <v>0.16</v>
      </c>
      <c r="O137" s="39">
        <f t="shared" si="14"/>
        <v>110.4</v>
      </c>
      <c r="P137" s="40">
        <f t="shared" si="15"/>
        <v>800.4</v>
      </c>
      <c r="Q137" s="23"/>
      <c r="R137" s="56"/>
      <c r="S137" s="57"/>
      <c r="T137" s="58">
        <f t="shared" ref="T137:U152" si="19">+S137*J137</f>
        <v>0</v>
      </c>
      <c r="U137" s="36">
        <f t="shared" si="19"/>
        <v>0</v>
      </c>
      <c r="V137" s="59">
        <f t="shared" si="18"/>
        <v>0</v>
      </c>
      <c r="W137" s="39">
        <f t="shared" si="13"/>
        <v>0</v>
      </c>
      <c r="X137" s="40">
        <f t="shared" si="16"/>
        <v>0</v>
      </c>
      <c r="Y137"/>
      <c r="Z137"/>
      <c r="AA137"/>
    </row>
    <row r="138" spans="1:27" s="51" customFormat="1" ht="18.600000000000001" hidden="1" customHeight="1" x14ac:dyDescent="0.25">
      <c r="A138" s="82" t="s">
        <v>16</v>
      </c>
      <c r="B138" s="41" t="s">
        <v>358</v>
      </c>
      <c r="C138" s="42" t="s">
        <v>412</v>
      </c>
      <c r="D138" s="41" t="s">
        <v>413</v>
      </c>
      <c r="E138" s="43" t="s">
        <v>414</v>
      </c>
      <c r="F138" s="43" t="s">
        <v>21</v>
      </c>
      <c r="G138" s="43" t="s">
        <v>415</v>
      </c>
      <c r="H138" s="85" t="s">
        <v>416</v>
      </c>
      <c r="I138" s="23" t="s">
        <v>24</v>
      </c>
      <c r="J138" s="44">
        <v>5600</v>
      </c>
      <c r="K138" s="45">
        <v>0.25</v>
      </c>
      <c r="L138" s="46">
        <f t="shared" ref="L138:L201" si="20">+J138*K138</f>
        <v>1400</v>
      </c>
      <c r="M138" s="47">
        <f t="shared" ref="M138:M201" si="21">+J138-L138</f>
        <v>4200</v>
      </c>
      <c r="N138" s="48">
        <v>0.16</v>
      </c>
      <c r="O138" s="49">
        <f t="shared" si="14"/>
        <v>672</v>
      </c>
      <c r="P138" s="50">
        <f t="shared" si="15"/>
        <v>4872</v>
      </c>
      <c r="Q138" s="23"/>
      <c r="R138" s="60"/>
      <c r="S138" s="61"/>
      <c r="T138" s="62">
        <f t="shared" si="19"/>
        <v>0</v>
      </c>
      <c r="U138" s="46">
        <f t="shared" si="19"/>
        <v>0</v>
      </c>
      <c r="V138" s="63">
        <f t="shared" si="18"/>
        <v>0</v>
      </c>
      <c r="W138" s="49">
        <f t="shared" ref="W138:W201" si="22">+V138*N138</f>
        <v>0</v>
      </c>
      <c r="X138" s="50">
        <f t="shared" si="16"/>
        <v>0</v>
      </c>
      <c r="Y138"/>
      <c r="Z138"/>
      <c r="AA138"/>
    </row>
    <row r="139" spans="1:27" s="51" customFormat="1" ht="18.600000000000001" hidden="1" customHeight="1" x14ac:dyDescent="0.25">
      <c r="A139" s="80" t="s">
        <v>16</v>
      </c>
      <c r="B139" s="20" t="s">
        <v>358</v>
      </c>
      <c r="C139" s="21" t="s">
        <v>18</v>
      </c>
      <c r="D139" s="20">
        <v>8435635304346</v>
      </c>
      <c r="E139" s="22" t="s">
        <v>417</v>
      </c>
      <c r="F139" s="22" t="s">
        <v>21</v>
      </c>
      <c r="G139" s="22">
        <v>8</v>
      </c>
      <c r="H139" s="83" t="s">
        <v>418</v>
      </c>
      <c r="I139" s="23" t="s">
        <v>24</v>
      </c>
      <c r="J139" s="24">
        <v>750</v>
      </c>
      <c r="K139" s="25">
        <v>0.25</v>
      </c>
      <c r="L139" s="26">
        <f t="shared" si="20"/>
        <v>187.5</v>
      </c>
      <c r="M139" s="27">
        <f t="shared" si="21"/>
        <v>562.5</v>
      </c>
      <c r="N139" s="28">
        <v>0.16</v>
      </c>
      <c r="O139" s="29">
        <f t="shared" ref="O139:O202" si="23">+M139*N139</f>
        <v>90</v>
      </c>
      <c r="P139" s="30">
        <f t="shared" ref="P139:P202" si="24">+M139+O139</f>
        <v>652.5</v>
      </c>
      <c r="Q139" s="23"/>
      <c r="R139" s="52"/>
      <c r="S139" s="53"/>
      <c r="T139" s="54">
        <f t="shared" si="19"/>
        <v>0</v>
      </c>
      <c r="U139" s="26">
        <f t="shared" si="19"/>
        <v>0</v>
      </c>
      <c r="V139" s="55">
        <f t="shared" si="18"/>
        <v>0</v>
      </c>
      <c r="W139" s="29">
        <f t="shared" si="22"/>
        <v>0</v>
      </c>
      <c r="X139" s="30">
        <f t="shared" ref="X139:X202" si="25">+V139+W139</f>
        <v>0</v>
      </c>
      <c r="Y139"/>
      <c r="Z139"/>
      <c r="AA139"/>
    </row>
    <row r="140" spans="1:27" s="51" customFormat="1" ht="18.600000000000001" hidden="1" customHeight="1" x14ac:dyDescent="0.25">
      <c r="A140" s="81" t="s">
        <v>16</v>
      </c>
      <c r="B140" s="31" t="s">
        <v>358</v>
      </c>
      <c r="C140" s="32" t="s">
        <v>18</v>
      </c>
      <c r="D140" s="31">
        <v>8435635304353</v>
      </c>
      <c r="E140" s="33" t="s">
        <v>419</v>
      </c>
      <c r="F140" s="33" t="s">
        <v>21</v>
      </c>
      <c r="G140" s="33">
        <v>8</v>
      </c>
      <c r="H140" s="84" t="s">
        <v>420</v>
      </c>
      <c r="I140" s="23" t="s">
        <v>24</v>
      </c>
      <c r="J140" s="34">
        <v>750</v>
      </c>
      <c r="K140" s="35">
        <v>0.25</v>
      </c>
      <c r="L140" s="36">
        <f t="shared" si="20"/>
        <v>187.5</v>
      </c>
      <c r="M140" s="37">
        <f t="shared" si="21"/>
        <v>562.5</v>
      </c>
      <c r="N140" s="38">
        <v>0.16</v>
      </c>
      <c r="O140" s="39">
        <f t="shared" si="23"/>
        <v>90</v>
      </c>
      <c r="P140" s="40">
        <f t="shared" si="24"/>
        <v>652.5</v>
      </c>
      <c r="Q140" s="23"/>
      <c r="R140" s="56"/>
      <c r="S140" s="57"/>
      <c r="T140" s="58">
        <f t="shared" si="19"/>
        <v>0</v>
      </c>
      <c r="U140" s="36">
        <f t="shared" si="19"/>
        <v>0</v>
      </c>
      <c r="V140" s="59">
        <f t="shared" si="18"/>
        <v>0</v>
      </c>
      <c r="W140" s="39">
        <f t="shared" si="22"/>
        <v>0</v>
      </c>
      <c r="X140" s="40">
        <f t="shared" si="25"/>
        <v>0</v>
      </c>
      <c r="Y140"/>
      <c r="Z140"/>
      <c r="AA140"/>
    </row>
    <row r="141" spans="1:27" s="51" customFormat="1" ht="18.600000000000001" hidden="1" customHeight="1" x14ac:dyDescent="0.25">
      <c r="A141" s="82" t="s">
        <v>16</v>
      </c>
      <c r="B141" s="41" t="s">
        <v>421</v>
      </c>
      <c r="C141" s="42" t="s">
        <v>421</v>
      </c>
      <c r="D141" s="41" t="s">
        <v>422</v>
      </c>
      <c r="E141" s="43" t="s">
        <v>423</v>
      </c>
      <c r="F141" s="43" t="s">
        <v>424</v>
      </c>
      <c r="G141" s="43" t="s">
        <v>425</v>
      </c>
      <c r="H141" s="85" t="s">
        <v>421</v>
      </c>
      <c r="I141" s="23" t="s">
        <v>24</v>
      </c>
      <c r="J141" s="44">
        <v>2100</v>
      </c>
      <c r="K141" s="45">
        <v>0.25</v>
      </c>
      <c r="L141" s="46">
        <f t="shared" si="20"/>
        <v>525</v>
      </c>
      <c r="M141" s="47">
        <f t="shared" si="21"/>
        <v>1575</v>
      </c>
      <c r="N141" s="48">
        <v>0.16</v>
      </c>
      <c r="O141" s="49">
        <f t="shared" si="23"/>
        <v>252</v>
      </c>
      <c r="P141" s="50">
        <f t="shared" si="24"/>
        <v>1827</v>
      </c>
      <c r="Q141" s="23"/>
      <c r="R141" s="60"/>
      <c r="S141" s="61"/>
      <c r="T141" s="62">
        <f t="shared" si="19"/>
        <v>0</v>
      </c>
      <c r="U141" s="46">
        <f t="shared" si="19"/>
        <v>0</v>
      </c>
      <c r="V141" s="63">
        <f t="shared" si="18"/>
        <v>0</v>
      </c>
      <c r="W141" s="49">
        <f t="shared" si="22"/>
        <v>0</v>
      </c>
      <c r="X141" s="50">
        <f t="shared" si="25"/>
        <v>0</v>
      </c>
      <c r="Y141"/>
      <c r="Z141"/>
      <c r="AA141"/>
    </row>
    <row r="142" spans="1:27" s="51" customFormat="1" ht="18.600000000000001" hidden="1" customHeight="1" x14ac:dyDescent="0.25">
      <c r="A142" s="80" t="s">
        <v>16</v>
      </c>
      <c r="B142" s="20" t="s">
        <v>426</v>
      </c>
      <c r="C142" s="21" t="s">
        <v>426</v>
      </c>
      <c r="D142" s="20" t="s">
        <v>427</v>
      </c>
      <c r="E142" s="22" t="s">
        <v>428</v>
      </c>
      <c r="F142" s="22" t="s">
        <v>429</v>
      </c>
      <c r="G142" s="22">
        <v>1</v>
      </c>
      <c r="H142" s="83" t="s">
        <v>430</v>
      </c>
      <c r="I142" s="23" t="s">
        <v>24</v>
      </c>
      <c r="J142" s="24">
        <v>110</v>
      </c>
      <c r="K142" s="25">
        <v>0.25</v>
      </c>
      <c r="L142" s="26">
        <f t="shared" si="20"/>
        <v>27.5</v>
      </c>
      <c r="M142" s="27">
        <f t="shared" si="21"/>
        <v>82.5</v>
      </c>
      <c r="N142" s="28">
        <v>0.16</v>
      </c>
      <c r="O142" s="29">
        <f t="shared" si="23"/>
        <v>13.200000000000001</v>
      </c>
      <c r="P142" s="30">
        <f t="shared" si="24"/>
        <v>95.7</v>
      </c>
      <c r="Q142" s="23"/>
      <c r="R142" s="52"/>
      <c r="S142" s="53"/>
      <c r="T142" s="54">
        <f t="shared" si="19"/>
        <v>0</v>
      </c>
      <c r="U142" s="26">
        <f t="shared" si="19"/>
        <v>0</v>
      </c>
      <c r="V142" s="55">
        <f t="shared" si="18"/>
        <v>0</v>
      </c>
      <c r="W142" s="29">
        <f t="shared" si="22"/>
        <v>0</v>
      </c>
      <c r="X142" s="30">
        <f t="shared" si="25"/>
        <v>0</v>
      </c>
      <c r="Y142"/>
      <c r="Z142"/>
      <c r="AA142"/>
    </row>
    <row r="143" spans="1:27" s="51" customFormat="1" ht="18.600000000000001" hidden="1" customHeight="1" x14ac:dyDescent="0.25">
      <c r="A143" s="81" t="s">
        <v>16</v>
      </c>
      <c r="B143" s="31" t="s">
        <v>426</v>
      </c>
      <c r="C143" s="32" t="s">
        <v>426</v>
      </c>
      <c r="D143" s="31" t="s">
        <v>431</v>
      </c>
      <c r="E143" s="33" t="s">
        <v>432</v>
      </c>
      <c r="F143" s="33" t="s">
        <v>429</v>
      </c>
      <c r="G143" s="33">
        <v>1</v>
      </c>
      <c r="H143" s="84" t="s">
        <v>433</v>
      </c>
      <c r="I143" s="23" t="s">
        <v>24</v>
      </c>
      <c r="J143" s="34">
        <v>110</v>
      </c>
      <c r="K143" s="35">
        <v>0.25</v>
      </c>
      <c r="L143" s="36">
        <f t="shared" si="20"/>
        <v>27.5</v>
      </c>
      <c r="M143" s="37">
        <f t="shared" si="21"/>
        <v>82.5</v>
      </c>
      <c r="N143" s="38">
        <v>0.16</v>
      </c>
      <c r="O143" s="39">
        <f t="shared" si="23"/>
        <v>13.200000000000001</v>
      </c>
      <c r="P143" s="40">
        <f t="shared" si="24"/>
        <v>95.7</v>
      </c>
      <c r="Q143" s="23"/>
      <c r="R143" s="56"/>
      <c r="S143" s="57"/>
      <c r="T143" s="58">
        <f t="shared" si="19"/>
        <v>0</v>
      </c>
      <c r="U143" s="36">
        <f t="shared" si="19"/>
        <v>0</v>
      </c>
      <c r="V143" s="59">
        <f t="shared" si="18"/>
        <v>0</v>
      </c>
      <c r="W143" s="39">
        <f t="shared" si="22"/>
        <v>0</v>
      </c>
      <c r="X143" s="40">
        <f t="shared" si="25"/>
        <v>0</v>
      </c>
      <c r="Y143"/>
      <c r="Z143"/>
      <c r="AA143"/>
    </row>
    <row r="144" spans="1:27" s="51" customFormat="1" ht="18.600000000000001" hidden="1" customHeight="1" x14ac:dyDescent="0.25">
      <c r="A144" s="82" t="s">
        <v>16</v>
      </c>
      <c r="B144" s="41" t="s">
        <v>426</v>
      </c>
      <c r="C144" s="42" t="s">
        <v>426</v>
      </c>
      <c r="D144" s="41" t="s">
        <v>434</v>
      </c>
      <c r="E144" s="43" t="s">
        <v>435</v>
      </c>
      <c r="F144" s="43" t="s">
        <v>429</v>
      </c>
      <c r="G144" s="43">
        <v>1</v>
      </c>
      <c r="H144" s="85" t="s">
        <v>436</v>
      </c>
      <c r="I144" s="23" t="s">
        <v>24</v>
      </c>
      <c r="J144" s="44">
        <v>110</v>
      </c>
      <c r="K144" s="45">
        <v>0.25</v>
      </c>
      <c r="L144" s="46">
        <f t="shared" si="20"/>
        <v>27.5</v>
      </c>
      <c r="M144" s="47">
        <f t="shared" si="21"/>
        <v>82.5</v>
      </c>
      <c r="N144" s="48">
        <v>0.16</v>
      </c>
      <c r="O144" s="49">
        <f t="shared" si="23"/>
        <v>13.200000000000001</v>
      </c>
      <c r="P144" s="50">
        <f t="shared" si="24"/>
        <v>95.7</v>
      </c>
      <c r="Q144" s="23"/>
      <c r="R144" s="60"/>
      <c r="S144" s="61"/>
      <c r="T144" s="62">
        <f t="shared" si="19"/>
        <v>0</v>
      </c>
      <c r="U144" s="46">
        <f t="shared" si="19"/>
        <v>0</v>
      </c>
      <c r="V144" s="63">
        <f t="shared" si="18"/>
        <v>0</v>
      </c>
      <c r="W144" s="49">
        <f t="shared" si="22"/>
        <v>0</v>
      </c>
      <c r="X144" s="50">
        <f t="shared" si="25"/>
        <v>0</v>
      </c>
      <c r="Y144"/>
      <c r="Z144"/>
      <c r="AA144"/>
    </row>
    <row r="145" spans="1:27" s="51" customFormat="1" ht="18.600000000000001" hidden="1" customHeight="1" x14ac:dyDescent="0.25">
      <c r="A145" s="80" t="s">
        <v>16</v>
      </c>
      <c r="B145" s="20" t="s">
        <v>426</v>
      </c>
      <c r="C145" s="21" t="s">
        <v>426</v>
      </c>
      <c r="D145" s="20" t="s">
        <v>437</v>
      </c>
      <c r="E145" s="22" t="s">
        <v>438</v>
      </c>
      <c r="F145" s="22" t="s">
        <v>429</v>
      </c>
      <c r="G145" s="22">
        <v>1</v>
      </c>
      <c r="H145" s="83" t="s">
        <v>439</v>
      </c>
      <c r="I145" s="23" t="s">
        <v>24</v>
      </c>
      <c r="J145" s="24">
        <v>110</v>
      </c>
      <c r="K145" s="25">
        <v>0.25</v>
      </c>
      <c r="L145" s="26">
        <f t="shared" si="20"/>
        <v>27.5</v>
      </c>
      <c r="M145" s="27">
        <f t="shared" si="21"/>
        <v>82.5</v>
      </c>
      <c r="N145" s="28">
        <v>0.16</v>
      </c>
      <c r="O145" s="29">
        <f t="shared" si="23"/>
        <v>13.200000000000001</v>
      </c>
      <c r="P145" s="30">
        <f t="shared" si="24"/>
        <v>95.7</v>
      </c>
      <c r="Q145" s="23"/>
      <c r="R145" s="52"/>
      <c r="S145" s="53"/>
      <c r="T145" s="54">
        <f t="shared" si="19"/>
        <v>0</v>
      </c>
      <c r="U145" s="26">
        <f t="shared" si="19"/>
        <v>0</v>
      </c>
      <c r="V145" s="55">
        <f t="shared" si="18"/>
        <v>0</v>
      </c>
      <c r="W145" s="29">
        <f t="shared" si="22"/>
        <v>0</v>
      </c>
      <c r="X145" s="30">
        <f t="shared" si="25"/>
        <v>0</v>
      </c>
      <c r="Y145"/>
      <c r="Z145"/>
      <c r="AA145"/>
    </row>
    <row r="146" spans="1:27" s="51" customFormat="1" ht="18.600000000000001" hidden="1" customHeight="1" x14ac:dyDescent="0.25">
      <c r="A146" s="81" t="s">
        <v>16</v>
      </c>
      <c r="B146" s="31" t="s">
        <v>426</v>
      </c>
      <c r="C146" s="32" t="s">
        <v>426</v>
      </c>
      <c r="D146" s="31" t="s">
        <v>440</v>
      </c>
      <c r="E146" s="33" t="s">
        <v>441</v>
      </c>
      <c r="F146" s="33" t="s">
        <v>429</v>
      </c>
      <c r="G146" s="33">
        <v>1</v>
      </c>
      <c r="H146" s="84" t="s">
        <v>442</v>
      </c>
      <c r="I146" s="23" t="s">
        <v>24</v>
      </c>
      <c r="J146" s="34">
        <v>110</v>
      </c>
      <c r="K146" s="35">
        <v>0.25</v>
      </c>
      <c r="L146" s="36">
        <f t="shared" si="20"/>
        <v>27.5</v>
      </c>
      <c r="M146" s="37">
        <f t="shared" si="21"/>
        <v>82.5</v>
      </c>
      <c r="N146" s="38">
        <v>0.16</v>
      </c>
      <c r="O146" s="39">
        <f t="shared" si="23"/>
        <v>13.200000000000001</v>
      </c>
      <c r="P146" s="40">
        <f t="shared" si="24"/>
        <v>95.7</v>
      </c>
      <c r="Q146" s="23"/>
      <c r="R146" s="56"/>
      <c r="S146" s="57"/>
      <c r="T146" s="58">
        <f t="shared" si="19"/>
        <v>0</v>
      </c>
      <c r="U146" s="36">
        <f t="shared" si="19"/>
        <v>0</v>
      </c>
      <c r="V146" s="59">
        <f t="shared" si="18"/>
        <v>0</v>
      </c>
      <c r="W146" s="39">
        <f t="shared" si="22"/>
        <v>0</v>
      </c>
      <c r="X146" s="40">
        <f t="shared" si="25"/>
        <v>0</v>
      </c>
      <c r="Y146"/>
      <c r="Z146"/>
      <c r="AA146"/>
    </row>
    <row r="147" spans="1:27" s="51" customFormat="1" ht="18.600000000000001" hidden="1" customHeight="1" x14ac:dyDescent="0.25">
      <c r="A147" s="82" t="s">
        <v>16</v>
      </c>
      <c r="B147" s="41" t="s">
        <v>426</v>
      </c>
      <c r="C147" s="42" t="s">
        <v>426</v>
      </c>
      <c r="D147" s="41" t="s">
        <v>443</v>
      </c>
      <c r="E147" s="43" t="s">
        <v>444</v>
      </c>
      <c r="F147" s="43" t="s">
        <v>429</v>
      </c>
      <c r="G147" s="43">
        <v>1</v>
      </c>
      <c r="H147" s="85" t="s">
        <v>445</v>
      </c>
      <c r="I147" s="23" t="s">
        <v>24</v>
      </c>
      <c r="J147" s="44">
        <v>110</v>
      </c>
      <c r="K147" s="45">
        <v>0.25</v>
      </c>
      <c r="L147" s="46">
        <f t="shared" si="20"/>
        <v>27.5</v>
      </c>
      <c r="M147" s="47">
        <f t="shared" si="21"/>
        <v>82.5</v>
      </c>
      <c r="N147" s="48">
        <v>0.16</v>
      </c>
      <c r="O147" s="49">
        <f t="shared" si="23"/>
        <v>13.200000000000001</v>
      </c>
      <c r="P147" s="50">
        <f t="shared" si="24"/>
        <v>95.7</v>
      </c>
      <c r="Q147" s="23"/>
      <c r="R147" s="60"/>
      <c r="S147" s="61"/>
      <c r="T147" s="62">
        <f t="shared" si="19"/>
        <v>0</v>
      </c>
      <c r="U147" s="46">
        <f t="shared" si="19"/>
        <v>0</v>
      </c>
      <c r="V147" s="63">
        <f t="shared" si="18"/>
        <v>0</v>
      </c>
      <c r="W147" s="49">
        <f t="shared" si="22"/>
        <v>0</v>
      </c>
      <c r="X147" s="50">
        <f t="shared" si="25"/>
        <v>0</v>
      </c>
      <c r="Y147"/>
      <c r="Z147"/>
      <c r="AA147"/>
    </row>
    <row r="148" spans="1:27" s="51" customFormat="1" ht="18.600000000000001" hidden="1" customHeight="1" x14ac:dyDescent="0.25">
      <c r="A148" s="80" t="s">
        <v>16</v>
      </c>
      <c r="B148" s="20" t="s">
        <v>426</v>
      </c>
      <c r="C148" s="21" t="s">
        <v>426</v>
      </c>
      <c r="D148" s="20" t="s">
        <v>446</v>
      </c>
      <c r="E148" s="22" t="s">
        <v>447</v>
      </c>
      <c r="F148" s="22" t="s">
        <v>429</v>
      </c>
      <c r="G148" s="22">
        <v>1</v>
      </c>
      <c r="H148" s="83" t="s">
        <v>448</v>
      </c>
      <c r="I148" s="23" t="s">
        <v>24</v>
      </c>
      <c r="J148" s="24">
        <v>110</v>
      </c>
      <c r="K148" s="25">
        <v>0.25</v>
      </c>
      <c r="L148" s="26">
        <f t="shared" si="20"/>
        <v>27.5</v>
      </c>
      <c r="M148" s="27">
        <f t="shared" si="21"/>
        <v>82.5</v>
      </c>
      <c r="N148" s="28">
        <v>0.16</v>
      </c>
      <c r="O148" s="29">
        <f t="shared" si="23"/>
        <v>13.200000000000001</v>
      </c>
      <c r="P148" s="30">
        <f t="shared" si="24"/>
        <v>95.7</v>
      </c>
      <c r="Q148" s="23"/>
      <c r="R148" s="52"/>
      <c r="S148" s="53"/>
      <c r="T148" s="54">
        <f t="shared" si="19"/>
        <v>0</v>
      </c>
      <c r="U148" s="26">
        <f t="shared" si="19"/>
        <v>0</v>
      </c>
      <c r="V148" s="55">
        <f t="shared" si="18"/>
        <v>0</v>
      </c>
      <c r="W148" s="29">
        <f t="shared" si="22"/>
        <v>0</v>
      </c>
      <c r="X148" s="30">
        <f t="shared" si="25"/>
        <v>0</v>
      </c>
      <c r="Y148"/>
      <c r="Z148"/>
      <c r="AA148"/>
    </row>
    <row r="149" spans="1:27" s="51" customFormat="1" ht="18.600000000000001" hidden="1" customHeight="1" x14ac:dyDescent="0.25">
      <c r="A149" s="81" t="s">
        <v>16</v>
      </c>
      <c r="B149" s="31" t="s">
        <v>426</v>
      </c>
      <c r="C149" s="32" t="s">
        <v>426</v>
      </c>
      <c r="D149" s="31" t="s">
        <v>449</v>
      </c>
      <c r="E149" s="33" t="s">
        <v>450</v>
      </c>
      <c r="F149" s="33" t="s">
        <v>429</v>
      </c>
      <c r="G149" s="33">
        <v>1</v>
      </c>
      <c r="H149" s="84" t="s">
        <v>451</v>
      </c>
      <c r="I149" s="23" t="s">
        <v>24</v>
      </c>
      <c r="J149" s="34">
        <v>110</v>
      </c>
      <c r="K149" s="35">
        <v>0.25</v>
      </c>
      <c r="L149" s="36">
        <f t="shared" si="20"/>
        <v>27.5</v>
      </c>
      <c r="M149" s="37">
        <f t="shared" si="21"/>
        <v>82.5</v>
      </c>
      <c r="N149" s="38">
        <v>0.16</v>
      </c>
      <c r="O149" s="39">
        <f t="shared" si="23"/>
        <v>13.200000000000001</v>
      </c>
      <c r="P149" s="40">
        <f t="shared" si="24"/>
        <v>95.7</v>
      </c>
      <c r="Q149" s="23"/>
      <c r="R149" s="56"/>
      <c r="S149" s="57"/>
      <c r="T149" s="58">
        <f t="shared" si="19"/>
        <v>0</v>
      </c>
      <c r="U149" s="36">
        <f t="shared" si="19"/>
        <v>0</v>
      </c>
      <c r="V149" s="59">
        <f t="shared" si="18"/>
        <v>0</v>
      </c>
      <c r="W149" s="39">
        <f t="shared" si="22"/>
        <v>0</v>
      </c>
      <c r="X149" s="40">
        <f t="shared" si="25"/>
        <v>0</v>
      </c>
      <c r="Y149"/>
      <c r="Z149"/>
      <c r="AA149"/>
    </row>
    <row r="150" spans="1:27" s="51" customFormat="1" ht="18.600000000000001" hidden="1" customHeight="1" x14ac:dyDescent="0.25">
      <c r="A150" s="82" t="s">
        <v>16</v>
      </c>
      <c r="B150" s="41" t="s">
        <v>426</v>
      </c>
      <c r="C150" s="42" t="s">
        <v>426</v>
      </c>
      <c r="D150" s="41" t="s">
        <v>452</v>
      </c>
      <c r="E150" s="43" t="s">
        <v>453</v>
      </c>
      <c r="F150" s="43" t="s">
        <v>429</v>
      </c>
      <c r="G150" s="43">
        <v>1</v>
      </c>
      <c r="H150" s="85" t="s">
        <v>454</v>
      </c>
      <c r="I150" s="23" t="s">
        <v>24</v>
      </c>
      <c r="J150" s="44">
        <v>110</v>
      </c>
      <c r="K150" s="45">
        <v>0.25</v>
      </c>
      <c r="L150" s="46">
        <f t="shared" si="20"/>
        <v>27.5</v>
      </c>
      <c r="M150" s="47">
        <f t="shared" si="21"/>
        <v>82.5</v>
      </c>
      <c r="N150" s="48">
        <v>0.16</v>
      </c>
      <c r="O150" s="49">
        <f t="shared" si="23"/>
        <v>13.200000000000001</v>
      </c>
      <c r="P150" s="50">
        <f t="shared" si="24"/>
        <v>95.7</v>
      </c>
      <c r="Q150" s="23"/>
      <c r="R150" s="60"/>
      <c r="S150" s="61"/>
      <c r="T150" s="62">
        <f t="shared" si="19"/>
        <v>0</v>
      </c>
      <c r="U150" s="46">
        <f t="shared" si="19"/>
        <v>0</v>
      </c>
      <c r="V150" s="63">
        <f t="shared" si="18"/>
        <v>0</v>
      </c>
      <c r="W150" s="49">
        <f t="shared" si="22"/>
        <v>0</v>
      </c>
      <c r="X150" s="50">
        <f t="shared" si="25"/>
        <v>0</v>
      </c>
      <c r="Y150"/>
      <c r="Z150"/>
      <c r="AA150"/>
    </row>
    <row r="151" spans="1:27" s="51" customFormat="1" ht="18.600000000000001" hidden="1" customHeight="1" x14ac:dyDescent="0.25">
      <c r="A151" s="80" t="s">
        <v>16</v>
      </c>
      <c r="B151" s="20" t="s">
        <v>426</v>
      </c>
      <c r="C151" s="21" t="s">
        <v>426</v>
      </c>
      <c r="D151" s="20" t="s">
        <v>455</v>
      </c>
      <c r="E151" s="22" t="s">
        <v>456</v>
      </c>
      <c r="F151" s="22" t="s">
        <v>429</v>
      </c>
      <c r="G151" s="22">
        <v>1</v>
      </c>
      <c r="H151" s="83" t="s">
        <v>457</v>
      </c>
      <c r="I151" s="23" t="s">
        <v>24</v>
      </c>
      <c r="J151" s="24">
        <v>110</v>
      </c>
      <c r="K151" s="25">
        <v>0.25</v>
      </c>
      <c r="L151" s="26">
        <f t="shared" si="20"/>
        <v>27.5</v>
      </c>
      <c r="M151" s="27">
        <f t="shared" si="21"/>
        <v>82.5</v>
      </c>
      <c r="N151" s="28">
        <v>0.16</v>
      </c>
      <c r="O151" s="29">
        <f t="shared" si="23"/>
        <v>13.200000000000001</v>
      </c>
      <c r="P151" s="30">
        <f t="shared" si="24"/>
        <v>95.7</v>
      </c>
      <c r="Q151" s="23"/>
      <c r="R151" s="52"/>
      <c r="S151" s="53"/>
      <c r="T151" s="54">
        <f t="shared" si="19"/>
        <v>0</v>
      </c>
      <c r="U151" s="26">
        <f t="shared" si="19"/>
        <v>0</v>
      </c>
      <c r="V151" s="55">
        <f t="shared" si="18"/>
        <v>0</v>
      </c>
      <c r="W151" s="29">
        <f t="shared" si="22"/>
        <v>0</v>
      </c>
      <c r="X151" s="30">
        <f t="shared" si="25"/>
        <v>0</v>
      </c>
      <c r="Y151"/>
      <c r="Z151"/>
      <c r="AA151"/>
    </row>
    <row r="152" spans="1:27" s="51" customFormat="1" ht="18.600000000000001" hidden="1" customHeight="1" x14ac:dyDescent="0.25">
      <c r="A152" s="81" t="s">
        <v>16</v>
      </c>
      <c r="B152" s="31" t="s">
        <v>426</v>
      </c>
      <c r="C152" s="32" t="s">
        <v>426</v>
      </c>
      <c r="D152" s="31" t="s">
        <v>458</v>
      </c>
      <c r="E152" s="33" t="s">
        <v>459</v>
      </c>
      <c r="F152" s="33" t="s">
        <v>429</v>
      </c>
      <c r="G152" s="33">
        <v>1</v>
      </c>
      <c r="H152" s="84" t="s">
        <v>460</v>
      </c>
      <c r="I152" s="23" t="s">
        <v>24</v>
      </c>
      <c r="J152" s="34">
        <v>110</v>
      </c>
      <c r="K152" s="35">
        <v>0.25</v>
      </c>
      <c r="L152" s="36">
        <f t="shared" si="20"/>
        <v>27.5</v>
      </c>
      <c r="M152" s="37">
        <f t="shared" si="21"/>
        <v>82.5</v>
      </c>
      <c r="N152" s="38">
        <v>0.16</v>
      </c>
      <c r="O152" s="39">
        <f t="shared" si="23"/>
        <v>13.200000000000001</v>
      </c>
      <c r="P152" s="40">
        <f t="shared" si="24"/>
        <v>95.7</v>
      </c>
      <c r="Q152" s="23"/>
      <c r="R152" s="56"/>
      <c r="S152" s="57"/>
      <c r="T152" s="58">
        <f t="shared" si="19"/>
        <v>0</v>
      </c>
      <c r="U152" s="36">
        <f t="shared" si="19"/>
        <v>0</v>
      </c>
      <c r="V152" s="59">
        <f t="shared" si="18"/>
        <v>0</v>
      </c>
      <c r="W152" s="39">
        <f t="shared" si="22"/>
        <v>0</v>
      </c>
      <c r="X152" s="40">
        <f t="shared" si="25"/>
        <v>0</v>
      </c>
      <c r="Y152"/>
      <c r="Z152"/>
      <c r="AA152"/>
    </row>
    <row r="153" spans="1:27" s="51" customFormat="1" ht="18.600000000000001" hidden="1" customHeight="1" x14ac:dyDescent="0.25">
      <c r="A153" s="82" t="s">
        <v>16</v>
      </c>
      <c r="B153" s="41" t="s">
        <v>426</v>
      </c>
      <c r="C153" s="42" t="s">
        <v>426</v>
      </c>
      <c r="D153" s="41" t="s">
        <v>461</v>
      </c>
      <c r="E153" s="43" t="s">
        <v>462</v>
      </c>
      <c r="F153" s="43" t="s">
        <v>429</v>
      </c>
      <c r="G153" s="43">
        <v>1</v>
      </c>
      <c r="H153" s="85" t="s">
        <v>463</v>
      </c>
      <c r="I153" s="23" t="s">
        <v>24</v>
      </c>
      <c r="J153" s="44">
        <v>110</v>
      </c>
      <c r="K153" s="45">
        <v>0.25</v>
      </c>
      <c r="L153" s="46">
        <f t="shared" si="20"/>
        <v>27.5</v>
      </c>
      <c r="M153" s="47">
        <f t="shared" si="21"/>
        <v>82.5</v>
      </c>
      <c r="N153" s="48">
        <v>0.16</v>
      </c>
      <c r="O153" s="49">
        <f t="shared" si="23"/>
        <v>13.200000000000001</v>
      </c>
      <c r="P153" s="50">
        <f t="shared" si="24"/>
        <v>95.7</v>
      </c>
      <c r="Q153" s="23"/>
      <c r="R153" s="60"/>
      <c r="S153" s="61"/>
      <c r="T153" s="62">
        <f t="shared" ref="T153:U168" si="26">+S153*J153</f>
        <v>0</v>
      </c>
      <c r="U153" s="46">
        <f t="shared" si="26"/>
        <v>0</v>
      </c>
      <c r="V153" s="63">
        <f t="shared" si="18"/>
        <v>0</v>
      </c>
      <c r="W153" s="49">
        <f t="shared" si="22"/>
        <v>0</v>
      </c>
      <c r="X153" s="50">
        <f t="shared" si="25"/>
        <v>0</v>
      </c>
      <c r="Y153"/>
      <c r="Z153"/>
      <c r="AA153"/>
    </row>
    <row r="154" spans="1:27" s="51" customFormat="1" ht="18.600000000000001" hidden="1" customHeight="1" x14ac:dyDescent="0.25">
      <c r="A154" s="80" t="s">
        <v>16</v>
      </c>
      <c r="B154" s="20" t="s">
        <v>426</v>
      </c>
      <c r="C154" s="21" t="s">
        <v>426</v>
      </c>
      <c r="D154" s="20" t="s">
        <v>464</v>
      </c>
      <c r="E154" s="22" t="s">
        <v>465</v>
      </c>
      <c r="F154" s="22" t="s">
        <v>429</v>
      </c>
      <c r="G154" s="22">
        <v>1</v>
      </c>
      <c r="H154" s="83" t="s">
        <v>466</v>
      </c>
      <c r="I154" s="23" t="s">
        <v>24</v>
      </c>
      <c r="J154" s="24">
        <v>110</v>
      </c>
      <c r="K154" s="25">
        <v>0.25</v>
      </c>
      <c r="L154" s="26">
        <f t="shared" si="20"/>
        <v>27.5</v>
      </c>
      <c r="M154" s="27">
        <f t="shared" si="21"/>
        <v>82.5</v>
      </c>
      <c r="N154" s="28">
        <v>0.16</v>
      </c>
      <c r="O154" s="29">
        <f t="shared" si="23"/>
        <v>13.200000000000001</v>
      </c>
      <c r="P154" s="30">
        <f t="shared" si="24"/>
        <v>95.7</v>
      </c>
      <c r="Q154" s="23"/>
      <c r="R154" s="52"/>
      <c r="S154" s="53"/>
      <c r="T154" s="54">
        <f t="shared" si="26"/>
        <v>0</v>
      </c>
      <c r="U154" s="26">
        <f t="shared" si="26"/>
        <v>0</v>
      </c>
      <c r="V154" s="55">
        <f t="shared" ref="V154:V217" si="27">+T154-U154</f>
        <v>0</v>
      </c>
      <c r="W154" s="29">
        <f t="shared" si="22"/>
        <v>0</v>
      </c>
      <c r="X154" s="30">
        <f t="shared" si="25"/>
        <v>0</v>
      </c>
      <c r="Y154"/>
      <c r="Z154"/>
      <c r="AA154"/>
    </row>
    <row r="155" spans="1:27" s="51" customFormat="1" ht="18.600000000000001" hidden="1" customHeight="1" x14ac:dyDescent="0.25">
      <c r="A155" s="81" t="s">
        <v>16</v>
      </c>
      <c r="B155" s="31" t="s">
        <v>426</v>
      </c>
      <c r="C155" s="32" t="s">
        <v>426</v>
      </c>
      <c r="D155" s="31" t="s">
        <v>467</v>
      </c>
      <c r="E155" s="33" t="s">
        <v>468</v>
      </c>
      <c r="F155" s="33" t="s">
        <v>429</v>
      </c>
      <c r="G155" s="33">
        <v>1</v>
      </c>
      <c r="H155" s="84" t="s">
        <v>469</v>
      </c>
      <c r="I155" s="23" t="s">
        <v>24</v>
      </c>
      <c r="J155" s="34">
        <v>110</v>
      </c>
      <c r="K155" s="35">
        <v>0.25</v>
      </c>
      <c r="L155" s="36">
        <f t="shared" si="20"/>
        <v>27.5</v>
      </c>
      <c r="M155" s="37">
        <f t="shared" si="21"/>
        <v>82.5</v>
      </c>
      <c r="N155" s="38">
        <v>0.16</v>
      </c>
      <c r="O155" s="39">
        <f t="shared" si="23"/>
        <v>13.200000000000001</v>
      </c>
      <c r="P155" s="40">
        <f t="shared" si="24"/>
        <v>95.7</v>
      </c>
      <c r="Q155" s="23"/>
      <c r="R155" s="56"/>
      <c r="S155" s="57"/>
      <c r="T155" s="58">
        <f t="shared" si="26"/>
        <v>0</v>
      </c>
      <c r="U155" s="36">
        <f t="shared" si="26"/>
        <v>0</v>
      </c>
      <c r="V155" s="59">
        <f t="shared" si="27"/>
        <v>0</v>
      </c>
      <c r="W155" s="39">
        <f t="shared" si="22"/>
        <v>0</v>
      </c>
      <c r="X155" s="40">
        <f t="shared" si="25"/>
        <v>0</v>
      </c>
      <c r="Y155"/>
      <c r="Z155"/>
      <c r="AA155"/>
    </row>
    <row r="156" spans="1:27" s="51" customFormat="1" ht="18.600000000000001" hidden="1" customHeight="1" x14ac:dyDescent="0.25">
      <c r="A156" s="82" t="s">
        <v>16</v>
      </c>
      <c r="B156" s="41" t="s">
        <v>426</v>
      </c>
      <c r="C156" s="42" t="s">
        <v>426</v>
      </c>
      <c r="D156" s="41" t="s">
        <v>470</v>
      </c>
      <c r="E156" s="43" t="s">
        <v>471</v>
      </c>
      <c r="F156" s="43" t="s">
        <v>429</v>
      </c>
      <c r="G156" s="43">
        <v>1</v>
      </c>
      <c r="H156" s="85" t="s">
        <v>472</v>
      </c>
      <c r="I156" s="23" t="s">
        <v>24</v>
      </c>
      <c r="J156" s="44">
        <v>110</v>
      </c>
      <c r="K156" s="45">
        <v>0.25</v>
      </c>
      <c r="L156" s="46">
        <f t="shared" si="20"/>
        <v>27.5</v>
      </c>
      <c r="M156" s="47">
        <f t="shared" si="21"/>
        <v>82.5</v>
      </c>
      <c r="N156" s="48">
        <v>0.16</v>
      </c>
      <c r="O156" s="49">
        <f t="shared" si="23"/>
        <v>13.200000000000001</v>
      </c>
      <c r="P156" s="50">
        <f t="shared" si="24"/>
        <v>95.7</v>
      </c>
      <c r="Q156" s="23"/>
      <c r="R156" s="60"/>
      <c r="S156" s="61"/>
      <c r="T156" s="62">
        <f t="shared" si="26"/>
        <v>0</v>
      </c>
      <c r="U156" s="46">
        <f t="shared" si="26"/>
        <v>0</v>
      </c>
      <c r="V156" s="63">
        <f t="shared" si="27"/>
        <v>0</v>
      </c>
      <c r="W156" s="49">
        <f t="shared" si="22"/>
        <v>0</v>
      </c>
      <c r="X156" s="50">
        <f t="shared" si="25"/>
        <v>0</v>
      </c>
      <c r="Y156"/>
      <c r="Z156"/>
      <c r="AA156"/>
    </row>
    <row r="157" spans="1:27" s="51" customFormat="1" ht="18.600000000000001" hidden="1" customHeight="1" x14ac:dyDescent="0.25">
      <c r="A157" s="80" t="s">
        <v>16</v>
      </c>
      <c r="B157" s="20" t="s">
        <v>426</v>
      </c>
      <c r="C157" s="21" t="s">
        <v>426</v>
      </c>
      <c r="D157" s="20" t="s">
        <v>473</v>
      </c>
      <c r="E157" s="22" t="s">
        <v>474</v>
      </c>
      <c r="F157" s="22" t="s">
        <v>429</v>
      </c>
      <c r="G157" s="22">
        <v>1</v>
      </c>
      <c r="H157" s="83" t="s">
        <v>475</v>
      </c>
      <c r="I157" s="23" t="s">
        <v>24</v>
      </c>
      <c r="J157" s="24">
        <v>110</v>
      </c>
      <c r="K157" s="25">
        <v>0.25</v>
      </c>
      <c r="L157" s="26">
        <f t="shared" si="20"/>
        <v>27.5</v>
      </c>
      <c r="M157" s="27">
        <f t="shared" si="21"/>
        <v>82.5</v>
      </c>
      <c r="N157" s="28">
        <v>0.16</v>
      </c>
      <c r="O157" s="29">
        <f t="shared" si="23"/>
        <v>13.200000000000001</v>
      </c>
      <c r="P157" s="30">
        <f t="shared" si="24"/>
        <v>95.7</v>
      </c>
      <c r="Q157" s="23"/>
      <c r="R157" s="52"/>
      <c r="S157" s="53"/>
      <c r="T157" s="54">
        <f t="shared" si="26"/>
        <v>0</v>
      </c>
      <c r="U157" s="26">
        <f t="shared" si="26"/>
        <v>0</v>
      </c>
      <c r="V157" s="55">
        <f t="shared" si="27"/>
        <v>0</v>
      </c>
      <c r="W157" s="29">
        <f t="shared" si="22"/>
        <v>0</v>
      </c>
      <c r="X157" s="30">
        <f t="shared" si="25"/>
        <v>0</v>
      </c>
      <c r="Y157"/>
      <c r="Z157"/>
      <c r="AA157"/>
    </row>
    <row r="158" spans="1:27" s="51" customFormat="1" ht="18.600000000000001" hidden="1" customHeight="1" x14ac:dyDescent="0.25">
      <c r="A158" s="81" t="s">
        <v>16</v>
      </c>
      <c r="B158" s="31" t="s">
        <v>426</v>
      </c>
      <c r="C158" s="32" t="s">
        <v>426</v>
      </c>
      <c r="D158" s="31" t="s">
        <v>476</v>
      </c>
      <c r="E158" s="33" t="s">
        <v>477</v>
      </c>
      <c r="F158" s="33" t="s">
        <v>429</v>
      </c>
      <c r="G158" s="33">
        <v>1</v>
      </c>
      <c r="H158" s="84" t="s">
        <v>478</v>
      </c>
      <c r="I158" s="23" t="s">
        <v>24</v>
      </c>
      <c r="J158" s="34">
        <v>110</v>
      </c>
      <c r="K158" s="35">
        <v>0.25</v>
      </c>
      <c r="L158" s="36">
        <f t="shared" si="20"/>
        <v>27.5</v>
      </c>
      <c r="M158" s="37">
        <f t="shared" si="21"/>
        <v>82.5</v>
      </c>
      <c r="N158" s="38">
        <v>0.16</v>
      </c>
      <c r="O158" s="39">
        <f t="shared" si="23"/>
        <v>13.200000000000001</v>
      </c>
      <c r="P158" s="40">
        <f t="shared" si="24"/>
        <v>95.7</v>
      </c>
      <c r="Q158" s="23"/>
      <c r="R158" s="56"/>
      <c r="S158" s="57"/>
      <c r="T158" s="58">
        <f t="shared" si="26"/>
        <v>0</v>
      </c>
      <c r="U158" s="36">
        <f t="shared" si="26"/>
        <v>0</v>
      </c>
      <c r="V158" s="59">
        <f t="shared" si="27"/>
        <v>0</v>
      </c>
      <c r="W158" s="39">
        <f t="shared" si="22"/>
        <v>0</v>
      </c>
      <c r="X158" s="40">
        <f t="shared" si="25"/>
        <v>0</v>
      </c>
      <c r="Y158"/>
      <c r="Z158"/>
      <c r="AA158"/>
    </row>
    <row r="159" spans="1:27" s="51" customFormat="1" ht="18.600000000000001" hidden="1" customHeight="1" x14ac:dyDescent="0.25">
      <c r="A159" s="82" t="s">
        <v>16</v>
      </c>
      <c r="B159" s="41" t="s">
        <v>426</v>
      </c>
      <c r="C159" s="42" t="s">
        <v>426</v>
      </c>
      <c r="D159" s="41" t="s">
        <v>479</v>
      </c>
      <c r="E159" s="43" t="s">
        <v>480</v>
      </c>
      <c r="F159" s="43" t="s">
        <v>429</v>
      </c>
      <c r="G159" s="43">
        <v>1</v>
      </c>
      <c r="H159" s="85" t="s">
        <v>481</v>
      </c>
      <c r="I159" s="23" t="s">
        <v>24</v>
      </c>
      <c r="J159" s="44">
        <v>110</v>
      </c>
      <c r="K159" s="45">
        <v>0.25</v>
      </c>
      <c r="L159" s="46">
        <f t="shared" si="20"/>
        <v>27.5</v>
      </c>
      <c r="M159" s="47">
        <f t="shared" si="21"/>
        <v>82.5</v>
      </c>
      <c r="N159" s="48">
        <v>0.16</v>
      </c>
      <c r="O159" s="49">
        <f t="shared" si="23"/>
        <v>13.200000000000001</v>
      </c>
      <c r="P159" s="50">
        <f t="shared" si="24"/>
        <v>95.7</v>
      </c>
      <c r="Q159" s="23"/>
      <c r="R159" s="60"/>
      <c r="S159" s="61"/>
      <c r="T159" s="62">
        <f t="shared" si="26"/>
        <v>0</v>
      </c>
      <c r="U159" s="46">
        <f t="shared" si="26"/>
        <v>0</v>
      </c>
      <c r="V159" s="63">
        <f t="shared" si="27"/>
        <v>0</v>
      </c>
      <c r="W159" s="49">
        <f t="shared" si="22"/>
        <v>0</v>
      </c>
      <c r="X159" s="50">
        <f t="shared" si="25"/>
        <v>0</v>
      </c>
      <c r="Y159"/>
      <c r="Z159"/>
      <c r="AA159"/>
    </row>
    <row r="160" spans="1:27" s="51" customFormat="1" ht="18.600000000000001" hidden="1" customHeight="1" x14ac:dyDescent="0.25">
      <c r="A160" s="80" t="s">
        <v>16</v>
      </c>
      <c r="B160" s="20" t="s">
        <v>426</v>
      </c>
      <c r="C160" s="21" t="s">
        <v>426</v>
      </c>
      <c r="D160" s="20" t="s">
        <v>482</v>
      </c>
      <c r="E160" s="22" t="s">
        <v>483</v>
      </c>
      <c r="F160" s="22" t="s">
        <v>429</v>
      </c>
      <c r="G160" s="22">
        <v>1</v>
      </c>
      <c r="H160" s="83" t="s">
        <v>484</v>
      </c>
      <c r="I160" s="23" t="s">
        <v>24</v>
      </c>
      <c r="J160" s="24">
        <v>110</v>
      </c>
      <c r="K160" s="25">
        <v>0.25</v>
      </c>
      <c r="L160" s="26">
        <f t="shared" si="20"/>
        <v>27.5</v>
      </c>
      <c r="M160" s="27">
        <f t="shared" si="21"/>
        <v>82.5</v>
      </c>
      <c r="N160" s="28">
        <v>0.16</v>
      </c>
      <c r="O160" s="29">
        <f t="shared" si="23"/>
        <v>13.200000000000001</v>
      </c>
      <c r="P160" s="30">
        <f t="shared" si="24"/>
        <v>95.7</v>
      </c>
      <c r="Q160" s="23"/>
      <c r="R160" s="52"/>
      <c r="S160" s="53"/>
      <c r="T160" s="54">
        <f t="shared" si="26"/>
        <v>0</v>
      </c>
      <c r="U160" s="26">
        <f t="shared" si="26"/>
        <v>0</v>
      </c>
      <c r="V160" s="55">
        <f t="shared" si="27"/>
        <v>0</v>
      </c>
      <c r="W160" s="29">
        <f t="shared" si="22"/>
        <v>0</v>
      </c>
      <c r="X160" s="30">
        <f t="shared" si="25"/>
        <v>0</v>
      </c>
      <c r="Y160"/>
      <c r="Z160"/>
      <c r="AA160"/>
    </row>
    <row r="161" spans="1:27" s="51" customFormat="1" ht="18.600000000000001" hidden="1" customHeight="1" x14ac:dyDescent="0.25">
      <c r="A161" s="81" t="s">
        <v>16</v>
      </c>
      <c r="B161" s="31" t="s">
        <v>426</v>
      </c>
      <c r="C161" s="32" t="s">
        <v>426</v>
      </c>
      <c r="D161" s="31" t="s">
        <v>485</v>
      </c>
      <c r="E161" s="33" t="s">
        <v>486</v>
      </c>
      <c r="F161" s="33" t="s">
        <v>429</v>
      </c>
      <c r="G161" s="33">
        <v>1</v>
      </c>
      <c r="H161" s="84" t="s">
        <v>487</v>
      </c>
      <c r="I161" s="23" t="s">
        <v>24</v>
      </c>
      <c r="J161" s="34">
        <v>110</v>
      </c>
      <c r="K161" s="35">
        <v>0.25</v>
      </c>
      <c r="L161" s="36">
        <f t="shared" si="20"/>
        <v>27.5</v>
      </c>
      <c r="M161" s="37">
        <f t="shared" si="21"/>
        <v>82.5</v>
      </c>
      <c r="N161" s="38">
        <v>0.16</v>
      </c>
      <c r="O161" s="39">
        <f t="shared" si="23"/>
        <v>13.200000000000001</v>
      </c>
      <c r="P161" s="40">
        <f t="shared" si="24"/>
        <v>95.7</v>
      </c>
      <c r="Q161" s="23"/>
      <c r="R161" s="56"/>
      <c r="S161" s="57"/>
      <c r="T161" s="58">
        <f t="shared" si="26"/>
        <v>0</v>
      </c>
      <c r="U161" s="36">
        <f t="shared" si="26"/>
        <v>0</v>
      </c>
      <c r="V161" s="59">
        <f t="shared" si="27"/>
        <v>0</v>
      </c>
      <c r="W161" s="39">
        <f t="shared" si="22"/>
        <v>0</v>
      </c>
      <c r="X161" s="40">
        <f t="shared" si="25"/>
        <v>0</v>
      </c>
      <c r="Y161"/>
      <c r="Z161"/>
      <c r="AA161"/>
    </row>
    <row r="162" spans="1:27" s="51" customFormat="1" ht="18.600000000000001" hidden="1" customHeight="1" x14ac:dyDescent="0.25">
      <c r="A162" s="82" t="s">
        <v>16</v>
      </c>
      <c r="B162" s="41" t="s">
        <v>426</v>
      </c>
      <c r="C162" s="42" t="s">
        <v>426</v>
      </c>
      <c r="D162" s="41" t="s">
        <v>488</v>
      </c>
      <c r="E162" s="43" t="s">
        <v>489</v>
      </c>
      <c r="F162" s="43" t="s">
        <v>429</v>
      </c>
      <c r="G162" s="43">
        <v>1</v>
      </c>
      <c r="H162" s="85" t="s">
        <v>490</v>
      </c>
      <c r="I162" s="23" t="s">
        <v>24</v>
      </c>
      <c r="J162" s="44">
        <v>110</v>
      </c>
      <c r="K162" s="45">
        <v>0.25</v>
      </c>
      <c r="L162" s="46">
        <f t="shared" si="20"/>
        <v>27.5</v>
      </c>
      <c r="M162" s="47">
        <f t="shared" si="21"/>
        <v>82.5</v>
      </c>
      <c r="N162" s="48">
        <v>0.16</v>
      </c>
      <c r="O162" s="49">
        <f t="shared" si="23"/>
        <v>13.200000000000001</v>
      </c>
      <c r="P162" s="50">
        <f t="shared" si="24"/>
        <v>95.7</v>
      </c>
      <c r="Q162" s="23"/>
      <c r="R162" s="60"/>
      <c r="S162" s="61"/>
      <c r="T162" s="62">
        <f t="shared" si="26"/>
        <v>0</v>
      </c>
      <c r="U162" s="46">
        <f t="shared" si="26"/>
        <v>0</v>
      </c>
      <c r="V162" s="63">
        <f t="shared" si="27"/>
        <v>0</v>
      </c>
      <c r="W162" s="49">
        <f t="shared" si="22"/>
        <v>0</v>
      </c>
      <c r="X162" s="50">
        <f t="shared" si="25"/>
        <v>0</v>
      </c>
      <c r="Y162"/>
      <c r="Z162"/>
      <c r="AA162"/>
    </row>
    <row r="163" spans="1:27" s="51" customFormat="1" ht="18.600000000000001" hidden="1" customHeight="1" x14ac:dyDescent="0.25">
      <c r="A163" s="80" t="s">
        <v>16</v>
      </c>
      <c r="B163" s="20" t="s">
        <v>426</v>
      </c>
      <c r="C163" s="21" t="s">
        <v>426</v>
      </c>
      <c r="D163" s="20" t="s">
        <v>491</v>
      </c>
      <c r="E163" s="22" t="s">
        <v>492</v>
      </c>
      <c r="F163" s="22" t="s">
        <v>429</v>
      </c>
      <c r="G163" s="22">
        <v>1</v>
      </c>
      <c r="H163" s="83" t="s">
        <v>493</v>
      </c>
      <c r="I163" s="23" t="s">
        <v>24</v>
      </c>
      <c r="J163" s="24">
        <v>110</v>
      </c>
      <c r="K163" s="25">
        <v>0.25</v>
      </c>
      <c r="L163" s="26">
        <f t="shared" si="20"/>
        <v>27.5</v>
      </c>
      <c r="M163" s="27">
        <f t="shared" si="21"/>
        <v>82.5</v>
      </c>
      <c r="N163" s="28">
        <v>0.16</v>
      </c>
      <c r="O163" s="29">
        <f t="shared" si="23"/>
        <v>13.200000000000001</v>
      </c>
      <c r="P163" s="30">
        <f t="shared" si="24"/>
        <v>95.7</v>
      </c>
      <c r="Q163" s="23"/>
      <c r="R163" s="52"/>
      <c r="S163" s="53"/>
      <c r="T163" s="54">
        <f t="shared" si="26"/>
        <v>0</v>
      </c>
      <c r="U163" s="26">
        <f t="shared" si="26"/>
        <v>0</v>
      </c>
      <c r="V163" s="55">
        <f t="shared" si="27"/>
        <v>0</v>
      </c>
      <c r="W163" s="29">
        <f t="shared" si="22"/>
        <v>0</v>
      </c>
      <c r="X163" s="30">
        <f t="shared" si="25"/>
        <v>0</v>
      </c>
      <c r="Y163"/>
      <c r="Z163"/>
      <c r="AA163"/>
    </row>
    <row r="164" spans="1:27" s="51" customFormat="1" ht="18.600000000000001" hidden="1" customHeight="1" x14ac:dyDescent="0.25">
      <c r="A164" s="81" t="s">
        <v>16</v>
      </c>
      <c r="B164" s="31" t="s">
        <v>426</v>
      </c>
      <c r="C164" s="32" t="s">
        <v>426</v>
      </c>
      <c r="D164" s="31" t="s">
        <v>494</v>
      </c>
      <c r="E164" s="33" t="s">
        <v>495</v>
      </c>
      <c r="F164" s="33" t="s">
        <v>429</v>
      </c>
      <c r="G164" s="33">
        <v>1</v>
      </c>
      <c r="H164" s="84" t="s">
        <v>496</v>
      </c>
      <c r="I164" s="23" t="s">
        <v>24</v>
      </c>
      <c r="J164" s="34">
        <v>110</v>
      </c>
      <c r="K164" s="35">
        <v>0.25</v>
      </c>
      <c r="L164" s="36">
        <f t="shared" si="20"/>
        <v>27.5</v>
      </c>
      <c r="M164" s="37">
        <f t="shared" si="21"/>
        <v>82.5</v>
      </c>
      <c r="N164" s="38">
        <v>0.16</v>
      </c>
      <c r="O164" s="39">
        <f t="shared" si="23"/>
        <v>13.200000000000001</v>
      </c>
      <c r="P164" s="40">
        <f t="shared" si="24"/>
        <v>95.7</v>
      </c>
      <c r="Q164" s="23"/>
      <c r="R164" s="56"/>
      <c r="S164" s="57"/>
      <c r="T164" s="58">
        <f t="shared" si="26"/>
        <v>0</v>
      </c>
      <c r="U164" s="36">
        <f t="shared" si="26"/>
        <v>0</v>
      </c>
      <c r="V164" s="59">
        <f t="shared" si="27"/>
        <v>0</v>
      </c>
      <c r="W164" s="39">
        <f t="shared" si="22"/>
        <v>0</v>
      </c>
      <c r="X164" s="40">
        <f t="shared" si="25"/>
        <v>0</v>
      </c>
      <c r="Y164"/>
      <c r="Z164"/>
      <c r="AA164"/>
    </row>
    <row r="165" spans="1:27" s="51" customFormat="1" ht="18.600000000000001" hidden="1" customHeight="1" x14ac:dyDescent="0.25">
      <c r="A165" s="82" t="s">
        <v>16</v>
      </c>
      <c r="B165" s="41" t="s">
        <v>426</v>
      </c>
      <c r="C165" s="42" t="s">
        <v>426</v>
      </c>
      <c r="D165" s="41" t="s">
        <v>497</v>
      </c>
      <c r="E165" s="43" t="s">
        <v>498</v>
      </c>
      <c r="F165" s="43" t="s">
        <v>429</v>
      </c>
      <c r="G165" s="43">
        <v>1</v>
      </c>
      <c r="H165" s="85" t="s">
        <v>499</v>
      </c>
      <c r="I165" s="23" t="s">
        <v>24</v>
      </c>
      <c r="J165" s="44">
        <v>110</v>
      </c>
      <c r="K165" s="45">
        <v>0.25</v>
      </c>
      <c r="L165" s="46">
        <f t="shared" si="20"/>
        <v>27.5</v>
      </c>
      <c r="M165" s="47">
        <f t="shared" si="21"/>
        <v>82.5</v>
      </c>
      <c r="N165" s="48">
        <v>0.16</v>
      </c>
      <c r="O165" s="49">
        <f t="shared" si="23"/>
        <v>13.200000000000001</v>
      </c>
      <c r="P165" s="50">
        <f t="shared" si="24"/>
        <v>95.7</v>
      </c>
      <c r="Q165" s="23"/>
      <c r="R165" s="60"/>
      <c r="S165" s="61"/>
      <c r="T165" s="62">
        <f t="shared" si="26"/>
        <v>0</v>
      </c>
      <c r="U165" s="46">
        <f t="shared" si="26"/>
        <v>0</v>
      </c>
      <c r="V165" s="63">
        <f t="shared" si="27"/>
        <v>0</v>
      </c>
      <c r="W165" s="49">
        <f t="shared" si="22"/>
        <v>0</v>
      </c>
      <c r="X165" s="50">
        <f t="shared" si="25"/>
        <v>0</v>
      </c>
      <c r="Y165"/>
      <c r="Z165"/>
      <c r="AA165"/>
    </row>
    <row r="166" spans="1:27" s="51" customFormat="1" ht="18.600000000000001" hidden="1" customHeight="1" x14ac:dyDescent="0.25">
      <c r="A166" s="80" t="s">
        <v>16</v>
      </c>
      <c r="B166" s="20" t="s">
        <v>426</v>
      </c>
      <c r="C166" s="21" t="s">
        <v>426</v>
      </c>
      <c r="D166" s="20" t="s">
        <v>500</v>
      </c>
      <c r="E166" s="22" t="s">
        <v>501</v>
      </c>
      <c r="F166" s="22" t="s">
        <v>429</v>
      </c>
      <c r="G166" s="22">
        <v>1</v>
      </c>
      <c r="H166" s="83" t="s">
        <v>502</v>
      </c>
      <c r="I166" s="23" t="s">
        <v>24</v>
      </c>
      <c r="J166" s="24">
        <v>110</v>
      </c>
      <c r="K166" s="25">
        <v>0.25</v>
      </c>
      <c r="L166" s="26">
        <f t="shared" si="20"/>
        <v>27.5</v>
      </c>
      <c r="M166" s="27">
        <f t="shared" si="21"/>
        <v>82.5</v>
      </c>
      <c r="N166" s="28">
        <v>0.16</v>
      </c>
      <c r="O166" s="29">
        <f t="shared" si="23"/>
        <v>13.200000000000001</v>
      </c>
      <c r="P166" s="30">
        <f t="shared" si="24"/>
        <v>95.7</v>
      </c>
      <c r="Q166" s="23"/>
      <c r="R166" s="52"/>
      <c r="S166" s="53"/>
      <c r="T166" s="54">
        <f t="shared" si="26"/>
        <v>0</v>
      </c>
      <c r="U166" s="26">
        <f t="shared" si="26"/>
        <v>0</v>
      </c>
      <c r="V166" s="55">
        <f t="shared" si="27"/>
        <v>0</v>
      </c>
      <c r="W166" s="29">
        <f t="shared" si="22"/>
        <v>0</v>
      </c>
      <c r="X166" s="30">
        <f t="shared" si="25"/>
        <v>0</v>
      </c>
      <c r="Y166"/>
      <c r="Z166"/>
      <c r="AA166"/>
    </row>
    <row r="167" spans="1:27" s="51" customFormat="1" ht="18.600000000000001" hidden="1" customHeight="1" x14ac:dyDescent="0.25">
      <c r="A167" s="81" t="s">
        <v>16</v>
      </c>
      <c r="B167" s="31" t="s">
        <v>426</v>
      </c>
      <c r="C167" s="32" t="s">
        <v>426</v>
      </c>
      <c r="D167" s="31" t="s">
        <v>503</v>
      </c>
      <c r="E167" s="33" t="s">
        <v>504</v>
      </c>
      <c r="F167" s="33" t="s">
        <v>429</v>
      </c>
      <c r="G167" s="33">
        <v>1</v>
      </c>
      <c r="H167" s="84" t="s">
        <v>505</v>
      </c>
      <c r="I167" s="23" t="s">
        <v>24</v>
      </c>
      <c r="J167" s="34">
        <v>110</v>
      </c>
      <c r="K167" s="35">
        <v>0.25</v>
      </c>
      <c r="L167" s="36">
        <f t="shared" si="20"/>
        <v>27.5</v>
      </c>
      <c r="M167" s="37">
        <f t="shared" si="21"/>
        <v>82.5</v>
      </c>
      <c r="N167" s="38">
        <v>0.16</v>
      </c>
      <c r="O167" s="39">
        <f t="shared" si="23"/>
        <v>13.200000000000001</v>
      </c>
      <c r="P167" s="40">
        <f t="shared" si="24"/>
        <v>95.7</v>
      </c>
      <c r="Q167" s="23"/>
      <c r="R167" s="56"/>
      <c r="S167" s="57"/>
      <c r="T167" s="58">
        <f t="shared" si="26"/>
        <v>0</v>
      </c>
      <c r="U167" s="36">
        <f t="shared" si="26"/>
        <v>0</v>
      </c>
      <c r="V167" s="59">
        <f t="shared" si="27"/>
        <v>0</v>
      </c>
      <c r="W167" s="39">
        <f t="shared" si="22"/>
        <v>0</v>
      </c>
      <c r="X167" s="40">
        <f t="shared" si="25"/>
        <v>0</v>
      </c>
      <c r="Y167"/>
      <c r="Z167"/>
      <c r="AA167"/>
    </row>
    <row r="168" spans="1:27" s="51" customFormat="1" ht="18.600000000000001" hidden="1" customHeight="1" x14ac:dyDescent="0.25">
      <c r="A168" s="82" t="s">
        <v>16</v>
      </c>
      <c r="B168" s="41" t="s">
        <v>426</v>
      </c>
      <c r="C168" s="42" t="s">
        <v>426</v>
      </c>
      <c r="D168" s="41" t="s">
        <v>506</v>
      </c>
      <c r="E168" s="43" t="s">
        <v>507</v>
      </c>
      <c r="F168" s="43" t="s">
        <v>429</v>
      </c>
      <c r="G168" s="43">
        <v>1</v>
      </c>
      <c r="H168" s="85" t="s">
        <v>508</v>
      </c>
      <c r="I168" s="23" t="s">
        <v>24</v>
      </c>
      <c r="J168" s="44">
        <v>110</v>
      </c>
      <c r="K168" s="45">
        <v>0.25</v>
      </c>
      <c r="L168" s="46">
        <f t="shared" si="20"/>
        <v>27.5</v>
      </c>
      <c r="M168" s="47">
        <f t="shared" si="21"/>
        <v>82.5</v>
      </c>
      <c r="N168" s="48">
        <v>0.16</v>
      </c>
      <c r="O168" s="49">
        <f t="shared" si="23"/>
        <v>13.200000000000001</v>
      </c>
      <c r="P168" s="50">
        <f t="shared" si="24"/>
        <v>95.7</v>
      </c>
      <c r="Q168" s="23"/>
      <c r="R168" s="60"/>
      <c r="S168" s="61"/>
      <c r="T168" s="62">
        <f t="shared" si="26"/>
        <v>0</v>
      </c>
      <c r="U168" s="46">
        <f t="shared" si="26"/>
        <v>0</v>
      </c>
      <c r="V168" s="63">
        <f t="shared" si="27"/>
        <v>0</v>
      </c>
      <c r="W168" s="49">
        <f t="shared" si="22"/>
        <v>0</v>
      </c>
      <c r="X168" s="50">
        <f t="shared" si="25"/>
        <v>0</v>
      </c>
      <c r="Y168"/>
      <c r="Z168"/>
      <c r="AA168"/>
    </row>
    <row r="169" spans="1:27" s="51" customFormat="1" ht="18.600000000000001" hidden="1" customHeight="1" x14ac:dyDescent="0.25">
      <c r="A169" s="80" t="s">
        <v>16</v>
      </c>
      <c r="B169" s="20" t="s">
        <v>426</v>
      </c>
      <c r="C169" s="21" t="s">
        <v>426</v>
      </c>
      <c r="D169" s="20" t="s">
        <v>509</v>
      </c>
      <c r="E169" s="22" t="s">
        <v>510</v>
      </c>
      <c r="F169" s="22" t="s">
        <v>429</v>
      </c>
      <c r="G169" s="22">
        <v>1</v>
      </c>
      <c r="H169" s="83" t="s">
        <v>511</v>
      </c>
      <c r="I169" s="23" t="s">
        <v>24</v>
      </c>
      <c r="J169" s="24">
        <v>110</v>
      </c>
      <c r="K169" s="25">
        <v>0.25</v>
      </c>
      <c r="L169" s="26">
        <f t="shared" si="20"/>
        <v>27.5</v>
      </c>
      <c r="M169" s="27">
        <f t="shared" si="21"/>
        <v>82.5</v>
      </c>
      <c r="N169" s="28">
        <v>0.16</v>
      </c>
      <c r="O169" s="29">
        <f t="shared" si="23"/>
        <v>13.200000000000001</v>
      </c>
      <c r="P169" s="30">
        <f t="shared" si="24"/>
        <v>95.7</v>
      </c>
      <c r="Q169" s="23"/>
      <c r="R169" s="52"/>
      <c r="S169" s="53"/>
      <c r="T169" s="54">
        <f t="shared" ref="T169:U200" si="28">+S169*J169</f>
        <v>0</v>
      </c>
      <c r="U169" s="26">
        <f t="shared" si="28"/>
        <v>0</v>
      </c>
      <c r="V169" s="55">
        <f t="shared" si="27"/>
        <v>0</v>
      </c>
      <c r="W169" s="29">
        <f t="shared" si="22"/>
        <v>0</v>
      </c>
      <c r="X169" s="30">
        <f t="shared" si="25"/>
        <v>0</v>
      </c>
      <c r="Y169"/>
      <c r="Z169"/>
      <c r="AA169"/>
    </row>
    <row r="170" spans="1:27" s="51" customFormat="1" ht="18.600000000000001" hidden="1" customHeight="1" x14ac:dyDescent="0.25">
      <c r="A170" s="81" t="s">
        <v>16</v>
      </c>
      <c r="B170" s="31" t="s">
        <v>426</v>
      </c>
      <c r="C170" s="32" t="s">
        <v>426</v>
      </c>
      <c r="D170" s="31" t="s">
        <v>512</v>
      </c>
      <c r="E170" s="33" t="s">
        <v>513</v>
      </c>
      <c r="F170" s="33" t="s">
        <v>429</v>
      </c>
      <c r="G170" s="33">
        <v>1</v>
      </c>
      <c r="H170" s="84" t="s">
        <v>514</v>
      </c>
      <c r="I170" s="23" t="s">
        <v>24</v>
      </c>
      <c r="J170" s="34">
        <v>110</v>
      </c>
      <c r="K170" s="35">
        <v>0.25</v>
      </c>
      <c r="L170" s="36">
        <f t="shared" si="20"/>
        <v>27.5</v>
      </c>
      <c r="M170" s="37">
        <f t="shared" si="21"/>
        <v>82.5</v>
      </c>
      <c r="N170" s="38">
        <v>0.16</v>
      </c>
      <c r="O170" s="39">
        <f t="shared" si="23"/>
        <v>13.200000000000001</v>
      </c>
      <c r="P170" s="40">
        <f t="shared" si="24"/>
        <v>95.7</v>
      </c>
      <c r="Q170" s="23"/>
      <c r="R170" s="56"/>
      <c r="S170" s="57"/>
      <c r="T170" s="58">
        <f t="shared" si="28"/>
        <v>0</v>
      </c>
      <c r="U170" s="36">
        <f t="shared" si="28"/>
        <v>0</v>
      </c>
      <c r="V170" s="59">
        <f t="shared" si="27"/>
        <v>0</v>
      </c>
      <c r="W170" s="39">
        <f t="shared" si="22"/>
        <v>0</v>
      </c>
      <c r="X170" s="40">
        <f t="shared" si="25"/>
        <v>0</v>
      </c>
      <c r="Y170"/>
      <c r="Z170"/>
      <c r="AA170"/>
    </row>
    <row r="171" spans="1:27" s="51" customFormat="1" ht="18.600000000000001" hidden="1" customHeight="1" x14ac:dyDescent="0.25">
      <c r="A171" s="82" t="s">
        <v>16</v>
      </c>
      <c r="B171" s="41" t="s">
        <v>426</v>
      </c>
      <c r="C171" s="42" t="s">
        <v>426</v>
      </c>
      <c r="D171" s="41" t="s">
        <v>515</v>
      </c>
      <c r="E171" s="43" t="s">
        <v>516</v>
      </c>
      <c r="F171" s="43" t="s">
        <v>429</v>
      </c>
      <c r="G171" s="43">
        <v>1</v>
      </c>
      <c r="H171" s="85" t="s">
        <v>517</v>
      </c>
      <c r="I171" s="23" t="s">
        <v>24</v>
      </c>
      <c r="J171" s="44">
        <v>110</v>
      </c>
      <c r="K171" s="45">
        <v>0.25</v>
      </c>
      <c r="L171" s="46">
        <f t="shared" si="20"/>
        <v>27.5</v>
      </c>
      <c r="M171" s="47">
        <f t="shared" si="21"/>
        <v>82.5</v>
      </c>
      <c r="N171" s="48">
        <v>0.16</v>
      </c>
      <c r="O171" s="49">
        <f t="shared" si="23"/>
        <v>13.200000000000001</v>
      </c>
      <c r="P171" s="50">
        <f t="shared" si="24"/>
        <v>95.7</v>
      </c>
      <c r="Q171" s="23"/>
      <c r="R171" s="60"/>
      <c r="S171" s="61"/>
      <c r="T171" s="62">
        <f t="shared" si="28"/>
        <v>0</v>
      </c>
      <c r="U171" s="46">
        <f t="shared" si="28"/>
        <v>0</v>
      </c>
      <c r="V171" s="63">
        <f t="shared" si="27"/>
        <v>0</v>
      </c>
      <c r="W171" s="49">
        <f t="shared" si="22"/>
        <v>0</v>
      </c>
      <c r="X171" s="50">
        <f t="shared" si="25"/>
        <v>0</v>
      </c>
      <c r="Y171"/>
      <c r="Z171"/>
      <c r="AA171"/>
    </row>
    <row r="172" spans="1:27" s="51" customFormat="1" ht="18.600000000000001" hidden="1" customHeight="1" x14ac:dyDescent="0.25">
      <c r="A172" s="80" t="s">
        <v>16</v>
      </c>
      <c r="B172" s="20" t="s">
        <v>426</v>
      </c>
      <c r="C172" s="21" t="s">
        <v>426</v>
      </c>
      <c r="D172" s="20" t="s">
        <v>518</v>
      </c>
      <c r="E172" s="22" t="s">
        <v>519</v>
      </c>
      <c r="F172" s="22" t="s">
        <v>429</v>
      </c>
      <c r="G172" s="22">
        <v>1</v>
      </c>
      <c r="H172" s="83" t="s">
        <v>520</v>
      </c>
      <c r="I172" s="23" t="s">
        <v>24</v>
      </c>
      <c r="J172" s="24">
        <v>110</v>
      </c>
      <c r="K172" s="25">
        <v>0.25</v>
      </c>
      <c r="L172" s="26">
        <f t="shared" si="20"/>
        <v>27.5</v>
      </c>
      <c r="M172" s="27">
        <f t="shared" si="21"/>
        <v>82.5</v>
      </c>
      <c r="N172" s="28">
        <v>0.16</v>
      </c>
      <c r="O172" s="29">
        <f t="shared" si="23"/>
        <v>13.200000000000001</v>
      </c>
      <c r="P172" s="30">
        <f t="shared" si="24"/>
        <v>95.7</v>
      </c>
      <c r="Q172" s="23"/>
      <c r="R172" s="52"/>
      <c r="S172" s="53"/>
      <c r="T172" s="54">
        <f t="shared" si="28"/>
        <v>0</v>
      </c>
      <c r="U172" s="26">
        <f t="shared" si="28"/>
        <v>0</v>
      </c>
      <c r="V172" s="55">
        <f t="shared" si="27"/>
        <v>0</v>
      </c>
      <c r="W172" s="29">
        <f t="shared" si="22"/>
        <v>0</v>
      </c>
      <c r="X172" s="30">
        <f t="shared" si="25"/>
        <v>0</v>
      </c>
      <c r="Y172"/>
      <c r="Z172"/>
      <c r="AA172"/>
    </row>
    <row r="173" spans="1:27" s="51" customFormat="1" ht="18.600000000000001" hidden="1" customHeight="1" x14ac:dyDescent="0.25">
      <c r="A173" s="81" t="s">
        <v>16</v>
      </c>
      <c r="B173" s="31" t="s">
        <v>426</v>
      </c>
      <c r="C173" s="32" t="s">
        <v>426</v>
      </c>
      <c r="D173" s="31" t="s">
        <v>521</v>
      </c>
      <c r="E173" s="33" t="s">
        <v>522</v>
      </c>
      <c r="F173" s="33" t="s">
        <v>429</v>
      </c>
      <c r="G173" s="33">
        <v>1</v>
      </c>
      <c r="H173" s="84" t="s">
        <v>523</v>
      </c>
      <c r="I173" s="23" t="s">
        <v>24</v>
      </c>
      <c r="J173" s="34">
        <v>110</v>
      </c>
      <c r="K173" s="35">
        <v>0.25</v>
      </c>
      <c r="L173" s="36">
        <f t="shared" si="20"/>
        <v>27.5</v>
      </c>
      <c r="M173" s="37">
        <f t="shared" si="21"/>
        <v>82.5</v>
      </c>
      <c r="N173" s="38">
        <v>0.16</v>
      </c>
      <c r="O173" s="39">
        <f t="shared" si="23"/>
        <v>13.200000000000001</v>
      </c>
      <c r="P173" s="40">
        <f t="shared" si="24"/>
        <v>95.7</v>
      </c>
      <c r="Q173" s="23"/>
      <c r="R173" s="56"/>
      <c r="S173" s="57"/>
      <c r="T173" s="58">
        <f t="shared" si="28"/>
        <v>0</v>
      </c>
      <c r="U173" s="36">
        <f t="shared" si="28"/>
        <v>0</v>
      </c>
      <c r="V173" s="59">
        <f t="shared" si="27"/>
        <v>0</v>
      </c>
      <c r="W173" s="39">
        <f t="shared" si="22"/>
        <v>0</v>
      </c>
      <c r="X173" s="40">
        <f t="shared" si="25"/>
        <v>0</v>
      </c>
      <c r="Y173"/>
      <c r="Z173"/>
      <c r="AA173"/>
    </row>
    <row r="174" spans="1:27" s="51" customFormat="1" ht="18.600000000000001" hidden="1" customHeight="1" x14ac:dyDescent="0.25">
      <c r="A174" s="82" t="s">
        <v>16</v>
      </c>
      <c r="B174" s="41" t="s">
        <v>426</v>
      </c>
      <c r="C174" s="42" t="s">
        <v>426</v>
      </c>
      <c r="D174" s="41" t="s">
        <v>524</v>
      </c>
      <c r="E174" s="43" t="s">
        <v>525</v>
      </c>
      <c r="F174" s="43" t="s">
        <v>429</v>
      </c>
      <c r="G174" s="43">
        <v>1</v>
      </c>
      <c r="H174" s="85" t="s">
        <v>526</v>
      </c>
      <c r="I174" s="23" t="s">
        <v>24</v>
      </c>
      <c r="J174" s="44">
        <v>110</v>
      </c>
      <c r="K174" s="45">
        <v>0.25</v>
      </c>
      <c r="L174" s="46">
        <f t="shared" si="20"/>
        <v>27.5</v>
      </c>
      <c r="M174" s="47">
        <f t="shared" si="21"/>
        <v>82.5</v>
      </c>
      <c r="N174" s="48">
        <v>0.16</v>
      </c>
      <c r="O174" s="49">
        <f t="shared" si="23"/>
        <v>13.200000000000001</v>
      </c>
      <c r="P174" s="50">
        <f t="shared" si="24"/>
        <v>95.7</v>
      </c>
      <c r="Q174" s="23"/>
      <c r="R174" s="60"/>
      <c r="S174" s="61"/>
      <c r="T174" s="62">
        <f t="shared" si="28"/>
        <v>0</v>
      </c>
      <c r="U174" s="46">
        <f t="shared" si="28"/>
        <v>0</v>
      </c>
      <c r="V174" s="63">
        <f t="shared" si="27"/>
        <v>0</v>
      </c>
      <c r="W174" s="49">
        <f t="shared" si="22"/>
        <v>0</v>
      </c>
      <c r="X174" s="50">
        <f t="shared" si="25"/>
        <v>0</v>
      </c>
      <c r="Y174"/>
      <c r="Z174"/>
      <c r="AA174"/>
    </row>
    <row r="175" spans="1:27" s="51" customFormat="1" ht="18.600000000000001" hidden="1" customHeight="1" x14ac:dyDescent="0.25">
      <c r="A175" s="80" t="s">
        <v>16</v>
      </c>
      <c r="B175" s="20" t="s">
        <v>426</v>
      </c>
      <c r="C175" s="21" t="s">
        <v>426</v>
      </c>
      <c r="D175" s="20" t="s">
        <v>527</v>
      </c>
      <c r="E175" s="22" t="s">
        <v>528</v>
      </c>
      <c r="F175" s="22" t="s">
        <v>429</v>
      </c>
      <c r="G175" s="22">
        <v>1</v>
      </c>
      <c r="H175" s="83" t="s">
        <v>529</v>
      </c>
      <c r="I175" s="23" t="s">
        <v>24</v>
      </c>
      <c r="J175" s="24">
        <v>110</v>
      </c>
      <c r="K175" s="25">
        <v>0.25</v>
      </c>
      <c r="L175" s="26">
        <f t="shared" si="20"/>
        <v>27.5</v>
      </c>
      <c r="M175" s="27">
        <f t="shared" si="21"/>
        <v>82.5</v>
      </c>
      <c r="N175" s="28">
        <v>0.16</v>
      </c>
      <c r="O175" s="29">
        <f t="shared" si="23"/>
        <v>13.200000000000001</v>
      </c>
      <c r="P175" s="30">
        <f t="shared" si="24"/>
        <v>95.7</v>
      </c>
      <c r="Q175" s="23"/>
      <c r="R175" s="52"/>
      <c r="S175" s="53"/>
      <c r="T175" s="54">
        <f t="shared" si="28"/>
        <v>0</v>
      </c>
      <c r="U175" s="26">
        <f t="shared" si="28"/>
        <v>0</v>
      </c>
      <c r="V175" s="55">
        <f t="shared" si="27"/>
        <v>0</v>
      </c>
      <c r="W175" s="29">
        <f t="shared" si="22"/>
        <v>0</v>
      </c>
      <c r="X175" s="30">
        <f t="shared" si="25"/>
        <v>0</v>
      </c>
      <c r="Y175"/>
      <c r="Z175"/>
      <c r="AA175"/>
    </row>
    <row r="176" spans="1:27" s="51" customFormat="1" ht="18.600000000000001" hidden="1" customHeight="1" x14ac:dyDescent="0.25">
      <c r="A176" s="81" t="s">
        <v>16</v>
      </c>
      <c r="B176" s="31" t="s">
        <v>426</v>
      </c>
      <c r="C176" s="32" t="s">
        <v>426</v>
      </c>
      <c r="D176" s="31" t="s">
        <v>530</v>
      </c>
      <c r="E176" s="33" t="s">
        <v>531</v>
      </c>
      <c r="F176" s="33" t="s">
        <v>429</v>
      </c>
      <c r="G176" s="33">
        <v>1</v>
      </c>
      <c r="H176" s="84" t="s">
        <v>532</v>
      </c>
      <c r="I176" s="23" t="s">
        <v>24</v>
      </c>
      <c r="J176" s="34">
        <v>110</v>
      </c>
      <c r="K176" s="35">
        <v>0.25</v>
      </c>
      <c r="L176" s="36">
        <f t="shared" si="20"/>
        <v>27.5</v>
      </c>
      <c r="M176" s="37">
        <f t="shared" si="21"/>
        <v>82.5</v>
      </c>
      <c r="N176" s="38">
        <v>0.16</v>
      </c>
      <c r="O176" s="39">
        <f t="shared" si="23"/>
        <v>13.200000000000001</v>
      </c>
      <c r="P176" s="40">
        <f t="shared" si="24"/>
        <v>95.7</v>
      </c>
      <c r="Q176" s="23"/>
      <c r="R176" s="56"/>
      <c r="S176" s="57"/>
      <c r="T176" s="58">
        <f t="shared" si="28"/>
        <v>0</v>
      </c>
      <c r="U176" s="36">
        <f t="shared" si="28"/>
        <v>0</v>
      </c>
      <c r="V176" s="59">
        <f t="shared" si="27"/>
        <v>0</v>
      </c>
      <c r="W176" s="39">
        <f t="shared" si="22"/>
        <v>0</v>
      </c>
      <c r="X176" s="40">
        <f t="shared" si="25"/>
        <v>0</v>
      </c>
      <c r="Y176"/>
      <c r="Z176"/>
      <c r="AA176"/>
    </row>
    <row r="177" spans="1:27" s="51" customFormat="1" ht="18.600000000000001" hidden="1" customHeight="1" x14ac:dyDescent="0.25">
      <c r="A177" s="82" t="s">
        <v>16</v>
      </c>
      <c r="B177" s="41" t="s">
        <v>426</v>
      </c>
      <c r="C177" s="42" t="s">
        <v>426</v>
      </c>
      <c r="D177" s="41" t="s">
        <v>533</v>
      </c>
      <c r="E177" s="43" t="s">
        <v>534</v>
      </c>
      <c r="F177" s="43" t="s">
        <v>429</v>
      </c>
      <c r="G177" s="43">
        <v>1</v>
      </c>
      <c r="H177" s="85" t="s">
        <v>535</v>
      </c>
      <c r="I177" s="23" t="s">
        <v>24</v>
      </c>
      <c r="J177" s="44">
        <v>110</v>
      </c>
      <c r="K177" s="45">
        <v>0.25</v>
      </c>
      <c r="L177" s="46">
        <f t="shared" si="20"/>
        <v>27.5</v>
      </c>
      <c r="M177" s="47">
        <f t="shared" si="21"/>
        <v>82.5</v>
      </c>
      <c r="N177" s="48">
        <v>0.16</v>
      </c>
      <c r="O177" s="49">
        <f t="shared" si="23"/>
        <v>13.200000000000001</v>
      </c>
      <c r="P177" s="50">
        <f t="shared" si="24"/>
        <v>95.7</v>
      </c>
      <c r="Q177" s="23"/>
      <c r="R177" s="60"/>
      <c r="S177" s="61"/>
      <c r="T177" s="62">
        <f t="shared" si="28"/>
        <v>0</v>
      </c>
      <c r="U177" s="46">
        <f t="shared" si="28"/>
        <v>0</v>
      </c>
      <c r="V177" s="63">
        <f t="shared" si="27"/>
        <v>0</v>
      </c>
      <c r="W177" s="49">
        <f t="shared" si="22"/>
        <v>0</v>
      </c>
      <c r="X177" s="50">
        <f t="shared" si="25"/>
        <v>0</v>
      </c>
      <c r="Y177"/>
      <c r="Z177"/>
      <c r="AA177"/>
    </row>
    <row r="178" spans="1:27" s="51" customFormat="1" ht="18.600000000000001" hidden="1" customHeight="1" x14ac:dyDescent="0.25">
      <c r="A178" s="80" t="s">
        <v>16</v>
      </c>
      <c r="B178" s="20" t="s">
        <v>426</v>
      </c>
      <c r="C178" s="21" t="s">
        <v>426</v>
      </c>
      <c r="D178" s="20" t="s">
        <v>536</v>
      </c>
      <c r="E178" s="22" t="s">
        <v>537</v>
      </c>
      <c r="F178" s="22" t="s">
        <v>429</v>
      </c>
      <c r="G178" s="22">
        <v>1</v>
      </c>
      <c r="H178" s="83" t="s">
        <v>538</v>
      </c>
      <c r="I178" s="23" t="s">
        <v>24</v>
      </c>
      <c r="J178" s="24">
        <v>110</v>
      </c>
      <c r="K178" s="25">
        <v>0.25</v>
      </c>
      <c r="L178" s="26">
        <f t="shared" si="20"/>
        <v>27.5</v>
      </c>
      <c r="M178" s="27">
        <f t="shared" si="21"/>
        <v>82.5</v>
      </c>
      <c r="N178" s="28">
        <v>0.16</v>
      </c>
      <c r="O178" s="29">
        <f t="shared" si="23"/>
        <v>13.200000000000001</v>
      </c>
      <c r="P178" s="30">
        <f t="shared" si="24"/>
        <v>95.7</v>
      </c>
      <c r="Q178" s="23"/>
      <c r="R178" s="52"/>
      <c r="S178" s="53"/>
      <c r="T178" s="54">
        <f t="shared" si="28"/>
        <v>0</v>
      </c>
      <c r="U178" s="26">
        <f t="shared" si="28"/>
        <v>0</v>
      </c>
      <c r="V178" s="55">
        <f t="shared" si="27"/>
        <v>0</v>
      </c>
      <c r="W178" s="29">
        <f t="shared" si="22"/>
        <v>0</v>
      </c>
      <c r="X178" s="30">
        <f t="shared" si="25"/>
        <v>0</v>
      </c>
      <c r="Y178"/>
      <c r="Z178"/>
      <c r="AA178"/>
    </row>
    <row r="179" spans="1:27" s="51" customFormat="1" ht="18.600000000000001" hidden="1" customHeight="1" x14ac:dyDescent="0.25">
      <c r="A179" s="81" t="s">
        <v>16</v>
      </c>
      <c r="B179" s="31" t="s">
        <v>426</v>
      </c>
      <c r="C179" s="32" t="s">
        <v>426</v>
      </c>
      <c r="D179" s="31" t="s">
        <v>539</v>
      </c>
      <c r="E179" s="33" t="s">
        <v>540</v>
      </c>
      <c r="F179" s="33" t="s">
        <v>429</v>
      </c>
      <c r="G179" s="33">
        <v>1</v>
      </c>
      <c r="H179" s="84" t="s">
        <v>541</v>
      </c>
      <c r="I179" s="23" t="s">
        <v>24</v>
      </c>
      <c r="J179" s="34">
        <v>110</v>
      </c>
      <c r="K179" s="35">
        <v>0.25</v>
      </c>
      <c r="L179" s="36">
        <f t="shared" si="20"/>
        <v>27.5</v>
      </c>
      <c r="M179" s="37">
        <f t="shared" si="21"/>
        <v>82.5</v>
      </c>
      <c r="N179" s="38">
        <v>0.16</v>
      </c>
      <c r="O179" s="39">
        <f t="shared" si="23"/>
        <v>13.200000000000001</v>
      </c>
      <c r="P179" s="40">
        <f t="shared" si="24"/>
        <v>95.7</v>
      </c>
      <c r="Q179" s="23"/>
      <c r="R179" s="56"/>
      <c r="S179" s="57"/>
      <c r="T179" s="58">
        <f t="shared" si="28"/>
        <v>0</v>
      </c>
      <c r="U179" s="36">
        <f t="shared" si="28"/>
        <v>0</v>
      </c>
      <c r="V179" s="59">
        <f t="shared" si="27"/>
        <v>0</v>
      </c>
      <c r="W179" s="39">
        <f t="shared" si="22"/>
        <v>0</v>
      </c>
      <c r="X179" s="40">
        <f t="shared" si="25"/>
        <v>0</v>
      </c>
      <c r="Y179"/>
      <c r="Z179"/>
      <c r="AA179"/>
    </row>
    <row r="180" spans="1:27" s="51" customFormat="1" ht="18.600000000000001" hidden="1" customHeight="1" x14ac:dyDescent="0.25">
      <c r="A180" s="82" t="s">
        <v>16</v>
      </c>
      <c r="B180" s="41" t="s">
        <v>426</v>
      </c>
      <c r="C180" s="42" t="s">
        <v>426</v>
      </c>
      <c r="D180" s="41" t="s">
        <v>542</v>
      </c>
      <c r="E180" s="43" t="s">
        <v>543</v>
      </c>
      <c r="F180" s="43" t="s">
        <v>429</v>
      </c>
      <c r="G180" s="43">
        <v>1</v>
      </c>
      <c r="H180" s="85" t="s">
        <v>544</v>
      </c>
      <c r="I180" s="23" t="s">
        <v>24</v>
      </c>
      <c r="J180" s="44">
        <v>110</v>
      </c>
      <c r="K180" s="45">
        <v>0.25</v>
      </c>
      <c r="L180" s="46">
        <f t="shared" si="20"/>
        <v>27.5</v>
      </c>
      <c r="M180" s="47">
        <f t="shared" si="21"/>
        <v>82.5</v>
      </c>
      <c r="N180" s="48">
        <v>0.16</v>
      </c>
      <c r="O180" s="49">
        <f t="shared" si="23"/>
        <v>13.200000000000001</v>
      </c>
      <c r="P180" s="50">
        <f t="shared" si="24"/>
        <v>95.7</v>
      </c>
      <c r="Q180" s="23"/>
      <c r="R180" s="60"/>
      <c r="S180" s="61"/>
      <c r="T180" s="62">
        <f t="shared" si="28"/>
        <v>0</v>
      </c>
      <c r="U180" s="46">
        <f t="shared" si="28"/>
        <v>0</v>
      </c>
      <c r="V180" s="63">
        <f t="shared" si="27"/>
        <v>0</v>
      </c>
      <c r="W180" s="49">
        <f t="shared" si="22"/>
        <v>0</v>
      </c>
      <c r="X180" s="50">
        <f t="shared" si="25"/>
        <v>0</v>
      </c>
      <c r="Y180"/>
      <c r="Z180"/>
      <c r="AA180"/>
    </row>
    <row r="181" spans="1:27" s="51" customFormat="1" ht="18.600000000000001" hidden="1" customHeight="1" x14ac:dyDescent="0.25">
      <c r="A181" s="80" t="s">
        <v>16</v>
      </c>
      <c r="B181" s="20" t="s">
        <v>426</v>
      </c>
      <c r="C181" s="21" t="s">
        <v>426</v>
      </c>
      <c r="D181" s="20" t="s">
        <v>545</v>
      </c>
      <c r="E181" s="22" t="s">
        <v>546</v>
      </c>
      <c r="F181" s="22" t="s">
        <v>429</v>
      </c>
      <c r="G181" s="22">
        <v>1</v>
      </c>
      <c r="H181" s="83" t="s">
        <v>547</v>
      </c>
      <c r="I181" s="23" t="s">
        <v>24</v>
      </c>
      <c r="J181" s="24">
        <v>110</v>
      </c>
      <c r="K181" s="25">
        <v>0.25</v>
      </c>
      <c r="L181" s="26">
        <f t="shared" si="20"/>
        <v>27.5</v>
      </c>
      <c r="M181" s="27">
        <f t="shared" si="21"/>
        <v>82.5</v>
      </c>
      <c r="N181" s="28">
        <v>0.16</v>
      </c>
      <c r="O181" s="29">
        <f t="shared" si="23"/>
        <v>13.200000000000001</v>
      </c>
      <c r="P181" s="30">
        <f t="shared" si="24"/>
        <v>95.7</v>
      </c>
      <c r="Q181" s="23"/>
      <c r="R181" s="52"/>
      <c r="S181" s="53"/>
      <c r="T181" s="54">
        <f t="shared" si="28"/>
        <v>0</v>
      </c>
      <c r="U181" s="26">
        <f t="shared" si="28"/>
        <v>0</v>
      </c>
      <c r="V181" s="55">
        <f t="shared" si="27"/>
        <v>0</v>
      </c>
      <c r="W181" s="29">
        <f t="shared" si="22"/>
        <v>0</v>
      </c>
      <c r="X181" s="30">
        <f t="shared" si="25"/>
        <v>0</v>
      </c>
      <c r="Y181"/>
      <c r="Z181"/>
      <c r="AA181"/>
    </row>
    <row r="182" spans="1:27" s="51" customFormat="1" ht="18.600000000000001" hidden="1" customHeight="1" x14ac:dyDescent="0.25">
      <c r="A182" s="81" t="s">
        <v>16</v>
      </c>
      <c r="B182" s="31" t="s">
        <v>426</v>
      </c>
      <c r="C182" s="32" t="s">
        <v>426</v>
      </c>
      <c r="D182" s="31" t="s">
        <v>548</v>
      </c>
      <c r="E182" s="33" t="s">
        <v>549</v>
      </c>
      <c r="F182" s="33" t="s">
        <v>429</v>
      </c>
      <c r="G182" s="33">
        <v>1</v>
      </c>
      <c r="H182" s="84" t="s">
        <v>550</v>
      </c>
      <c r="I182" s="23" t="s">
        <v>24</v>
      </c>
      <c r="J182" s="34">
        <v>110</v>
      </c>
      <c r="K182" s="35">
        <v>0.25</v>
      </c>
      <c r="L182" s="36">
        <f t="shared" si="20"/>
        <v>27.5</v>
      </c>
      <c r="M182" s="37">
        <f t="shared" si="21"/>
        <v>82.5</v>
      </c>
      <c r="N182" s="38">
        <v>0.16</v>
      </c>
      <c r="O182" s="39">
        <f t="shared" si="23"/>
        <v>13.200000000000001</v>
      </c>
      <c r="P182" s="40">
        <f t="shared" si="24"/>
        <v>95.7</v>
      </c>
      <c r="Q182" s="23"/>
      <c r="R182" s="56"/>
      <c r="S182" s="57"/>
      <c r="T182" s="58">
        <f t="shared" si="28"/>
        <v>0</v>
      </c>
      <c r="U182" s="36">
        <f t="shared" si="28"/>
        <v>0</v>
      </c>
      <c r="V182" s="59">
        <f t="shared" si="27"/>
        <v>0</v>
      </c>
      <c r="W182" s="39">
        <f t="shared" si="22"/>
        <v>0</v>
      </c>
      <c r="X182" s="40">
        <f t="shared" si="25"/>
        <v>0</v>
      </c>
      <c r="Y182"/>
      <c r="Z182"/>
      <c r="AA182"/>
    </row>
    <row r="183" spans="1:27" s="51" customFormat="1" ht="18.600000000000001" hidden="1" customHeight="1" x14ac:dyDescent="0.25">
      <c r="A183" s="82" t="s">
        <v>16</v>
      </c>
      <c r="B183" s="41" t="s">
        <v>426</v>
      </c>
      <c r="C183" s="42" t="s">
        <v>426</v>
      </c>
      <c r="D183" s="41" t="s">
        <v>551</v>
      </c>
      <c r="E183" s="43" t="s">
        <v>552</v>
      </c>
      <c r="F183" s="43" t="s">
        <v>429</v>
      </c>
      <c r="G183" s="43">
        <v>1</v>
      </c>
      <c r="H183" s="85" t="s">
        <v>553</v>
      </c>
      <c r="I183" s="23" t="s">
        <v>24</v>
      </c>
      <c r="J183" s="44">
        <v>110</v>
      </c>
      <c r="K183" s="45">
        <v>0.25</v>
      </c>
      <c r="L183" s="46">
        <f t="shared" si="20"/>
        <v>27.5</v>
      </c>
      <c r="M183" s="47">
        <f t="shared" si="21"/>
        <v>82.5</v>
      </c>
      <c r="N183" s="48">
        <v>0.16</v>
      </c>
      <c r="O183" s="49">
        <f t="shared" si="23"/>
        <v>13.200000000000001</v>
      </c>
      <c r="P183" s="50">
        <f t="shared" si="24"/>
        <v>95.7</v>
      </c>
      <c r="Q183" s="23"/>
      <c r="R183" s="60"/>
      <c r="S183" s="61"/>
      <c r="T183" s="62">
        <f t="shared" si="28"/>
        <v>0</v>
      </c>
      <c r="U183" s="46">
        <f t="shared" si="28"/>
        <v>0</v>
      </c>
      <c r="V183" s="63">
        <f t="shared" si="27"/>
        <v>0</v>
      </c>
      <c r="W183" s="49">
        <f t="shared" si="22"/>
        <v>0</v>
      </c>
      <c r="X183" s="50">
        <f t="shared" si="25"/>
        <v>0</v>
      </c>
      <c r="Y183"/>
      <c r="Z183"/>
      <c r="AA183"/>
    </row>
    <row r="184" spans="1:27" s="51" customFormat="1" ht="18.600000000000001" hidden="1" customHeight="1" x14ac:dyDescent="0.25">
      <c r="A184" s="80" t="s">
        <v>16</v>
      </c>
      <c r="B184" s="20" t="s">
        <v>426</v>
      </c>
      <c r="C184" s="21" t="s">
        <v>426</v>
      </c>
      <c r="D184" s="20" t="s">
        <v>554</v>
      </c>
      <c r="E184" s="22" t="s">
        <v>555</v>
      </c>
      <c r="F184" s="22" t="s">
        <v>429</v>
      </c>
      <c r="G184" s="22">
        <v>1</v>
      </c>
      <c r="H184" s="83" t="s">
        <v>556</v>
      </c>
      <c r="I184" s="23" t="s">
        <v>24</v>
      </c>
      <c r="J184" s="24">
        <v>110</v>
      </c>
      <c r="K184" s="25">
        <v>0.25</v>
      </c>
      <c r="L184" s="26">
        <f t="shared" si="20"/>
        <v>27.5</v>
      </c>
      <c r="M184" s="27">
        <f t="shared" si="21"/>
        <v>82.5</v>
      </c>
      <c r="N184" s="28">
        <v>0.16</v>
      </c>
      <c r="O184" s="29">
        <f t="shared" si="23"/>
        <v>13.200000000000001</v>
      </c>
      <c r="P184" s="30">
        <f t="shared" si="24"/>
        <v>95.7</v>
      </c>
      <c r="Q184" s="23"/>
      <c r="R184" s="52"/>
      <c r="S184" s="53"/>
      <c r="T184" s="54">
        <f t="shared" si="28"/>
        <v>0</v>
      </c>
      <c r="U184" s="26">
        <f t="shared" si="28"/>
        <v>0</v>
      </c>
      <c r="V184" s="55">
        <f t="shared" si="27"/>
        <v>0</v>
      </c>
      <c r="W184" s="29">
        <f t="shared" si="22"/>
        <v>0</v>
      </c>
      <c r="X184" s="30">
        <f t="shared" si="25"/>
        <v>0</v>
      </c>
      <c r="Y184"/>
      <c r="Z184"/>
      <c r="AA184"/>
    </row>
    <row r="185" spans="1:27" s="51" customFormat="1" ht="18.600000000000001" hidden="1" customHeight="1" x14ac:dyDescent="0.25">
      <c r="A185" s="81" t="s">
        <v>16</v>
      </c>
      <c r="B185" s="31" t="s">
        <v>426</v>
      </c>
      <c r="C185" s="32" t="s">
        <v>426</v>
      </c>
      <c r="D185" s="31" t="s">
        <v>557</v>
      </c>
      <c r="E185" s="33" t="s">
        <v>558</v>
      </c>
      <c r="F185" s="33" t="s">
        <v>429</v>
      </c>
      <c r="G185" s="33">
        <v>1</v>
      </c>
      <c r="H185" s="84" t="s">
        <v>559</v>
      </c>
      <c r="I185" s="23" t="s">
        <v>24</v>
      </c>
      <c r="J185" s="34">
        <v>110</v>
      </c>
      <c r="K185" s="35">
        <v>0.25</v>
      </c>
      <c r="L185" s="36">
        <f t="shared" si="20"/>
        <v>27.5</v>
      </c>
      <c r="M185" s="37">
        <f t="shared" si="21"/>
        <v>82.5</v>
      </c>
      <c r="N185" s="38">
        <v>0.16</v>
      </c>
      <c r="O185" s="39">
        <f t="shared" si="23"/>
        <v>13.200000000000001</v>
      </c>
      <c r="P185" s="40">
        <f t="shared" si="24"/>
        <v>95.7</v>
      </c>
      <c r="Q185" s="23"/>
      <c r="R185" s="56"/>
      <c r="S185" s="57"/>
      <c r="T185" s="58">
        <f t="shared" si="28"/>
        <v>0</v>
      </c>
      <c r="U185" s="36">
        <f t="shared" si="28"/>
        <v>0</v>
      </c>
      <c r="V185" s="59">
        <f t="shared" si="27"/>
        <v>0</v>
      </c>
      <c r="W185" s="39">
        <f t="shared" si="22"/>
        <v>0</v>
      </c>
      <c r="X185" s="40">
        <f t="shared" si="25"/>
        <v>0</v>
      </c>
      <c r="Y185"/>
      <c r="Z185"/>
      <c r="AA185"/>
    </row>
    <row r="186" spans="1:27" s="51" customFormat="1" ht="18.600000000000001" hidden="1" customHeight="1" x14ac:dyDescent="0.25">
      <c r="A186" s="82" t="s">
        <v>16</v>
      </c>
      <c r="B186" s="41" t="s">
        <v>426</v>
      </c>
      <c r="C186" s="42" t="s">
        <v>426</v>
      </c>
      <c r="D186" s="41" t="s">
        <v>560</v>
      </c>
      <c r="E186" s="43" t="s">
        <v>561</v>
      </c>
      <c r="F186" s="43" t="s">
        <v>429</v>
      </c>
      <c r="G186" s="43">
        <v>1</v>
      </c>
      <c r="H186" s="85" t="s">
        <v>562</v>
      </c>
      <c r="I186" s="23" t="s">
        <v>24</v>
      </c>
      <c r="J186" s="44">
        <v>110</v>
      </c>
      <c r="K186" s="45">
        <v>0.25</v>
      </c>
      <c r="L186" s="46">
        <f t="shared" si="20"/>
        <v>27.5</v>
      </c>
      <c r="M186" s="47">
        <f t="shared" si="21"/>
        <v>82.5</v>
      </c>
      <c r="N186" s="48">
        <v>0.16</v>
      </c>
      <c r="O186" s="49">
        <f t="shared" si="23"/>
        <v>13.200000000000001</v>
      </c>
      <c r="P186" s="50">
        <f t="shared" si="24"/>
        <v>95.7</v>
      </c>
      <c r="Q186" s="23"/>
      <c r="R186" s="60"/>
      <c r="S186" s="61"/>
      <c r="T186" s="62">
        <f t="shared" si="28"/>
        <v>0</v>
      </c>
      <c r="U186" s="46">
        <f t="shared" si="28"/>
        <v>0</v>
      </c>
      <c r="V186" s="63">
        <f t="shared" si="27"/>
        <v>0</v>
      </c>
      <c r="W186" s="49">
        <f t="shared" si="22"/>
        <v>0</v>
      </c>
      <c r="X186" s="50">
        <f t="shared" si="25"/>
        <v>0</v>
      </c>
      <c r="Y186"/>
      <c r="Z186"/>
      <c r="AA186"/>
    </row>
    <row r="187" spans="1:27" s="51" customFormat="1" ht="18.600000000000001" hidden="1" customHeight="1" x14ac:dyDescent="0.25">
      <c r="A187" s="80" t="s">
        <v>16</v>
      </c>
      <c r="B187" s="20" t="s">
        <v>426</v>
      </c>
      <c r="C187" s="21" t="s">
        <v>426</v>
      </c>
      <c r="D187" s="20" t="s">
        <v>563</v>
      </c>
      <c r="E187" s="22" t="s">
        <v>564</v>
      </c>
      <c r="F187" s="22" t="s">
        <v>429</v>
      </c>
      <c r="G187" s="22">
        <v>1</v>
      </c>
      <c r="H187" s="83" t="s">
        <v>565</v>
      </c>
      <c r="I187" s="23" t="s">
        <v>24</v>
      </c>
      <c r="J187" s="24">
        <v>110</v>
      </c>
      <c r="K187" s="25">
        <v>0.25</v>
      </c>
      <c r="L187" s="26">
        <f t="shared" si="20"/>
        <v>27.5</v>
      </c>
      <c r="M187" s="27">
        <f t="shared" si="21"/>
        <v>82.5</v>
      </c>
      <c r="N187" s="28">
        <v>0.16</v>
      </c>
      <c r="O187" s="29">
        <f t="shared" si="23"/>
        <v>13.200000000000001</v>
      </c>
      <c r="P187" s="30">
        <f t="shared" si="24"/>
        <v>95.7</v>
      </c>
      <c r="Q187" s="23"/>
      <c r="R187" s="52"/>
      <c r="S187" s="53"/>
      <c r="T187" s="54">
        <f t="shared" si="28"/>
        <v>0</v>
      </c>
      <c r="U187" s="26">
        <f t="shared" si="28"/>
        <v>0</v>
      </c>
      <c r="V187" s="55">
        <f t="shared" si="27"/>
        <v>0</v>
      </c>
      <c r="W187" s="29">
        <f t="shared" si="22"/>
        <v>0</v>
      </c>
      <c r="X187" s="30">
        <f t="shared" si="25"/>
        <v>0</v>
      </c>
      <c r="Y187"/>
      <c r="Z187"/>
      <c r="AA187"/>
    </row>
    <row r="188" spans="1:27" s="51" customFormat="1" ht="18.600000000000001" hidden="1" customHeight="1" x14ac:dyDescent="0.25">
      <c r="A188" s="81" t="s">
        <v>16</v>
      </c>
      <c r="B188" s="31" t="s">
        <v>426</v>
      </c>
      <c r="C188" s="32" t="s">
        <v>426</v>
      </c>
      <c r="D188" s="31" t="s">
        <v>566</v>
      </c>
      <c r="E188" s="33" t="s">
        <v>567</v>
      </c>
      <c r="F188" s="33" t="s">
        <v>429</v>
      </c>
      <c r="G188" s="33">
        <v>1</v>
      </c>
      <c r="H188" s="84" t="s">
        <v>568</v>
      </c>
      <c r="I188" s="23" t="s">
        <v>24</v>
      </c>
      <c r="J188" s="34">
        <v>110</v>
      </c>
      <c r="K188" s="35">
        <v>0.25</v>
      </c>
      <c r="L188" s="36">
        <f t="shared" si="20"/>
        <v>27.5</v>
      </c>
      <c r="M188" s="37">
        <f t="shared" si="21"/>
        <v>82.5</v>
      </c>
      <c r="N188" s="38">
        <v>0.16</v>
      </c>
      <c r="O188" s="39">
        <f t="shared" si="23"/>
        <v>13.200000000000001</v>
      </c>
      <c r="P188" s="40">
        <f t="shared" si="24"/>
        <v>95.7</v>
      </c>
      <c r="Q188" s="23"/>
      <c r="R188" s="56"/>
      <c r="S188" s="57"/>
      <c r="T188" s="58">
        <f t="shared" si="28"/>
        <v>0</v>
      </c>
      <c r="U188" s="36">
        <f t="shared" si="28"/>
        <v>0</v>
      </c>
      <c r="V188" s="59">
        <f t="shared" si="27"/>
        <v>0</v>
      </c>
      <c r="W188" s="39">
        <f t="shared" si="22"/>
        <v>0</v>
      </c>
      <c r="X188" s="40">
        <f t="shared" si="25"/>
        <v>0</v>
      </c>
      <c r="Y188"/>
      <c r="Z188"/>
      <c r="AA188"/>
    </row>
    <row r="189" spans="1:27" s="51" customFormat="1" ht="18.600000000000001" hidden="1" customHeight="1" x14ac:dyDescent="0.25">
      <c r="A189" s="82" t="s">
        <v>16</v>
      </c>
      <c r="B189" s="41" t="s">
        <v>426</v>
      </c>
      <c r="C189" s="42" t="s">
        <v>426</v>
      </c>
      <c r="D189" s="41" t="s">
        <v>569</v>
      </c>
      <c r="E189" s="43" t="s">
        <v>570</v>
      </c>
      <c r="F189" s="43" t="s">
        <v>429</v>
      </c>
      <c r="G189" s="43">
        <v>1</v>
      </c>
      <c r="H189" s="85" t="s">
        <v>571</v>
      </c>
      <c r="I189" s="23" t="s">
        <v>24</v>
      </c>
      <c r="J189" s="44">
        <v>110</v>
      </c>
      <c r="K189" s="45">
        <v>0.25</v>
      </c>
      <c r="L189" s="46">
        <f t="shared" si="20"/>
        <v>27.5</v>
      </c>
      <c r="M189" s="47">
        <f t="shared" si="21"/>
        <v>82.5</v>
      </c>
      <c r="N189" s="48">
        <v>0.16</v>
      </c>
      <c r="O189" s="49">
        <f t="shared" si="23"/>
        <v>13.200000000000001</v>
      </c>
      <c r="P189" s="50">
        <f t="shared" si="24"/>
        <v>95.7</v>
      </c>
      <c r="Q189" s="23"/>
      <c r="R189" s="60"/>
      <c r="S189" s="61"/>
      <c r="T189" s="62">
        <f t="shared" si="28"/>
        <v>0</v>
      </c>
      <c r="U189" s="46">
        <f t="shared" si="28"/>
        <v>0</v>
      </c>
      <c r="V189" s="63">
        <f t="shared" si="27"/>
        <v>0</v>
      </c>
      <c r="W189" s="49">
        <f t="shared" si="22"/>
        <v>0</v>
      </c>
      <c r="X189" s="50">
        <f t="shared" si="25"/>
        <v>0</v>
      </c>
      <c r="Y189"/>
      <c r="Z189"/>
      <c r="AA189"/>
    </row>
    <row r="190" spans="1:27" s="51" customFormat="1" ht="18.600000000000001" hidden="1" customHeight="1" x14ac:dyDescent="0.25">
      <c r="A190" s="80" t="s">
        <v>16</v>
      </c>
      <c r="B190" s="20" t="s">
        <v>572</v>
      </c>
      <c r="C190" s="21" t="s">
        <v>426</v>
      </c>
      <c r="D190" s="20" t="s">
        <v>573</v>
      </c>
      <c r="E190" s="22" t="s">
        <v>574</v>
      </c>
      <c r="F190" s="22" t="s">
        <v>429</v>
      </c>
      <c r="G190" s="22" t="s">
        <v>364</v>
      </c>
      <c r="H190" s="83" t="s">
        <v>575</v>
      </c>
      <c r="I190" s="23" t="s">
        <v>24</v>
      </c>
      <c r="J190" s="24">
        <v>850</v>
      </c>
      <c r="K190" s="25">
        <v>0.25</v>
      </c>
      <c r="L190" s="26">
        <f t="shared" si="20"/>
        <v>212.5</v>
      </c>
      <c r="M190" s="27">
        <f t="shared" si="21"/>
        <v>637.5</v>
      </c>
      <c r="N190" s="28">
        <v>0.16</v>
      </c>
      <c r="O190" s="29">
        <f t="shared" si="23"/>
        <v>102</v>
      </c>
      <c r="P190" s="30">
        <f t="shared" si="24"/>
        <v>739.5</v>
      </c>
      <c r="Q190" s="23"/>
      <c r="R190" s="52"/>
      <c r="S190" s="53"/>
      <c r="T190" s="54">
        <f t="shared" si="28"/>
        <v>0</v>
      </c>
      <c r="U190" s="26">
        <f t="shared" si="28"/>
        <v>0</v>
      </c>
      <c r="V190" s="55">
        <f t="shared" si="27"/>
        <v>0</v>
      </c>
      <c r="W190" s="29">
        <f t="shared" si="22"/>
        <v>0</v>
      </c>
      <c r="X190" s="30">
        <f t="shared" si="25"/>
        <v>0</v>
      </c>
      <c r="Y190"/>
      <c r="Z190"/>
      <c r="AA190"/>
    </row>
    <row r="191" spans="1:27" s="51" customFormat="1" ht="18.600000000000001" hidden="1" customHeight="1" x14ac:dyDescent="0.25">
      <c r="A191" s="81" t="s">
        <v>16</v>
      </c>
      <c r="B191" s="31" t="s">
        <v>572</v>
      </c>
      <c r="C191" s="32" t="s">
        <v>426</v>
      </c>
      <c r="D191" s="31" t="s">
        <v>576</v>
      </c>
      <c r="E191" s="33" t="s">
        <v>577</v>
      </c>
      <c r="F191" s="33" t="s">
        <v>429</v>
      </c>
      <c r="G191" s="33" t="s">
        <v>364</v>
      </c>
      <c r="H191" s="84" t="s">
        <v>578</v>
      </c>
      <c r="I191" s="23" t="s">
        <v>24</v>
      </c>
      <c r="J191" s="34">
        <v>850</v>
      </c>
      <c r="K191" s="35">
        <v>0.25</v>
      </c>
      <c r="L191" s="36">
        <f t="shared" si="20"/>
        <v>212.5</v>
      </c>
      <c r="M191" s="37">
        <f t="shared" si="21"/>
        <v>637.5</v>
      </c>
      <c r="N191" s="38">
        <v>0.16</v>
      </c>
      <c r="O191" s="39">
        <f t="shared" si="23"/>
        <v>102</v>
      </c>
      <c r="P191" s="40">
        <f t="shared" si="24"/>
        <v>739.5</v>
      </c>
      <c r="Q191" s="23"/>
      <c r="R191" s="56"/>
      <c r="S191" s="57"/>
      <c r="T191" s="58">
        <f t="shared" si="28"/>
        <v>0</v>
      </c>
      <c r="U191" s="36">
        <f t="shared" si="28"/>
        <v>0</v>
      </c>
      <c r="V191" s="59">
        <f t="shared" si="27"/>
        <v>0</v>
      </c>
      <c r="W191" s="39">
        <f t="shared" si="22"/>
        <v>0</v>
      </c>
      <c r="X191" s="40">
        <f t="shared" si="25"/>
        <v>0</v>
      </c>
      <c r="Y191"/>
      <c r="Z191"/>
      <c r="AA191"/>
    </row>
    <row r="192" spans="1:27" s="51" customFormat="1" ht="18.600000000000001" hidden="1" customHeight="1" x14ac:dyDescent="0.25">
      <c r="A192" s="82" t="s">
        <v>16</v>
      </c>
      <c r="B192" s="41" t="s">
        <v>572</v>
      </c>
      <c r="C192" s="42" t="s">
        <v>426</v>
      </c>
      <c r="D192" s="41" t="s">
        <v>579</v>
      </c>
      <c r="E192" s="43" t="s">
        <v>580</v>
      </c>
      <c r="F192" s="43" t="s">
        <v>429</v>
      </c>
      <c r="G192" s="43" t="s">
        <v>364</v>
      </c>
      <c r="H192" s="85" t="s">
        <v>581</v>
      </c>
      <c r="I192" s="23" t="s">
        <v>24</v>
      </c>
      <c r="J192" s="44">
        <v>850</v>
      </c>
      <c r="K192" s="45">
        <v>0.25</v>
      </c>
      <c r="L192" s="46">
        <f t="shared" si="20"/>
        <v>212.5</v>
      </c>
      <c r="M192" s="47">
        <f t="shared" si="21"/>
        <v>637.5</v>
      </c>
      <c r="N192" s="48">
        <v>0.16</v>
      </c>
      <c r="O192" s="49">
        <f t="shared" si="23"/>
        <v>102</v>
      </c>
      <c r="P192" s="50">
        <f t="shared" si="24"/>
        <v>739.5</v>
      </c>
      <c r="Q192" s="23"/>
      <c r="R192" s="60"/>
      <c r="S192" s="61"/>
      <c r="T192" s="62">
        <f t="shared" si="28"/>
        <v>0</v>
      </c>
      <c r="U192" s="46">
        <f t="shared" si="28"/>
        <v>0</v>
      </c>
      <c r="V192" s="63">
        <f t="shared" si="27"/>
        <v>0</v>
      </c>
      <c r="W192" s="49">
        <f t="shared" si="22"/>
        <v>0</v>
      </c>
      <c r="X192" s="50">
        <f t="shared" si="25"/>
        <v>0</v>
      </c>
      <c r="Y192"/>
      <c r="Z192"/>
      <c r="AA192"/>
    </row>
    <row r="193" spans="1:27" s="51" customFormat="1" ht="18.600000000000001" hidden="1" customHeight="1" x14ac:dyDescent="0.25">
      <c r="A193" s="80" t="s">
        <v>16</v>
      </c>
      <c r="B193" s="20" t="s">
        <v>572</v>
      </c>
      <c r="C193" s="21" t="s">
        <v>426</v>
      </c>
      <c r="D193" s="20" t="s">
        <v>582</v>
      </c>
      <c r="E193" s="22" t="s">
        <v>583</v>
      </c>
      <c r="F193" s="22" t="s">
        <v>429</v>
      </c>
      <c r="G193" s="22" t="s">
        <v>364</v>
      </c>
      <c r="H193" s="83" t="s">
        <v>584</v>
      </c>
      <c r="I193" s="23" t="s">
        <v>24</v>
      </c>
      <c r="J193" s="24">
        <v>850</v>
      </c>
      <c r="K193" s="25">
        <v>0.25</v>
      </c>
      <c r="L193" s="26">
        <f t="shared" si="20"/>
        <v>212.5</v>
      </c>
      <c r="M193" s="27">
        <f t="shared" si="21"/>
        <v>637.5</v>
      </c>
      <c r="N193" s="28">
        <v>0.16</v>
      </c>
      <c r="O193" s="29">
        <f t="shared" si="23"/>
        <v>102</v>
      </c>
      <c r="P193" s="30">
        <f t="shared" si="24"/>
        <v>739.5</v>
      </c>
      <c r="Q193" s="23"/>
      <c r="R193" s="52"/>
      <c r="S193" s="53"/>
      <c r="T193" s="54">
        <f t="shared" si="28"/>
        <v>0</v>
      </c>
      <c r="U193" s="26">
        <f t="shared" si="28"/>
        <v>0</v>
      </c>
      <c r="V193" s="55">
        <f t="shared" si="27"/>
        <v>0</v>
      </c>
      <c r="W193" s="29">
        <f t="shared" si="22"/>
        <v>0</v>
      </c>
      <c r="X193" s="30">
        <f t="shared" si="25"/>
        <v>0</v>
      </c>
      <c r="Y193"/>
      <c r="Z193"/>
      <c r="AA193"/>
    </row>
    <row r="194" spans="1:27" s="51" customFormat="1" ht="18.600000000000001" hidden="1" customHeight="1" x14ac:dyDescent="0.25">
      <c r="A194" s="81" t="s">
        <v>16</v>
      </c>
      <c r="B194" s="31" t="s">
        <v>572</v>
      </c>
      <c r="C194" s="32" t="s">
        <v>426</v>
      </c>
      <c r="D194" s="31" t="s">
        <v>585</v>
      </c>
      <c r="E194" s="33" t="s">
        <v>586</v>
      </c>
      <c r="F194" s="33" t="s">
        <v>429</v>
      </c>
      <c r="G194" s="33" t="s">
        <v>364</v>
      </c>
      <c r="H194" s="84" t="s">
        <v>587</v>
      </c>
      <c r="I194" s="23" t="s">
        <v>24</v>
      </c>
      <c r="J194" s="34">
        <v>850</v>
      </c>
      <c r="K194" s="35">
        <v>0.25</v>
      </c>
      <c r="L194" s="36">
        <f t="shared" si="20"/>
        <v>212.5</v>
      </c>
      <c r="M194" s="37">
        <f t="shared" si="21"/>
        <v>637.5</v>
      </c>
      <c r="N194" s="38">
        <v>0.16</v>
      </c>
      <c r="O194" s="39">
        <f t="shared" si="23"/>
        <v>102</v>
      </c>
      <c r="P194" s="40">
        <f t="shared" si="24"/>
        <v>739.5</v>
      </c>
      <c r="Q194" s="23"/>
      <c r="R194" s="56"/>
      <c r="S194" s="57"/>
      <c r="T194" s="58">
        <f t="shared" si="28"/>
        <v>0</v>
      </c>
      <c r="U194" s="36">
        <f t="shared" si="28"/>
        <v>0</v>
      </c>
      <c r="V194" s="59">
        <f t="shared" si="27"/>
        <v>0</v>
      </c>
      <c r="W194" s="39">
        <f t="shared" si="22"/>
        <v>0</v>
      </c>
      <c r="X194" s="40">
        <f t="shared" si="25"/>
        <v>0</v>
      </c>
      <c r="Y194"/>
      <c r="Z194"/>
      <c r="AA194"/>
    </row>
    <row r="195" spans="1:27" s="51" customFormat="1" ht="18.600000000000001" hidden="1" customHeight="1" x14ac:dyDescent="0.25">
      <c r="A195" s="82" t="s">
        <v>16</v>
      </c>
      <c r="B195" s="41" t="s">
        <v>572</v>
      </c>
      <c r="C195" s="42" t="s">
        <v>426</v>
      </c>
      <c r="D195" s="41" t="s">
        <v>588</v>
      </c>
      <c r="E195" s="43" t="s">
        <v>589</v>
      </c>
      <c r="F195" s="43" t="s">
        <v>429</v>
      </c>
      <c r="G195" s="43" t="s">
        <v>364</v>
      </c>
      <c r="H195" s="85" t="s">
        <v>590</v>
      </c>
      <c r="I195" s="23" t="s">
        <v>24</v>
      </c>
      <c r="J195" s="44">
        <v>850</v>
      </c>
      <c r="K195" s="45">
        <v>0.25</v>
      </c>
      <c r="L195" s="46">
        <f t="shared" si="20"/>
        <v>212.5</v>
      </c>
      <c r="M195" s="47">
        <f t="shared" si="21"/>
        <v>637.5</v>
      </c>
      <c r="N195" s="48">
        <v>0.16</v>
      </c>
      <c r="O195" s="49">
        <f t="shared" si="23"/>
        <v>102</v>
      </c>
      <c r="P195" s="50">
        <f t="shared" si="24"/>
        <v>739.5</v>
      </c>
      <c r="Q195" s="23"/>
      <c r="R195" s="60"/>
      <c r="S195" s="61"/>
      <c r="T195" s="62">
        <f t="shared" si="28"/>
        <v>0</v>
      </c>
      <c r="U195" s="46">
        <f t="shared" si="28"/>
        <v>0</v>
      </c>
      <c r="V195" s="63">
        <f t="shared" si="27"/>
        <v>0</v>
      </c>
      <c r="W195" s="49">
        <f t="shared" si="22"/>
        <v>0</v>
      </c>
      <c r="X195" s="50">
        <f t="shared" si="25"/>
        <v>0</v>
      </c>
      <c r="Y195"/>
      <c r="Z195"/>
      <c r="AA195"/>
    </row>
    <row r="196" spans="1:27" s="51" customFormat="1" ht="18.600000000000001" hidden="1" customHeight="1" x14ac:dyDescent="0.25">
      <c r="A196" s="80" t="s">
        <v>16</v>
      </c>
      <c r="B196" s="20" t="s">
        <v>572</v>
      </c>
      <c r="C196" s="21" t="s">
        <v>426</v>
      </c>
      <c r="D196" s="20" t="s">
        <v>591</v>
      </c>
      <c r="E196" s="22" t="s">
        <v>592</v>
      </c>
      <c r="F196" s="22" t="s">
        <v>429</v>
      </c>
      <c r="G196" s="22" t="s">
        <v>415</v>
      </c>
      <c r="H196" s="83" t="s">
        <v>593</v>
      </c>
      <c r="I196" s="23" t="s">
        <v>24</v>
      </c>
      <c r="J196" s="24">
        <v>5150</v>
      </c>
      <c r="K196" s="25">
        <v>0.25</v>
      </c>
      <c r="L196" s="26">
        <f t="shared" si="20"/>
        <v>1287.5</v>
      </c>
      <c r="M196" s="27">
        <f t="shared" si="21"/>
        <v>3862.5</v>
      </c>
      <c r="N196" s="28">
        <v>0.16</v>
      </c>
      <c r="O196" s="29">
        <f t="shared" si="23"/>
        <v>618</v>
      </c>
      <c r="P196" s="30">
        <f t="shared" si="24"/>
        <v>4480.5</v>
      </c>
      <c r="Q196" s="23"/>
      <c r="R196" s="52"/>
      <c r="S196" s="53"/>
      <c r="T196" s="54">
        <f t="shared" si="28"/>
        <v>0</v>
      </c>
      <c r="U196" s="26">
        <f t="shared" si="28"/>
        <v>0</v>
      </c>
      <c r="V196" s="55">
        <f t="shared" si="27"/>
        <v>0</v>
      </c>
      <c r="W196" s="29">
        <f t="shared" si="22"/>
        <v>0</v>
      </c>
      <c r="X196" s="30">
        <f t="shared" si="25"/>
        <v>0</v>
      </c>
      <c r="Y196"/>
      <c r="Z196"/>
      <c r="AA196"/>
    </row>
    <row r="197" spans="1:27" s="51" customFormat="1" ht="18.600000000000001" hidden="1" customHeight="1" x14ac:dyDescent="0.25">
      <c r="A197" s="81" t="s">
        <v>16</v>
      </c>
      <c r="B197" s="31" t="s">
        <v>572</v>
      </c>
      <c r="C197" s="32" t="s">
        <v>426</v>
      </c>
      <c r="D197" s="31" t="s">
        <v>594</v>
      </c>
      <c r="E197" s="33" t="s">
        <v>595</v>
      </c>
      <c r="F197" s="33" t="s">
        <v>429</v>
      </c>
      <c r="G197" s="33" t="s">
        <v>364</v>
      </c>
      <c r="H197" s="84" t="s">
        <v>596</v>
      </c>
      <c r="I197" s="23" t="s">
        <v>24</v>
      </c>
      <c r="J197" s="34">
        <v>850</v>
      </c>
      <c r="K197" s="35">
        <v>0.25</v>
      </c>
      <c r="L197" s="36">
        <f t="shared" si="20"/>
        <v>212.5</v>
      </c>
      <c r="M197" s="37">
        <f t="shared" si="21"/>
        <v>637.5</v>
      </c>
      <c r="N197" s="38">
        <v>0.16</v>
      </c>
      <c r="O197" s="39">
        <f t="shared" si="23"/>
        <v>102</v>
      </c>
      <c r="P197" s="40">
        <f t="shared" si="24"/>
        <v>739.5</v>
      </c>
      <c r="Q197" s="23"/>
      <c r="R197" s="56"/>
      <c r="S197" s="57"/>
      <c r="T197" s="58">
        <f t="shared" si="28"/>
        <v>0</v>
      </c>
      <c r="U197" s="36">
        <f t="shared" si="28"/>
        <v>0</v>
      </c>
      <c r="V197" s="59">
        <f t="shared" si="27"/>
        <v>0</v>
      </c>
      <c r="W197" s="39">
        <f t="shared" si="22"/>
        <v>0</v>
      </c>
      <c r="X197" s="40">
        <f t="shared" si="25"/>
        <v>0</v>
      </c>
      <c r="Y197"/>
      <c r="Z197"/>
      <c r="AA197"/>
    </row>
    <row r="198" spans="1:27" s="51" customFormat="1" ht="18.600000000000001" hidden="1" customHeight="1" x14ac:dyDescent="0.25">
      <c r="A198" s="82" t="s">
        <v>16</v>
      </c>
      <c r="B198" s="41" t="s">
        <v>572</v>
      </c>
      <c r="C198" s="42" t="s">
        <v>426</v>
      </c>
      <c r="D198" s="41">
        <v>8435635304407</v>
      </c>
      <c r="E198" s="43" t="s">
        <v>597</v>
      </c>
      <c r="F198" s="43" t="s">
        <v>429</v>
      </c>
      <c r="G198" s="43">
        <v>8</v>
      </c>
      <c r="H198" s="85" t="s">
        <v>598</v>
      </c>
      <c r="I198" s="23" t="s">
        <v>24</v>
      </c>
      <c r="J198" s="44">
        <v>850</v>
      </c>
      <c r="K198" s="45">
        <v>0.25</v>
      </c>
      <c r="L198" s="46">
        <f t="shared" si="20"/>
        <v>212.5</v>
      </c>
      <c r="M198" s="47">
        <f t="shared" si="21"/>
        <v>637.5</v>
      </c>
      <c r="N198" s="48">
        <v>0.16</v>
      </c>
      <c r="O198" s="49">
        <f t="shared" si="23"/>
        <v>102</v>
      </c>
      <c r="P198" s="50">
        <f t="shared" si="24"/>
        <v>739.5</v>
      </c>
      <c r="Q198" s="23"/>
      <c r="R198" s="60"/>
      <c r="S198" s="61"/>
      <c r="T198" s="62">
        <f t="shared" si="28"/>
        <v>0</v>
      </c>
      <c r="U198" s="46">
        <f t="shared" si="28"/>
        <v>0</v>
      </c>
      <c r="V198" s="63">
        <f t="shared" si="27"/>
        <v>0</v>
      </c>
      <c r="W198" s="49">
        <f t="shared" si="22"/>
        <v>0</v>
      </c>
      <c r="X198" s="50">
        <f t="shared" si="25"/>
        <v>0</v>
      </c>
      <c r="Y198"/>
      <c r="Z198"/>
      <c r="AA198"/>
    </row>
    <row r="199" spans="1:27" s="51" customFormat="1" ht="18.600000000000001" hidden="1" customHeight="1" x14ac:dyDescent="0.25">
      <c r="A199" s="80" t="s">
        <v>16</v>
      </c>
      <c r="B199" s="20" t="s">
        <v>572</v>
      </c>
      <c r="C199" s="21" t="s">
        <v>426</v>
      </c>
      <c r="D199" s="20">
        <v>8435635304414</v>
      </c>
      <c r="E199" s="22" t="s">
        <v>599</v>
      </c>
      <c r="F199" s="22" t="s">
        <v>429</v>
      </c>
      <c r="G199" s="22">
        <v>8</v>
      </c>
      <c r="H199" s="83" t="s">
        <v>600</v>
      </c>
      <c r="I199" s="23" t="s">
        <v>24</v>
      </c>
      <c r="J199" s="24">
        <v>850</v>
      </c>
      <c r="K199" s="25">
        <v>0.25</v>
      </c>
      <c r="L199" s="26">
        <f t="shared" si="20"/>
        <v>212.5</v>
      </c>
      <c r="M199" s="27">
        <f t="shared" si="21"/>
        <v>637.5</v>
      </c>
      <c r="N199" s="28">
        <v>0.16</v>
      </c>
      <c r="O199" s="29">
        <f t="shared" si="23"/>
        <v>102</v>
      </c>
      <c r="P199" s="30">
        <f t="shared" si="24"/>
        <v>739.5</v>
      </c>
      <c r="Q199" s="23"/>
      <c r="R199" s="52"/>
      <c r="S199" s="53"/>
      <c r="T199" s="54">
        <f t="shared" si="28"/>
        <v>0</v>
      </c>
      <c r="U199" s="26">
        <f t="shared" si="28"/>
        <v>0</v>
      </c>
      <c r="V199" s="55">
        <f t="shared" si="27"/>
        <v>0</v>
      </c>
      <c r="W199" s="29">
        <f t="shared" si="22"/>
        <v>0</v>
      </c>
      <c r="X199" s="30">
        <f t="shared" si="25"/>
        <v>0</v>
      </c>
      <c r="Y199"/>
      <c r="Z199"/>
      <c r="AA199"/>
    </row>
    <row r="200" spans="1:27" s="51" customFormat="1" ht="18.600000000000001" hidden="1" customHeight="1" x14ac:dyDescent="0.25">
      <c r="A200" s="81" t="s">
        <v>16</v>
      </c>
      <c r="B200" s="31" t="s">
        <v>601</v>
      </c>
      <c r="C200" s="32" t="s">
        <v>601</v>
      </c>
      <c r="D200" s="31">
        <v>8423153054027</v>
      </c>
      <c r="E200" s="33" t="s">
        <v>602</v>
      </c>
      <c r="F200" s="33" t="s">
        <v>429</v>
      </c>
      <c r="G200" s="33">
        <v>1</v>
      </c>
      <c r="H200" s="84" t="s">
        <v>603</v>
      </c>
      <c r="I200" s="23" t="s">
        <v>24</v>
      </c>
      <c r="J200" s="34">
        <v>100</v>
      </c>
      <c r="K200" s="35">
        <v>0.25</v>
      </c>
      <c r="L200" s="36">
        <f t="shared" si="20"/>
        <v>25</v>
      </c>
      <c r="M200" s="37">
        <f t="shared" si="21"/>
        <v>75</v>
      </c>
      <c r="N200" s="38">
        <v>0.16</v>
      </c>
      <c r="O200" s="39">
        <f t="shared" si="23"/>
        <v>12</v>
      </c>
      <c r="P200" s="40">
        <f t="shared" si="24"/>
        <v>87</v>
      </c>
      <c r="Q200" s="23"/>
      <c r="R200" s="56"/>
      <c r="S200" s="57"/>
      <c r="T200" s="58">
        <f t="shared" si="28"/>
        <v>0</v>
      </c>
      <c r="U200" s="36">
        <f t="shared" si="28"/>
        <v>0</v>
      </c>
      <c r="V200" s="59">
        <f t="shared" si="27"/>
        <v>0</v>
      </c>
      <c r="W200" s="39">
        <f t="shared" si="22"/>
        <v>0</v>
      </c>
      <c r="X200" s="40">
        <f t="shared" si="25"/>
        <v>0</v>
      </c>
      <c r="Y200"/>
      <c r="Z200"/>
      <c r="AA200"/>
    </row>
    <row r="201" spans="1:27" s="51" customFormat="1" ht="18.600000000000001" hidden="1" customHeight="1" x14ac:dyDescent="0.25">
      <c r="A201" s="82" t="s">
        <v>16</v>
      </c>
      <c r="B201" s="41" t="s">
        <v>601</v>
      </c>
      <c r="C201" s="42" t="s">
        <v>601</v>
      </c>
      <c r="D201" s="41">
        <v>8423153054034</v>
      </c>
      <c r="E201" s="43" t="s">
        <v>604</v>
      </c>
      <c r="F201" s="43" t="s">
        <v>429</v>
      </c>
      <c r="G201" s="43">
        <v>1</v>
      </c>
      <c r="H201" s="85" t="s">
        <v>605</v>
      </c>
      <c r="I201" s="23" t="s">
        <v>24</v>
      </c>
      <c r="J201" s="44">
        <v>100</v>
      </c>
      <c r="K201" s="45">
        <v>0.25</v>
      </c>
      <c r="L201" s="46">
        <f t="shared" si="20"/>
        <v>25</v>
      </c>
      <c r="M201" s="47">
        <f t="shared" si="21"/>
        <v>75</v>
      </c>
      <c r="N201" s="48">
        <v>0.16</v>
      </c>
      <c r="O201" s="49">
        <f t="shared" si="23"/>
        <v>12</v>
      </c>
      <c r="P201" s="50">
        <f t="shared" si="24"/>
        <v>87</v>
      </c>
      <c r="Q201" s="23"/>
      <c r="R201" s="60"/>
      <c r="S201" s="61"/>
      <c r="T201" s="62">
        <f t="shared" ref="T201:U216" si="29">+S201*J201</f>
        <v>0</v>
      </c>
      <c r="U201" s="46">
        <f t="shared" si="29"/>
        <v>0</v>
      </c>
      <c r="V201" s="63">
        <f t="shared" si="27"/>
        <v>0</v>
      </c>
      <c r="W201" s="49">
        <f t="shared" si="22"/>
        <v>0</v>
      </c>
      <c r="X201" s="50">
        <f t="shared" si="25"/>
        <v>0</v>
      </c>
      <c r="Y201"/>
      <c r="Z201"/>
      <c r="AA201"/>
    </row>
    <row r="202" spans="1:27" s="51" customFormat="1" ht="18.600000000000001" hidden="1" customHeight="1" x14ac:dyDescent="0.25">
      <c r="A202" s="80" t="s">
        <v>16</v>
      </c>
      <c r="B202" s="20" t="s">
        <v>601</v>
      </c>
      <c r="C202" s="21" t="s">
        <v>601</v>
      </c>
      <c r="D202" s="20">
        <v>8423153054041</v>
      </c>
      <c r="E202" s="22" t="s">
        <v>606</v>
      </c>
      <c r="F202" s="22" t="s">
        <v>429</v>
      </c>
      <c r="G202" s="22">
        <v>1</v>
      </c>
      <c r="H202" s="83" t="s">
        <v>607</v>
      </c>
      <c r="I202" s="23" t="s">
        <v>24</v>
      </c>
      <c r="J202" s="24">
        <v>100</v>
      </c>
      <c r="K202" s="25">
        <v>0.25</v>
      </c>
      <c r="L202" s="26">
        <f t="shared" ref="L202:L265" si="30">+J202*K202</f>
        <v>25</v>
      </c>
      <c r="M202" s="27">
        <f t="shared" ref="M202:M265" si="31">+J202-L202</f>
        <v>75</v>
      </c>
      <c r="N202" s="28">
        <v>0.16</v>
      </c>
      <c r="O202" s="29">
        <f t="shared" si="23"/>
        <v>12</v>
      </c>
      <c r="P202" s="30">
        <f t="shared" si="24"/>
        <v>87</v>
      </c>
      <c r="Q202" s="23"/>
      <c r="R202" s="52"/>
      <c r="S202" s="53"/>
      <c r="T202" s="54">
        <f t="shared" si="29"/>
        <v>0</v>
      </c>
      <c r="U202" s="26">
        <f t="shared" si="29"/>
        <v>0</v>
      </c>
      <c r="V202" s="55">
        <f t="shared" si="27"/>
        <v>0</v>
      </c>
      <c r="W202" s="29">
        <f t="shared" ref="W202:W265" si="32">+V202*N202</f>
        <v>0</v>
      </c>
      <c r="X202" s="30">
        <f t="shared" si="25"/>
        <v>0</v>
      </c>
      <c r="Y202"/>
      <c r="Z202"/>
      <c r="AA202"/>
    </row>
    <row r="203" spans="1:27" s="51" customFormat="1" ht="18.600000000000001" hidden="1" customHeight="1" x14ac:dyDescent="0.25">
      <c r="A203" s="81" t="s">
        <v>16</v>
      </c>
      <c r="B203" s="31" t="s">
        <v>601</v>
      </c>
      <c r="C203" s="32" t="s">
        <v>601</v>
      </c>
      <c r="D203" s="31">
        <v>8423153054058</v>
      </c>
      <c r="E203" s="33" t="s">
        <v>608</v>
      </c>
      <c r="F203" s="33" t="s">
        <v>429</v>
      </c>
      <c r="G203" s="33">
        <v>1</v>
      </c>
      <c r="H203" s="84" t="s">
        <v>609</v>
      </c>
      <c r="I203" s="23" t="s">
        <v>24</v>
      </c>
      <c r="J203" s="34">
        <v>100</v>
      </c>
      <c r="K203" s="35">
        <v>0.25</v>
      </c>
      <c r="L203" s="36">
        <f t="shared" si="30"/>
        <v>25</v>
      </c>
      <c r="M203" s="37">
        <f t="shared" si="31"/>
        <v>75</v>
      </c>
      <c r="N203" s="38">
        <v>0.16</v>
      </c>
      <c r="O203" s="39">
        <f t="shared" ref="O203:O266" si="33">+M203*N203</f>
        <v>12</v>
      </c>
      <c r="P203" s="40">
        <f t="shared" ref="P203:P266" si="34">+M203+O203</f>
        <v>87</v>
      </c>
      <c r="Q203" s="23"/>
      <c r="R203" s="56"/>
      <c r="S203" s="57"/>
      <c r="T203" s="58">
        <f t="shared" si="29"/>
        <v>0</v>
      </c>
      <c r="U203" s="36">
        <f t="shared" si="29"/>
        <v>0</v>
      </c>
      <c r="V203" s="59">
        <f t="shared" si="27"/>
        <v>0</v>
      </c>
      <c r="W203" s="39">
        <f t="shared" si="32"/>
        <v>0</v>
      </c>
      <c r="X203" s="40">
        <f t="shared" ref="X203:X266" si="35">+V203+W203</f>
        <v>0</v>
      </c>
      <c r="Y203"/>
      <c r="Z203"/>
      <c r="AA203"/>
    </row>
    <row r="204" spans="1:27" s="51" customFormat="1" ht="18.600000000000001" hidden="1" customHeight="1" x14ac:dyDescent="0.25">
      <c r="A204" s="82" t="s">
        <v>16</v>
      </c>
      <c r="B204" s="41" t="s">
        <v>601</v>
      </c>
      <c r="C204" s="42" t="s">
        <v>601</v>
      </c>
      <c r="D204" s="41">
        <v>8423153054065</v>
      </c>
      <c r="E204" s="43" t="s">
        <v>610</v>
      </c>
      <c r="F204" s="43" t="s">
        <v>429</v>
      </c>
      <c r="G204" s="43">
        <v>1</v>
      </c>
      <c r="H204" s="85" t="s">
        <v>611</v>
      </c>
      <c r="I204" s="23" t="s">
        <v>24</v>
      </c>
      <c r="J204" s="44">
        <v>100</v>
      </c>
      <c r="K204" s="45">
        <v>0.25</v>
      </c>
      <c r="L204" s="46">
        <f t="shared" si="30"/>
        <v>25</v>
      </c>
      <c r="M204" s="47">
        <f t="shared" si="31"/>
        <v>75</v>
      </c>
      <c r="N204" s="48">
        <v>0.16</v>
      </c>
      <c r="O204" s="49">
        <f t="shared" si="33"/>
        <v>12</v>
      </c>
      <c r="P204" s="50">
        <f t="shared" si="34"/>
        <v>87</v>
      </c>
      <c r="Q204" s="23"/>
      <c r="R204" s="60"/>
      <c r="S204" s="61"/>
      <c r="T204" s="62">
        <f t="shared" si="29"/>
        <v>0</v>
      </c>
      <c r="U204" s="46">
        <f t="shared" si="29"/>
        <v>0</v>
      </c>
      <c r="V204" s="63">
        <f t="shared" si="27"/>
        <v>0</v>
      </c>
      <c r="W204" s="49">
        <f t="shared" si="32"/>
        <v>0</v>
      </c>
      <c r="X204" s="50">
        <f t="shared" si="35"/>
        <v>0</v>
      </c>
      <c r="Y204"/>
      <c r="Z204"/>
      <c r="AA204"/>
    </row>
    <row r="205" spans="1:27" s="51" customFormat="1" ht="18.600000000000001" hidden="1" customHeight="1" x14ac:dyDescent="0.25">
      <c r="A205" s="80" t="s">
        <v>16</v>
      </c>
      <c r="B205" s="20" t="s">
        <v>601</v>
      </c>
      <c r="C205" s="21" t="s">
        <v>601</v>
      </c>
      <c r="D205" s="20">
        <v>8423153054072</v>
      </c>
      <c r="E205" s="22" t="s">
        <v>612</v>
      </c>
      <c r="F205" s="22" t="s">
        <v>429</v>
      </c>
      <c r="G205" s="22">
        <v>1</v>
      </c>
      <c r="H205" s="83" t="s">
        <v>613</v>
      </c>
      <c r="I205" s="23" t="s">
        <v>24</v>
      </c>
      <c r="J205" s="24">
        <v>100</v>
      </c>
      <c r="K205" s="25">
        <v>0.25</v>
      </c>
      <c r="L205" s="26">
        <f t="shared" si="30"/>
        <v>25</v>
      </c>
      <c r="M205" s="27">
        <f t="shared" si="31"/>
        <v>75</v>
      </c>
      <c r="N205" s="28">
        <v>0.16</v>
      </c>
      <c r="O205" s="29">
        <f t="shared" si="33"/>
        <v>12</v>
      </c>
      <c r="P205" s="30">
        <f t="shared" si="34"/>
        <v>87</v>
      </c>
      <c r="Q205" s="23"/>
      <c r="R205" s="52"/>
      <c r="S205" s="53"/>
      <c r="T205" s="54">
        <f t="shared" si="29"/>
        <v>0</v>
      </c>
      <c r="U205" s="26">
        <f t="shared" si="29"/>
        <v>0</v>
      </c>
      <c r="V205" s="55">
        <f t="shared" si="27"/>
        <v>0</v>
      </c>
      <c r="W205" s="29">
        <f t="shared" si="32"/>
        <v>0</v>
      </c>
      <c r="X205" s="30">
        <f t="shared" si="35"/>
        <v>0</v>
      </c>
      <c r="Y205"/>
      <c r="Z205"/>
      <c r="AA205"/>
    </row>
    <row r="206" spans="1:27" s="51" customFormat="1" ht="18.600000000000001" hidden="1" customHeight="1" x14ac:dyDescent="0.25">
      <c r="A206" s="81" t="s">
        <v>16</v>
      </c>
      <c r="B206" s="31" t="s">
        <v>601</v>
      </c>
      <c r="C206" s="32" t="s">
        <v>601</v>
      </c>
      <c r="D206" s="31">
        <v>8423153054089</v>
      </c>
      <c r="E206" s="33" t="s">
        <v>614</v>
      </c>
      <c r="F206" s="33" t="s">
        <v>429</v>
      </c>
      <c r="G206" s="33">
        <v>1</v>
      </c>
      <c r="H206" s="84" t="s">
        <v>615</v>
      </c>
      <c r="I206" s="23" t="s">
        <v>24</v>
      </c>
      <c r="J206" s="34">
        <v>100</v>
      </c>
      <c r="K206" s="35">
        <v>0.25</v>
      </c>
      <c r="L206" s="36">
        <f t="shared" si="30"/>
        <v>25</v>
      </c>
      <c r="M206" s="37">
        <f t="shared" si="31"/>
        <v>75</v>
      </c>
      <c r="N206" s="38">
        <v>0.16</v>
      </c>
      <c r="O206" s="39">
        <f t="shared" si="33"/>
        <v>12</v>
      </c>
      <c r="P206" s="40">
        <f t="shared" si="34"/>
        <v>87</v>
      </c>
      <c r="Q206" s="23"/>
      <c r="R206" s="56"/>
      <c r="S206" s="57"/>
      <c r="T206" s="58">
        <f t="shared" si="29"/>
        <v>0</v>
      </c>
      <c r="U206" s="36">
        <f t="shared" si="29"/>
        <v>0</v>
      </c>
      <c r="V206" s="59">
        <f t="shared" si="27"/>
        <v>0</v>
      </c>
      <c r="W206" s="39">
        <f t="shared" si="32"/>
        <v>0</v>
      </c>
      <c r="X206" s="40">
        <f t="shared" si="35"/>
        <v>0</v>
      </c>
      <c r="Y206"/>
      <c r="Z206"/>
      <c r="AA206"/>
    </row>
    <row r="207" spans="1:27" s="51" customFormat="1" ht="18.600000000000001" hidden="1" customHeight="1" x14ac:dyDescent="0.25">
      <c r="A207" s="82" t="s">
        <v>16</v>
      </c>
      <c r="B207" s="41" t="s">
        <v>601</v>
      </c>
      <c r="C207" s="42" t="s">
        <v>601</v>
      </c>
      <c r="D207" s="41">
        <v>8423153054096</v>
      </c>
      <c r="E207" s="43" t="s">
        <v>616</v>
      </c>
      <c r="F207" s="43" t="s">
        <v>429</v>
      </c>
      <c r="G207" s="43">
        <v>1</v>
      </c>
      <c r="H207" s="85" t="s">
        <v>617</v>
      </c>
      <c r="I207" s="23" t="s">
        <v>24</v>
      </c>
      <c r="J207" s="44">
        <v>100</v>
      </c>
      <c r="K207" s="45">
        <v>0.25</v>
      </c>
      <c r="L207" s="46">
        <f t="shared" si="30"/>
        <v>25</v>
      </c>
      <c r="M207" s="47">
        <f t="shared" si="31"/>
        <v>75</v>
      </c>
      <c r="N207" s="48">
        <v>0.16</v>
      </c>
      <c r="O207" s="49">
        <f t="shared" si="33"/>
        <v>12</v>
      </c>
      <c r="P207" s="50">
        <f t="shared" si="34"/>
        <v>87</v>
      </c>
      <c r="Q207" s="23"/>
      <c r="R207" s="60"/>
      <c r="S207" s="61"/>
      <c r="T207" s="62">
        <f t="shared" si="29"/>
        <v>0</v>
      </c>
      <c r="U207" s="46">
        <f t="shared" si="29"/>
        <v>0</v>
      </c>
      <c r="V207" s="63">
        <f t="shared" si="27"/>
        <v>0</v>
      </c>
      <c r="W207" s="49">
        <f t="shared" si="32"/>
        <v>0</v>
      </c>
      <c r="X207" s="50">
        <f t="shared" si="35"/>
        <v>0</v>
      </c>
      <c r="Y207"/>
      <c r="Z207"/>
      <c r="AA207"/>
    </row>
    <row r="208" spans="1:27" s="51" customFormat="1" ht="18.600000000000001" hidden="1" customHeight="1" x14ac:dyDescent="0.25">
      <c r="A208" s="80" t="s">
        <v>16</v>
      </c>
      <c r="B208" s="20" t="s">
        <v>601</v>
      </c>
      <c r="C208" s="21" t="s">
        <v>601</v>
      </c>
      <c r="D208" s="20">
        <v>8423153054102</v>
      </c>
      <c r="E208" s="22" t="s">
        <v>618</v>
      </c>
      <c r="F208" s="22" t="s">
        <v>429</v>
      </c>
      <c r="G208" s="22">
        <v>1</v>
      </c>
      <c r="H208" s="83" t="s">
        <v>619</v>
      </c>
      <c r="I208" s="23" t="s">
        <v>24</v>
      </c>
      <c r="J208" s="24">
        <v>100</v>
      </c>
      <c r="K208" s="25">
        <v>0.25</v>
      </c>
      <c r="L208" s="26">
        <f t="shared" si="30"/>
        <v>25</v>
      </c>
      <c r="M208" s="27">
        <f t="shared" si="31"/>
        <v>75</v>
      </c>
      <c r="N208" s="28">
        <v>0.16</v>
      </c>
      <c r="O208" s="29">
        <f t="shared" si="33"/>
        <v>12</v>
      </c>
      <c r="P208" s="30">
        <f t="shared" si="34"/>
        <v>87</v>
      </c>
      <c r="Q208" s="23"/>
      <c r="R208" s="52"/>
      <c r="S208" s="53"/>
      <c r="T208" s="54">
        <f t="shared" si="29"/>
        <v>0</v>
      </c>
      <c r="U208" s="26">
        <f t="shared" si="29"/>
        <v>0</v>
      </c>
      <c r="V208" s="55">
        <f t="shared" si="27"/>
        <v>0</v>
      </c>
      <c r="W208" s="29">
        <f t="shared" si="32"/>
        <v>0</v>
      </c>
      <c r="X208" s="30">
        <f t="shared" si="35"/>
        <v>0</v>
      </c>
      <c r="Y208"/>
      <c r="Z208"/>
      <c r="AA208"/>
    </row>
    <row r="209" spans="1:27" s="51" customFormat="1" ht="18.600000000000001" hidden="1" customHeight="1" x14ac:dyDescent="0.25">
      <c r="A209" s="81" t="s">
        <v>16</v>
      </c>
      <c r="B209" s="31" t="s">
        <v>601</v>
      </c>
      <c r="C209" s="32" t="s">
        <v>601</v>
      </c>
      <c r="D209" s="31">
        <v>8423153054119</v>
      </c>
      <c r="E209" s="33" t="s">
        <v>620</v>
      </c>
      <c r="F209" s="33" t="s">
        <v>429</v>
      </c>
      <c r="G209" s="33">
        <v>1</v>
      </c>
      <c r="H209" s="84" t="s">
        <v>621</v>
      </c>
      <c r="I209" s="23" t="s">
        <v>24</v>
      </c>
      <c r="J209" s="34">
        <v>100</v>
      </c>
      <c r="K209" s="35">
        <v>0.25</v>
      </c>
      <c r="L209" s="36">
        <f t="shared" si="30"/>
        <v>25</v>
      </c>
      <c r="M209" s="37">
        <f t="shared" si="31"/>
        <v>75</v>
      </c>
      <c r="N209" s="38">
        <v>0.16</v>
      </c>
      <c r="O209" s="39">
        <f t="shared" si="33"/>
        <v>12</v>
      </c>
      <c r="P209" s="40">
        <f t="shared" si="34"/>
        <v>87</v>
      </c>
      <c r="Q209" s="23"/>
      <c r="R209" s="56"/>
      <c r="S209" s="57"/>
      <c r="T209" s="58">
        <f t="shared" si="29"/>
        <v>0</v>
      </c>
      <c r="U209" s="36">
        <f t="shared" si="29"/>
        <v>0</v>
      </c>
      <c r="V209" s="59">
        <f t="shared" si="27"/>
        <v>0</v>
      </c>
      <c r="W209" s="39">
        <f t="shared" si="32"/>
        <v>0</v>
      </c>
      <c r="X209" s="40">
        <f t="shared" si="35"/>
        <v>0</v>
      </c>
      <c r="Y209"/>
      <c r="Z209"/>
      <c r="AA209"/>
    </row>
    <row r="210" spans="1:27" s="51" customFormat="1" ht="18.600000000000001" hidden="1" customHeight="1" x14ac:dyDescent="0.25">
      <c r="A210" s="82" t="s">
        <v>16</v>
      </c>
      <c r="B210" s="41" t="s">
        <v>601</v>
      </c>
      <c r="C210" s="42" t="s">
        <v>601</v>
      </c>
      <c r="D210" s="41">
        <v>8423153054126</v>
      </c>
      <c r="E210" s="43" t="s">
        <v>622</v>
      </c>
      <c r="F210" s="43" t="s">
        <v>429</v>
      </c>
      <c r="G210" s="43">
        <v>1</v>
      </c>
      <c r="H210" s="85" t="s">
        <v>623</v>
      </c>
      <c r="I210" s="23" t="s">
        <v>24</v>
      </c>
      <c r="J210" s="44">
        <v>100</v>
      </c>
      <c r="K210" s="45">
        <v>0.25</v>
      </c>
      <c r="L210" s="46">
        <f t="shared" si="30"/>
        <v>25</v>
      </c>
      <c r="M210" s="47">
        <f t="shared" si="31"/>
        <v>75</v>
      </c>
      <c r="N210" s="48">
        <v>0.16</v>
      </c>
      <c r="O210" s="49">
        <f t="shared" si="33"/>
        <v>12</v>
      </c>
      <c r="P210" s="50">
        <f t="shared" si="34"/>
        <v>87</v>
      </c>
      <c r="Q210" s="23"/>
      <c r="R210" s="60"/>
      <c r="S210" s="61"/>
      <c r="T210" s="62">
        <f t="shared" si="29"/>
        <v>0</v>
      </c>
      <c r="U210" s="46">
        <f t="shared" si="29"/>
        <v>0</v>
      </c>
      <c r="V210" s="63">
        <f t="shared" si="27"/>
        <v>0</v>
      </c>
      <c r="W210" s="49">
        <f t="shared" si="32"/>
        <v>0</v>
      </c>
      <c r="X210" s="50">
        <f t="shared" si="35"/>
        <v>0</v>
      </c>
      <c r="Y210"/>
      <c r="Z210"/>
      <c r="AA210"/>
    </row>
    <row r="211" spans="1:27" s="51" customFormat="1" ht="18.600000000000001" hidden="1" customHeight="1" x14ac:dyDescent="0.25">
      <c r="A211" s="80" t="s">
        <v>16</v>
      </c>
      <c r="B211" s="20" t="s">
        <v>601</v>
      </c>
      <c r="C211" s="21" t="s">
        <v>601</v>
      </c>
      <c r="D211" s="20">
        <v>8423153054133</v>
      </c>
      <c r="E211" s="22" t="s">
        <v>624</v>
      </c>
      <c r="F211" s="22" t="s">
        <v>429</v>
      </c>
      <c r="G211" s="22">
        <v>1</v>
      </c>
      <c r="H211" s="83" t="s">
        <v>625</v>
      </c>
      <c r="I211" s="23" t="s">
        <v>24</v>
      </c>
      <c r="J211" s="24">
        <v>100</v>
      </c>
      <c r="K211" s="25">
        <v>0.25</v>
      </c>
      <c r="L211" s="26">
        <f t="shared" si="30"/>
        <v>25</v>
      </c>
      <c r="M211" s="27">
        <f t="shared" si="31"/>
        <v>75</v>
      </c>
      <c r="N211" s="28">
        <v>0.16</v>
      </c>
      <c r="O211" s="29">
        <f t="shared" si="33"/>
        <v>12</v>
      </c>
      <c r="P211" s="30">
        <f t="shared" si="34"/>
        <v>87</v>
      </c>
      <c r="Q211" s="23"/>
      <c r="R211" s="52"/>
      <c r="S211" s="53"/>
      <c r="T211" s="54">
        <f t="shared" si="29"/>
        <v>0</v>
      </c>
      <c r="U211" s="26">
        <f t="shared" si="29"/>
        <v>0</v>
      </c>
      <c r="V211" s="55">
        <f t="shared" si="27"/>
        <v>0</v>
      </c>
      <c r="W211" s="29">
        <f t="shared" si="32"/>
        <v>0</v>
      </c>
      <c r="X211" s="30">
        <f t="shared" si="35"/>
        <v>0</v>
      </c>
      <c r="Y211"/>
      <c r="Z211"/>
      <c r="AA211"/>
    </row>
    <row r="212" spans="1:27" s="51" customFormat="1" ht="18.600000000000001" hidden="1" customHeight="1" x14ac:dyDescent="0.25">
      <c r="A212" s="81" t="s">
        <v>16</v>
      </c>
      <c r="B212" s="31" t="s">
        <v>601</v>
      </c>
      <c r="C212" s="32" t="s">
        <v>601</v>
      </c>
      <c r="D212" s="31">
        <v>8423153054140</v>
      </c>
      <c r="E212" s="33" t="s">
        <v>626</v>
      </c>
      <c r="F212" s="33" t="s">
        <v>429</v>
      </c>
      <c r="G212" s="33">
        <v>1</v>
      </c>
      <c r="H212" s="84" t="s">
        <v>627</v>
      </c>
      <c r="I212" s="23" t="s">
        <v>24</v>
      </c>
      <c r="J212" s="34">
        <v>100</v>
      </c>
      <c r="K212" s="35">
        <v>0.25</v>
      </c>
      <c r="L212" s="36">
        <f t="shared" si="30"/>
        <v>25</v>
      </c>
      <c r="M212" s="37">
        <f t="shared" si="31"/>
        <v>75</v>
      </c>
      <c r="N212" s="38">
        <v>0.16</v>
      </c>
      <c r="O212" s="39">
        <f t="shared" si="33"/>
        <v>12</v>
      </c>
      <c r="P212" s="40">
        <f t="shared" si="34"/>
        <v>87</v>
      </c>
      <c r="Q212" s="23"/>
      <c r="R212" s="56"/>
      <c r="S212" s="57"/>
      <c r="T212" s="58">
        <f t="shared" si="29"/>
        <v>0</v>
      </c>
      <c r="U212" s="36">
        <f t="shared" si="29"/>
        <v>0</v>
      </c>
      <c r="V212" s="59">
        <f t="shared" si="27"/>
        <v>0</v>
      </c>
      <c r="W212" s="39">
        <f t="shared" si="32"/>
        <v>0</v>
      </c>
      <c r="X212" s="40">
        <f t="shared" si="35"/>
        <v>0</v>
      </c>
      <c r="Y212"/>
      <c r="Z212"/>
      <c r="AA212"/>
    </row>
    <row r="213" spans="1:27" s="51" customFormat="1" ht="18.600000000000001" hidden="1" customHeight="1" x14ac:dyDescent="0.25">
      <c r="A213" s="82" t="s">
        <v>16</v>
      </c>
      <c r="B213" s="41" t="s">
        <v>601</v>
      </c>
      <c r="C213" s="42" t="s">
        <v>601</v>
      </c>
      <c r="D213" s="41">
        <v>8423153054157</v>
      </c>
      <c r="E213" s="43" t="s">
        <v>628</v>
      </c>
      <c r="F213" s="43" t="s">
        <v>429</v>
      </c>
      <c r="G213" s="43">
        <v>1</v>
      </c>
      <c r="H213" s="85" t="s">
        <v>629</v>
      </c>
      <c r="I213" s="23" t="s">
        <v>24</v>
      </c>
      <c r="J213" s="44">
        <v>100</v>
      </c>
      <c r="K213" s="45">
        <v>0.25</v>
      </c>
      <c r="L213" s="46">
        <f t="shared" si="30"/>
        <v>25</v>
      </c>
      <c r="M213" s="47">
        <f t="shared" si="31"/>
        <v>75</v>
      </c>
      <c r="N213" s="48">
        <v>0.16</v>
      </c>
      <c r="O213" s="49">
        <f t="shared" si="33"/>
        <v>12</v>
      </c>
      <c r="P213" s="50">
        <f t="shared" si="34"/>
        <v>87</v>
      </c>
      <c r="Q213" s="23"/>
      <c r="R213" s="60"/>
      <c r="S213" s="61"/>
      <c r="T213" s="62">
        <f t="shared" si="29"/>
        <v>0</v>
      </c>
      <c r="U213" s="46">
        <f t="shared" si="29"/>
        <v>0</v>
      </c>
      <c r="V213" s="63">
        <f t="shared" si="27"/>
        <v>0</v>
      </c>
      <c r="W213" s="49">
        <f t="shared" si="32"/>
        <v>0</v>
      </c>
      <c r="X213" s="50">
        <f t="shared" si="35"/>
        <v>0</v>
      </c>
      <c r="Y213"/>
      <c r="Z213"/>
      <c r="AA213"/>
    </row>
    <row r="214" spans="1:27" s="51" customFormat="1" ht="18.600000000000001" hidden="1" customHeight="1" x14ac:dyDescent="0.25">
      <c r="A214" s="80" t="s">
        <v>16</v>
      </c>
      <c r="B214" s="20" t="s">
        <v>601</v>
      </c>
      <c r="C214" s="21" t="s">
        <v>601</v>
      </c>
      <c r="D214" s="20">
        <v>8423153054164</v>
      </c>
      <c r="E214" s="22" t="s">
        <v>630</v>
      </c>
      <c r="F214" s="22" t="s">
        <v>429</v>
      </c>
      <c r="G214" s="22">
        <v>1</v>
      </c>
      <c r="H214" s="83" t="s">
        <v>631</v>
      </c>
      <c r="I214" s="23" t="s">
        <v>24</v>
      </c>
      <c r="J214" s="24">
        <v>100</v>
      </c>
      <c r="K214" s="25">
        <v>0.25</v>
      </c>
      <c r="L214" s="26">
        <f t="shared" si="30"/>
        <v>25</v>
      </c>
      <c r="M214" s="27">
        <f t="shared" si="31"/>
        <v>75</v>
      </c>
      <c r="N214" s="28">
        <v>0.16</v>
      </c>
      <c r="O214" s="29">
        <f t="shared" si="33"/>
        <v>12</v>
      </c>
      <c r="P214" s="30">
        <f t="shared" si="34"/>
        <v>87</v>
      </c>
      <c r="Q214" s="23"/>
      <c r="R214" s="52"/>
      <c r="S214" s="53"/>
      <c r="T214" s="54">
        <f t="shared" si="29"/>
        <v>0</v>
      </c>
      <c r="U214" s="26">
        <f t="shared" si="29"/>
        <v>0</v>
      </c>
      <c r="V214" s="55">
        <f t="shared" si="27"/>
        <v>0</v>
      </c>
      <c r="W214" s="29">
        <f t="shared" si="32"/>
        <v>0</v>
      </c>
      <c r="X214" s="30">
        <f t="shared" si="35"/>
        <v>0</v>
      </c>
      <c r="Y214"/>
      <c r="Z214"/>
      <c r="AA214"/>
    </row>
    <row r="215" spans="1:27" s="51" customFormat="1" ht="18.600000000000001" hidden="1" customHeight="1" x14ac:dyDescent="0.25">
      <c r="A215" s="81" t="s">
        <v>16</v>
      </c>
      <c r="B215" s="31" t="s">
        <v>601</v>
      </c>
      <c r="C215" s="32" t="s">
        <v>601</v>
      </c>
      <c r="D215" s="31">
        <v>8423153054171</v>
      </c>
      <c r="E215" s="33" t="s">
        <v>632</v>
      </c>
      <c r="F215" s="33" t="s">
        <v>429</v>
      </c>
      <c r="G215" s="33">
        <v>1</v>
      </c>
      <c r="H215" s="84" t="s">
        <v>633</v>
      </c>
      <c r="I215" s="23" t="s">
        <v>24</v>
      </c>
      <c r="J215" s="34">
        <v>100</v>
      </c>
      <c r="K215" s="35">
        <v>0.25</v>
      </c>
      <c r="L215" s="36">
        <f t="shared" si="30"/>
        <v>25</v>
      </c>
      <c r="M215" s="37">
        <f t="shared" si="31"/>
        <v>75</v>
      </c>
      <c r="N215" s="38">
        <v>0.16</v>
      </c>
      <c r="O215" s="39">
        <f t="shared" si="33"/>
        <v>12</v>
      </c>
      <c r="P215" s="40">
        <f t="shared" si="34"/>
        <v>87</v>
      </c>
      <c r="Q215" s="23"/>
      <c r="R215" s="56"/>
      <c r="S215" s="57"/>
      <c r="T215" s="58">
        <f t="shared" si="29"/>
        <v>0</v>
      </c>
      <c r="U215" s="36">
        <f t="shared" si="29"/>
        <v>0</v>
      </c>
      <c r="V215" s="59">
        <f t="shared" si="27"/>
        <v>0</v>
      </c>
      <c r="W215" s="39">
        <f t="shared" si="32"/>
        <v>0</v>
      </c>
      <c r="X215" s="40">
        <f t="shared" si="35"/>
        <v>0</v>
      </c>
      <c r="Y215"/>
      <c r="Z215"/>
      <c r="AA215"/>
    </row>
    <row r="216" spans="1:27" s="51" customFormat="1" ht="18.600000000000001" hidden="1" customHeight="1" x14ac:dyDescent="0.25">
      <c r="A216" s="82" t="s">
        <v>16</v>
      </c>
      <c r="B216" s="41" t="s">
        <v>601</v>
      </c>
      <c r="C216" s="42" t="s">
        <v>601</v>
      </c>
      <c r="D216" s="41">
        <v>8423153054300</v>
      </c>
      <c r="E216" s="43" t="s">
        <v>634</v>
      </c>
      <c r="F216" s="43" t="s">
        <v>429</v>
      </c>
      <c r="G216" s="43">
        <v>1</v>
      </c>
      <c r="H216" s="85" t="s">
        <v>635</v>
      </c>
      <c r="I216" s="23" t="s">
        <v>24</v>
      </c>
      <c r="J216" s="44">
        <v>100</v>
      </c>
      <c r="K216" s="45">
        <v>0.25</v>
      </c>
      <c r="L216" s="46">
        <f t="shared" si="30"/>
        <v>25</v>
      </c>
      <c r="M216" s="47">
        <f t="shared" si="31"/>
        <v>75</v>
      </c>
      <c r="N216" s="48">
        <v>0.16</v>
      </c>
      <c r="O216" s="49">
        <f t="shared" si="33"/>
        <v>12</v>
      </c>
      <c r="P216" s="50">
        <f t="shared" si="34"/>
        <v>87</v>
      </c>
      <c r="Q216" s="23"/>
      <c r="R216" s="60"/>
      <c r="S216" s="61"/>
      <c r="T216" s="62">
        <f t="shared" si="29"/>
        <v>0</v>
      </c>
      <c r="U216" s="46">
        <f t="shared" si="29"/>
        <v>0</v>
      </c>
      <c r="V216" s="63">
        <f t="shared" si="27"/>
        <v>0</v>
      </c>
      <c r="W216" s="49">
        <f t="shared" si="32"/>
        <v>0</v>
      </c>
      <c r="X216" s="50">
        <f t="shared" si="35"/>
        <v>0</v>
      </c>
      <c r="Y216"/>
      <c r="Z216"/>
      <c r="AA216"/>
    </row>
    <row r="217" spans="1:27" s="51" customFormat="1" ht="18.600000000000001" hidden="1" customHeight="1" x14ac:dyDescent="0.25">
      <c r="A217" s="80" t="s">
        <v>16</v>
      </c>
      <c r="B217" s="20" t="s">
        <v>601</v>
      </c>
      <c r="C217" s="21" t="s">
        <v>601</v>
      </c>
      <c r="D217" s="20">
        <v>8423153054317</v>
      </c>
      <c r="E217" s="22" t="s">
        <v>636</v>
      </c>
      <c r="F217" s="22" t="s">
        <v>429</v>
      </c>
      <c r="G217" s="22">
        <v>1</v>
      </c>
      <c r="H217" s="83" t="s">
        <v>637</v>
      </c>
      <c r="I217" s="23" t="s">
        <v>24</v>
      </c>
      <c r="J217" s="24">
        <v>100</v>
      </c>
      <c r="K217" s="25">
        <v>0.25</v>
      </c>
      <c r="L217" s="26">
        <f t="shared" si="30"/>
        <v>25</v>
      </c>
      <c r="M217" s="27">
        <f t="shared" si="31"/>
        <v>75</v>
      </c>
      <c r="N217" s="28">
        <v>0.16</v>
      </c>
      <c r="O217" s="29">
        <f t="shared" si="33"/>
        <v>12</v>
      </c>
      <c r="P217" s="30">
        <f t="shared" si="34"/>
        <v>87</v>
      </c>
      <c r="Q217" s="23"/>
      <c r="R217" s="52"/>
      <c r="S217" s="53"/>
      <c r="T217" s="54">
        <f t="shared" ref="T217:U264" si="36">+S217*J217</f>
        <v>0</v>
      </c>
      <c r="U217" s="26">
        <f t="shared" si="36"/>
        <v>0</v>
      </c>
      <c r="V217" s="55">
        <f t="shared" si="27"/>
        <v>0</v>
      </c>
      <c r="W217" s="29">
        <f t="shared" si="32"/>
        <v>0</v>
      </c>
      <c r="X217" s="30">
        <f t="shared" si="35"/>
        <v>0</v>
      </c>
      <c r="Y217"/>
      <c r="Z217"/>
      <c r="AA217"/>
    </row>
    <row r="218" spans="1:27" s="51" customFormat="1" ht="18.600000000000001" hidden="1" customHeight="1" x14ac:dyDescent="0.25">
      <c r="A218" s="81" t="s">
        <v>16</v>
      </c>
      <c r="B218" s="31" t="s">
        <v>601</v>
      </c>
      <c r="C218" s="32" t="s">
        <v>601</v>
      </c>
      <c r="D218" s="31">
        <v>8423153054324</v>
      </c>
      <c r="E218" s="33" t="s">
        <v>638</v>
      </c>
      <c r="F218" s="33" t="s">
        <v>429</v>
      </c>
      <c r="G218" s="33">
        <v>1</v>
      </c>
      <c r="H218" s="84" t="s">
        <v>639</v>
      </c>
      <c r="I218" s="23" t="s">
        <v>24</v>
      </c>
      <c r="J218" s="34">
        <v>100</v>
      </c>
      <c r="K218" s="35">
        <v>0.25</v>
      </c>
      <c r="L218" s="36">
        <f t="shared" si="30"/>
        <v>25</v>
      </c>
      <c r="M218" s="37">
        <f t="shared" si="31"/>
        <v>75</v>
      </c>
      <c r="N218" s="38">
        <v>0.16</v>
      </c>
      <c r="O218" s="39">
        <f t="shared" si="33"/>
        <v>12</v>
      </c>
      <c r="P218" s="40">
        <f t="shared" si="34"/>
        <v>87</v>
      </c>
      <c r="Q218" s="23"/>
      <c r="R218" s="56"/>
      <c r="S218" s="57"/>
      <c r="T218" s="58">
        <f t="shared" si="36"/>
        <v>0</v>
      </c>
      <c r="U218" s="36">
        <f t="shared" si="36"/>
        <v>0</v>
      </c>
      <c r="V218" s="59">
        <f t="shared" ref="V218:V281" si="37">+T218-U218</f>
        <v>0</v>
      </c>
      <c r="W218" s="39">
        <f t="shared" si="32"/>
        <v>0</v>
      </c>
      <c r="X218" s="40">
        <f t="shared" si="35"/>
        <v>0</v>
      </c>
      <c r="Y218"/>
      <c r="Z218"/>
      <c r="AA218"/>
    </row>
    <row r="219" spans="1:27" s="51" customFormat="1" ht="18.600000000000001" hidden="1" customHeight="1" x14ac:dyDescent="0.25">
      <c r="A219" s="82" t="s">
        <v>16</v>
      </c>
      <c r="B219" s="41" t="s">
        <v>601</v>
      </c>
      <c r="C219" s="42" t="s">
        <v>601</v>
      </c>
      <c r="D219" s="41">
        <v>8423153054331</v>
      </c>
      <c r="E219" s="43" t="s">
        <v>640</v>
      </c>
      <c r="F219" s="43" t="s">
        <v>429</v>
      </c>
      <c r="G219" s="43">
        <v>1</v>
      </c>
      <c r="H219" s="85" t="s">
        <v>641</v>
      </c>
      <c r="I219" s="23" t="s">
        <v>24</v>
      </c>
      <c r="J219" s="44">
        <v>100</v>
      </c>
      <c r="K219" s="45">
        <v>0.25</v>
      </c>
      <c r="L219" s="46">
        <f t="shared" si="30"/>
        <v>25</v>
      </c>
      <c r="M219" s="47">
        <f t="shared" si="31"/>
        <v>75</v>
      </c>
      <c r="N219" s="48">
        <v>0.16</v>
      </c>
      <c r="O219" s="49">
        <f t="shared" si="33"/>
        <v>12</v>
      </c>
      <c r="P219" s="50">
        <f t="shared" si="34"/>
        <v>87</v>
      </c>
      <c r="Q219" s="23"/>
      <c r="R219" s="60"/>
      <c r="S219" s="61"/>
      <c r="T219" s="62">
        <f t="shared" si="36"/>
        <v>0</v>
      </c>
      <c r="U219" s="46">
        <f t="shared" si="36"/>
        <v>0</v>
      </c>
      <c r="V219" s="63">
        <f t="shared" si="37"/>
        <v>0</v>
      </c>
      <c r="W219" s="49">
        <f t="shared" si="32"/>
        <v>0</v>
      </c>
      <c r="X219" s="50">
        <f t="shared" si="35"/>
        <v>0</v>
      </c>
      <c r="Y219"/>
      <c r="Z219"/>
      <c r="AA219"/>
    </row>
    <row r="220" spans="1:27" s="51" customFormat="1" ht="18.600000000000001" hidden="1" customHeight="1" x14ac:dyDescent="0.25">
      <c r="A220" s="80" t="s">
        <v>16</v>
      </c>
      <c r="B220" s="20" t="s">
        <v>601</v>
      </c>
      <c r="C220" s="21" t="s">
        <v>601</v>
      </c>
      <c r="D220" s="20">
        <v>8423153054409</v>
      </c>
      <c r="E220" s="22" t="s">
        <v>642</v>
      </c>
      <c r="F220" s="22" t="s">
        <v>429</v>
      </c>
      <c r="G220" s="22">
        <v>1</v>
      </c>
      <c r="H220" s="83" t="s">
        <v>643</v>
      </c>
      <c r="I220" s="23" t="s">
        <v>24</v>
      </c>
      <c r="J220" s="24">
        <v>100</v>
      </c>
      <c r="K220" s="25">
        <v>0.25</v>
      </c>
      <c r="L220" s="26">
        <f t="shared" si="30"/>
        <v>25</v>
      </c>
      <c r="M220" s="27">
        <f t="shared" si="31"/>
        <v>75</v>
      </c>
      <c r="N220" s="28">
        <v>0.16</v>
      </c>
      <c r="O220" s="29">
        <f t="shared" si="33"/>
        <v>12</v>
      </c>
      <c r="P220" s="30">
        <f t="shared" si="34"/>
        <v>87</v>
      </c>
      <c r="Q220" s="23"/>
      <c r="R220" s="52"/>
      <c r="S220" s="53"/>
      <c r="T220" s="54">
        <f t="shared" si="36"/>
        <v>0</v>
      </c>
      <c r="U220" s="26">
        <f t="shared" si="36"/>
        <v>0</v>
      </c>
      <c r="V220" s="55">
        <f t="shared" si="37"/>
        <v>0</v>
      </c>
      <c r="W220" s="29">
        <f t="shared" si="32"/>
        <v>0</v>
      </c>
      <c r="X220" s="30">
        <f t="shared" si="35"/>
        <v>0</v>
      </c>
      <c r="Y220"/>
      <c r="Z220"/>
      <c r="AA220"/>
    </row>
    <row r="221" spans="1:27" s="51" customFormat="1" ht="18.600000000000001" hidden="1" customHeight="1" x14ac:dyDescent="0.25">
      <c r="A221" s="81" t="s">
        <v>16</v>
      </c>
      <c r="B221" s="31" t="s">
        <v>601</v>
      </c>
      <c r="C221" s="32" t="s">
        <v>601</v>
      </c>
      <c r="D221" s="31">
        <v>8423153054348</v>
      </c>
      <c r="E221" s="33" t="s">
        <v>644</v>
      </c>
      <c r="F221" s="33" t="s">
        <v>429</v>
      </c>
      <c r="G221" s="33">
        <v>1</v>
      </c>
      <c r="H221" s="84" t="s">
        <v>645</v>
      </c>
      <c r="I221" s="23" t="s">
        <v>24</v>
      </c>
      <c r="J221" s="34">
        <v>100</v>
      </c>
      <c r="K221" s="35">
        <v>0.25</v>
      </c>
      <c r="L221" s="36">
        <f t="shared" si="30"/>
        <v>25</v>
      </c>
      <c r="M221" s="37">
        <f t="shared" si="31"/>
        <v>75</v>
      </c>
      <c r="N221" s="38">
        <v>0.16</v>
      </c>
      <c r="O221" s="39">
        <f t="shared" si="33"/>
        <v>12</v>
      </c>
      <c r="P221" s="40">
        <f t="shared" si="34"/>
        <v>87</v>
      </c>
      <c r="Q221" s="23"/>
      <c r="R221" s="56"/>
      <c r="S221" s="57"/>
      <c r="T221" s="58">
        <f t="shared" si="36"/>
        <v>0</v>
      </c>
      <c r="U221" s="36">
        <f t="shared" si="36"/>
        <v>0</v>
      </c>
      <c r="V221" s="59">
        <f t="shared" si="37"/>
        <v>0</v>
      </c>
      <c r="W221" s="39">
        <f t="shared" si="32"/>
        <v>0</v>
      </c>
      <c r="X221" s="40">
        <f t="shared" si="35"/>
        <v>0</v>
      </c>
      <c r="Y221"/>
      <c r="Z221"/>
      <c r="AA221"/>
    </row>
    <row r="222" spans="1:27" s="51" customFormat="1" ht="18.600000000000001" hidden="1" customHeight="1" x14ac:dyDescent="0.25">
      <c r="A222" s="82" t="s">
        <v>16</v>
      </c>
      <c r="B222" s="41" t="s">
        <v>601</v>
      </c>
      <c r="C222" s="42" t="s">
        <v>601</v>
      </c>
      <c r="D222" s="41">
        <v>8423153054355</v>
      </c>
      <c r="E222" s="43" t="s">
        <v>646</v>
      </c>
      <c r="F222" s="43" t="s">
        <v>429</v>
      </c>
      <c r="G222" s="43">
        <v>1</v>
      </c>
      <c r="H222" s="85" t="s">
        <v>647</v>
      </c>
      <c r="I222" s="23" t="s">
        <v>24</v>
      </c>
      <c r="J222" s="44">
        <v>100</v>
      </c>
      <c r="K222" s="45">
        <v>0.25</v>
      </c>
      <c r="L222" s="46">
        <f t="shared" si="30"/>
        <v>25</v>
      </c>
      <c r="M222" s="47">
        <f t="shared" si="31"/>
        <v>75</v>
      </c>
      <c r="N222" s="48">
        <v>0.16</v>
      </c>
      <c r="O222" s="49">
        <f t="shared" si="33"/>
        <v>12</v>
      </c>
      <c r="P222" s="50">
        <f t="shared" si="34"/>
        <v>87</v>
      </c>
      <c r="Q222" s="23"/>
      <c r="R222" s="60"/>
      <c r="S222" s="61"/>
      <c r="T222" s="62">
        <f t="shared" si="36"/>
        <v>0</v>
      </c>
      <c r="U222" s="46">
        <f t="shared" si="36"/>
        <v>0</v>
      </c>
      <c r="V222" s="63">
        <f t="shared" si="37"/>
        <v>0</v>
      </c>
      <c r="W222" s="49">
        <f t="shared" si="32"/>
        <v>0</v>
      </c>
      <c r="X222" s="50">
        <f t="shared" si="35"/>
        <v>0</v>
      </c>
      <c r="Y222"/>
      <c r="Z222"/>
      <c r="AA222"/>
    </row>
    <row r="223" spans="1:27" s="51" customFormat="1" ht="18.600000000000001" hidden="1" customHeight="1" x14ac:dyDescent="0.25">
      <c r="A223" s="80" t="s">
        <v>16</v>
      </c>
      <c r="B223" s="20" t="s">
        <v>601</v>
      </c>
      <c r="C223" s="21" t="s">
        <v>601</v>
      </c>
      <c r="D223" s="20">
        <v>8423153054362</v>
      </c>
      <c r="E223" s="22" t="s">
        <v>648</v>
      </c>
      <c r="F223" s="22" t="s">
        <v>429</v>
      </c>
      <c r="G223" s="22">
        <v>1</v>
      </c>
      <c r="H223" s="83" t="s">
        <v>649</v>
      </c>
      <c r="I223" s="23" t="s">
        <v>24</v>
      </c>
      <c r="J223" s="24">
        <v>100</v>
      </c>
      <c r="K223" s="25">
        <v>0.25</v>
      </c>
      <c r="L223" s="26">
        <f t="shared" si="30"/>
        <v>25</v>
      </c>
      <c r="M223" s="27">
        <f t="shared" si="31"/>
        <v>75</v>
      </c>
      <c r="N223" s="28">
        <v>0.16</v>
      </c>
      <c r="O223" s="29">
        <f t="shared" si="33"/>
        <v>12</v>
      </c>
      <c r="P223" s="30">
        <f t="shared" si="34"/>
        <v>87</v>
      </c>
      <c r="Q223" s="23"/>
      <c r="R223" s="52"/>
      <c r="S223" s="53"/>
      <c r="T223" s="54">
        <f t="shared" si="36"/>
        <v>0</v>
      </c>
      <c r="U223" s="26">
        <f t="shared" si="36"/>
        <v>0</v>
      </c>
      <c r="V223" s="55">
        <f t="shared" si="37"/>
        <v>0</v>
      </c>
      <c r="W223" s="29">
        <f t="shared" si="32"/>
        <v>0</v>
      </c>
      <c r="X223" s="30">
        <f t="shared" si="35"/>
        <v>0</v>
      </c>
      <c r="Y223"/>
      <c r="Z223"/>
      <c r="AA223"/>
    </row>
    <row r="224" spans="1:27" s="51" customFormat="1" ht="18.600000000000001" hidden="1" customHeight="1" x14ac:dyDescent="0.25">
      <c r="A224" s="81" t="s">
        <v>16</v>
      </c>
      <c r="B224" s="31" t="s">
        <v>601</v>
      </c>
      <c r="C224" s="32" t="s">
        <v>601</v>
      </c>
      <c r="D224" s="31">
        <v>8423153054508</v>
      </c>
      <c r="E224" s="33" t="s">
        <v>650</v>
      </c>
      <c r="F224" s="33" t="s">
        <v>429</v>
      </c>
      <c r="G224" s="33">
        <v>1</v>
      </c>
      <c r="H224" s="84" t="s">
        <v>651</v>
      </c>
      <c r="I224" s="23" t="s">
        <v>24</v>
      </c>
      <c r="J224" s="34">
        <v>100</v>
      </c>
      <c r="K224" s="35">
        <v>0.25</v>
      </c>
      <c r="L224" s="36">
        <f t="shared" si="30"/>
        <v>25</v>
      </c>
      <c r="M224" s="37">
        <f t="shared" si="31"/>
        <v>75</v>
      </c>
      <c r="N224" s="38">
        <v>0.16</v>
      </c>
      <c r="O224" s="39">
        <f t="shared" si="33"/>
        <v>12</v>
      </c>
      <c r="P224" s="40">
        <f t="shared" si="34"/>
        <v>87</v>
      </c>
      <c r="Q224" s="23"/>
      <c r="R224" s="56"/>
      <c r="S224" s="57"/>
      <c r="T224" s="58">
        <f t="shared" si="36"/>
        <v>0</v>
      </c>
      <c r="U224" s="36">
        <f t="shared" si="36"/>
        <v>0</v>
      </c>
      <c r="V224" s="59">
        <f t="shared" si="37"/>
        <v>0</v>
      </c>
      <c r="W224" s="39">
        <f t="shared" si="32"/>
        <v>0</v>
      </c>
      <c r="X224" s="40">
        <f t="shared" si="35"/>
        <v>0</v>
      </c>
      <c r="Y224"/>
      <c r="Z224"/>
      <c r="AA224"/>
    </row>
    <row r="225" spans="1:27" s="51" customFormat="1" ht="18.600000000000001" hidden="1" customHeight="1" x14ac:dyDescent="0.25">
      <c r="A225" s="82" t="s">
        <v>16</v>
      </c>
      <c r="B225" s="41" t="s">
        <v>601</v>
      </c>
      <c r="C225" s="42" t="s">
        <v>601</v>
      </c>
      <c r="D225" s="41">
        <v>8423153054515</v>
      </c>
      <c r="E225" s="43" t="s">
        <v>652</v>
      </c>
      <c r="F225" s="43" t="s">
        <v>429</v>
      </c>
      <c r="G225" s="43">
        <v>1</v>
      </c>
      <c r="H225" s="85" t="s">
        <v>653</v>
      </c>
      <c r="I225" s="23" t="s">
        <v>24</v>
      </c>
      <c r="J225" s="44">
        <v>100</v>
      </c>
      <c r="K225" s="45">
        <v>0.25</v>
      </c>
      <c r="L225" s="46">
        <f t="shared" si="30"/>
        <v>25</v>
      </c>
      <c r="M225" s="47">
        <f t="shared" si="31"/>
        <v>75</v>
      </c>
      <c r="N225" s="48">
        <v>0.16</v>
      </c>
      <c r="O225" s="49">
        <f t="shared" si="33"/>
        <v>12</v>
      </c>
      <c r="P225" s="50">
        <f t="shared" si="34"/>
        <v>87</v>
      </c>
      <c r="Q225" s="23"/>
      <c r="R225" s="60"/>
      <c r="S225" s="61"/>
      <c r="T225" s="62">
        <f t="shared" si="36"/>
        <v>0</v>
      </c>
      <c r="U225" s="46">
        <f t="shared" si="36"/>
        <v>0</v>
      </c>
      <c r="V225" s="63">
        <f t="shared" si="37"/>
        <v>0</v>
      </c>
      <c r="W225" s="49">
        <f t="shared" si="32"/>
        <v>0</v>
      </c>
      <c r="X225" s="50">
        <f t="shared" si="35"/>
        <v>0</v>
      </c>
      <c r="Y225"/>
      <c r="Z225"/>
      <c r="AA225"/>
    </row>
    <row r="226" spans="1:27" s="51" customFormat="1" ht="18.600000000000001" hidden="1" customHeight="1" x14ac:dyDescent="0.25">
      <c r="A226" s="80" t="s">
        <v>16</v>
      </c>
      <c r="B226" s="20" t="s">
        <v>601</v>
      </c>
      <c r="C226" s="21" t="s">
        <v>601</v>
      </c>
      <c r="D226" s="20">
        <v>8423153054522</v>
      </c>
      <c r="E226" s="22" t="s">
        <v>654</v>
      </c>
      <c r="F226" s="22" t="s">
        <v>429</v>
      </c>
      <c r="G226" s="22">
        <v>1</v>
      </c>
      <c r="H226" s="83" t="s">
        <v>655</v>
      </c>
      <c r="I226" s="23" t="s">
        <v>24</v>
      </c>
      <c r="J226" s="24">
        <v>100</v>
      </c>
      <c r="K226" s="25">
        <v>0.25</v>
      </c>
      <c r="L226" s="26">
        <f t="shared" si="30"/>
        <v>25</v>
      </c>
      <c r="M226" s="27">
        <f t="shared" si="31"/>
        <v>75</v>
      </c>
      <c r="N226" s="28">
        <v>0.16</v>
      </c>
      <c r="O226" s="29">
        <f t="shared" si="33"/>
        <v>12</v>
      </c>
      <c r="P226" s="30">
        <f t="shared" si="34"/>
        <v>87</v>
      </c>
      <c r="Q226" s="23"/>
      <c r="R226" s="52"/>
      <c r="S226" s="53"/>
      <c r="T226" s="54">
        <f t="shared" si="36"/>
        <v>0</v>
      </c>
      <c r="U226" s="26">
        <f t="shared" si="36"/>
        <v>0</v>
      </c>
      <c r="V226" s="55">
        <f t="shared" si="37"/>
        <v>0</v>
      </c>
      <c r="W226" s="29">
        <f t="shared" si="32"/>
        <v>0</v>
      </c>
      <c r="X226" s="30">
        <f t="shared" si="35"/>
        <v>0</v>
      </c>
      <c r="Y226"/>
      <c r="Z226"/>
      <c r="AA226"/>
    </row>
    <row r="227" spans="1:27" s="51" customFormat="1" ht="18.600000000000001" hidden="1" customHeight="1" x14ac:dyDescent="0.25">
      <c r="A227" s="81" t="s">
        <v>16</v>
      </c>
      <c r="B227" s="31" t="s">
        <v>601</v>
      </c>
      <c r="C227" s="32" t="s">
        <v>601</v>
      </c>
      <c r="D227" s="31">
        <v>8423153054539</v>
      </c>
      <c r="E227" s="33" t="s">
        <v>656</v>
      </c>
      <c r="F227" s="33" t="s">
        <v>429</v>
      </c>
      <c r="G227" s="33">
        <v>1</v>
      </c>
      <c r="H227" s="84" t="s">
        <v>657</v>
      </c>
      <c r="I227" s="23" t="s">
        <v>24</v>
      </c>
      <c r="J227" s="34">
        <v>100</v>
      </c>
      <c r="K227" s="35">
        <v>0.25</v>
      </c>
      <c r="L227" s="36">
        <f t="shared" si="30"/>
        <v>25</v>
      </c>
      <c r="M227" s="37">
        <f t="shared" si="31"/>
        <v>75</v>
      </c>
      <c r="N227" s="38">
        <v>0.16</v>
      </c>
      <c r="O227" s="39">
        <f t="shared" si="33"/>
        <v>12</v>
      </c>
      <c r="P227" s="40">
        <f t="shared" si="34"/>
        <v>87</v>
      </c>
      <c r="Q227" s="23"/>
      <c r="R227" s="56"/>
      <c r="S227" s="57"/>
      <c r="T227" s="58">
        <f t="shared" si="36"/>
        <v>0</v>
      </c>
      <c r="U227" s="36">
        <f t="shared" si="36"/>
        <v>0</v>
      </c>
      <c r="V227" s="59">
        <f t="shared" si="37"/>
        <v>0</v>
      </c>
      <c r="W227" s="39">
        <f t="shared" si="32"/>
        <v>0</v>
      </c>
      <c r="X227" s="40">
        <f t="shared" si="35"/>
        <v>0</v>
      </c>
      <c r="Y227"/>
      <c r="Z227"/>
      <c r="AA227"/>
    </row>
    <row r="228" spans="1:27" s="51" customFormat="1" ht="18.600000000000001" hidden="1" customHeight="1" x14ac:dyDescent="0.25">
      <c r="A228" s="82" t="s">
        <v>16</v>
      </c>
      <c r="B228" s="41" t="s">
        <v>601</v>
      </c>
      <c r="C228" s="42" t="s">
        <v>601</v>
      </c>
      <c r="D228" s="41">
        <v>8423153054546</v>
      </c>
      <c r="E228" s="43" t="s">
        <v>658</v>
      </c>
      <c r="F228" s="43" t="s">
        <v>429</v>
      </c>
      <c r="G228" s="43">
        <v>1</v>
      </c>
      <c r="H228" s="85" t="s">
        <v>659</v>
      </c>
      <c r="I228" s="23" t="s">
        <v>24</v>
      </c>
      <c r="J228" s="44">
        <v>100</v>
      </c>
      <c r="K228" s="45">
        <v>0.25</v>
      </c>
      <c r="L228" s="46">
        <f t="shared" si="30"/>
        <v>25</v>
      </c>
      <c r="M228" s="47">
        <f t="shared" si="31"/>
        <v>75</v>
      </c>
      <c r="N228" s="48">
        <v>0.16</v>
      </c>
      <c r="O228" s="49">
        <f t="shared" si="33"/>
        <v>12</v>
      </c>
      <c r="P228" s="50">
        <f t="shared" si="34"/>
        <v>87</v>
      </c>
      <c r="Q228" s="23"/>
      <c r="R228" s="60"/>
      <c r="S228" s="61"/>
      <c r="T228" s="62">
        <f t="shared" si="36"/>
        <v>0</v>
      </c>
      <c r="U228" s="46">
        <f t="shared" si="36"/>
        <v>0</v>
      </c>
      <c r="V228" s="63">
        <f t="shared" si="37"/>
        <v>0</v>
      </c>
      <c r="W228" s="49">
        <f t="shared" si="32"/>
        <v>0</v>
      </c>
      <c r="X228" s="50">
        <f t="shared" si="35"/>
        <v>0</v>
      </c>
      <c r="Y228"/>
      <c r="Z228"/>
      <c r="AA228"/>
    </row>
    <row r="229" spans="1:27" s="51" customFormat="1" ht="18.600000000000001" hidden="1" customHeight="1" x14ac:dyDescent="0.25">
      <c r="A229" s="80" t="s">
        <v>16</v>
      </c>
      <c r="B229" s="20" t="s">
        <v>601</v>
      </c>
      <c r="C229" s="21" t="s">
        <v>601</v>
      </c>
      <c r="D229" s="20">
        <v>8423153054553</v>
      </c>
      <c r="E229" s="22" t="s">
        <v>660</v>
      </c>
      <c r="F229" s="22" t="s">
        <v>429</v>
      </c>
      <c r="G229" s="22">
        <v>1</v>
      </c>
      <c r="H229" s="83" t="s">
        <v>661</v>
      </c>
      <c r="I229" s="23" t="s">
        <v>24</v>
      </c>
      <c r="J229" s="24">
        <v>100</v>
      </c>
      <c r="K229" s="25">
        <v>0.25</v>
      </c>
      <c r="L229" s="26">
        <f t="shared" si="30"/>
        <v>25</v>
      </c>
      <c r="M229" s="27">
        <f t="shared" si="31"/>
        <v>75</v>
      </c>
      <c r="N229" s="28">
        <v>0.16</v>
      </c>
      <c r="O229" s="29">
        <f t="shared" si="33"/>
        <v>12</v>
      </c>
      <c r="P229" s="30">
        <f t="shared" si="34"/>
        <v>87</v>
      </c>
      <c r="Q229" s="23"/>
      <c r="R229" s="52"/>
      <c r="S229" s="53"/>
      <c r="T229" s="54">
        <f t="shared" si="36"/>
        <v>0</v>
      </c>
      <c r="U229" s="26">
        <f t="shared" si="36"/>
        <v>0</v>
      </c>
      <c r="V229" s="55">
        <f t="shared" si="37"/>
        <v>0</v>
      </c>
      <c r="W229" s="29">
        <f t="shared" si="32"/>
        <v>0</v>
      </c>
      <c r="X229" s="30">
        <f t="shared" si="35"/>
        <v>0</v>
      </c>
      <c r="Y229"/>
      <c r="Z229"/>
      <c r="AA229"/>
    </row>
    <row r="230" spans="1:27" s="51" customFormat="1" ht="18.600000000000001" hidden="1" customHeight="1" x14ac:dyDescent="0.25">
      <c r="A230" s="81" t="s">
        <v>16</v>
      </c>
      <c r="B230" s="31" t="s">
        <v>601</v>
      </c>
      <c r="C230" s="32" t="s">
        <v>601</v>
      </c>
      <c r="D230" s="31">
        <v>8423153055055</v>
      </c>
      <c r="E230" s="33" t="s">
        <v>662</v>
      </c>
      <c r="F230" s="33" t="s">
        <v>429</v>
      </c>
      <c r="G230" s="33">
        <v>1</v>
      </c>
      <c r="H230" s="84" t="s">
        <v>663</v>
      </c>
      <c r="I230" s="23" t="s">
        <v>24</v>
      </c>
      <c r="J230" s="34">
        <v>100</v>
      </c>
      <c r="K230" s="35">
        <v>0.25</v>
      </c>
      <c r="L230" s="36">
        <f t="shared" si="30"/>
        <v>25</v>
      </c>
      <c r="M230" s="37">
        <f t="shared" si="31"/>
        <v>75</v>
      </c>
      <c r="N230" s="38">
        <v>0.16</v>
      </c>
      <c r="O230" s="39">
        <f t="shared" si="33"/>
        <v>12</v>
      </c>
      <c r="P230" s="40">
        <f t="shared" si="34"/>
        <v>87</v>
      </c>
      <c r="Q230" s="23"/>
      <c r="R230" s="56"/>
      <c r="S230" s="57"/>
      <c r="T230" s="58">
        <f t="shared" si="36"/>
        <v>0</v>
      </c>
      <c r="U230" s="36">
        <f t="shared" si="36"/>
        <v>0</v>
      </c>
      <c r="V230" s="59">
        <f t="shared" si="37"/>
        <v>0</v>
      </c>
      <c r="W230" s="39">
        <f t="shared" si="32"/>
        <v>0</v>
      </c>
      <c r="X230" s="40">
        <f t="shared" si="35"/>
        <v>0</v>
      </c>
      <c r="Y230"/>
      <c r="Z230"/>
      <c r="AA230"/>
    </row>
    <row r="231" spans="1:27" s="51" customFormat="1" ht="18.600000000000001" hidden="1" customHeight="1" x14ac:dyDescent="0.25">
      <c r="A231" s="82" t="s">
        <v>16</v>
      </c>
      <c r="B231" s="41" t="s">
        <v>601</v>
      </c>
      <c r="C231" s="42" t="s">
        <v>601</v>
      </c>
      <c r="D231" s="41">
        <v>8423153055062</v>
      </c>
      <c r="E231" s="43" t="s">
        <v>664</v>
      </c>
      <c r="F231" s="43" t="s">
        <v>429</v>
      </c>
      <c r="G231" s="43">
        <v>1</v>
      </c>
      <c r="H231" s="85" t="s">
        <v>665</v>
      </c>
      <c r="I231" s="23" t="s">
        <v>24</v>
      </c>
      <c r="J231" s="44">
        <v>100</v>
      </c>
      <c r="K231" s="45">
        <v>0.25</v>
      </c>
      <c r="L231" s="46">
        <f t="shared" si="30"/>
        <v>25</v>
      </c>
      <c r="M231" s="47">
        <f t="shared" si="31"/>
        <v>75</v>
      </c>
      <c r="N231" s="48">
        <v>0.16</v>
      </c>
      <c r="O231" s="49">
        <f t="shared" si="33"/>
        <v>12</v>
      </c>
      <c r="P231" s="50">
        <f t="shared" si="34"/>
        <v>87</v>
      </c>
      <c r="Q231" s="23"/>
      <c r="R231" s="60"/>
      <c r="S231" s="61"/>
      <c r="T231" s="62">
        <f t="shared" si="36"/>
        <v>0</v>
      </c>
      <c r="U231" s="46">
        <f t="shared" si="36"/>
        <v>0</v>
      </c>
      <c r="V231" s="63">
        <f t="shared" si="37"/>
        <v>0</v>
      </c>
      <c r="W231" s="49">
        <f t="shared" si="32"/>
        <v>0</v>
      </c>
      <c r="X231" s="50">
        <f t="shared" si="35"/>
        <v>0</v>
      </c>
      <c r="Y231"/>
      <c r="Z231"/>
      <c r="AA231"/>
    </row>
    <row r="232" spans="1:27" s="51" customFormat="1" ht="18.600000000000001" hidden="1" customHeight="1" x14ac:dyDescent="0.25">
      <c r="A232" s="80" t="s">
        <v>16</v>
      </c>
      <c r="B232" s="20" t="s">
        <v>601</v>
      </c>
      <c r="C232" s="21" t="s">
        <v>601</v>
      </c>
      <c r="D232" s="20">
        <v>8423153055079</v>
      </c>
      <c r="E232" s="22" t="s">
        <v>666</v>
      </c>
      <c r="F232" s="22" t="s">
        <v>429</v>
      </c>
      <c r="G232" s="22">
        <v>1</v>
      </c>
      <c r="H232" s="83" t="s">
        <v>667</v>
      </c>
      <c r="I232" s="23" t="s">
        <v>24</v>
      </c>
      <c r="J232" s="24">
        <v>100</v>
      </c>
      <c r="K232" s="25">
        <v>0.25</v>
      </c>
      <c r="L232" s="26">
        <f t="shared" si="30"/>
        <v>25</v>
      </c>
      <c r="M232" s="27">
        <f t="shared" si="31"/>
        <v>75</v>
      </c>
      <c r="N232" s="28">
        <v>0.16</v>
      </c>
      <c r="O232" s="29">
        <f t="shared" si="33"/>
        <v>12</v>
      </c>
      <c r="P232" s="30">
        <f t="shared" si="34"/>
        <v>87</v>
      </c>
      <c r="Q232" s="23"/>
      <c r="R232" s="52"/>
      <c r="S232" s="53"/>
      <c r="T232" s="54">
        <f t="shared" si="36"/>
        <v>0</v>
      </c>
      <c r="U232" s="26">
        <f t="shared" si="36"/>
        <v>0</v>
      </c>
      <c r="V232" s="55">
        <f t="shared" si="37"/>
        <v>0</v>
      </c>
      <c r="W232" s="29">
        <f t="shared" si="32"/>
        <v>0</v>
      </c>
      <c r="X232" s="30">
        <f t="shared" si="35"/>
        <v>0</v>
      </c>
      <c r="Y232"/>
      <c r="Z232"/>
      <c r="AA232"/>
    </row>
    <row r="233" spans="1:27" s="51" customFormat="1" ht="18.600000000000001" hidden="1" customHeight="1" x14ac:dyDescent="0.25">
      <c r="A233" s="81" t="s">
        <v>16</v>
      </c>
      <c r="B233" s="31" t="s">
        <v>601</v>
      </c>
      <c r="C233" s="32" t="s">
        <v>601</v>
      </c>
      <c r="D233" s="31">
        <v>8423153055086</v>
      </c>
      <c r="E233" s="33" t="s">
        <v>668</v>
      </c>
      <c r="F233" s="33" t="s">
        <v>429</v>
      </c>
      <c r="G233" s="33">
        <v>1</v>
      </c>
      <c r="H233" s="84" t="s">
        <v>669</v>
      </c>
      <c r="I233" s="23" t="s">
        <v>24</v>
      </c>
      <c r="J233" s="34">
        <v>100</v>
      </c>
      <c r="K233" s="35">
        <v>0.25</v>
      </c>
      <c r="L233" s="36">
        <f t="shared" si="30"/>
        <v>25</v>
      </c>
      <c r="M233" s="37">
        <f t="shared" si="31"/>
        <v>75</v>
      </c>
      <c r="N233" s="38">
        <v>0.16</v>
      </c>
      <c r="O233" s="39">
        <f t="shared" si="33"/>
        <v>12</v>
      </c>
      <c r="P233" s="40">
        <f t="shared" si="34"/>
        <v>87</v>
      </c>
      <c r="Q233" s="23"/>
      <c r="R233" s="56"/>
      <c r="S233" s="57"/>
      <c r="T233" s="58">
        <f t="shared" si="36"/>
        <v>0</v>
      </c>
      <c r="U233" s="36">
        <f t="shared" si="36"/>
        <v>0</v>
      </c>
      <c r="V233" s="59">
        <f t="shared" si="37"/>
        <v>0</v>
      </c>
      <c r="W233" s="39">
        <f t="shared" si="32"/>
        <v>0</v>
      </c>
      <c r="X233" s="40">
        <f t="shared" si="35"/>
        <v>0</v>
      </c>
      <c r="Y233"/>
      <c r="Z233"/>
      <c r="AA233"/>
    </row>
    <row r="234" spans="1:27" s="51" customFormat="1" ht="18.600000000000001" hidden="1" customHeight="1" x14ac:dyDescent="0.25">
      <c r="A234" s="82" t="s">
        <v>16</v>
      </c>
      <c r="B234" s="41" t="s">
        <v>601</v>
      </c>
      <c r="C234" s="42" t="s">
        <v>601</v>
      </c>
      <c r="D234" s="41">
        <v>8423153055208</v>
      </c>
      <c r="E234" s="43" t="s">
        <v>670</v>
      </c>
      <c r="F234" s="43" t="s">
        <v>429</v>
      </c>
      <c r="G234" s="43">
        <v>1</v>
      </c>
      <c r="H234" s="85" t="s">
        <v>671</v>
      </c>
      <c r="I234" s="23" t="s">
        <v>24</v>
      </c>
      <c r="J234" s="44">
        <v>100</v>
      </c>
      <c r="K234" s="45">
        <v>0.25</v>
      </c>
      <c r="L234" s="46">
        <f t="shared" si="30"/>
        <v>25</v>
      </c>
      <c r="M234" s="47">
        <f t="shared" si="31"/>
        <v>75</v>
      </c>
      <c r="N234" s="48">
        <v>0.16</v>
      </c>
      <c r="O234" s="49">
        <f t="shared" si="33"/>
        <v>12</v>
      </c>
      <c r="P234" s="50">
        <f t="shared" si="34"/>
        <v>87</v>
      </c>
      <c r="Q234" s="23"/>
      <c r="R234" s="60"/>
      <c r="S234" s="61"/>
      <c r="T234" s="62">
        <f t="shared" si="36"/>
        <v>0</v>
      </c>
      <c r="U234" s="46">
        <f t="shared" si="36"/>
        <v>0</v>
      </c>
      <c r="V234" s="63">
        <f t="shared" si="37"/>
        <v>0</v>
      </c>
      <c r="W234" s="49">
        <f t="shared" si="32"/>
        <v>0</v>
      </c>
      <c r="X234" s="50">
        <f t="shared" si="35"/>
        <v>0</v>
      </c>
      <c r="Y234"/>
      <c r="Z234"/>
      <c r="AA234"/>
    </row>
    <row r="235" spans="1:27" s="51" customFormat="1" ht="18.600000000000001" hidden="1" customHeight="1" x14ac:dyDescent="0.25">
      <c r="A235" s="80" t="s">
        <v>16</v>
      </c>
      <c r="B235" s="20" t="s">
        <v>601</v>
      </c>
      <c r="C235" s="21" t="s">
        <v>601</v>
      </c>
      <c r="D235" s="20">
        <v>8423153055215</v>
      </c>
      <c r="E235" s="22" t="s">
        <v>672</v>
      </c>
      <c r="F235" s="22" t="s">
        <v>429</v>
      </c>
      <c r="G235" s="22">
        <v>1</v>
      </c>
      <c r="H235" s="83" t="s">
        <v>673</v>
      </c>
      <c r="I235" s="23" t="s">
        <v>24</v>
      </c>
      <c r="J235" s="24">
        <v>100</v>
      </c>
      <c r="K235" s="25">
        <v>0.25</v>
      </c>
      <c r="L235" s="26">
        <f t="shared" si="30"/>
        <v>25</v>
      </c>
      <c r="M235" s="27">
        <f t="shared" si="31"/>
        <v>75</v>
      </c>
      <c r="N235" s="28">
        <v>0.16</v>
      </c>
      <c r="O235" s="29">
        <f t="shared" si="33"/>
        <v>12</v>
      </c>
      <c r="P235" s="30">
        <f t="shared" si="34"/>
        <v>87</v>
      </c>
      <c r="Q235" s="23"/>
      <c r="R235" s="52"/>
      <c r="S235" s="53"/>
      <c r="T235" s="54">
        <f t="shared" si="36"/>
        <v>0</v>
      </c>
      <c r="U235" s="26">
        <f t="shared" si="36"/>
        <v>0</v>
      </c>
      <c r="V235" s="55">
        <f t="shared" si="37"/>
        <v>0</v>
      </c>
      <c r="W235" s="29">
        <f t="shared" si="32"/>
        <v>0</v>
      </c>
      <c r="X235" s="30">
        <f t="shared" si="35"/>
        <v>0</v>
      </c>
      <c r="Y235"/>
      <c r="Z235"/>
      <c r="AA235"/>
    </row>
    <row r="236" spans="1:27" s="51" customFormat="1" ht="18.600000000000001" hidden="1" customHeight="1" x14ac:dyDescent="0.25">
      <c r="A236" s="81" t="s">
        <v>16</v>
      </c>
      <c r="B236" s="31" t="s">
        <v>601</v>
      </c>
      <c r="C236" s="32" t="s">
        <v>601</v>
      </c>
      <c r="D236" s="31">
        <v>8423153055222</v>
      </c>
      <c r="E236" s="33" t="s">
        <v>674</v>
      </c>
      <c r="F236" s="33" t="s">
        <v>429</v>
      </c>
      <c r="G236" s="33">
        <v>1</v>
      </c>
      <c r="H236" s="84" t="s">
        <v>675</v>
      </c>
      <c r="I236" s="23" t="s">
        <v>24</v>
      </c>
      <c r="J236" s="34">
        <v>100</v>
      </c>
      <c r="K236" s="35">
        <v>0.25</v>
      </c>
      <c r="L236" s="36">
        <f t="shared" si="30"/>
        <v>25</v>
      </c>
      <c r="M236" s="37">
        <f t="shared" si="31"/>
        <v>75</v>
      </c>
      <c r="N236" s="38">
        <v>0.16</v>
      </c>
      <c r="O236" s="39">
        <f t="shared" si="33"/>
        <v>12</v>
      </c>
      <c r="P236" s="40">
        <f t="shared" si="34"/>
        <v>87</v>
      </c>
      <c r="Q236" s="23"/>
      <c r="R236" s="56"/>
      <c r="S236" s="57"/>
      <c r="T236" s="58">
        <f t="shared" si="36"/>
        <v>0</v>
      </c>
      <c r="U236" s="36">
        <f t="shared" si="36"/>
        <v>0</v>
      </c>
      <c r="V236" s="59">
        <f t="shared" si="37"/>
        <v>0</v>
      </c>
      <c r="W236" s="39">
        <f t="shared" si="32"/>
        <v>0</v>
      </c>
      <c r="X236" s="40">
        <f t="shared" si="35"/>
        <v>0</v>
      </c>
      <c r="Y236"/>
      <c r="Z236"/>
      <c r="AA236"/>
    </row>
    <row r="237" spans="1:27" s="51" customFormat="1" ht="18.600000000000001" hidden="1" customHeight="1" x14ac:dyDescent="0.25">
      <c r="A237" s="82" t="s">
        <v>16</v>
      </c>
      <c r="B237" s="41" t="s">
        <v>601</v>
      </c>
      <c r="C237" s="42" t="s">
        <v>601</v>
      </c>
      <c r="D237" s="41">
        <v>8423153055239</v>
      </c>
      <c r="E237" s="43" t="s">
        <v>676</v>
      </c>
      <c r="F237" s="43" t="s">
        <v>429</v>
      </c>
      <c r="G237" s="43">
        <v>1</v>
      </c>
      <c r="H237" s="85" t="s">
        <v>677</v>
      </c>
      <c r="I237" s="23" t="s">
        <v>24</v>
      </c>
      <c r="J237" s="44">
        <v>100</v>
      </c>
      <c r="K237" s="45">
        <v>0.25</v>
      </c>
      <c r="L237" s="46">
        <f t="shared" si="30"/>
        <v>25</v>
      </c>
      <c r="M237" s="47">
        <f t="shared" si="31"/>
        <v>75</v>
      </c>
      <c r="N237" s="48">
        <v>0.16</v>
      </c>
      <c r="O237" s="49">
        <f t="shared" si="33"/>
        <v>12</v>
      </c>
      <c r="P237" s="50">
        <f t="shared" si="34"/>
        <v>87</v>
      </c>
      <c r="Q237" s="23"/>
      <c r="R237" s="60"/>
      <c r="S237" s="61"/>
      <c r="T237" s="62">
        <f t="shared" si="36"/>
        <v>0</v>
      </c>
      <c r="U237" s="46">
        <f t="shared" si="36"/>
        <v>0</v>
      </c>
      <c r="V237" s="63">
        <f t="shared" si="37"/>
        <v>0</v>
      </c>
      <c r="W237" s="49">
        <f t="shared" si="32"/>
        <v>0</v>
      </c>
      <c r="X237" s="50">
        <f t="shared" si="35"/>
        <v>0</v>
      </c>
      <c r="Y237"/>
      <c r="Z237"/>
      <c r="AA237"/>
    </row>
    <row r="238" spans="1:27" s="51" customFormat="1" ht="18.600000000000001" hidden="1" customHeight="1" x14ac:dyDescent="0.25">
      <c r="A238" s="80" t="s">
        <v>16</v>
      </c>
      <c r="B238" s="20" t="s">
        <v>601</v>
      </c>
      <c r="C238" s="21" t="s">
        <v>601</v>
      </c>
      <c r="D238" s="20">
        <v>8423153055246</v>
      </c>
      <c r="E238" s="22" t="s">
        <v>678</v>
      </c>
      <c r="F238" s="22" t="s">
        <v>429</v>
      </c>
      <c r="G238" s="22">
        <v>1</v>
      </c>
      <c r="H238" s="83" t="s">
        <v>679</v>
      </c>
      <c r="I238" s="23" t="s">
        <v>24</v>
      </c>
      <c r="J238" s="24">
        <v>100</v>
      </c>
      <c r="K238" s="25">
        <v>0.25</v>
      </c>
      <c r="L238" s="26">
        <f t="shared" si="30"/>
        <v>25</v>
      </c>
      <c r="M238" s="27">
        <f t="shared" si="31"/>
        <v>75</v>
      </c>
      <c r="N238" s="28">
        <v>0.16</v>
      </c>
      <c r="O238" s="29">
        <f t="shared" si="33"/>
        <v>12</v>
      </c>
      <c r="P238" s="30">
        <f t="shared" si="34"/>
        <v>87</v>
      </c>
      <c r="Q238" s="23"/>
      <c r="R238" s="52"/>
      <c r="S238" s="53"/>
      <c r="T238" s="54">
        <f t="shared" si="36"/>
        <v>0</v>
      </c>
      <c r="U238" s="26">
        <f t="shared" si="36"/>
        <v>0</v>
      </c>
      <c r="V238" s="55">
        <f t="shared" si="37"/>
        <v>0</v>
      </c>
      <c r="W238" s="29">
        <f t="shared" si="32"/>
        <v>0</v>
      </c>
      <c r="X238" s="30">
        <f t="shared" si="35"/>
        <v>0</v>
      </c>
      <c r="Y238"/>
      <c r="Z238"/>
      <c r="AA238"/>
    </row>
    <row r="239" spans="1:27" s="51" customFormat="1" ht="18.600000000000001" hidden="1" customHeight="1" x14ac:dyDescent="0.25">
      <c r="A239" s="81" t="s">
        <v>16</v>
      </c>
      <c r="B239" s="31" t="s">
        <v>601</v>
      </c>
      <c r="C239" s="32" t="s">
        <v>601</v>
      </c>
      <c r="D239" s="31">
        <v>8423153055253</v>
      </c>
      <c r="E239" s="33" t="s">
        <v>680</v>
      </c>
      <c r="F239" s="33" t="s">
        <v>429</v>
      </c>
      <c r="G239" s="33">
        <v>1</v>
      </c>
      <c r="H239" s="84" t="s">
        <v>681</v>
      </c>
      <c r="I239" s="23" t="s">
        <v>24</v>
      </c>
      <c r="J239" s="34">
        <v>100</v>
      </c>
      <c r="K239" s="35">
        <v>0.25</v>
      </c>
      <c r="L239" s="36">
        <f t="shared" si="30"/>
        <v>25</v>
      </c>
      <c r="M239" s="37">
        <f t="shared" si="31"/>
        <v>75</v>
      </c>
      <c r="N239" s="38">
        <v>0.16</v>
      </c>
      <c r="O239" s="39">
        <f t="shared" si="33"/>
        <v>12</v>
      </c>
      <c r="P239" s="40">
        <f t="shared" si="34"/>
        <v>87</v>
      </c>
      <c r="Q239" s="23"/>
      <c r="R239" s="56"/>
      <c r="S239" s="57"/>
      <c r="T239" s="58">
        <f t="shared" si="36"/>
        <v>0</v>
      </c>
      <c r="U239" s="36">
        <f t="shared" si="36"/>
        <v>0</v>
      </c>
      <c r="V239" s="59">
        <f t="shared" si="37"/>
        <v>0</v>
      </c>
      <c r="W239" s="39">
        <f t="shared" si="32"/>
        <v>0</v>
      </c>
      <c r="X239" s="40">
        <f t="shared" si="35"/>
        <v>0</v>
      </c>
      <c r="Y239"/>
      <c r="Z239"/>
      <c r="AA239"/>
    </row>
    <row r="240" spans="1:27" s="51" customFormat="1" ht="18.600000000000001" hidden="1" customHeight="1" x14ac:dyDescent="0.25">
      <c r="A240" s="82" t="s">
        <v>16</v>
      </c>
      <c r="B240" s="41" t="s">
        <v>601</v>
      </c>
      <c r="C240" s="42" t="s">
        <v>601</v>
      </c>
      <c r="D240" s="41">
        <v>8423153056397</v>
      </c>
      <c r="E240" s="43" t="s">
        <v>682</v>
      </c>
      <c r="F240" s="43" t="s">
        <v>429</v>
      </c>
      <c r="G240" s="43">
        <v>1</v>
      </c>
      <c r="H240" s="85" t="s">
        <v>683</v>
      </c>
      <c r="I240" s="23" t="s">
        <v>24</v>
      </c>
      <c r="J240" s="44">
        <v>100</v>
      </c>
      <c r="K240" s="45">
        <v>0.25</v>
      </c>
      <c r="L240" s="46">
        <f t="shared" si="30"/>
        <v>25</v>
      </c>
      <c r="M240" s="47">
        <f t="shared" si="31"/>
        <v>75</v>
      </c>
      <c r="N240" s="48">
        <v>0.16</v>
      </c>
      <c r="O240" s="49">
        <f t="shared" si="33"/>
        <v>12</v>
      </c>
      <c r="P240" s="50">
        <f t="shared" si="34"/>
        <v>87</v>
      </c>
      <c r="Q240" s="23"/>
      <c r="R240" s="60"/>
      <c r="S240" s="61"/>
      <c r="T240" s="62">
        <f t="shared" si="36"/>
        <v>0</v>
      </c>
      <c r="U240" s="46">
        <f t="shared" si="36"/>
        <v>0</v>
      </c>
      <c r="V240" s="63">
        <f t="shared" si="37"/>
        <v>0</v>
      </c>
      <c r="W240" s="49">
        <f t="shared" si="32"/>
        <v>0</v>
      </c>
      <c r="X240" s="50">
        <f t="shared" si="35"/>
        <v>0</v>
      </c>
      <c r="Y240"/>
      <c r="Z240"/>
      <c r="AA240"/>
    </row>
    <row r="241" spans="1:27" s="51" customFormat="1" ht="18.600000000000001" hidden="1" customHeight="1" x14ac:dyDescent="0.25">
      <c r="A241" s="80" t="s">
        <v>16</v>
      </c>
      <c r="B241" s="20" t="s">
        <v>601</v>
      </c>
      <c r="C241" s="21" t="s">
        <v>601</v>
      </c>
      <c r="D241" s="20">
        <v>8423153056434</v>
      </c>
      <c r="E241" s="22" t="s">
        <v>684</v>
      </c>
      <c r="F241" s="22" t="s">
        <v>429</v>
      </c>
      <c r="G241" s="22">
        <v>1</v>
      </c>
      <c r="H241" s="83" t="s">
        <v>685</v>
      </c>
      <c r="I241" s="23" t="s">
        <v>24</v>
      </c>
      <c r="J241" s="24">
        <v>100</v>
      </c>
      <c r="K241" s="25">
        <v>0.25</v>
      </c>
      <c r="L241" s="26">
        <f t="shared" si="30"/>
        <v>25</v>
      </c>
      <c r="M241" s="27">
        <f t="shared" si="31"/>
        <v>75</v>
      </c>
      <c r="N241" s="28">
        <v>0.16</v>
      </c>
      <c r="O241" s="29">
        <f t="shared" si="33"/>
        <v>12</v>
      </c>
      <c r="P241" s="30">
        <f t="shared" si="34"/>
        <v>87</v>
      </c>
      <c r="Q241" s="23"/>
      <c r="R241" s="52"/>
      <c r="S241" s="53"/>
      <c r="T241" s="54">
        <f t="shared" si="36"/>
        <v>0</v>
      </c>
      <c r="U241" s="26">
        <f t="shared" si="36"/>
        <v>0</v>
      </c>
      <c r="V241" s="55">
        <f t="shared" si="37"/>
        <v>0</v>
      </c>
      <c r="W241" s="29">
        <f t="shared" si="32"/>
        <v>0</v>
      </c>
      <c r="X241" s="30">
        <f t="shared" si="35"/>
        <v>0</v>
      </c>
      <c r="Y241"/>
      <c r="Z241"/>
      <c r="AA241"/>
    </row>
    <row r="242" spans="1:27" s="51" customFormat="1" ht="18.600000000000001" hidden="1" customHeight="1" x14ac:dyDescent="0.25">
      <c r="A242" s="81" t="s">
        <v>16</v>
      </c>
      <c r="B242" s="31" t="s">
        <v>601</v>
      </c>
      <c r="C242" s="32" t="s">
        <v>601</v>
      </c>
      <c r="D242" s="31">
        <v>8423153056410</v>
      </c>
      <c r="E242" s="33" t="s">
        <v>686</v>
      </c>
      <c r="F242" s="33" t="s">
        <v>429</v>
      </c>
      <c r="G242" s="33">
        <v>1</v>
      </c>
      <c r="H242" s="84" t="s">
        <v>687</v>
      </c>
      <c r="I242" s="23" t="s">
        <v>24</v>
      </c>
      <c r="J242" s="34">
        <v>100</v>
      </c>
      <c r="K242" s="35">
        <v>0.25</v>
      </c>
      <c r="L242" s="36">
        <f t="shared" si="30"/>
        <v>25</v>
      </c>
      <c r="M242" s="37">
        <f t="shared" si="31"/>
        <v>75</v>
      </c>
      <c r="N242" s="38">
        <v>0.16</v>
      </c>
      <c r="O242" s="39">
        <f t="shared" si="33"/>
        <v>12</v>
      </c>
      <c r="P242" s="40">
        <f t="shared" si="34"/>
        <v>87</v>
      </c>
      <c r="Q242" s="23"/>
      <c r="R242" s="56"/>
      <c r="S242" s="57"/>
      <c r="T242" s="58">
        <f t="shared" si="36"/>
        <v>0</v>
      </c>
      <c r="U242" s="36">
        <f t="shared" si="36"/>
        <v>0</v>
      </c>
      <c r="V242" s="59">
        <f t="shared" si="37"/>
        <v>0</v>
      </c>
      <c r="W242" s="39">
        <f t="shared" si="32"/>
        <v>0</v>
      </c>
      <c r="X242" s="40">
        <f t="shared" si="35"/>
        <v>0</v>
      </c>
      <c r="Y242"/>
      <c r="Z242"/>
      <c r="AA242"/>
    </row>
    <row r="243" spans="1:27" s="51" customFormat="1" ht="18.600000000000001" hidden="1" customHeight="1" x14ac:dyDescent="0.25">
      <c r="A243" s="82" t="s">
        <v>16</v>
      </c>
      <c r="B243" s="41" t="s">
        <v>601</v>
      </c>
      <c r="C243" s="42" t="s">
        <v>601</v>
      </c>
      <c r="D243" s="41">
        <v>8423153056458</v>
      </c>
      <c r="E243" s="43" t="s">
        <v>688</v>
      </c>
      <c r="F243" s="43" t="s">
        <v>429</v>
      </c>
      <c r="G243" s="43">
        <v>1</v>
      </c>
      <c r="H243" s="85" t="s">
        <v>689</v>
      </c>
      <c r="I243" s="23" t="s">
        <v>24</v>
      </c>
      <c r="J243" s="44">
        <v>100</v>
      </c>
      <c r="K243" s="45">
        <v>0.25</v>
      </c>
      <c r="L243" s="46">
        <f t="shared" si="30"/>
        <v>25</v>
      </c>
      <c r="M243" s="47">
        <f t="shared" si="31"/>
        <v>75</v>
      </c>
      <c r="N243" s="48">
        <v>0.16</v>
      </c>
      <c r="O243" s="49">
        <f t="shared" si="33"/>
        <v>12</v>
      </c>
      <c r="P243" s="50">
        <f t="shared" si="34"/>
        <v>87</v>
      </c>
      <c r="Q243" s="23"/>
      <c r="R243" s="60"/>
      <c r="S243" s="61"/>
      <c r="T243" s="62">
        <f t="shared" si="36"/>
        <v>0</v>
      </c>
      <c r="U243" s="46">
        <f t="shared" si="36"/>
        <v>0</v>
      </c>
      <c r="V243" s="63">
        <f t="shared" si="37"/>
        <v>0</v>
      </c>
      <c r="W243" s="49">
        <f t="shared" si="32"/>
        <v>0</v>
      </c>
      <c r="X243" s="50">
        <f t="shared" si="35"/>
        <v>0</v>
      </c>
      <c r="Y243"/>
      <c r="Z243"/>
      <c r="AA243"/>
    </row>
    <row r="244" spans="1:27" s="51" customFormat="1" ht="18.600000000000001" hidden="1" customHeight="1" x14ac:dyDescent="0.25">
      <c r="A244" s="80" t="s">
        <v>16</v>
      </c>
      <c r="B244" s="20" t="s">
        <v>601</v>
      </c>
      <c r="C244" s="21" t="s">
        <v>601</v>
      </c>
      <c r="D244" s="20">
        <v>8423153056465</v>
      </c>
      <c r="E244" s="22" t="s">
        <v>690</v>
      </c>
      <c r="F244" s="22" t="s">
        <v>429</v>
      </c>
      <c r="G244" s="22">
        <v>1</v>
      </c>
      <c r="H244" s="83" t="s">
        <v>691</v>
      </c>
      <c r="I244" s="23" t="s">
        <v>24</v>
      </c>
      <c r="J244" s="24">
        <v>100</v>
      </c>
      <c r="K244" s="25">
        <v>0.25</v>
      </c>
      <c r="L244" s="26">
        <f t="shared" si="30"/>
        <v>25</v>
      </c>
      <c r="M244" s="27">
        <f t="shared" si="31"/>
        <v>75</v>
      </c>
      <c r="N244" s="28">
        <v>0.16</v>
      </c>
      <c r="O244" s="29">
        <f t="shared" si="33"/>
        <v>12</v>
      </c>
      <c r="P244" s="30">
        <f t="shared" si="34"/>
        <v>87</v>
      </c>
      <c r="Q244" s="23"/>
      <c r="R244" s="52"/>
      <c r="S244" s="53"/>
      <c r="T244" s="54">
        <f t="shared" si="36"/>
        <v>0</v>
      </c>
      <c r="U244" s="26">
        <f t="shared" si="36"/>
        <v>0</v>
      </c>
      <c r="V244" s="55">
        <f t="shared" si="37"/>
        <v>0</v>
      </c>
      <c r="W244" s="29">
        <f t="shared" si="32"/>
        <v>0</v>
      </c>
      <c r="X244" s="30">
        <f t="shared" si="35"/>
        <v>0</v>
      </c>
      <c r="Y244"/>
      <c r="Z244"/>
      <c r="AA244"/>
    </row>
    <row r="245" spans="1:27" s="51" customFormat="1" ht="18.600000000000001" hidden="1" customHeight="1" x14ac:dyDescent="0.25">
      <c r="A245" s="81" t="s">
        <v>16</v>
      </c>
      <c r="B245" s="31" t="s">
        <v>601</v>
      </c>
      <c r="C245" s="32" t="s">
        <v>601</v>
      </c>
      <c r="D245" s="31">
        <v>8423153056861</v>
      </c>
      <c r="E245" s="33" t="s">
        <v>692</v>
      </c>
      <c r="F245" s="33" t="s">
        <v>429</v>
      </c>
      <c r="G245" s="33">
        <v>1</v>
      </c>
      <c r="H245" s="84" t="s">
        <v>693</v>
      </c>
      <c r="I245" s="23" t="s">
        <v>24</v>
      </c>
      <c r="J245" s="34">
        <v>100</v>
      </c>
      <c r="K245" s="35">
        <v>0.25</v>
      </c>
      <c r="L245" s="36">
        <f t="shared" si="30"/>
        <v>25</v>
      </c>
      <c r="M245" s="37">
        <f t="shared" si="31"/>
        <v>75</v>
      </c>
      <c r="N245" s="38">
        <v>0.16</v>
      </c>
      <c r="O245" s="39">
        <f t="shared" si="33"/>
        <v>12</v>
      </c>
      <c r="P245" s="40">
        <f t="shared" si="34"/>
        <v>87</v>
      </c>
      <c r="Q245" s="23"/>
      <c r="R245" s="56"/>
      <c r="S245" s="57"/>
      <c r="T245" s="58">
        <f t="shared" si="36"/>
        <v>0</v>
      </c>
      <c r="U245" s="36">
        <f t="shared" si="36"/>
        <v>0</v>
      </c>
      <c r="V245" s="59">
        <f t="shared" si="37"/>
        <v>0</v>
      </c>
      <c r="W245" s="39">
        <f t="shared" si="32"/>
        <v>0</v>
      </c>
      <c r="X245" s="40">
        <f t="shared" si="35"/>
        <v>0</v>
      </c>
      <c r="Y245"/>
      <c r="Z245"/>
      <c r="AA245"/>
    </row>
    <row r="246" spans="1:27" s="51" customFormat="1" ht="18.600000000000001" hidden="1" customHeight="1" x14ac:dyDescent="0.25">
      <c r="A246" s="82" t="s">
        <v>16</v>
      </c>
      <c r="B246" s="41" t="s">
        <v>601</v>
      </c>
      <c r="C246" s="42" t="s">
        <v>601</v>
      </c>
      <c r="D246" s="41">
        <v>8423153056878</v>
      </c>
      <c r="E246" s="43" t="s">
        <v>694</v>
      </c>
      <c r="F246" s="43" t="s">
        <v>429</v>
      </c>
      <c r="G246" s="43">
        <v>1</v>
      </c>
      <c r="H246" s="85" t="s">
        <v>695</v>
      </c>
      <c r="I246" s="23" t="s">
        <v>24</v>
      </c>
      <c r="J246" s="44">
        <v>100</v>
      </c>
      <c r="K246" s="45">
        <v>0.25</v>
      </c>
      <c r="L246" s="46">
        <f t="shared" si="30"/>
        <v>25</v>
      </c>
      <c r="M246" s="47">
        <f t="shared" si="31"/>
        <v>75</v>
      </c>
      <c r="N246" s="48">
        <v>0.16</v>
      </c>
      <c r="O246" s="49">
        <f t="shared" si="33"/>
        <v>12</v>
      </c>
      <c r="P246" s="50">
        <f t="shared" si="34"/>
        <v>87</v>
      </c>
      <c r="Q246" s="23"/>
      <c r="R246" s="60"/>
      <c r="S246" s="61"/>
      <c r="T246" s="62">
        <f t="shared" si="36"/>
        <v>0</v>
      </c>
      <c r="U246" s="46">
        <f t="shared" si="36"/>
        <v>0</v>
      </c>
      <c r="V246" s="63">
        <f t="shared" si="37"/>
        <v>0</v>
      </c>
      <c r="W246" s="49">
        <f t="shared" si="32"/>
        <v>0</v>
      </c>
      <c r="X246" s="50">
        <f t="shared" si="35"/>
        <v>0</v>
      </c>
      <c r="Y246"/>
      <c r="Z246"/>
      <c r="AA246"/>
    </row>
    <row r="247" spans="1:27" s="51" customFormat="1" ht="18.600000000000001" hidden="1" customHeight="1" x14ac:dyDescent="0.25">
      <c r="A247" s="80" t="s">
        <v>16</v>
      </c>
      <c r="B247" s="20" t="s">
        <v>601</v>
      </c>
      <c r="C247" s="21" t="s">
        <v>601</v>
      </c>
      <c r="D247" s="20">
        <v>8423153056885</v>
      </c>
      <c r="E247" s="22" t="s">
        <v>696</v>
      </c>
      <c r="F247" s="22" t="s">
        <v>429</v>
      </c>
      <c r="G247" s="22">
        <v>1</v>
      </c>
      <c r="H247" s="83" t="s">
        <v>697</v>
      </c>
      <c r="I247" s="23" t="s">
        <v>24</v>
      </c>
      <c r="J247" s="24">
        <v>100</v>
      </c>
      <c r="K247" s="25">
        <v>0.25</v>
      </c>
      <c r="L247" s="26">
        <f t="shared" si="30"/>
        <v>25</v>
      </c>
      <c r="M247" s="27">
        <f t="shared" si="31"/>
        <v>75</v>
      </c>
      <c r="N247" s="28">
        <v>0.16</v>
      </c>
      <c r="O247" s="29">
        <f t="shared" si="33"/>
        <v>12</v>
      </c>
      <c r="P247" s="30">
        <f t="shared" si="34"/>
        <v>87</v>
      </c>
      <c r="Q247" s="23"/>
      <c r="R247" s="52"/>
      <c r="S247" s="53"/>
      <c r="T247" s="54">
        <f t="shared" si="36"/>
        <v>0</v>
      </c>
      <c r="U247" s="26">
        <f t="shared" si="36"/>
        <v>0</v>
      </c>
      <c r="V247" s="55">
        <f t="shared" si="37"/>
        <v>0</v>
      </c>
      <c r="W247" s="29">
        <f t="shared" si="32"/>
        <v>0</v>
      </c>
      <c r="X247" s="30">
        <f t="shared" si="35"/>
        <v>0</v>
      </c>
      <c r="Y247"/>
      <c r="Z247"/>
      <c r="AA247"/>
    </row>
    <row r="248" spans="1:27" s="51" customFormat="1" ht="18.600000000000001" hidden="1" customHeight="1" x14ac:dyDescent="0.25">
      <c r="A248" s="81" t="s">
        <v>16</v>
      </c>
      <c r="B248" s="31" t="s">
        <v>601</v>
      </c>
      <c r="C248" s="32" t="s">
        <v>601</v>
      </c>
      <c r="D248" s="31">
        <v>8423153056892</v>
      </c>
      <c r="E248" s="33" t="s">
        <v>698</v>
      </c>
      <c r="F248" s="33" t="s">
        <v>429</v>
      </c>
      <c r="G248" s="33">
        <v>1</v>
      </c>
      <c r="H248" s="84" t="s">
        <v>699</v>
      </c>
      <c r="I248" s="23" t="s">
        <v>24</v>
      </c>
      <c r="J248" s="34">
        <v>100</v>
      </c>
      <c r="K248" s="35">
        <v>0.25</v>
      </c>
      <c r="L248" s="36">
        <f t="shared" si="30"/>
        <v>25</v>
      </c>
      <c r="M248" s="37">
        <f t="shared" si="31"/>
        <v>75</v>
      </c>
      <c r="N248" s="38">
        <v>0.16</v>
      </c>
      <c r="O248" s="39">
        <f t="shared" si="33"/>
        <v>12</v>
      </c>
      <c r="P248" s="40">
        <f t="shared" si="34"/>
        <v>87</v>
      </c>
      <c r="Q248" s="23"/>
      <c r="R248" s="56"/>
      <c r="S248" s="57"/>
      <c r="T248" s="58">
        <f t="shared" si="36"/>
        <v>0</v>
      </c>
      <c r="U248" s="36">
        <f t="shared" si="36"/>
        <v>0</v>
      </c>
      <c r="V248" s="59">
        <f t="shared" si="37"/>
        <v>0</v>
      </c>
      <c r="W248" s="39">
        <f t="shared" si="32"/>
        <v>0</v>
      </c>
      <c r="X248" s="40">
        <f t="shared" si="35"/>
        <v>0</v>
      </c>
      <c r="Y248"/>
      <c r="Z248"/>
      <c r="AA248"/>
    </row>
    <row r="249" spans="1:27" s="51" customFormat="1" ht="18.600000000000001" hidden="1" customHeight="1" x14ac:dyDescent="0.25">
      <c r="A249" s="82" t="s">
        <v>16</v>
      </c>
      <c r="B249" s="41" t="s">
        <v>601</v>
      </c>
      <c r="C249" s="42" t="s">
        <v>601</v>
      </c>
      <c r="D249" s="41">
        <v>8423153056908</v>
      </c>
      <c r="E249" s="43" t="s">
        <v>700</v>
      </c>
      <c r="F249" s="43" t="s">
        <v>429</v>
      </c>
      <c r="G249" s="43">
        <v>1</v>
      </c>
      <c r="H249" s="85" t="s">
        <v>701</v>
      </c>
      <c r="I249" s="23" t="s">
        <v>24</v>
      </c>
      <c r="J249" s="44">
        <v>100</v>
      </c>
      <c r="K249" s="45">
        <v>0.25</v>
      </c>
      <c r="L249" s="46">
        <f t="shared" si="30"/>
        <v>25</v>
      </c>
      <c r="M249" s="47">
        <f t="shared" si="31"/>
        <v>75</v>
      </c>
      <c r="N249" s="48">
        <v>0.16</v>
      </c>
      <c r="O249" s="49">
        <f t="shared" si="33"/>
        <v>12</v>
      </c>
      <c r="P249" s="50">
        <f t="shared" si="34"/>
        <v>87</v>
      </c>
      <c r="Q249" s="23"/>
      <c r="R249" s="60"/>
      <c r="S249" s="61"/>
      <c r="T249" s="62">
        <f t="shared" si="36"/>
        <v>0</v>
      </c>
      <c r="U249" s="46">
        <f t="shared" si="36"/>
        <v>0</v>
      </c>
      <c r="V249" s="63">
        <f t="shared" si="37"/>
        <v>0</v>
      </c>
      <c r="W249" s="49">
        <f t="shared" si="32"/>
        <v>0</v>
      </c>
      <c r="X249" s="50">
        <f t="shared" si="35"/>
        <v>0</v>
      </c>
      <c r="Y249"/>
      <c r="Z249"/>
      <c r="AA249"/>
    </row>
    <row r="250" spans="1:27" s="51" customFormat="1" ht="18.600000000000001" hidden="1" customHeight="1" x14ac:dyDescent="0.25">
      <c r="A250" s="80" t="s">
        <v>16</v>
      </c>
      <c r="B250" s="20" t="s">
        <v>601</v>
      </c>
      <c r="C250" s="21" t="s">
        <v>601</v>
      </c>
      <c r="D250" s="20">
        <v>8423153057134</v>
      </c>
      <c r="E250" s="22" t="s">
        <v>702</v>
      </c>
      <c r="F250" s="22" t="s">
        <v>429</v>
      </c>
      <c r="G250" s="22">
        <v>1</v>
      </c>
      <c r="H250" s="83" t="s">
        <v>703</v>
      </c>
      <c r="I250" s="23" t="s">
        <v>24</v>
      </c>
      <c r="J250" s="24">
        <v>100</v>
      </c>
      <c r="K250" s="25">
        <v>0.25</v>
      </c>
      <c r="L250" s="26">
        <f t="shared" si="30"/>
        <v>25</v>
      </c>
      <c r="M250" s="27">
        <f t="shared" si="31"/>
        <v>75</v>
      </c>
      <c r="N250" s="28">
        <v>0.16</v>
      </c>
      <c r="O250" s="29">
        <f t="shared" si="33"/>
        <v>12</v>
      </c>
      <c r="P250" s="30">
        <f t="shared" si="34"/>
        <v>87</v>
      </c>
      <c r="Q250" s="23"/>
      <c r="R250" s="52"/>
      <c r="S250" s="53"/>
      <c r="T250" s="54">
        <f t="shared" si="36"/>
        <v>0</v>
      </c>
      <c r="U250" s="26">
        <f t="shared" si="36"/>
        <v>0</v>
      </c>
      <c r="V250" s="55">
        <f t="shared" si="37"/>
        <v>0</v>
      </c>
      <c r="W250" s="29">
        <f t="shared" si="32"/>
        <v>0</v>
      </c>
      <c r="X250" s="30">
        <f t="shared" si="35"/>
        <v>0</v>
      </c>
      <c r="Y250"/>
      <c r="Z250"/>
      <c r="AA250"/>
    </row>
    <row r="251" spans="1:27" s="51" customFormat="1" ht="18.600000000000001" hidden="1" customHeight="1" x14ac:dyDescent="0.25">
      <c r="A251" s="81" t="s">
        <v>16</v>
      </c>
      <c r="B251" s="31" t="s">
        <v>601</v>
      </c>
      <c r="C251" s="32" t="s">
        <v>601</v>
      </c>
      <c r="D251" s="31">
        <v>8423153057141</v>
      </c>
      <c r="E251" s="33" t="s">
        <v>704</v>
      </c>
      <c r="F251" s="33" t="s">
        <v>429</v>
      </c>
      <c r="G251" s="33">
        <v>1</v>
      </c>
      <c r="H251" s="84" t="s">
        <v>705</v>
      </c>
      <c r="I251" s="23" t="s">
        <v>24</v>
      </c>
      <c r="J251" s="34">
        <v>100</v>
      </c>
      <c r="K251" s="35">
        <v>0.25</v>
      </c>
      <c r="L251" s="36">
        <f t="shared" si="30"/>
        <v>25</v>
      </c>
      <c r="M251" s="37">
        <f t="shared" si="31"/>
        <v>75</v>
      </c>
      <c r="N251" s="38">
        <v>0.16</v>
      </c>
      <c r="O251" s="39">
        <f t="shared" si="33"/>
        <v>12</v>
      </c>
      <c r="P251" s="40">
        <f t="shared" si="34"/>
        <v>87</v>
      </c>
      <c r="Q251" s="23"/>
      <c r="R251" s="56"/>
      <c r="S251" s="57"/>
      <c r="T251" s="58">
        <f t="shared" si="36"/>
        <v>0</v>
      </c>
      <c r="U251" s="36">
        <f t="shared" si="36"/>
        <v>0</v>
      </c>
      <c r="V251" s="59">
        <f t="shared" si="37"/>
        <v>0</v>
      </c>
      <c r="W251" s="39">
        <f t="shared" si="32"/>
        <v>0</v>
      </c>
      <c r="X251" s="40">
        <f t="shared" si="35"/>
        <v>0</v>
      </c>
      <c r="Y251"/>
      <c r="Z251"/>
      <c r="AA251"/>
    </row>
    <row r="252" spans="1:27" s="51" customFormat="1" ht="18.600000000000001" hidden="1" customHeight="1" x14ac:dyDescent="0.25">
      <c r="A252" s="82" t="s">
        <v>16</v>
      </c>
      <c r="B252" s="41" t="s">
        <v>601</v>
      </c>
      <c r="C252" s="42" t="s">
        <v>601</v>
      </c>
      <c r="D252" s="41">
        <v>8423153057158</v>
      </c>
      <c r="E252" s="43" t="s">
        <v>706</v>
      </c>
      <c r="F252" s="43" t="s">
        <v>429</v>
      </c>
      <c r="G252" s="43">
        <v>1</v>
      </c>
      <c r="H252" s="85" t="s">
        <v>707</v>
      </c>
      <c r="I252" s="23" t="s">
        <v>24</v>
      </c>
      <c r="J252" s="44">
        <v>100</v>
      </c>
      <c r="K252" s="45">
        <v>0.25</v>
      </c>
      <c r="L252" s="46">
        <f t="shared" si="30"/>
        <v>25</v>
      </c>
      <c r="M252" s="47">
        <f t="shared" si="31"/>
        <v>75</v>
      </c>
      <c r="N252" s="48">
        <v>0.16</v>
      </c>
      <c r="O252" s="49">
        <f t="shared" si="33"/>
        <v>12</v>
      </c>
      <c r="P252" s="50">
        <f t="shared" si="34"/>
        <v>87</v>
      </c>
      <c r="Q252" s="23"/>
      <c r="R252" s="60"/>
      <c r="S252" s="61"/>
      <c r="T252" s="62">
        <f t="shared" si="36"/>
        <v>0</v>
      </c>
      <c r="U252" s="46">
        <f t="shared" si="36"/>
        <v>0</v>
      </c>
      <c r="V252" s="63">
        <f t="shared" si="37"/>
        <v>0</v>
      </c>
      <c r="W252" s="49">
        <f t="shared" si="32"/>
        <v>0</v>
      </c>
      <c r="X252" s="50">
        <f t="shared" si="35"/>
        <v>0</v>
      </c>
      <c r="Y252"/>
      <c r="Z252"/>
      <c r="AA252"/>
    </row>
    <row r="253" spans="1:27" s="51" customFormat="1" ht="18.600000000000001" hidden="1" customHeight="1" x14ac:dyDescent="0.25">
      <c r="A253" s="80" t="s">
        <v>16</v>
      </c>
      <c r="B253" s="20" t="s">
        <v>601</v>
      </c>
      <c r="C253" s="21" t="s">
        <v>601</v>
      </c>
      <c r="D253" s="20">
        <v>8423153057165</v>
      </c>
      <c r="E253" s="22" t="s">
        <v>708</v>
      </c>
      <c r="F253" s="22" t="s">
        <v>429</v>
      </c>
      <c r="G253" s="22">
        <v>1</v>
      </c>
      <c r="H253" s="83" t="s">
        <v>709</v>
      </c>
      <c r="I253" s="23" t="s">
        <v>24</v>
      </c>
      <c r="J253" s="24">
        <v>100</v>
      </c>
      <c r="K253" s="25">
        <v>0.25</v>
      </c>
      <c r="L253" s="26">
        <f t="shared" si="30"/>
        <v>25</v>
      </c>
      <c r="M253" s="27">
        <f t="shared" si="31"/>
        <v>75</v>
      </c>
      <c r="N253" s="28">
        <v>0.16</v>
      </c>
      <c r="O253" s="29">
        <f t="shared" si="33"/>
        <v>12</v>
      </c>
      <c r="P253" s="30">
        <f t="shared" si="34"/>
        <v>87</v>
      </c>
      <c r="Q253" s="23"/>
      <c r="R253" s="52"/>
      <c r="S253" s="53"/>
      <c r="T253" s="54">
        <f t="shared" si="36"/>
        <v>0</v>
      </c>
      <c r="U253" s="26">
        <f t="shared" si="36"/>
        <v>0</v>
      </c>
      <c r="V253" s="55">
        <f t="shared" si="37"/>
        <v>0</v>
      </c>
      <c r="W253" s="29">
        <f t="shared" si="32"/>
        <v>0</v>
      </c>
      <c r="X253" s="30">
        <f t="shared" si="35"/>
        <v>0</v>
      </c>
      <c r="Y253"/>
      <c r="Z253"/>
      <c r="AA253"/>
    </row>
    <row r="254" spans="1:27" s="51" customFormat="1" ht="18.600000000000001" hidden="1" customHeight="1" x14ac:dyDescent="0.25">
      <c r="A254" s="81" t="s">
        <v>16</v>
      </c>
      <c r="B254" s="31" t="s">
        <v>601</v>
      </c>
      <c r="C254" s="32" t="s">
        <v>601</v>
      </c>
      <c r="D254" s="31">
        <v>8423153057172</v>
      </c>
      <c r="E254" s="33" t="s">
        <v>710</v>
      </c>
      <c r="F254" s="33" t="s">
        <v>429</v>
      </c>
      <c r="G254" s="33">
        <v>1</v>
      </c>
      <c r="H254" s="84" t="s">
        <v>711</v>
      </c>
      <c r="I254" s="23" t="s">
        <v>24</v>
      </c>
      <c r="J254" s="34">
        <v>100</v>
      </c>
      <c r="K254" s="35">
        <v>0.25</v>
      </c>
      <c r="L254" s="36">
        <f t="shared" si="30"/>
        <v>25</v>
      </c>
      <c r="M254" s="37">
        <f t="shared" si="31"/>
        <v>75</v>
      </c>
      <c r="N254" s="38">
        <v>0.16</v>
      </c>
      <c r="O254" s="39">
        <f t="shared" si="33"/>
        <v>12</v>
      </c>
      <c r="P254" s="40">
        <f t="shared" si="34"/>
        <v>87</v>
      </c>
      <c r="Q254" s="23"/>
      <c r="R254" s="56"/>
      <c r="S254" s="57"/>
      <c r="T254" s="58">
        <f t="shared" si="36"/>
        <v>0</v>
      </c>
      <c r="U254" s="36">
        <f t="shared" si="36"/>
        <v>0</v>
      </c>
      <c r="V254" s="59">
        <f t="shared" si="37"/>
        <v>0</v>
      </c>
      <c r="W254" s="39">
        <f t="shared" si="32"/>
        <v>0</v>
      </c>
      <c r="X254" s="40">
        <f t="shared" si="35"/>
        <v>0</v>
      </c>
      <c r="Y254"/>
      <c r="Z254"/>
      <c r="AA254"/>
    </row>
    <row r="255" spans="1:27" s="51" customFormat="1" ht="18.600000000000001" hidden="1" customHeight="1" x14ac:dyDescent="0.25">
      <c r="A255" s="82" t="s">
        <v>16</v>
      </c>
      <c r="B255" s="41" t="s">
        <v>601</v>
      </c>
      <c r="C255" s="42" t="s">
        <v>601</v>
      </c>
      <c r="D255" s="41">
        <v>8423153058001</v>
      </c>
      <c r="E255" s="43" t="s">
        <v>712</v>
      </c>
      <c r="F255" s="43" t="s">
        <v>429</v>
      </c>
      <c r="G255" s="43">
        <v>1</v>
      </c>
      <c r="H255" s="85" t="s">
        <v>713</v>
      </c>
      <c r="I255" s="23" t="s">
        <v>24</v>
      </c>
      <c r="J255" s="44">
        <v>100</v>
      </c>
      <c r="K255" s="45">
        <v>0.25</v>
      </c>
      <c r="L255" s="46">
        <f t="shared" si="30"/>
        <v>25</v>
      </c>
      <c r="M255" s="47">
        <f t="shared" si="31"/>
        <v>75</v>
      </c>
      <c r="N255" s="48">
        <v>0.16</v>
      </c>
      <c r="O255" s="49">
        <f t="shared" si="33"/>
        <v>12</v>
      </c>
      <c r="P255" s="50">
        <f t="shared" si="34"/>
        <v>87</v>
      </c>
      <c r="Q255" s="23"/>
      <c r="R255" s="60"/>
      <c r="S255" s="61"/>
      <c r="T255" s="62">
        <f t="shared" si="36"/>
        <v>0</v>
      </c>
      <c r="U255" s="46">
        <f t="shared" si="36"/>
        <v>0</v>
      </c>
      <c r="V255" s="63">
        <f t="shared" si="37"/>
        <v>0</v>
      </c>
      <c r="W255" s="49">
        <f t="shared" si="32"/>
        <v>0</v>
      </c>
      <c r="X255" s="50">
        <f t="shared" si="35"/>
        <v>0</v>
      </c>
      <c r="Y255"/>
      <c r="Z255"/>
      <c r="AA255"/>
    </row>
    <row r="256" spans="1:27" s="51" customFormat="1" ht="18.600000000000001" hidden="1" customHeight="1" x14ac:dyDescent="0.25">
      <c r="A256" s="80" t="s">
        <v>16</v>
      </c>
      <c r="B256" s="20" t="s">
        <v>601</v>
      </c>
      <c r="C256" s="21" t="s">
        <v>601</v>
      </c>
      <c r="D256" s="20">
        <v>8423153058018</v>
      </c>
      <c r="E256" s="22" t="s">
        <v>714</v>
      </c>
      <c r="F256" s="22" t="s">
        <v>429</v>
      </c>
      <c r="G256" s="22">
        <v>1</v>
      </c>
      <c r="H256" s="83" t="s">
        <v>715</v>
      </c>
      <c r="I256" s="23" t="s">
        <v>24</v>
      </c>
      <c r="J256" s="24">
        <v>100</v>
      </c>
      <c r="K256" s="25">
        <v>0.25</v>
      </c>
      <c r="L256" s="26">
        <f t="shared" si="30"/>
        <v>25</v>
      </c>
      <c r="M256" s="27">
        <f t="shared" si="31"/>
        <v>75</v>
      </c>
      <c r="N256" s="28">
        <v>0.16</v>
      </c>
      <c r="O256" s="29">
        <f t="shared" si="33"/>
        <v>12</v>
      </c>
      <c r="P256" s="30">
        <f t="shared" si="34"/>
        <v>87</v>
      </c>
      <c r="Q256" s="23"/>
      <c r="R256" s="52"/>
      <c r="S256" s="53"/>
      <c r="T256" s="54">
        <f t="shared" si="36"/>
        <v>0</v>
      </c>
      <c r="U256" s="26">
        <f t="shared" si="36"/>
        <v>0</v>
      </c>
      <c r="V256" s="55">
        <f t="shared" si="37"/>
        <v>0</v>
      </c>
      <c r="W256" s="29">
        <f t="shared" si="32"/>
        <v>0</v>
      </c>
      <c r="X256" s="30">
        <f t="shared" si="35"/>
        <v>0</v>
      </c>
      <c r="Y256"/>
      <c r="Z256"/>
      <c r="AA256"/>
    </row>
    <row r="257" spans="1:27" s="51" customFormat="1" ht="18.600000000000001" hidden="1" customHeight="1" x14ac:dyDescent="0.25">
      <c r="A257" s="81" t="s">
        <v>16</v>
      </c>
      <c r="B257" s="31" t="s">
        <v>601</v>
      </c>
      <c r="C257" s="32" t="s">
        <v>601</v>
      </c>
      <c r="D257" s="31">
        <v>8423153058025</v>
      </c>
      <c r="E257" s="33" t="s">
        <v>716</v>
      </c>
      <c r="F257" s="33" t="s">
        <v>429</v>
      </c>
      <c r="G257" s="33">
        <v>1</v>
      </c>
      <c r="H257" s="84" t="s">
        <v>717</v>
      </c>
      <c r="I257" s="23" t="s">
        <v>24</v>
      </c>
      <c r="J257" s="34">
        <v>100</v>
      </c>
      <c r="K257" s="35">
        <v>0.25</v>
      </c>
      <c r="L257" s="36">
        <f t="shared" si="30"/>
        <v>25</v>
      </c>
      <c r="M257" s="37">
        <f t="shared" si="31"/>
        <v>75</v>
      </c>
      <c r="N257" s="38">
        <v>0.16</v>
      </c>
      <c r="O257" s="39">
        <f t="shared" si="33"/>
        <v>12</v>
      </c>
      <c r="P257" s="40">
        <f t="shared" si="34"/>
        <v>87</v>
      </c>
      <c r="Q257" s="23"/>
      <c r="R257" s="56"/>
      <c r="S257" s="57"/>
      <c r="T257" s="58">
        <f t="shared" si="36"/>
        <v>0</v>
      </c>
      <c r="U257" s="36">
        <f t="shared" si="36"/>
        <v>0</v>
      </c>
      <c r="V257" s="59">
        <f t="shared" si="37"/>
        <v>0</v>
      </c>
      <c r="W257" s="39">
        <f t="shared" si="32"/>
        <v>0</v>
      </c>
      <c r="X257" s="40">
        <f t="shared" si="35"/>
        <v>0</v>
      </c>
      <c r="Y257"/>
      <c r="Z257"/>
      <c r="AA257"/>
    </row>
    <row r="258" spans="1:27" s="51" customFormat="1" ht="18.600000000000001" hidden="1" customHeight="1" x14ac:dyDescent="0.25">
      <c r="A258" s="82" t="s">
        <v>16</v>
      </c>
      <c r="B258" s="41" t="s">
        <v>601</v>
      </c>
      <c r="C258" s="42" t="s">
        <v>601</v>
      </c>
      <c r="D258" s="41">
        <v>8423153058346</v>
      </c>
      <c r="E258" s="43" t="s">
        <v>718</v>
      </c>
      <c r="F258" s="43" t="s">
        <v>429</v>
      </c>
      <c r="G258" s="43">
        <v>1</v>
      </c>
      <c r="H258" s="85" t="s">
        <v>27</v>
      </c>
      <c r="I258" s="23" t="s">
        <v>24</v>
      </c>
      <c r="J258" s="44">
        <v>100</v>
      </c>
      <c r="K258" s="45">
        <v>0.25</v>
      </c>
      <c r="L258" s="46">
        <f t="shared" si="30"/>
        <v>25</v>
      </c>
      <c r="M258" s="47">
        <f t="shared" si="31"/>
        <v>75</v>
      </c>
      <c r="N258" s="48">
        <v>0.16</v>
      </c>
      <c r="O258" s="49">
        <f t="shared" si="33"/>
        <v>12</v>
      </c>
      <c r="P258" s="50">
        <f t="shared" si="34"/>
        <v>87</v>
      </c>
      <c r="Q258" s="23"/>
      <c r="R258" s="60"/>
      <c r="S258" s="61"/>
      <c r="T258" s="62">
        <f t="shared" si="36"/>
        <v>0</v>
      </c>
      <c r="U258" s="46">
        <f t="shared" si="36"/>
        <v>0</v>
      </c>
      <c r="V258" s="63">
        <f t="shared" si="37"/>
        <v>0</v>
      </c>
      <c r="W258" s="49">
        <f t="shared" si="32"/>
        <v>0</v>
      </c>
      <c r="X258" s="50">
        <f t="shared" si="35"/>
        <v>0</v>
      </c>
      <c r="Y258"/>
      <c r="Z258"/>
      <c r="AA258"/>
    </row>
    <row r="259" spans="1:27" s="51" customFormat="1" ht="18.600000000000001" hidden="1" customHeight="1" x14ac:dyDescent="0.25">
      <c r="A259" s="80" t="s">
        <v>16</v>
      </c>
      <c r="B259" s="20" t="s">
        <v>601</v>
      </c>
      <c r="C259" s="21" t="s">
        <v>601</v>
      </c>
      <c r="D259" s="20">
        <v>8423153058353</v>
      </c>
      <c r="E259" s="22" t="s">
        <v>719</v>
      </c>
      <c r="F259" s="22" t="s">
        <v>429</v>
      </c>
      <c r="G259" s="22">
        <v>1</v>
      </c>
      <c r="H259" s="83" t="s">
        <v>720</v>
      </c>
      <c r="I259" s="23" t="s">
        <v>24</v>
      </c>
      <c r="J259" s="24">
        <v>100</v>
      </c>
      <c r="K259" s="25">
        <v>0.25</v>
      </c>
      <c r="L259" s="26">
        <f t="shared" si="30"/>
        <v>25</v>
      </c>
      <c r="M259" s="27">
        <f t="shared" si="31"/>
        <v>75</v>
      </c>
      <c r="N259" s="28">
        <v>0.16</v>
      </c>
      <c r="O259" s="29">
        <f t="shared" si="33"/>
        <v>12</v>
      </c>
      <c r="P259" s="30">
        <f t="shared" si="34"/>
        <v>87</v>
      </c>
      <c r="Q259" s="23"/>
      <c r="R259" s="52"/>
      <c r="S259" s="53"/>
      <c r="T259" s="54">
        <f t="shared" si="36"/>
        <v>0</v>
      </c>
      <c r="U259" s="26">
        <f t="shared" si="36"/>
        <v>0</v>
      </c>
      <c r="V259" s="55">
        <f t="shared" si="37"/>
        <v>0</v>
      </c>
      <c r="W259" s="29">
        <f t="shared" si="32"/>
        <v>0</v>
      </c>
      <c r="X259" s="30">
        <f t="shared" si="35"/>
        <v>0</v>
      </c>
      <c r="Y259"/>
      <c r="Z259"/>
      <c r="AA259"/>
    </row>
    <row r="260" spans="1:27" s="51" customFormat="1" ht="18.600000000000001" hidden="1" customHeight="1" x14ac:dyDescent="0.25">
      <c r="A260" s="81" t="s">
        <v>16</v>
      </c>
      <c r="B260" s="31" t="s">
        <v>601</v>
      </c>
      <c r="C260" s="32" t="s">
        <v>601</v>
      </c>
      <c r="D260" s="31">
        <v>8423153060042</v>
      </c>
      <c r="E260" s="33" t="s">
        <v>721</v>
      </c>
      <c r="F260" s="33" t="s">
        <v>429</v>
      </c>
      <c r="G260" s="33">
        <v>1</v>
      </c>
      <c r="H260" s="84" t="s">
        <v>722</v>
      </c>
      <c r="I260" s="23" t="s">
        <v>24</v>
      </c>
      <c r="J260" s="34">
        <v>100</v>
      </c>
      <c r="K260" s="35">
        <v>0.25</v>
      </c>
      <c r="L260" s="36">
        <f t="shared" si="30"/>
        <v>25</v>
      </c>
      <c r="M260" s="37">
        <f t="shared" si="31"/>
        <v>75</v>
      </c>
      <c r="N260" s="38">
        <v>0.16</v>
      </c>
      <c r="O260" s="39">
        <f t="shared" si="33"/>
        <v>12</v>
      </c>
      <c r="P260" s="40">
        <f t="shared" si="34"/>
        <v>87</v>
      </c>
      <c r="Q260" s="23"/>
      <c r="R260" s="56"/>
      <c r="S260" s="57"/>
      <c r="T260" s="58">
        <f t="shared" si="36"/>
        <v>0</v>
      </c>
      <c r="U260" s="36">
        <f t="shared" si="36"/>
        <v>0</v>
      </c>
      <c r="V260" s="59">
        <f t="shared" si="37"/>
        <v>0</v>
      </c>
      <c r="W260" s="39">
        <f t="shared" si="32"/>
        <v>0</v>
      </c>
      <c r="X260" s="40">
        <f t="shared" si="35"/>
        <v>0</v>
      </c>
      <c r="Y260"/>
      <c r="Z260"/>
      <c r="AA260"/>
    </row>
    <row r="261" spans="1:27" s="51" customFormat="1" ht="18.600000000000001" hidden="1" customHeight="1" x14ac:dyDescent="0.25">
      <c r="A261" s="82" t="s">
        <v>16</v>
      </c>
      <c r="B261" s="41" t="s">
        <v>601</v>
      </c>
      <c r="C261" s="42" t="s">
        <v>601</v>
      </c>
      <c r="D261" s="41">
        <v>8423153060059</v>
      </c>
      <c r="E261" s="43" t="s">
        <v>723</v>
      </c>
      <c r="F261" s="43" t="s">
        <v>429</v>
      </c>
      <c r="G261" s="43">
        <v>1</v>
      </c>
      <c r="H261" s="85" t="s">
        <v>724</v>
      </c>
      <c r="I261" s="23" t="s">
        <v>24</v>
      </c>
      <c r="J261" s="44">
        <v>100</v>
      </c>
      <c r="K261" s="45">
        <v>0.25</v>
      </c>
      <c r="L261" s="46">
        <f t="shared" si="30"/>
        <v>25</v>
      </c>
      <c r="M261" s="47">
        <f t="shared" si="31"/>
        <v>75</v>
      </c>
      <c r="N261" s="48">
        <v>0.16</v>
      </c>
      <c r="O261" s="49">
        <f t="shared" si="33"/>
        <v>12</v>
      </c>
      <c r="P261" s="50">
        <f t="shared" si="34"/>
        <v>87</v>
      </c>
      <c r="Q261" s="23"/>
      <c r="R261" s="60"/>
      <c r="S261" s="61"/>
      <c r="T261" s="62">
        <f t="shared" si="36"/>
        <v>0</v>
      </c>
      <c r="U261" s="46">
        <f t="shared" si="36"/>
        <v>0</v>
      </c>
      <c r="V261" s="63">
        <f t="shared" si="37"/>
        <v>0</v>
      </c>
      <c r="W261" s="49">
        <f t="shared" si="32"/>
        <v>0</v>
      </c>
      <c r="X261" s="50">
        <f t="shared" si="35"/>
        <v>0</v>
      </c>
      <c r="Y261"/>
      <c r="Z261"/>
      <c r="AA261"/>
    </row>
    <row r="262" spans="1:27" s="51" customFormat="1" ht="18.600000000000001" hidden="1" customHeight="1" x14ac:dyDescent="0.25">
      <c r="A262" s="80" t="s">
        <v>16</v>
      </c>
      <c r="B262" s="20" t="s">
        <v>601</v>
      </c>
      <c r="C262" s="21" t="s">
        <v>601</v>
      </c>
      <c r="D262" s="20">
        <v>8423153060066</v>
      </c>
      <c r="E262" s="22" t="s">
        <v>725</v>
      </c>
      <c r="F262" s="22" t="s">
        <v>429</v>
      </c>
      <c r="G262" s="22">
        <v>1</v>
      </c>
      <c r="H262" s="83" t="s">
        <v>726</v>
      </c>
      <c r="I262" s="23" t="s">
        <v>24</v>
      </c>
      <c r="J262" s="24">
        <v>100</v>
      </c>
      <c r="K262" s="25">
        <v>0.25</v>
      </c>
      <c r="L262" s="26">
        <f t="shared" si="30"/>
        <v>25</v>
      </c>
      <c r="M262" s="27">
        <f t="shared" si="31"/>
        <v>75</v>
      </c>
      <c r="N262" s="28">
        <v>0.16</v>
      </c>
      <c r="O262" s="29">
        <f t="shared" si="33"/>
        <v>12</v>
      </c>
      <c r="P262" s="30">
        <f t="shared" si="34"/>
        <v>87</v>
      </c>
      <c r="Q262" s="23"/>
      <c r="R262" s="52"/>
      <c r="S262" s="53"/>
      <c r="T262" s="54">
        <f t="shared" si="36"/>
        <v>0</v>
      </c>
      <c r="U262" s="26">
        <f t="shared" si="36"/>
        <v>0</v>
      </c>
      <c r="V262" s="55">
        <f t="shared" si="37"/>
        <v>0</v>
      </c>
      <c r="W262" s="29">
        <f t="shared" si="32"/>
        <v>0</v>
      </c>
      <c r="X262" s="30">
        <f t="shared" si="35"/>
        <v>0</v>
      </c>
      <c r="Y262"/>
      <c r="Z262"/>
      <c r="AA262"/>
    </row>
    <row r="263" spans="1:27" s="51" customFormat="1" ht="18.600000000000001" hidden="1" customHeight="1" x14ac:dyDescent="0.25">
      <c r="A263" s="81" t="s">
        <v>16</v>
      </c>
      <c r="B263" s="31" t="s">
        <v>601</v>
      </c>
      <c r="C263" s="32" t="s">
        <v>601</v>
      </c>
      <c r="D263" s="31">
        <v>8423153060073</v>
      </c>
      <c r="E263" s="33" t="s">
        <v>727</v>
      </c>
      <c r="F263" s="33" t="s">
        <v>429</v>
      </c>
      <c r="G263" s="33">
        <v>1</v>
      </c>
      <c r="H263" s="84" t="s">
        <v>728</v>
      </c>
      <c r="I263" s="23" t="s">
        <v>24</v>
      </c>
      <c r="J263" s="34">
        <v>100</v>
      </c>
      <c r="K263" s="35">
        <v>0.25</v>
      </c>
      <c r="L263" s="36">
        <f t="shared" si="30"/>
        <v>25</v>
      </c>
      <c r="M263" s="37">
        <f t="shared" si="31"/>
        <v>75</v>
      </c>
      <c r="N263" s="38">
        <v>0.16</v>
      </c>
      <c r="O263" s="39">
        <f t="shared" si="33"/>
        <v>12</v>
      </c>
      <c r="P263" s="40">
        <f t="shared" si="34"/>
        <v>87</v>
      </c>
      <c r="Q263" s="23"/>
      <c r="R263" s="56"/>
      <c r="S263" s="57"/>
      <c r="T263" s="58">
        <f t="shared" si="36"/>
        <v>0</v>
      </c>
      <c r="U263" s="36">
        <f t="shared" si="36"/>
        <v>0</v>
      </c>
      <c r="V263" s="59">
        <f t="shared" si="37"/>
        <v>0</v>
      </c>
      <c r="W263" s="39">
        <f t="shared" si="32"/>
        <v>0</v>
      </c>
      <c r="X263" s="40">
        <f t="shared" si="35"/>
        <v>0</v>
      </c>
      <c r="Y263"/>
      <c r="Z263"/>
      <c r="AA263"/>
    </row>
    <row r="264" spans="1:27" s="51" customFormat="1" ht="18.600000000000001" hidden="1" customHeight="1" x14ac:dyDescent="0.25">
      <c r="A264" s="82" t="s">
        <v>16</v>
      </c>
      <c r="B264" s="41" t="s">
        <v>729</v>
      </c>
      <c r="C264" s="42" t="s">
        <v>730</v>
      </c>
      <c r="D264" s="41" t="s">
        <v>731</v>
      </c>
      <c r="E264" s="43" t="s">
        <v>732</v>
      </c>
      <c r="F264" s="43" t="s">
        <v>429</v>
      </c>
      <c r="G264" s="43" t="s">
        <v>364</v>
      </c>
      <c r="H264" s="85" t="s">
        <v>733</v>
      </c>
      <c r="I264" s="23" t="s">
        <v>24</v>
      </c>
      <c r="J264" s="44">
        <v>780</v>
      </c>
      <c r="K264" s="45">
        <v>0.25</v>
      </c>
      <c r="L264" s="46">
        <f t="shared" si="30"/>
        <v>195</v>
      </c>
      <c r="M264" s="47">
        <f t="shared" si="31"/>
        <v>585</v>
      </c>
      <c r="N264" s="48">
        <v>0.16</v>
      </c>
      <c r="O264" s="49">
        <f t="shared" si="33"/>
        <v>93.600000000000009</v>
      </c>
      <c r="P264" s="50">
        <f t="shared" si="34"/>
        <v>678.6</v>
      </c>
      <c r="Q264" s="23"/>
      <c r="R264" s="60"/>
      <c r="S264" s="61"/>
      <c r="T264" s="62">
        <f t="shared" si="36"/>
        <v>0</v>
      </c>
      <c r="U264" s="46">
        <f t="shared" si="36"/>
        <v>0</v>
      </c>
      <c r="V264" s="63">
        <f t="shared" si="37"/>
        <v>0</v>
      </c>
      <c r="W264" s="49">
        <f t="shared" si="32"/>
        <v>0</v>
      </c>
      <c r="X264" s="50">
        <f t="shared" si="35"/>
        <v>0</v>
      </c>
      <c r="Y264"/>
      <c r="Z264"/>
      <c r="AA264"/>
    </row>
    <row r="265" spans="1:27" s="51" customFormat="1" ht="18.600000000000001" hidden="1" customHeight="1" x14ac:dyDescent="0.25">
      <c r="A265" s="80" t="s">
        <v>16</v>
      </c>
      <c r="B265" s="20" t="s">
        <v>729</v>
      </c>
      <c r="C265" s="21" t="s">
        <v>734</v>
      </c>
      <c r="D265" s="20" t="s">
        <v>735</v>
      </c>
      <c r="E265" s="22" t="s">
        <v>736</v>
      </c>
      <c r="F265" s="22" t="s">
        <v>429</v>
      </c>
      <c r="G265" s="22" t="s">
        <v>364</v>
      </c>
      <c r="H265" s="83" t="s">
        <v>737</v>
      </c>
      <c r="I265" s="23" t="s">
        <v>24</v>
      </c>
      <c r="J265" s="24">
        <v>780</v>
      </c>
      <c r="K265" s="25">
        <v>0.25</v>
      </c>
      <c r="L265" s="26">
        <f t="shared" si="30"/>
        <v>195</v>
      </c>
      <c r="M265" s="27">
        <f t="shared" si="31"/>
        <v>585</v>
      </c>
      <c r="N265" s="28">
        <v>0.16</v>
      </c>
      <c r="O265" s="29">
        <f t="shared" si="33"/>
        <v>93.600000000000009</v>
      </c>
      <c r="P265" s="30">
        <f t="shared" si="34"/>
        <v>678.6</v>
      </c>
      <c r="Q265" s="23"/>
      <c r="R265" s="52"/>
      <c r="S265" s="53"/>
      <c r="T265" s="54">
        <f t="shared" ref="T265:U280" si="38">+S265*J265</f>
        <v>0</v>
      </c>
      <c r="U265" s="26">
        <f t="shared" si="38"/>
        <v>0</v>
      </c>
      <c r="V265" s="55">
        <f t="shared" si="37"/>
        <v>0</v>
      </c>
      <c r="W265" s="29">
        <f t="shared" si="32"/>
        <v>0</v>
      </c>
      <c r="X265" s="30">
        <f t="shared" si="35"/>
        <v>0</v>
      </c>
      <c r="Y265"/>
      <c r="Z265"/>
      <c r="AA265"/>
    </row>
    <row r="266" spans="1:27" s="51" customFormat="1" ht="18.600000000000001" hidden="1" customHeight="1" x14ac:dyDescent="0.25">
      <c r="A266" s="81" t="s">
        <v>16</v>
      </c>
      <c r="B266" s="31" t="s">
        <v>729</v>
      </c>
      <c r="C266" s="32" t="s">
        <v>734</v>
      </c>
      <c r="D266" s="31" t="s">
        <v>738</v>
      </c>
      <c r="E266" s="33" t="s">
        <v>739</v>
      </c>
      <c r="F266" s="33" t="s">
        <v>429</v>
      </c>
      <c r="G266" s="33" t="s">
        <v>364</v>
      </c>
      <c r="H266" s="84" t="s">
        <v>740</v>
      </c>
      <c r="I266" s="23" t="s">
        <v>24</v>
      </c>
      <c r="J266" s="34">
        <v>780</v>
      </c>
      <c r="K266" s="35">
        <v>0.25</v>
      </c>
      <c r="L266" s="36">
        <f t="shared" ref="L266:L329" si="39">+J266*K266</f>
        <v>195</v>
      </c>
      <c r="M266" s="37">
        <f t="shared" ref="M266:M329" si="40">+J266-L266</f>
        <v>585</v>
      </c>
      <c r="N266" s="38">
        <v>0.16</v>
      </c>
      <c r="O266" s="39">
        <f t="shared" si="33"/>
        <v>93.600000000000009</v>
      </c>
      <c r="P266" s="40">
        <f t="shared" si="34"/>
        <v>678.6</v>
      </c>
      <c r="Q266" s="23"/>
      <c r="R266" s="56"/>
      <c r="S266" s="57"/>
      <c r="T266" s="58">
        <f t="shared" si="38"/>
        <v>0</v>
      </c>
      <c r="U266" s="36">
        <f t="shared" si="38"/>
        <v>0</v>
      </c>
      <c r="V266" s="59">
        <f t="shared" si="37"/>
        <v>0</v>
      </c>
      <c r="W266" s="39">
        <f t="shared" ref="W266:W329" si="41">+V266*N266</f>
        <v>0</v>
      </c>
      <c r="X266" s="40">
        <f t="shared" si="35"/>
        <v>0</v>
      </c>
      <c r="Y266"/>
      <c r="Z266"/>
      <c r="AA266"/>
    </row>
    <row r="267" spans="1:27" s="51" customFormat="1" ht="18.600000000000001" hidden="1" customHeight="1" x14ac:dyDescent="0.25">
      <c r="A267" s="82" t="s">
        <v>16</v>
      </c>
      <c r="B267" s="41" t="s">
        <v>729</v>
      </c>
      <c r="C267" s="42" t="s">
        <v>730</v>
      </c>
      <c r="D267" s="41" t="s">
        <v>741</v>
      </c>
      <c r="E267" s="43" t="s">
        <v>742</v>
      </c>
      <c r="F267" s="43" t="s">
        <v>429</v>
      </c>
      <c r="G267" s="43" t="s">
        <v>743</v>
      </c>
      <c r="H267" s="85" t="s">
        <v>744</v>
      </c>
      <c r="I267" s="23" t="s">
        <v>24</v>
      </c>
      <c r="J267" s="44">
        <v>380</v>
      </c>
      <c r="K267" s="45">
        <v>0.25</v>
      </c>
      <c r="L267" s="46">
        <f t="shared" si="39"/>
        <v>95</v>
      </c>
      <c r="M267" s="47">
        <f t="shared" si="40"/>
        <v>285</v>
      </c>
      <c r="N267" s="48">
        <v>0.16</v>
      </c>
      <c r="O267" s="49">
        <f t="shared" ref="O267:O330" si="42">+M267*N267</f>
        <v>45.6</v>
      </c>
      <c r="P267" s="50">
        <f t="shared" ref="P267:P330" si="43">+M267+O267</f>
        <v>330.6</v>
      </c>
      <c r="Q267" s="23"/>
      <c r="R267" s="60"/>
      <c r="S267" s="61"/>
      <c r="T267" s="62">
        <f t="shared" si="38"/>
        <v>0</v>
      </c>
      <c r="U267" s="46">
        <f t="shared" si="38"/>
        <v>0</v>
      </c>
      <c r="V267" s="63">
        <f t="shared" si="37"/>
        <v>0</v>
      </c>
      <c r="W267" s="49">
        <f t="shared" si="41"/>
        <v>0</v>
      </c>
      <c r="X267" s="50">
        <f t="shared" ref="X267:X330" si="44">+V267+W267</f>
        <v>0</v>
      </c>
      <c r="Y267"/>
      <c r="Z267"/>
      <c r="AA267"/>
    </row>
    <row r="268" spans="1:27" s="51" customFormat="1" ht="18.600000000000001" hidden="1" customHeight="1" x14ac:dyDescent="0.25">
      <c r="A268" s="80" t="s">
        <v>16</v>
      </c>
      <c r="B268" s="20" t="s">
        <v>729</v>
      </c>
      <c r="C268" s="21" t="s">
        <v>730</v>
      </c>
      <c r="D268" s="20" t="s">
        <v>745</v>
      </c>
      <c r="E268" s="22" t="s">
        <v>746</v>
      </c>
      <c r="F268" s="22" t="s">
        <v>429</v>
      </c>
      <c r="G268" s="22" t="s">
        <v>743</v>
      </c>
      <c r="H268" s="83" t="s">
        <v>747</v>
      </c>
      <c r="I268" s="23" t="s">
        <v>24</v>
      </c>
      <c r="J268" s="24">
        <v>380</v>
      </c>
      <c r="K268" s="25">
        <v>0.25</v>
      </c>
      <c r="L268" s="26">
        <f t="shared" si="39"/>
        <v>95</v>
      </c>
      <c r="M268" s="27">
        <f t="shared" si="40"/>
        <v>285</v>
      </c>
      <c r="N268" s="28">
        <v>0.16</v>
      </c>
      <c r="O268" s="29">
        <f t="shared" si="42"/>
        <v>45.6</v>
      </c>
      <c r="P268" s="30">
        <f t="shared" si="43"/>
        <v>330.6</v>
      </c>
      <c r="Q268" s="23"/>
      <c r="R268" s="52"/>
      <c r="S268" s="53"/>
      <c r="T268" s="54">
        <f t="shared" si="38"/>
        <v>0</v>
      </c>
      <c r="U268" s="26">
        <f t="shared" si="38"/>
        <v>0</v>
      </c>
      <c r="V268" s="55">
        <f t="shared" si="37"/>
        <v>0</v>
      </c>
      <c r="W268" s="29">
        <f t="shared" si="41"/>
        <v>0</v>
      </c>
      <c r="X268" s="30">
        <f t="shared" si="44"/>
        <v>0</v>
      </c>
      <c r="Y268"/>
      <c r="Z268"/>
      <c r="AA268"/>
    </row>
    <row r="269" spans="1:27" s="51" customFormat="1" ht="18.600000000000001" hidden="1" customHeight="1" x14ac:dyDescent="0.25">
      <c r="A269" s="81" t="s">
        <v>16</v>
      </c>
      <c r="B269" s="31" t="s">
        <v>729</v>
      </c>
      <c r="C269" s="32" t="s">
        <v>734</v>
      </c>
      <c r="D269" s="31" t="s">
        <v>748</v>
      </c>
      <c r="E269" s="33" t="s">
        <v>749</v>
      </c>
      <c r="F269" s="33" t="s">
        <v>429</v>
      </c>
      <c r="G269" s="33" t="s">
        <v>743</v>
      </c>
      <c r="H269" s="84" t="s">
        <v>750</v>
      </c>
      <c r="I269" s="23" t="s">
        <v>24</v>
      </c>
      <c r="J269" s="34">
        <v>380</v>
      </c>
      <c r="K269" s="35">
        <v>0.25</v>
      </c>
      <c r="L269" s="36">
        <f t="shared" si="39"/>
        <v>95</v>
      </c>
      <c r="M269" s="37">
        <f t="shared" si="40"/>
        <v>285</v>
      </c>
      <c r="N269" s="38">
        <v>0.16</v>
      </c>
      <c r="O269" s="39">
        <f t="shared" si="42"/>
        <v>45.6</v>
      </c>
      <c r="P269" s="40">
        <f t="shared" si="43"/>
        <v>330.6</v>
      </c>
      <c r="Q269" s="23"/>
      <c r="R269" s="56"/>
      <c r="S269" s="57"/>
      <c r="T269" s="58">
        <f t="shared" si="38"/>
        <v>0</v>
      </c>
      <c r="U269" s="36">
        <f t="shared" si="38"/>
        <v>0</v>
      </c>
      <c r="V269" s="59">
        <f t="shared" si="37"/>
        <v>0</v>
      </c>
      <c r="W269" s="39">
        <f t="shared" si="41"/>
        <v>0</v>
      </c>
      <c r="X269" s="40">
        <f t="shared" si="44"/>
        <v>0</v>
      </c>
      <c r="Y269"/>
      <c r="Z269"/>
      <c r="AA269"/>
    </row>
    <row r="270" spans="1:27" s="51" customFormat="1" ht="18.600000000000001" hidden="1" customHeight="1" x14ac:dyDescent="0.25">
      <c r="A270" s="82" t="s">
        <v>16</v>
      </c>
      <c r="B270" s="41" t="s">
        <v>729</v>
      </c>
      <c r="C270" s="42" t="s">
        <v>734</v>
      </c>
      <c r="D270" s="41" t="s">
        <v>751</v>
      </c>
      <c r="E270" s="43" t="s">
        <v>752</v>
      </c>
      <c r="F270" s="43" t="s">
        <v>429</v>
      </c>
      <c r="G270" s="43" t="s">
        <v>743</v>
      </c>
      <c r="H270" s="85" t="s">
        <v>753</v>
      </c>
      <c r="I270" s="23" t="s">
        <v>24</v>
      </c>
      <c r="J270" s="44">
        <v>380</v>
      </c>
      <c r="K270" s="45">
        <v>0.25</v>
      </c>
      <c r="L270" s="46">
        <f t="shared" si="39"/>
        <v>95</v>
      </c>
      <c r="M270" s="47">
        <f t="shared" si="40"/>
        <v>285</v>
      </c>
      <c r="N270" s="48">
        <v>0.16</v>
      </c>
      <c r="O270" s="49">
        <f t="shared" si="42"/>
        <v>45.6</v>
      </c>
      <c r="P270" s="50">
        <f t="shared" si="43"/>
        <v>330.6</v>
      </c>
      <c r="Q270" s="23"/>
      <c r="R270" s="60"/>
      <c r="S270" s="61"/>
      <c r="T270" s="62">
        <f t="shared" si="38"/>
        <v>0</v>
      </c>
      <c r="U270" s="46">
        <f t="shared" si="38"/>
        <v>0</v>
      </c>
      <c r="V270" s="63">
        <f t="shared" si="37"/>
        <v>0</v>
      </c>
      <c r="W270" s="49">
        <f t="shared" si="41"/>
        <v>0</v>
      </c>
      <c r="X270" s="50">
        <f t="shared" si="44"/>
        <v>0</v>
      </c>
      <c r="Y270"/>
      <c r="Z270"/>
      <c r="AA270"/>
    </row>
    <row r="271" spans="1:27" s="51" customFormat="1" ht="18.600000000000001" hidden="1" customHeight="1" x14ac:dyDescent="0.25">
      <c r="A271" s="80" t="s">
        <v>16</v>
      </c>
      <c r="B271" s="20" t="s">
        <v>729</v>
      </c>
      <c r="C271" s="21" t="s">
        <v>734</v>
      </c>
      <c r="D271" s="20" t="s">
        <v>754</v>
      </c>
      <c r="E271" s="22" t="s">
        <v>755</v>
      </c>
      <c r="F271" s="22" t="s">
        <v>429</v>
      </c>
      <c r="G271" s="22" t="s">
        <v>743</v>
      </c>
      <c r="H271" s="83" t="s">
        <v>756</v>
      </c>
      <c r="I271" s="23" t="s">
        <v>24</v>
      </c>
      <c r="J271" s="24">
        <v>380</v>
      </c>
      <c r="K271" s="25">
        <v>0.25</v>
      </c>
      <c r="L271" s="26">
        <f t="shared" si="39"/>
        <v>95</v>
      </c>
      <c r="M271" s="27">
        <f t="shared" si="40"/>
        <v>285</v>
      </c>
      <c r="N271" s="28">
        <v>0.16</v>
      </c>
      <c r="O271" s="29">
        <f t="shared" si="42"/>
        <v>45.6</v>
      </c>
      <c r="P271" s="30">
        <f t="shared" si="43"/>
        <v>330.6</v>
      </c>
      <c r="Q271" s="23"/>
      <c r="R271" s="52"/>
      <c r="S271" s="53"/>
      <c r="T271" s="54">
        <f t="shared" si="38"/>
        <v>0</v>
      </c>
      <c r="U271" s="26">
        <f t="shared" si="38"/>
        <v>0</v>
      </c>
      <c r="V271" s="55">
        <f t="shared" si="37"/>
        <v>0</v>
      </c>
      <c r="W271" s="29">
        <f t="shared" si="41"/>
        <v>0</v>
      </c>
      <c r="X271" s="30">
        <f t="shared" si="44"/>
        <v>0</v>
      </c>
      <c r="Y271"/>
      <c r="Z271"/>
      <c r="AA271"/>
    </row>
    <row r="272" spans="1:27" s="51" customFormat="1" ht="18.600000000000001" hidden="1" customHeight="1" x14ac:dyDescent="0.25">
      <c r="A272" s="81" t="s">
        <v>16</v>
      </c>
      <c r="B272" s="31" t="s">
        <v>729</v>
      </c>
      <c r="C272" s="32" t="s">
        <v>734</v>
      </c>
      <c r="D272" s="31">
        <v>8423153056427</v>
      </c>
      <c r="E272" s="33" t="s">
        <v>757</v>
      </c>
      <c r="F272" s="33" t="s">
        <v>429</v>
      </c>
      <c r="G272" s="33" t="s">
        <v>743</v>
      </c>
      <c r="H272" s="84" t="s">
        <v>758</v>
      </c>
      <c r="I272" s="23" t="s">
        <v>24</v>
      </c>
      <c r="J272" s="34">
        <v>380</v>
      </c>
      <c r="K272" s="35">
        <v>0.25</v>
      </c>
      <c r="L272" s="36">
        <f t="shared" si="39"/>
        <v>95</v>
      </c>
      <c r="M272" s="37">
        <f t="shared" si="40"/>
        <v>285</v>
      </c>
      <c r="N272" s="38">
        <v>0.16</v>
      </c>
      <c r="O272" s="39">
        <f t="shared" si="42"/>
        <v>45.6</v>
      </c>
      <c r="P272" s="40">
        <f t="shared" si="43"/>
        <v>330.6</v>
      </c>
      <c r="Q272" s="23"/>
      <c r="R272" s="56"/>
      <c r="S272" s="57"/>
      <c r="T272" s="58">
        <f t="shared" si="38"/>
        <v>0</v>
      </c>
      <c r="U272" s="36">
        <f t="shared" si="38"/>
        <v>0</v>
      </c>
      <c r="V272" s="59">
        <f t="shared" si="37"/>
        <v>0</v>
      </c>
      <c r="W272" s="39">
        <f t="shared" si="41"/>
        <v>0</v>
      </c>
      <c r="X272" s="40">
        <f t="shared" si="44"/>
        <v>0</v>
      </c>
      <c r="Y272"/>
      <c r="Z272"/>
      <c r="AA272"/>
    </row>
    <row r="273" spans="1:27" s="51" customFormat="1" ht="18.600000000000001" hidden="1" customHeight="1" x14ac:dyDescent="0.25">
      <c r="A273" s="82" t="s">
        <v>16</v>
      </c>
      <c r="B273" s="41" t="s">
        <v>729</v>
      </c>
      <c r="C273" s="42" t="s">
        <v>734</v>
      </c>
      <c r="D273" s="41" t="s">
        <v>759</v>
      </c>
      <c r="E273" s="43" t="s">
        <v>760</v>
      </c>
      <c r="F273" s="43" t="s">
        <v>429</v>
      </c>
      <c r="G273" s="43" t="s">
        <v>743</v>
      </c>
      <c r="H273" s="85" t="s">
        <v>761</v>
      </c>
      <c r="I273" s="23" t="s">
        <v>24</v>
      </c>
      <c r="J273" s="44">
        <v>380</v>
      </c>
      <c r="K273" s="45">
        <v>0.25</v>
      </c>
      <c r="L273" s="46">
        <f t="shared" si="39"/>
        <v>95</v>
      </c>
      <c r="M273" s="47">
        <f t="shared" si="40"/>
        <v>285</v>
      </c>
      <c r="N273" s="48">
        <v>0.16</v>
      </c>
      <c r="O273" s="49">
        <f t="shared" si="42"/>
        <v>45.6</v>
      </c>
      <c r="P273" s="50">
        <f t="shared" si="43"/>
        <v>330.6</v>
      </c>
      <c r="Q273" s="23"/>
      <c r="R273" s="60"/>
      <c r="S273" s="61"/>
      <c r="T273" s="62">
        <f t="shared" si="38"/>
        <v>0</v>
      </c>
      <c r="U273" s="46">
        <f t="shared" si="38"/>
        <v>0</v>
      </c>
      <c r="V273" s="63">
        <f t="shared" si="37"/>
        <v>0</v>
      </c>
      <c r="W273" s="49">
        <f t="shared" si="41"/>
        <v>0</v>
      </c>
      <c r="X273" s="50">
        <f t="shared" si="44"/>
        <v>0</v>
      </c>
      <c r="Y273"/>
      <c r="Z273"/>
      <c r="AA273"/>
    </row>
    <row r="274" spans="1:27" s="51" customFormat="1" ht="18.600000000000001" hidden="1" customHeight="1" x14ac:dyDescent="0.25">
      <c r="A274" s="80" t="s">
        <v>16</v>
      </c>
      <c r="B274" s="20" t="s">
        <v>729</v>
      </c>
      <c r="C274" s="21" t="s">
        <v>730</v>
      </c>
      <c r="D274" s="20">
        <v>8423153056519</v>
      </c>
      <c r="E274" s="22" t="s">
        <v>762</v>
      </c>
      <c r="F274" s="22" t="s">
        <v>429</v>
      </c>
      <c r="G274" s="22" t="s">
        <v>743</v>
      </c>
      <c r="H274" s="83" t="s">
        <v>763</v>
      </c>
      <c r="I274" s="23" t="s">
        <v>24</v>
      </c>
      <c r="J274" s="24">
        <v>380</v>
      </c>
      <c r="K274" s="25">
        <v>0.25</v>
      </c>
      <c r="L274" s="26">
        <f t="shared" si="39"/>
        <v>95</v>
      </c>
      <c r="M274" s="27">
        <f t="shared" si="40"/>
        <v>285</v>
      </c>
      <c r="N274" s="28">
        <v>0.16</v>
      </c>
      <c r="O274" s="29">
        <f t="shared" si="42"/>
        <v>45.6</v>
      </c>
      <c r="P274" s="30">
        <f t="shared" si="43"/>
        <v>330.6</v>
      </c>
      <c r="Q274" s="23"/>
      <c r="R274" s="52"/>
      <c r="S274" s="53"/>
      <c r="T274" s="54">
        <f t="shared" si="38"/>
        <v>0</v>
      </c>
      <c r="U274" s="26">
        <f t="shared" si="38"/>
        <v>0</v>
      </c>
      <c r="V274" s="55">
        <f t="shared" si="37"/>
        <v>0</v>
      </c>
      <c r="W274" s="29">
        <f t="shared" si="41"/>
        <v>0</v>
      </c>
      <c r="X274" s="30">
        <f t="shared" si="44"/>
        <v>0</v>
      </c>
      <c r="Y274"/>
      <c r="Z274"/>
      <c r="AA274"/>
    </row>
    <row r="275" spans="1:27" s="51" customFormat="1" ht="18.600000000000001" hidden="1" customHeight="1" x14ac:dyDescent="0.25">
      <c r="A275" s="81" t="s">
        <v>16</v>
      </c>
      <c r="B275" s="31" t="s">
        <v>729</v>
      </c>
      <c r="C275" s="32" t="s">
        <v>730</v>
      </c>
      <c r="D275" s="31" t="s">
        <v>764</v>
      </c>
      <c r="E275" s="33" t="s">
        <v>765</v>
      </c>
      <c r="F275" s="33" t="s">
        <v>429</v>
      </c>
      <c r="G275" s="33" t="s">
        <v>743</v>
      </c>
      <c r="H275" s="84" t="s">
        <v>766</v>
      </c>
      <c r="I275" s="23" t="s">
        <v>24</v>
      </c>
      <c r="J275" s="34">
        <v>380</v>
      </c>
      <c r="K275" s="35">
        <v>0.25</v>
      </c>
      <c r="L275" s="36">
        <f t="shared" si="39"/>
        <v>95</v>
      </c>
      <c r="M275" s="37">
        <f t="shared" si="40"/>
        <v>285</v>
      </c>
      <c r="N275" s="38">
        <v>0.16</v>
      </c>
      <c r="O275" s="39">
        <f t="shared" si="42"/>
        <v>45.6</v>
      </c>
      <c r="P275" s="40">
        <f t="shared" si="43"/>
        <v>330.6</v>
      </c>
      <c r="Q275" s="23"/>
      <c r="R275" s="56"/>
      <c r="S275" s="57"/>
      <c r="T275" s="58">
        <f t="shared" si="38"/>
        <v>0</v>
      </c>
      <c r="U275" s="36">
        <f t="shared" si="38"/>
        <v>0</v>
      </c>
      <c r="V275" s="59">
        <f t="shared" si="37"/>
        <v>0</v>
      </c>
      <c r="W275" s="39">
        <f t="shared" si="41"/>
        <v>0</v>
      </c>
      <c r="X275" s="40">
        <f t="shared" si="44"/>
        <v>0</v>
      </c>
      <c r="Y275"/>
      <c r="Z275"/>
      <c r="AA275"/>
    </row>
    <row r="276" spans="1:27" s="51" customFormat="1" ht="18.600000000000001" hidden="1" customHeight="1" x14ac:dyDescent="0.25">
      <c r="A276" s="82" t="s">
        <v>16</v>
      </c>
      <c r="B276" s="41" t="s">
        <v>729</v>
      </c>
      <c r="C276" s="42" t="s">
        <v>730</v>
      </c>
      <c r="D276" s="41" t="s">
        <v>767</v>
      </c>
      <c r="E276" s="43" t="s">
        <v>768</v>
      </c>
      <c r="F276" s="43" t="s">
        <v>429</v>
      </c>
      <c r="G276" s="43" t="s">
        <v>743</v>
      </c>
      <c r="H276" s="85" t="s">
        <v>769</v>
      </c>
      <c r="I276" s="23" t="s">
        <v>24</v>
      </c>
      <c r="J276" s="44">
        <v>380</v>
      </c>
      <c r="K276" s="45">
        <v>0.25</v>
      </c>
      <c r="L276" s="46">
        <f t="shared" si="39"/>
        <v>95</v>
      </c>
      <c r="M276" s="47">
        <f t="shared" si="40"/>
        <v>285</v>
      </c>
      <c r="N276" s="48">
        <v>0.16</v>
      </c>
      <c r="O276" s="49">
        <f t="shared" si="42"/>
        <v>45.6</v>
      </c>
      <c r="P276" s="50">
        <f t="shared" si="43"/>
        <v>330.6</v>
      </c>
      <c r="Q276" s="23"/>
      <c r="R276" s="60"/>
      <c r="S276" s="61"/>
      <c r="T276" s="62">
        <f t="shared" si="38"/>
        <v>0</v>
      </c>
      <c r="U276" s="46">
        <f t="shared" si="38"/>
        <v>0</v>
      </c>
      <c r="V276" s="63">
        <f t="shared" si="37"/>
        <v>0</v>
      </c>
      <c r="W276" s="49">
        <f t="shared" si="41"/>
        <v>0</v>
      </c>
      <c r="X276" s="50">
        <f t="shared" si="44"/>
        <v>0</v>
      </c>
      <c r="Y276"/>
      <c r="Z276"/>
      <c r="AA276"/>
    </row>
    <row r="277" spans="1:27" s="51" customFormat="1" ht="18.600000000000001" hidden="1" customHeight="1" x14ac:dyDescent="0.25">
      <c r="A277" s="80" t="s">
        <v>16</v>
      </c>
      <c r="B277" s="20" t="s">
        <v>729</v>
      </c>
      <c r="C277" s="21" t="s">
        <v>730</v>
      </c>
      <c r="D277" s="20" t="s">
        <v>770</v>
      </c>
      <c r="E277" s="22" t="s">
        <v>771</v>
      </c>
      <c r="F277" s="22" t="s">
        <v>429</v>
      </c>
      <c r="G277" s="22" t="s">
        <v>364</v>
      </c>
      <c r="H277" s="83" t="s">
        <v>772</v>
      </c>
      <c r="I277" s="23" t="s">
        <v>24</v>
      </c>
      <c r="J277" s="24">
        <v>780</v>
      </c>
      <c r="K277" s="25">
        <v>0.25</v>
      </c>
      <c r="L277" s="26">
        <f t="shared" si="39"/>
        <v>195</v>
      </c>
      <c r="M277" s="27">
        <f t="shared" si="40"/>
        <v>585</v>
      </c>
      <c r="N277" s="28">
        <v>0.16</v>
      </c>
      <c r="O277" s="29">
        <f t="shared" si="42"/>
        <v>93.600000000000009</v>
      </c>
      <c r="P277" s="30">
        <f t="shared" si="43"/>
        <v>678.6</v>
      </c>
      <c r="Q277" s="23"/>
      <c r="R277" s="52"/>
      <c r="S277" s="53"/>
      <c r="T277" s="54">
        <f t="shared" si="38"/>
        <v>0</v>
      </c>
      <c r="U277" s="26">
        <f t="shared" si="38"/>
        <v>0</v>
      </c>
      <c r="V277" s="55">
        <f t="shared" si="37"/>
        <v>0</v>
      </c>
      <c r="W277" s="29">
        <f t="shared" si="41"/>
        <v>0</v>
      </c>
      <c r="X277" s="30">
        <f t="shared" si="44"/>
        <v>0</v>
      </c>
      <c r="Y277"/>
      <c r="Z277"/>
      <c r="AA277"/>
    </row>
    <row r="278" spans="1:27" s="51" customFormat="1" ht="18.600000000000001" hidden="1" customHeight="1" x14ac:dyDescent="0.25">
      <c r="A278" s="81" t="s">
        <v>16</v>
      </c>
      <c r="B278" s="31" t="s">
        <v>729</v>
      </c>
      <c r="C278" s="32" t="s">
        <v>734</v>
      </c>
      <c r="D278" s="31" t="s">
        <v>773</v>
      </c>
      <c r="E278" s="33" t="s">
        <v>774</v>
      </c>
      <c r="F278" s="33" t="s">
        <v>429</v>
      </c>
      <c r="G278" s="33" t="s">
        <v>743</v>
      </c>
      <c r="H278" s="84" t="s">
        <v>775</v>
      </c>
      <c r="I278" s="23" t="s">
        <v>24</v>
      </c>
      <c r="J278" s="34">
        <v>380</v>
      </c>
      <c r="K278" s="35">
        <v>0.25</v>
      </c>
      <c r="L278" s="36">
        <f t="shared" si="39"/>
        <v>95</v>
      </c>
      <c r="M278" s="37">
        <f t="shared" si="40"/>
        <v>285</v>
      </c>
      <c r="N278" s="38">
        <v>0.16</v>
      </c>
      <c r="O278" s="39">
        <f t="shared" si="42"/>
        <v>45.6</v>
      </c>
      <c r="P278" s="40">
        <f t="shared" si="43"/>
        <v>330.6</v>
      </c>
      <c r="Q278" s="23"/>
      <c r="R278" s="56"/>
      <c r="S278" s="57"/>
      <c r="T278" s="58">
        <f t="shared" si="38"/>
        <v>0</v>
      </c>
      <c r="U278" s="36">
        <f t="shared" si="38"/>
        <v>0</v>
      </c>
      <c r="V278" s="59">
        <f t="shared" si="37"/>
        <v>0</v>
      </c>
      <c r="W278" s="39">
        <f t="shared" si="41"/>
        <v>0</v>
      </c>
      <c r="X278" s="40">
        <f t="shared" si="44"/>
        <v>0</v>
      </c>
      <c r="Y278"/>
      <c r="Z278"/>
      <c r="AA278"/>
    </row>
    <row r="279" spans="1:27" s="51" customFormat="1" ht="18.600000000000001" hidden="1" customHeight="1" x14ac:dyDescent="0.25">
      <c r="A279" s="82" t="s">
        <v>16</v>
      </c>
      <c r="B279" s="41" t="s">
        <v>729</v>
      </c>
      <c r="C279" s="42" t="s">
        <v>734</v>
      </c>
      <c r="D279" s="41">
        <v>8423153057202</v>
      </c>
      <c r="E279" s="43" t="s">
        <v>776</v>
      </c>
      <c r="F279" s="43" t="s">
        <v>429</v>
      </c>
      <c r="G279" s="43" t="s">
        <v>743</v>
      </c>
      <c r="H279" s="85" t="s">
        <v>777</v>
      </c>
      <c r="I279" s="23" t="s">
        <v>24</v>
      </c>
      <c r="J279" s="44">
        <v>380</v>
      </c>
      <c r="K279" s="45">
        <v>0.25</v>
      </c>
      <c r="L279" s="46">
        <f t="shared" si="39"/>
        <v>95</v>
      </c>
      <c r="M279" s="47">
        <f t="shared" si="40"/>
        <v>285</v>
      </c>
      <c r="N279" s="48">
        <v>0.16</v>
      </c>
      <c r="O279" s="49">
        <f t="shared" si="42"/>
        <v>45.6</v>
      </c>
      <c r="P279" s="50">
        <f t="shared" si="43"/>
        <v>330.6</v>
      </c>
      <c r="Q279" s="23"/>
      <c r="R279" s="60"/>
      <c r="S279" s="61"/>
      <c r="T279" s="62">
        <f t="shared" si="38"/>
        <v>0</v>
      </c>
      <c r="U279" s="46">
        <f t="shared" si="38"/>
        <v>0</v>
      </c>
      <c r="V279" s="63">
        <f t="shared" si="37"/>
        <v>0</v>
      </c>
      <c r="W279" s="49">
        <f t="shared" si="41"/>
        <v>0</v>
      </c>
      <c r="X279" s="50">
        <f t="shared" si="44"/>
        <v>0</v>
      </c>
      <c r="Y279"/>
      <c r="Z279"/>
      <c r="AA279"/>
    </row>
    <row r="280" spans="1:27" s="51" customFormat="1" ht="18.600000000000001" hidden="1" customHeight="1" x14ac:dyDescent="0.25">
      <c r="A280" s="80" t="s">
        <v>16</v>
      </c>
      <c r="B280" s="20" t="s">
        <v>729</v>
      </c>
      <c r="C280" s="21" t="s">
        <v>734</v>
      </c>
      <c r="D280" s="20" t="s">
        <v>778</v>
      </c>
      <c r="E280" s="22" t="s">
        <v>779</v>
      </c>
      <c r="F280" s="22" t="s">
        <v>429</v>
      </c>
      <c r="G280" s="22" t="s">
        <v>743</v>
      </c>
      <c r="H280" s="83" t="s">
        <v>780</v>
      </c>
      <c r="I280" s="23" t="s">
        <v>24</v>
      </c>
      <c r="J280" s="24">
        <v>380</v>
      </c>
      <c r="K280" s="25">
        <v>0.25</v>
      </c>
      <c r="L280" s="26">
        <f t="shared" si="39"/>
        <v>95</v>
      </c>
      <c r="M280" s="27">
        <f t="shared" si="40"/>
        <v>285</v>
      </c>
      <c r="N280" s="28">
        <v>0.16</v>
      </c>
      <c r="O280" s="29">
        <f t="shared" si="42"/>
        <v>45.6</v>
      </c>
      <c r="P280" s="30">
        <f t="shared" si="43"/>
        <v>330.6</v>
      </c>
      <c r="Q280" s="23"/>
      <c r="R280" s="52"/>
      <c r="S280" s="53"/>
      <c r="T280" s="54">
        <f t="shared" si="38"/>
        <v>0</v>
      </c>
      <c r="U280" s="26">
        <f t="shared" si="38"/>
        <v>0</v>
      </c>
      <c r="V280" s="55">
        <f t="shared" si="37"/>
        <v>0</v>
      </c>
      <c r="W280" s="29">
        <f t="shared" si="41"/>
        <v>0</v>
      </c>
      <c r="X280" s="30">
        <f t="shared" si="44"/>
        <v>0</v>
      </c>
      <c r="Y280"/>
      <c r="Z280"/>
      <c r="AA280"/>
    </row>
    <row r="281" spans="1:27" s="51" customFormat="1" ht="18.600000000000001" hidden="1" customHeight="1" x14ac:dyDescent="0.25">
      <c r="A281" s="81" t="s">
        <v>16</v>
      </c>
      <c r="B281" s="31" t="s">
        <v>729</v>
      </c>
      <c r="C281" s="32" t="s">
        <v>730</v>
      </c>
      <c r="D281" s="31" t="s">
        <v>781</v>
      </c>
      <c r="E281" s="33" t="s">
        <v>782</v>
      </c>
      <c r="F281" s="33" t="s">
        <v>429</v>
      </c>
      <c r="G281" s="33" t="s">
        <v>743</v>
      </c>
      <c r="H281" s="84" t="s">
        <v>783</v>
      </c>
      <c r="I281" s="23" t="s">
        <v>24</v>
      </c>
      <c r="J281" s="34">
        <v>380</v>
      </c>
      <c r="K281" s="35">
        <v>0.25</v>
      </c>
      <c r="L281" s="36">
        <f t="shared" si="39"/>
        <v>95</v>
      </c>
      <c r="M281" s="37">
        <f t="shared" si="40"/>
        <v>285</v>
      </c>
      <c r="N281" s="38">
        <v>0.16</v>
      </c>
      <c r="O281" s="39">
        <f t="shared" si="42"/>
        <v>45.6</v>
      </c>
      <c r="P281" s="40">
        <f t="shared" si="43"/>
        <v>330.6</v>
      </c>
      <c r="Q281" s="23"/>
      <c r="R281" s="56"/>
      <c r="S281" s="57"/>
      <c r="T281" s="58">
        <f t="shared" ref="T281:U317" si="45">+S281*J281</f>
        <v>0</v>
      </c>
      <c r="U281" s="36">
        <f t="shared" si="45"/>
        <v>0</v>
      </c>
      <c r="V281" s="59">
        <f t="shared" si="37"/>
        <v>0</v>
      </c>
      <c r="W281" s="39">
        <f t="shared" si="41"/>
        <v>0</v>
      </c>
      <c r="X281" s="40">
        <f t="shared" si="44"/>
        <v>0</v>
      </c>
      <c r="Y281"/>
      <c r="Z281"/>
      <c r="AA281"/>
    </row>
    <row r="282" spans="1:27" s="51" customFormat="1" ht="18.600000000000001" hidden="1" customHeight="1" x14ac:dyDescent="0.25">
      <c r="A282" s="82" t="s">
        <v>16</v>
      </c>
      <c r="B282" s="41" t="s">
        <v>729</v>
      </c>
      <c r="C282" s="42" t="s">
        <v>734</v>
      </c>
      <c r="D282" s="41" t="s">
        <v>784</v>
      </c>
      <c r="E282" s="43" t="s">
        <v>785</v>
      </c>
      <c r="F282" s="43" t="s">
        <v>429</v>
      </c>
      <c r="G282" s="43" t="s">
        <v>743</v>
      </c>
      <c r="H282" s="85" t="s">
        <v>786</v>
      </c>
      <c r="I282" s="23" t="s">
        <v>24</v>
      </c>
      <c r="J282" s="44">
        <v>380</v>
      </c>
      <c r="K282" s="45">
        <v>0.25</v>
      </c>
      <c r="L282" s="46">
        <f t="shared" si="39"/>
        <v>95</v>
      </c>
      <c r="M282" s="47">
        <f t="shared" si="40"/>
        <v>285</v>
      </c>
      <c r="N282" s="48">
        <v>0.16</v>
      </c>
      <c r="O282" s="49">
        <f t="shared" si="42"/>
        <v>45.6</v>
      </c>
      <c r="P282" s="50">
        <f t="shared" si="43"/>
        <v>330.6</v>
      </c>
      <c r="Q282" s="23"/>
      <c r="R282" s="60"/>
      <c r="S282" s="61"/>
      <c r="T282" s="62">
        <f t="shared" si="45"/>
        <v>0</v>
      </c>
      <c r="U282" s="46">
        <f t="shared" si="45"/>
        <v>0</v>
      </c>
      <c r="V282" s="63">
        <f t="shared" ref="V282:V345" si="46">+T282-U282</f>
        <v>0</v>
      </c>
      <c r="W282" s="49">
        <f t="shared" si="41"/>
        <v>0</v>
      </c>
      <c r="X282" s="50">
        <f t="shared" si="44"/>
        <v>0</v>
      </c>
      <c r="Y282"/>
      <c r="Z282"/>
      <c r="AA282"/>
    </row>
    <row r="283" spans="1:27" s="51" customFormat="1" ht="18.600000000000001" hidden="1" customHeight="1" x14ac:dyDescent="0.25">
      <c r="A283" s="80" t="s">
        <v>16</v>
      </c>
      <c r="B283" s="20" t="s">
        <v>729</v>
      </c>
      <c r="C283" s="21" t="s">
        <v>730</v>
      </c>
      <c r="D283" s="20" t="s">
        <v>787</v>
      </c>
      <c r="E283" s="22" t="s">
        <v>788</v>
      </c>
      <c r="F283" s="22" t="s">
        <v>429</v>
      </c>
      <c r="G283" s="22" t="s">
        <v>743</v>
      </c>
      <c r="H283" s="83" t="s">
        <v>789</v>
      </c>
      <c r="I283" s="23" t="s">
        <v>24</v>
      </c>
      <c r="J283" s="24">
        <v>380</v>
      </c>
      <c r="K283" s="25">
        <v>0.25</v>
      </c>
      <c r="L283" s="26">
        <f t="shared" si="39"/>
        <v>95</v>
      </c>
      <c r="M283" s="27">
        <f t="shared" si="40"/>
        <v>285</v>
      </c>
      <c r="N283" s="28">
        <v>0.16</v>
      </c>
      <c r="O283" s="29">
        <f t="shared" si="42"/>
        <v>45.6</v>
      </c>
      <c r="P283" s="30">
        <f t="shared" si="43"/>
        <v>330.6</v>
      </c>
      <c r="Q283" s="23"/>
      <c r="R283" s="52"/>
      <c r="S283" s="53"/>
      <c r="T283" s="54">
        <f t="shared" si="45"/>
        <v>0</v>
      </c>
      <c r="U283" s="26">
        <f t="shared" si="45"/>
        <v>0</v>
      </c>
      <c r="V283" s="55">
        <f t="shared" si="46"/>
        <v>0</v>
      </c>
      <c r="W283" s="29">
        <f t="shared" si="41"/>
        <v>0</v>
      </c>
      <c r="X283" s="30">
        <f t="shared" si="44"/>
        <v>0</v>
      </c>
      <c r="Y283"/>
      <c r="Z283"/>
      <c r="AA283"/>
    </row>
    <row r="284" spans="1:27" s="51" customFormat="1" ht="18.600000000000001" hidden="1" customHeight="1" x14ac:dyDescent="0.25">
      <c r="A284" s="81" t="s">
        <v>16</v>
      </c>
      <c r="B284" s="31" t="s">
        <v>729</v>
      </c>
      <c r="C284" s="32" t="s">
        <v>730</v>
      </c>
      <c r="D284" s="31" t="s">
        <v>790</v>
      </c>
      <c r="E284" s="33" t="s">
        <v>791</v>
      </c>
      <c r="F284" s="33" t="s">
        <v>429</v>
      </c>
      <c r="G284" s="33" t="s">
        <v>743</v>
      </c>
      <c r="H284" s="84" t="s">
        <v>792</v>
      </c>
      <c r="I284" s="23" t="s">
        <v>24</v>
      </c>
      <c r="J284" s="34">
        <v>380</v>
      </c>
      <c r="K284" s="35">
        <v>0.25</v>
      </c>
      <c r="L284" s="36">
        <f t="shared" si="39"/>
        <v>95</v>
      </c>
      <c r="M284" s="37">
        <f t="shared" si="40"/>
        <v>285</v>
      </c>
      <c r="N284" s="38">
        <v>0.16</v>
      </c>
      <c r="O284" s="39">
        <f t="shared" si="42"/>
        <v>45.6</v>
      </c>
      <c r="P284" s="40">
        <f t="shared" si="43"/>
        <v>330.6</v>
      </c>
      <c r="Q284" s="23"/>
      <c r="R284" s="56"/>
      <c r="S284" s="57"/>
      <c r="T284" s="58">
        <f t="shared" si="45"/>
        <v>0</v>
      </c>
      <c r="U284" s="36">
        <f t="shared" si="45"/>
        <v>0</v>
      </c>
      <c r="V284" s="59">
        <f t="shared" si="46"/>
        <v>0</v>
      </c>
      <c r="W284" s="39">
        <f t="shared" si="41"/>
        <v>0</v>
      </c>
      <c r="X284" s="40">
        <f t="shared" si="44"/>
        <v>0</v>
      </c>
      <c r="Y284"/>
      <c r="Z284"/>
      <c r="AA284"/>
    </row>
    <row r="285" spans="1:27" s="51" customFormat="1" ht="18.600000000000001" hidden="1" customHeight="1" x14ac:dyDescent="0.25">
      <c r="A285" s="82" t="s">
        <v>16</v>
      </c>
      <c r="B285" s="41" t="s">
        <v>729</v>
      </c>
      <c r="C285" s="42" t="s">
        <v>734</v>
      </c>
      <c r="D285" s="41" t="s">
        <v>793</v>
      </c>
      <c r="E285" s="43" t="s">
        <v>794</v>
      </c>
      <c r="F285" s="43" t="s">
        <v>429</v>
      </c>
      <c r="G285" s="43" t="s">
        <v>364</v>
      </c>
      <c r="H285" s="85" t="s">
        <v>795</v>
      </c>
      <c r="I285" s="23" t="s">
        <v>24</v>
      </c>
      <c r="J285" s="44">
        <v>780</v>
      </c>
      <c r="K285" s="45">
        <v>0.25</v>
      </c>
      <c r="L285" s="46">
        <f t="shared" si="39"/>
        <v>195</v>
      </c>
      <c r="M285" s="47">
        <f t="shared" si="40"/>
        <v>585</v>
      </c>
      <c r="N285" s="48">
        <v>0.16</v>
      </c>
      <c r="O285" s="49">
        <f t="shared" si="42"/>
        <v>93.600000000000009</v>
      </c>
      <c r="P285" s="50">
        <f t="shared" si="43"/>
        <v>678.6</v>
      </c>
      <c r="Q285" s="23"/>
      <c r="R285" s="60"/>
      <c r="S285" s="61"/>
      <c r="T285" s="62">
        <f t="shared" si="45"/>
        <v>0</v>
      </c>
      <c r="U285" s="46">
        <f t="shared" si="45"/>
        <v>0</v>
      </c>
      <c r="V285" s="63">
        <f t="shared" si="46"/>
        <v>0</v>
      </c>
      <c r="W285" s="49">
        <f t="shared" si="41"/>
        <v>0</v>
      </c>
      <c r="X285" s="50">
        <f t="shared" si="44"/>
        <v>0</v>
      </c>
      <c r="Y285"/>
      <c r="Z285"/>
      <c r="AA285"/>
    </row>
    <row r="286" spans="1:27" s="51" customFormat="1" ht="18.600000000000001" hidden="1" customHeight="1" x14ac:dyDescent="0.25">
      <c r="A286" s="80" t="s">
        <v>16</v>
      </c>
      <c r="B286" s="20" t="s">
        <v>729</v>
      </c>
      <c r="C286" s="21" t="s">
        <v>730</v>
      </c>
      <c r="D286" s="20" t="s">
        <v>796</v>
      </c>
      <c r="E286" s="22" t="s">
        <v>797</v>
      </c>
      <c r="F286" s="22" t="s">
        <v>429</v>
      </c>
      <c r="G286" s="22" t="s">
        <v>743</v>
      </c>
      <c r="H286" s="83" t="s">
        <v>798</v>
      </c>
      <c r="I286" s="23" t="s">
        <v>24</v>
      </c>
      <c r="J286" s="24">
        <v>380</v>
      </c>
      <c r="K286" s="25">
        <v>0.25</v>
      </c>
      <c r="L286" s="26">
        <f t="shared" si="39"/>
        <v>95</v>
      </c>
      <c r="M286" s="27">
        <f t="shared" si="40"/>
        <v>285</v>
      </c>
      <c r="N286" s="28">
        <v>0.16</v>
      </c>
      <c r="O286" s="29">
        <f t="shared" si="42"/>
        <v>45.6</v>
      </c>
      <c r="P286" s="30">
        <f t="shared" si="43"/>
        <v>330.6</v>
      </c>
      <c r="Q286" s="23"/>
      <c r="R286" s="52"/>
      <c r="S286" s="53"/>
      <c r="T286" s="54">
        <f t="shared" si="45"/>
        <v>0</v>
      </c>
      <c r="U286" s="26">
        <f t="shared" si="45"/>
        <v>0</v>
      </c>
      <c r="V286" s="55">
        <f t="shared" si="46"/>
        <v>0</v>
      </c>
      <c r="W286" s="29">
        <f t="shared" si="41"/>
        <v>0</v>
      </c>
      <c r="X286" s="30">
        <f t="shared" si="44"/>
        <v>0</v>
      </c>
      <c r="Y286"/>
      <c r="Z286"/>
      <c r="AA286"/>
    </row>
    <row r="287" spans="1:27" s="51" customFormat="1" ht="18.600000000000001" hidden="1" customHeight="1" x14ac:dyDescent="0.25">
      <c r="A287" s="81" t="s">
        <v>16</v>
      </c>
      <c r="B287" s="31" t="s">
        <v>729</v>
      </c>
      <c r="C287" s="32" t="s">
        <v>799</v>
      </c>
      <c r="D287" s="31" t="s">
        <v>800</v>
      </c>
      <c r="E287" s="33" t="s">
        <v>801</v>
      </c>
      <c r="F287" s="33" t="s">
        <v>429</v>
      </c>
      <c r="G287" s="33" t="s">
        <v>743</v>
      </c>
      <c r="H287" s="84" t="s">
        <v>802</v>
      </c>
      <c r="I287" s="23" t="s">
        <v>24</v>
      </c>
      <c r="J287" s="34">
        <v>380</v>
      </c>
      <c r="K287" s="35">
        <v>0.25</v>
      </c>
      <c r="L287" s="36">
        <f t="shared" si="39"/>
        <v>95</v>
      </c>
      <c r="M287" s="37">
        <f t="shared" si="40"/>
        <v>285</v>
      </c>
      <c r="N287" s="38">
        <v>0.16</v>
      </c>
      <c r="O287" s="39">
        <f t="shared" si="42"/>
        <v>45.6</v>
      </c>
      <c r="P287" s="40">
        <f t="shared" si="43"/>
        <v>330.6</v>
      </c>
      <c r="Q287" s="23"/>
      <c r="R287" s="56"/>
      <c r="S287" s="57"/>
      <c r="T287" s="58">
        <f t="shared" si="45"/>
        <v>0</v>
      </c>
      <c r="U287" s="36">
        <f t="shared" si="45"/>
        <v>0</v>
      </c>
      <c r="V287" s="59">
        <f t="shared" si="46"/>
        <v>0</v>
      </c>
      <c r="W287" s="39">
        <f t="shared" si="41"/>
        <v>0</v>
      </c>
      <c r="X287" s="40">
        <f t="shared" si="44"/>
        <v>0</v>
      </c>
      <c r="Y287"/>
      <c r="Z287"/>
      <c r="AA287"/>
    </row>
    <row r="288" spans="1:27" s="51" customFormat="1" ht="18.600000000000001" hidden="1" customHeight="1" x14ac:dyDescent="0.25">
      <c r="A288" s="82" t="s">
        <v>16</v>
      </c>
      <c r="B288" s="41" t="s">
        <v>729</v>
      </c>
      <c r="C288" s="42" t="s">
        <v>734</v>
      </c>
      <c r="D288" s="41" t="s">
        <v>803</v>
      </c>
      <c r="E288" s="43" t="s">
        <v>804</v>
      </c>
      <c r="F288" s="43" t="s">
        <v>429</v>
      </c>
      <c r="G288" s="43" t="s">
        <v>743</v>
      </c>
      <c r="H288" s="85" t="s">
        <v>805</v>
      </c>
      <c r="I288" s="23" t="s">
        <v>24</v>
      </c>
      <c r="J288" s="44">
        <v>380</v>
      </c>
      <c r="K288" s="45">
        <v>0.25</v>
      </c>
      <c r="L288" s="46">
        <f t="shared" si="39"/>
        <v>95</v>
      </c>
      <c r="M288" s="47">
        <f t="shared" si="40"/>
        <v>285</v>
      </c>
      <c r="N288" s="48">
        <v>0.16</v>
      </c>
      <c r="O288" s="49">
        <f t="shared" si="42"/>
        <v>45.6</v>
      </c>
      <c r="P288" s="50">
        <f t="shared" si="43"/>
        <v>330.6</v>
      </c>
      <c r="Q288" s="23"/>
      <c r="R288" s="60"/>
      <c r="S288" s="61"/>
      <c r="T288" s="62">
        <f t="shared" si="45"/>
        <v>0</v>
      </c>
      <c r="U288" s="46">
        <f t="shared" si="45"/>
        <v>0</v>
      </c>
      <c r="V288" s="63">
        <f t="shared" si="46"/>
        <v>0</v>
      </c>
      <c r="W288" s="49">
        <f t="shared" si="41"/>
        <v>0</v>
      </c>
      <c r="X288" s="50">
        <f t="shared" si="44"/>
        <v>0</v>
      </c>
      <c r="Y288"/>
      <c r="Z288"/>
      <c r="AA288"/>
    </row>
    <row r="289" spans="1:27" s="51" customFormat="1" ht="18.600000000000001" hidden="1" customHeight="1" x14ac:dyDescent="0.25">
      <c r="A289" s="80" t="s">
        <v>16</v>
      </c>
      <c r="B289" s="20" t="s">
        <v>729</v>
      </c>
      <c r="C289" s="21" t="s">
        <v>734</v>
      </c>
      <c r="D289" s="20" t="s">
        <v>806</v>
      </c>
      <c r="E289" s="22" t="s">
        <v>807</v>
      </c>
      <c r="F289" s="22" t="s">
        <v>429</v>
      </c>
      <c r="G289" s="22" t="s">
        <v>743</v>
      </c>
      <c r="H289" s="83" t="s">
        <v>808</v>
      </c>
      <c r="I289" s="23" t="s">
        <v>24</v>
      </c>
      <c r="J289" s="24">
        <v>380</v>
      </c>
      <c r="K289" s="25">
        <v>0.25</v>
      </c>
      <c r="L289" s="26">
        <f t="shared" si="39"/>
        <v>95</v>
      </c>
      <c r="M289" s="27">
        <f t="shared" si="40"/>
        <v>285</v>
      </c>
      <c r="N289" s="28">
        <v>0.16</v>
      </c>
      <c r="O289" s="29">
        <f t="shared" si="42"/>
        <v>45.6</v>
      </c>
      <c r="P289" s="30">
        <f t="shared" si="43"/>
        <v>330.6</v>
      </c>
      <c r="Q289" s="23"/>
      <c r="R289" s="52"/>
      <c r="S289" s="53"/>
      <c r="T289" s="54">
        <f t="shared" si="45"/>
        <v>0</v>
      </c>
      <c r="U289" s="26">
        <f t="shared" si="45"/>
        <v>0</v>
      </c>
      <c r="V289" s="55">
        <f t="shared" si="46"/>
        <v>0</v>
      </c>
      <c r="W289" s="29">
        <f t="shared" si="41"/>
        <v>0</v>
      </c>
      <c r="X289" s="30">
        <f t="shared" si="44"/>
        <v>0</v>
      </c>
      <c r="Y289"/>
      <c r="Z289"/>
      <c r="AA289"/>
    </row>
    <row r="290" spans="1:27" s="51" customFormat="1" ht="18.600000000000001" hidden="1" customHeight="1" x14ac:dyDescent="0.25">
      <c r="A290" s="81" t="s">
        <v>16</v>
      </c>
      <c r="B290" s="31" t="s">
        <v>729</v>
      </c>
      <c r="C290" s="32" t="s">
        <v>809</v>
      </c>
      <c r="D290" s="31" t="s">
        <v>810</v>
      </c>
      <c r="E290" s="33" t="s">
        <v>811</v>
      </c>
      <c r="F290" s="33" t="s">
        <v>429</v>
      </c>
      <c r="G290" s="33" t="s">
        <v>812</v>
      </c>
      <c r="H290" s="84" t="s">
        <v>813</v>
      </c>
      <c r="I290" s="23" t="s">
        <v>24</v>
      </c>
      <c r="J290" s="34">
        <v>6500</v>
      </c>
      <c r="K290" s="35">
        <v>0.25</v>
      </c>
      <c r="L290" s="36">
        <f t="shared" si="39"/>
        <v>1625</v>
      </c>
      <c r="M290" s="37">
        <f t="shared" si="40"/>
        <v>4875</v>
      </c>
      <c r="N290" s="38">
        <v>0.16</v>
      </c>
      <c r="O290" s="39">
        <f t="shared" si="42"/>
        <v>780</v>
      </c>
      <c r="P290" s="40">
        <f t="shared" si="43"/>
        <v>5655</v>
      </c>
      <c r="Q290" s="23"/>
      <c r="R290" s="56"/>
      <c r="S290" s="57"/>
      <c r="T290" s="58">
        <f t="shared" si="45"/>
        <v>0</v>
      </c>
      <c r="U290" s="36">
        <f t="shared" si="45"/>
        <v>0</v>
      </c>
      <c r="V290" s="59">
        <f t="shared" si="46"/>
        <v>0</v>
      </c>
      <c r="W290" s="39">
        <f t="shared" si="41"/>
        <v>0</v>
      </c>
      <c r="X290" s="40">
        <f t="shared" si="44"/>
        <v>0</v>
      </c>
      <c r="Y290"/>
      <c r="Z290"/>
      <c r="AA290"/>
    </row>
    <row r="291" spans="1:27" s="51" customFormat="1" ht="18.600000000000001" hidden="1" customHeight="1" x14ac:dyDescent="0.25">
      <c r="A291" s="82" t="s">
        <v>16</v>
      </c>
      <c r="B291" s="41" t="s">
        <v>729</v>
      </c>
      <c r="C291" s="42" t="s">
        <v>734</v>
      </c>
      <c r="D291" s="41">
        <v>8453153061377</v>
      </c>
      <c r="E291" s="43" t="s">
        <v>814</v>
      </c>
      <c r="F291" s="43" t="s">
        <v>429</v>
      </c>
      <c r="G291" s="43" t="s">
        <v>743</v>
      </c>
      <c r="H291" s="85" t="s">
        <v>815</v>
      </c>
      <c r="I291" s="23" t="s">
        <v>24</v>
      </c>
      <c r="J291" s="44">
        <v>380</v>
      </c>
      <c r="K291" s="45">
        <v>0.25</v>
      </c>
      <c r="L291" s="46">
        <f t="shared" si="39"/>
        <v>95</v>
      </c>
      <c r="M291" s="47">
        <f t="shared" si="40"/>
        <v>285</v>
      </c>
      <c r="N291" s="48">
        <v>0.16</v>
      </c>
      <c r="O291" s="49">
        <f t="shared" si="42"/>
        <v>45.6</v>
      </c>
      <c r="P291" s="50">
        <f t="shared" si="43"/>
        <v>330.6</v>
      </c>
      <c r="Q291" s="23"/>
      <c r="R291" s="60"/>
      <c r="S291" s="61"/>
      <c r="T291" s="62">
        <f t="shared" si="45"/>
        <v>0</v>
      </c>
      <c r="U291" s="46">
        <f t="shared" si="45"/>
        <v>0</v>
      </c>
      <c r="V291" s="63">
        <f t="shared" si="46"/>
        <v>0</v>
      </c>
      <c r="W291" s="49">
        <f t="shared" si="41"/>
        <v>0</v>
      </c>
      <c r="X291" s="50">
        <f t="shared" si="44"/>
        <v>0</v>
      </c>
      <c r="Y291"/>
      <c r="Z291"/>
      <c r="AA291"/>
    </row>
    <row r="292" spans="1:27" s="51" customFormat="1" ht="18.600000000000001" hidden="1" customHeight="1" x14ac:dyDescent="0.25">
      <c r="A292" s="80" t="s">
        <v>16</v>
      </c>
      <c r="B292" s="20" t="s">
        <v>729</v>
      </c>
      <c r="C292" s="21" t="s">
        <v>734</v>
      </c>
      <c r="D292" s="20" t="s">
        <v>816</v>
      </c>
      <c r="E292" s="22" t="s">
        <v>817</v>
      </c>
      <c r="F292" s="22" t="s">
        <v>429</v>
      </c>
      <c r="G292" s="22" t="s">
        <v>743</v>
      </c>
      <c r="H292" s="83" t="s">
        <v>818</v>
      </c>
      <c r="I292" s="23" t="s">
        <v>24</v>
      </c>
      <c r="J292" s="24">
        <v>380</v>
      </c>
      <c r="K292" s="25">
        <v>0.25</v>
      </c>
      <c r="L292" s="26">
        <f t="shared" si="39"/>
        <v>95</v>
      </c>
      <c r="M292" s="27">
        <f t="shared" si="40"/>
        <v>285</v>
      </c>
      <c r="N292" s="28">
        <v>0.16</v>
      </c>
      <c r="O292" s="29">
        <f t="shared" si="42"/>
        <v>45.6</v>
      </c>
      <c r="P292" s="30">
        <f t="shared" si="43"/>
        <v>330.6</v>
      </c>
      <c r="Q292" s="23"/>
      <c r="R292" s="52"/>
      <c r="S292" s="53"/>
      <c r="T292" s="54">
        <f t="shared" si="45"/>
        <v>0</v>
      </c>
      <c r="U292" s="26">
        <f t="shared" si="45"/>
        <v>0</v>
      </c>
      <c r="V292" s="55">
        <f t="shared" si="46"/>
        <v>0</v>
      </c>
      <c r="W292" s="29">
        <f t="shared" si="41"/>
        <v>0</v>
      </c>
      <c r="X292" s="30">
        <f t="shared" si="44"/>
        <v>0</v>
      </c>
      <c r="Y292"/>
      <c r="Z292"/>
      <c r="AA292"/>
    </row>
    <row r="293" spans="1:27" s="51" customFormat="1" ht="18.600000000000001" hidden="1" customHeight="1" x14ac:dyDescent="0.25">
      <c r="A293" s="81" t="s">
        <v>16</v>
      </c>
      <c r="B293" s="31" t="s">
        <v>729</v>
      </c>
      <c r="C293" s="32" t="s">
        <v>730</v>
      </c>
      <c r="D293" s="31" t="s">
        <v>819</v>
      </c>
      <c r="E293" s="33" t="s">
        <v>820</v>
      </c>
      <c r="F293" s="33" t="s">
        <v>429</v>
      </c>
      <c r="G293" s="33" t="s">
        <v>821</v>
      </c>
      <c r="H293" s="84" t="s">
        <v>822</v>
      </c>
      <c r="I293" s="23" t="s">
        <v>24</v>
      </c>
      <c r="J293" s="34">
        <v>300</v>
      </c>
      <c r="K293" s="35">
        <v>0.25</v>
      </c>
      <c r="L293" s="36">
        <f t="shared" si="39"/>
        <v>75</v>
      </c>
      <c r="M293" s="37">
        <f t="shared" si="40"/>
        <v>225</v>
      </c>
      <c r="N293" s="38">
        <v>0.16</v>
      </c>
      <c r="O293" s="39">
        <f t="shared" si="42"/>
        <v>36</v>
      </c>
      <c r="P293" s="40">
        <f t="shared" si="43"/>
        <v>261</v>
      </c>
      <c r="Q293" s="23"/>
      <c r="R293" s="56"/>
      <c r="S293" s="57"/>
      <c r="T293" s="58">
        <f t="shared" si="45"/>
        <v>0</v>
      </c>
      <c r="U293" s="36">
        <f t="shared" si="45"/>
        <v>0</v>
      </c>
      <c r="V293" s="59">
        <f t="shared" si="46"/>
        <v>0</v>
      </c>
      <c r="W293" s="39">
        <f t="shared" si="41"/>
        <v>0</v>
      </c>
      <c r="X293" s="40">
        <f t="shared" si="44"/>
        <v>0</v>
      </c>
      <c r="Y293"/>
      <c r="Z293"/>
      <c r="AA293"/>
    </row>
    <row r="294" spans="1:27" s="51" customFormat="1" ht="18.600000000000001" hidden="1" customHeight="1" x14ac:dyDescent="0.25">
      <c r="A294" s="82" t="s">
        <v>16</v>
      </c>
      <c r="B294" s="41" t="s">
        <v>729</v>
      </c>
      <c r="C294" s="42" t="s">
        <v>730</v>
      </c>
      <c r="D294" s="41" t="s">
        <v>823</v>
      </c>
      <c r="E294" s="43" t="s">
        <v>824</v>
      </c>
      <c r="F294" s="43" t="s">
        <v>429</v>
      </c>
      <c r="G294" s="43" t="s">
        <v>743</v>
      </c>
      <c r="H294" s="85" t="s">
        <v>825</v>
      </c>
      <c r="I294" s="23" t="s">
        <v>24</v>
      </c>
      <c r="J294" s="44">
        <v>380</v>
      </c>
      <c r="K294" s="45">
        <v>0.25</v>
      </c>
      <c r="L294" s="46">
        <f t="shared" si="39"/>
        <v>95</v>
      </c>
      <c r="M294" s="47">
        <f t="shared" si="40"/>
        <v>285</v>
      </c>
      <c r="N294" s="48">
        <v>0.16</v>
      </c>
      <c r="O294" s="49">
        <f t="shared" si="42"/>
        <v>45.6</v>
      </c>
      <c r="P294" s="50">
        <f t="shared" si="43"/>
        <v>330.6</v>
      </c>
      <c r="Q294" s="23"/>
      <c r="R294" s="60"/>
      <c r="S294" s="61"/>
      <c r="T294" s="62">
        <f t="shared" si="45"/>
        <v>0</v>
      </c>
      <c r="U294" s="46">
        <f t="shared" si="45"/>
        <v>0</v>
      </c>
      <c r="V294" s="63">
        <f t="shared" si="46"/>
        <v>0</v>
      </c>
      <c r="W294" s="49">
        <f t="shared" si="41"/>
        <v>0</v>
      </c>
      <c r="X294" s="50">
        <f t="shared" si="44"/>
        <v>0</v>
      </c>
      <c r="Y294"/>
      <c r="Z294"/>
      <c r="AA294"/>
    </row>
    <row r="295" spans="1:27" s="51" customFormat="1" ht="18.600000000000001" hidden="1" customHeight="1" x14ac:dyDescent="0.25">
      <c r="A295" s="80" t="s">
        <v>16</v>
      </c>
      <c r="B295" s="20" t="s">
        <v>729</v>
      </c>
      <c r="C295" s="21" t="s">
        <v>730</v>
      </c>
      <c r="D295" s="20" t="s">
        <v>826</v>
      </c>
      <c r="E295" s="22" t="s">
        <v>827</v>
      </c>
      <c r="F295" s="22" t="s">
        <v>429</v>
      </c>
      <c r="G295" s="22" t="s">
        <v>743</v>
      </c>
      <c r="H295" s="83" t="s">
        <v>828</v>
      </c>
      <c r="I295" s="23" t="s">
        <v>24</v>
      </c>
      <c r="J295" s="24">
        <v>380</v>
      </c>
      <c r="K295" s="25">
        <v>0.25</v>
      </c>
      <c r="L295" s="26">
        <f t="shared" si="39"/>
        <v>95</v>
      </c>
      <c r="M295" s="27">
        <f t="shared" si="40"/>
        <v>285</v>
      </c>
      <c r="N295" s="28">
        <v>0.16</v>
      </c>
      <c r="O295" s="29">
        <f t="shared" si="42"/>
        <v>45.6</v>
      </c>
      <c r="P295" s="30">
        <f t="shared" si="43"/>
        <v>330.6</v>
      </c>
      <c r="Q295" s="23"/>
      <c r="R295" s="52"/>
      <c r="S295" s="53"/>
      <c r="T295" s="54">
        <f t="shared" si="45"/>
        <v>0</v>
      </c>
      <c r="U295" s="26">
        <f t="shared" si="45"/>
        <v>0</v>
      </c>
      <c r="V295" s="55">
        <f t="shared" si="46"/>
        <v>0</v>
      </c>
      <c r="W295" s="29">
        <f t="shared" si="41"/>
        <v>0</v>
      </c>
      <c r="X295" s="30">
        <f t="shared" si="44"/>
        <v>0</v>
      </c>
      <c r="Y295"/>
      <c r="Z295"/>
      <c r="AA295"/>
    </row>
    <row r="296" spans="1:27" s="51" customFormat="1" ht="18.600000000000001" hidden="1" customHeight="1" x14ac:dyDescent="0.25">
      <c r="A296" s="81" t="s">
        <v>16</v>
      </c>
      <c r="B296" s="31" t="s">
        <v>729</v>
      </c>
      <c r="C296" s="32" t="s">
        <v>734</v>
      </c>
      <c r="D296" s="31" t="s">
        <v>829</v>
      </c>
      <c r="E296" s="33" t="s">
        <v>830</v>
      </c>
      <c r="F296" s="33" t="s">
        <v>429</v>
      </c>
      <c r="G296" s="33" t="s">
        <v>364</v>
      </c>
      <c r="H296" s="84" t="s">
        <v>831</v>
      </c>
      <c r="I296" s="23" t="s">
        <v>24</v>
      </c>
      <c r="J296" s="34">
        <v>780</v>
      </c>
      <c r="K296" s="35">
        <v>0.25</v>
      </c>
      <c r="L296" s="36">
        <f t="shared" si="39"/>
        <v>195</v>
      </c>
      <c r="M296" s="37">
        <f t="shared" si="40"/>
        <v>585</v>
      </c>
      <c r="N296" s="38">
        <v>0.16</v>
      </c>
      <c r="O296" s="39">
        <f t="shared" si="42"/>
        <v>93.600000000000009</v>
      </c>
      <c r="P296" s="40">
        <f t="shared" si="43"/>
        <v>678.6</v>
      </c>
      <c r="Q296" s="23"/>
      <c r="R296" s="56"/>
      <c r="S296" s="57"/>
      <c r="T296" s="58">
        <f t="shared" si="45"/>
        <v>0</v>
      </c>
      <c r="U296" s="36">
        <f t="shared" si="45"/>
        <v>0</v>
      </c>
      <c r="V296" s="59">
        <f t="shared" si="46"/>
        <v>0</v>
      </c>
      <c r="W296" s="39">
        <f t="shared" si="41"/>
        <v>0</v>
      </c>
      <c r="X296" s="40">
        <f t="shared" si="44"/>
        <v>0</v>
      </c>
      <c r="Y296"/>
      <c r="Z296"/>
      <c r="AA296"/>
    </row>
    <row r="297" spans="1:27" s="51" customFormat="1" ht="18.600000000000001" hidden="1" customHeight="1" x14ac:dyDescent="0.25">
      <c r="A297" s="82" t="s">
        <v>16</v>
      </c>
      <c r="B297" s="41" t="s">
        <v>729</v>
      </c>
      <c r="C297" s="42" t="s">
        <v>734</v>
      </c>
      <c r="D297" s="41" t="s">
        <v>832</v>
      </c>
      <c r="E297" s="43" t="s">
        <v>833</v>
      </c>
      <c r="F297" s="43" t="s">
        <v>429</v>
      </c>
      <c r="G297" s="43" t="s">
        <v>743</v>
      </c>
      <c r="H297" s="85" t="s">
        <v>834</v>
      </c>
      <c r="I297" s="23" t="s">
        <v>24</v>
      </c>
      <c r="J297" s="44">
        <v>380</v>
      </c>
      <c r="K297" s="45">
        <v>0.25</v>
      </c>
      <c r="L297" s="46">
        <f t="shared" si="39"/>
        <v>95</v>
      </c>
      <c r="M297" s="47">
        <f t="shared" si="40"/>
        <v>285</v>
      </c>
      <c r="N297" s="48">
        <v>0.16</v>
      </c>
      <c r="O297" s="49">
        <f t="shared" si="42"/>
        <v>45.6</v>
      </c>
      <c r="P297" s="50">
        <f t="shared" si="43"/>
        <v>330.6</v>
      </c>
      <c r="Q297" s="23"/>
      <c r="R297" s="60"/>
      <c r="S297" s="61"/>
      <c r="T297" s="62">
        <f t="shared" si="45"/>
        <v>0</v>
      </c>
      <c r="U297" s="46">
        <f t="shared" si="45"/>
        <v>0</v>
      </c>
      <c r="V297" s="63">
        <f t="shared" si="46"/>
        <v>0</v>
      </c>
      <c r="W297" s="49">
        <f t="shared" si="41"/>
        <v>0</v>
      </c>
      <c r="X297" s="50">
        <f t="shared" si="44"/>
        <v>0</v>
      </c>
      <c r="Y297"/>
      <c r="Z297"/>
      <c r="AA297"/>
    </row>
    <row r="298" spans="1:27" s="51" customFormat="1" ht="18.600000000000001" hidden="1" customHeight="1" x14ac:dyDescent="0.25">
      <c r="A298" s="80" t="s">
        <v>16</v>
      </c>
      <c r="B298" s="20" t="s">
        <v>729</v>
      </c>
      <c r="C298" s="21" t="s">
        <v>734</v>
      </c>
      <c r="D298" s="20" t="s">
        <v>835</v>
      </c>
      <c r="E298" s="22" t="s">
        <v>836</v>
      </c>
      <c r="F298" s="22" t="s">
        <v>429</v>
      </c>
      <c r="G298" s="22" t="s">
        <v>743</v>
      </c>
      <c r="H298" s="83" t="s">
        <v>837</v>
      </c>
      <c r="I298" s="23" t="s">
        <v>24</v>
      </c>
      <c r="J298" s="24">
        <v>380</v>
      </c>
      <c r="K298" s="25">
        <v>0.25</v>
      </c>
      <c r="L298" s="26">
        <f t="shared" si="39"/>
        <v>95</v>
      </c>
      <c r="M298" s="27">
        <f t="shared" si="40"/>
        <v>285</v>
      </c>
      <c r="N298" s="28">
        <v>0.16</v>
      </c>
      <c r="O298" s="29">
        <f t="shared" si="42"/>
        <v>45.6</v>
      </c>
      <c r="P298" s="30">
        <f t="shared" si="43"/>
        <v>330.6</v>
      </c>
      <c r="Q298" s="23"/>
      <c r="R298" s="52"/>
      <c r="S298" s="53"/>
      <c r="T298" s="54">
        <f t="shared" si="45"/>
        <v>0</v>
      </c>
      <c r="U298" s="26">
        <f t="shared" si="45"/>
        <v>0</v>
      </c>
      <c r="V298" s="55">
        <f t="shared" si="46"/>
        <v>0</v>
      </c>
      <c r="W298" s="29">
        <f t="shared" si="41"/>
        <v>0</v>
      </c>
      <c r="X298" s="30">
        <f t="shared" si="44"/>
        <v>0</v>
      </c>
      <c r="Y298"/>
      <c r="Z298"/>
      <c r="AA298"/>
    </row>
    <row r="299" spans="1:27" s="51" customFormat="1" ht="18.600000000000001" hidden="1" customHeight="1" x14ac:dyDescent="0.25">
      <c r="A299" s="81" t="s">
        <v>16</v>
      </c>
      <c r="B299" s="31" t="s">
        <v>729</v>
      </c>
      <c r="C299" s="32" t="s">
        <v>730</v>
      </c>
      <c r="D299" s="31" t="s">
        <v>838</v>
      </c>
      <c r="E299" s="33" t="s">
        <v>839</v>
      </c>
      <c r="F299" s="33" t="s">
        <v>429</v>
      </c>
      <c r="G299" s="33" t="s">
        <v>821</v>
      </c>
      <c r="H299" s="84" t="s">
        <v>840</v>
      </c>
      <c r="I299" s="23" t="s">
        <v>24</v>
      </c>
      <c r="J299" s="34">
        <v>300</v>
      </c>
      <c r="K299" s="35">
        <v>0.25</v>
      </c>
      <c r="L299" s="36">
        <f t="shared" si="39"/>
        <v>75</v>
      </c>
      <c r="M299" s="37">
        <f t="shared" si="40"/>
        <v>225</v>
      </c>
      <c r="N299" s="38">
        <v>0.16</v>
      </c>
      <c r="O299" s="39">
        <f t="shared" si="42"/>
        <v>36</v>
      </c>
      <c r="P299" s="40">
        <f t="shared" si="43"/>
        <v>261</v>
      </c>
      <c r="Q299" s="23"/>
      <c r="R299" s="56"/>
      <c r="S299" s="57"/>
      <c r="T299" s="58">
        <f t="shared" si="45"/>
        <v>0</v>
      </c>
      <c r="U299" s="36">
        <f t="shared" si="45"/>
        <v>0</v>
      </c>
      <c r="V299" s="59">
        <f t="shared" si="46"/>
        <v>0</v>
      </c>
      <c r="W299" s="39">
        <f t="shared" si="41"/>
        <v>0</v>
      </c>
      <c r="X299" s="40">
        <f t="shared" si="44"/>
        <v>0</v>
      </c>
      <c r="Y299"/>
      <c r="Z299"/>
      <c r="AA299"/>
    </row>
    <row r="300" spans="1:27" s="51" customFormat="1" ht="18.600000000000001" hidden="1" customHeight="1" x14ac:dyDescent="0.25">
      <c r="A300" s="82" t="s">
        <v>16</v>
      </c>
      <c r="B300" s="41" t="s">
        <v>729</v>
      </c>
      <c r="C300" s="42" t="s">
        <v>734</v>
      </c>
      <c r="D300" s="41" t="s">
        <v>841</v>
      </c>
      <c r="E300" s="43" t="s">
        <v>842</v>
      </c>
      <c r="F300" s="43" t="s">
        <v>429</v>
      </c>
      <c r="G300" s="43" t="s">
        <v>843</v>
      </c>
      <c r="H300" s="85" t="s">
        <v>844</v>
      </c>
      <c r="I300" s="23" t="s">
        <v>24</v>
      </c>
      <c r="J300" s="44">
        <v>580</v>
      </c>
      <c r="K300" s="45">
        <v>0.25</v>
      </c>
      <c r="L300" s="46">
        <f t="shared" si="39"/>
        <v>145</v>
      </c>
      <c r="M300" s="47">
        <f t="shared" si="40"/>
        <v>435</v>
      </c>
      <c r="N300" s="48">
        <v>0.16</v>
      </c>
      <c r="O300" s="49">
        <f t="shared" si="42"/>
        <v>69.600000000000009</v>
      </c>
      <c r="P300" s="50">
        <f t="shared" si="43"/>
        <v>504.6</v>
      </c>
      <c r="Q300" s="23"/>
      <c r="R300" s="60"/>
      <c r="S300" s="61"/>
      <c r="T300" s="62">
        <f t="shared" si="45"/>
        <v>0</v>
      </c>
      <c r="U300" s="46">
        <f t="shared" si="45"/>
        <v>0</v>
      </c>
      <c r="V300" s="63">
        <f t="shared" si="46"/>
        <v>0</v>
      </c>
      <c r="W300" s="49">
        <f t="shared" si="41"/>
        <v>0</v>
      </c>
      <c r="X300" s="50">
        <f t="shared" si="44"/>
        <v>0</v>
      </c>
      <c r="Y300"/>
      <c r="Z300"/>
      <c r="AA300"/>
    </row>
    <row r="301" spans="1:27" s="51" customFormat="1" ht="18.600000000000001" hidden="1" customHeight="1" x14ac:dyDescent="0.25">
      <c r="A301" s="80" t="s">
        <v>16</v>
      </c>
      <c r="B301" s="20" t="s">
        <v>729</v>
      </c>
      <c r="C301" s="21" t="s">
        <v>730</v>
      </c>
      <c r="D301" s="20" t="s">
        <v>845</v>
      </c>
      <c r="E301" s="22" t="s">
        <v>846</v>
      </c>
      <c r="F301" s="22" t="s">
        <v>429</v>
      </c>
      <c r="G301" s="22" t="s">
        <v>743</v>
      </c>
      <c r="H301" s="83" t="s">
        <v>847</v>
      </c>
      <c r="I301" s="23" t="s">
        <v>24</v>
      </c>
      <c r="J301" s="24">
        <v>380</v>
      </c>
      <c r="K301" s="25">
        <v>0.25</v>
      </c>
      <c r="L301" s="26">
        <f t="shared" si="39"/>
        <v>95</v>
      </c>
      <c r="M301" s="27">
        <f t="shared" si="40"/>
        <v>285</v>
      </c>
      <c r="N301" s="28">
        <v>0.16</v>
      </c>
      <c r="O301" s="29">
        <f t="shared" si="42"/>
        <v>45.6</v>
      </c>
      <c r="P301" s="30">
        <f t="shared" si="43"/>
        <v>330.6</v>
      </c>
      <c r="Q301" s="23"/>
      <c r="R301" s="52"/>
      <c r="S301" s="53"/>
      <c r="T301" s="54">
        <f t="shared" si="45"/>
        <v>0</v>
      </c>
      <c r="U301" s="26">
        <f t="shared" si="45"/>
        <v>0</v>
      </c>
      <c r="V301" s="55">
        <f t="shared" si="46"/>
        <v>0</v>
      </c>
      <c r="W301" s="29">
        <f t="shared" si="41"/>
        <v>0</v>
      </c>
      <c r="X301" s="30">
        <f t="shared" si="44"/>
        <v>0</v>
      </c>
      <c r="Y301"/>
      <c r="Z301"/>
      <c r="AA301"/>
    </row>
    <row r="302" spans="1:27" s="51" customFormat="1" ht="18.600000000000001" hidden="1" customHeight="1" x14ac:dyDescent="0.25">
      <c r="A302" s="81" t="s">
        <v>16</v>
      </c>
      <c r="B302" s="31" t="s">
        <v>729</v>
      </c>
      <c r="C302" s="32" t="s">
        <v>734</v>
      </c>
      <c r="D302" s="31" t="s">
        <v>848</v>
      </c>
      <c r="E302" s="33" t="s">
        <v>849</v>
      </c>
      <c r="F302" s="33" t="s">
        <v>429</v>
      </c>
      <c r="G302" s="33" t="s">
        <v>743</v>
      </c>
      <c r="H302" s="84" t="s">
        <v>850</v>
      </c>
      <c r="I302" s="23" t="s">
        <v>24</v>
      </c>
      <c r="J302" s="34">
        <v>380</v>
      </c>
      <c r="K302" s="35">
        <v>0.25</v>
      </c>
      <c r="L302" s="36">
        <f t="shared" si="39"/>
        <v>95</v>
      </c>
      <c r="M302" s="37">
        <f t="shared" si="40"/>
        <v>285</v>
      </c>
      <c r="N302" s="38">
        <v>0.16</v>
      </c>
      <c r="O302" s="39">
        <f t="shared" si="42"/>
        <v>45.6</v>
      </c>
      <c r="P302" s="40">
        <f t="shared" si="43"/>
        <v>330.6</v>
      </c>
      <c r="Q302" s="23"/>
      <c r="R302" s="56"/>
      <c r="S302" s="57"/>
      <c r="T302" s="58">
        <f t="shared" si="45"/>
        <v>0</v>
      </c>
      <c r="U302" s="36">
        <f t="shared" si="45"/>
        <v>0</v>
      </c>
      <c r="V302" s="59">
        <f t="shared" si="46"/>
        <v>0</v>
      </c>
      <c r="W302" s="39">
        <f t="shared" si="41"/>
        <v>0</v>
      </c>
      <c r="X302" s="40">
        <f t="shared" si="44"/>
        <v>0</v>
      </c>
      <c r="Y302"/>
      <c r="Z302"/>
      <c r="AA302"/>
    </row>
    <row r="303" spans="1:27" s="51" customFormat="1" ht="18.600000000000001" hidden="1" customHeight="1" x14ac:dyDescent="0.25">
      <c r="A303" s="82" t="s">
        <v>16</v>
      </c>
      <c r="B303" s="41" t="s">
        <v>729</v>
      </c>
      <c r="C303" s="42" t="s">
        <v>734</v>
      </c>
      <c r="D303" s="41" t="s">
        <v>851</v>
      </c>
      <c r="E303" s="43" t="s">
        <v>852</v>
      </c>
      <c r="F303" s="43" t="s">
        <v>429</v>
      </c>
      <c r="G303" s="43" t="s">
        <v>364</v>
      </c>
      <c r="H303" s="85" t="s">
        <v>853</v>
      </c>
      <c r="I303" s="23" t="s">
        <v>24</v>
      </c>
      <c r="J303" s="44">
        <v>780</v>
      </c>
      <c r="K303" s="45">
        <v>0.25</v>
      </c>
      <c r="L303" s="46">
        <f t="shared" si="39"/>
        <v>195</v>
      </c>
      <c r="M303" s="47">
        <f t="shared" si="40"/>
        <v>585</v>
      </c>
      <c r="N303" s="48">
        <v>0.16</v>
      </c>
      <c r="O303" s="49">
        <f t="shared" si="42"/>
        <v>93.600000000000009</v>
      </c>
      <c r="P303" s="50">
        <f t="shared" si="43"/>
        <v>678.6</v>
      </c>
      <c r="Q303" s="23"/>
      <c r="R303" s="60"/>
      <c r="S303" s="61"/>
      <c r="T303" s="62">
        <f t="shared" si="45"/>
        <v>0</v>
      </c>
      <c r="U303" s="46">
        <f t="shared" si="45"/>
        <v>0</v>
      </c>
      <c r="V303" s="63">
        <f t="shared" si="46"/>
        <v>0</v>
      </c>
      <c r="W303" s="49">
        <f t="shared" si="41"/>
        <v>0</v>
      </c>
      <c r="X303" s="50">
        <f t="shared" si="44"/>
        <v>0</v>
      </c>
      <c r="Y303"/>
      <c r="Z303"/>
      <c r="AA303"/>
    </row>
    <row r="304" spans="1:27" s="51" customFormat="1" ht="18.600000000000001" hidden="1" customHeight="1" x14ac:dyDescent="0.25">
      <c r="A304" s="80" t="s">
        <v>16</v>
      </c>
      <c r="B304" s="20" t="s">
        <v>729</v>
      </c>
      <c r="C304" s="21" t="s">
        <v>799</v>
      </c>
      <c r="D304" s="20" t="s">
        <v>854</v>
      </c>
      <c r="E304" s="22" t="s">
        <v>855</v>
      </c>
      <c r="F304" s="22" t="s">
        <v>429</v>
      </c>
      <c r="G304" s="22" t="s">
        <v>364</v>
      </c>
      <c r="H304" s="83" t="s">
        <v>856</v>
      </c>
      <c r="I304" s="23" t="s">
        <v>24</v>
      </c>
      <c r="J304" s="24">
        <v>780</v>
      </c>
      <c r="K304" s="25">
        <v>0.25</v>
      </c>
      <c r="L304" s="26">
        <f t="shared" si="39"/>
        <v>195</v>
      </c>
      <c r="M304" s="27">
        <f t="shared" si="40"/>
        <v>585</v>
      </c>
      <c r="N304" s="28">
        <v>0.16</v>
      </c>
      <c r="O304" s="29">
        <f t="shared" si="42"/>
        <v>93.600000000000009</v>
      </c>
      <c r="P304" s="30">
        <f t="shared" si="43"/>
        <v>678.6</v>
      </c>
      <c r="Q304" s="23"/>
      <c r="R304" s="52"/>
      <c r="S304" s="53"/>
      <c r="T304" s="54">
        <f t="shared" si="45"/>
        <v>0</v>
      </c>
      <c r="U304" s="26">
        <f t="shared" si="45"/>
        <v>0</v>
      </c>
      <c r="V304" s="55">
        <f t="shared" si="46"/>
        <v>0</v>
      </c>
      <c r="W304" s="29">
        <f t="shared" si="41"/>
        <v>0</v>
      </c>
      <c r="X304" s="30">
        <f t="shared" si="44"/>
        <v>0</v>
      </c>
      <c r="Y304"/>
      <c r="Z304"/>
      <c r="AA304"/>
    </row>
    <row r="305" spans="1:27" s="51" customFormat="1" ht="18.600000000000001" hidden="1" customHeight="1" x14ac:dyDescent="0.25">
      <c r="A305" s="81" t="s">
        <v>16</v>
      </c>
      <c r="B305" s="31" t="s">
        <v>729</v>
      </c>
      <c r="C305" s="32" t="s">
        <v>730</v>
      </c>
      <c r="D305" s="31" t="s">
        <v>857</v>
      </c>
      <c r="E305" s="33" t="s">
        <v>858</v>
      </c>
      <c r="F305" s="33" t="s">
        <v>429</v>
      </c>
      <c r="G305" s="33" t="s">
        <v>821</v>
      </c>
      <c r="H305" s="84" t="s">
        <v>859</v>
      </c>
      <c r="I305" s="23" t="s">
        <v>24</v>
      </c>
      <c r="J305" s="34">
        <v>300</v>
      </c>
      <c r="K305" s="35">
        <v>0.25</v>
      </c>
      <c r="L305" s="36">
        <f t="shared" si="39"/>
        <v>75</v>
      </c>
      <c r="M305" s="37">
        <f t="shared" si="40"/>
        <v>225</v>
      </c>
      <c r="N305" s="38">
        <v>0.16</v>
      </c>
      <c r="O305" s="39">
        <f t="shared" si="42"/>
        <v>36</v>
      </c>
      <c r="P305" s="40">
        <f t="shared" si="43"/>
        <v>261</v>
      </c>
      <c r="Q305" s="23"/>
      <c r="R305" s="56"/>
      <c r="S305" s="57"/>
      <c r="T305" s="58">
        <f t="shared" si="45"/>
        <v>0</v>
      </c>
      <c r="U305" s="36">
        <f t="shared" si="45"/>
        <v>0</v>
      </c>
      <c r="V305" s="59">
        <f t="shared" si="46"/>
        <v>0</v>
      </c>
      <c r="W305" s="39">
        <f t="shared" si="41"/>
        <v>0</v>
      </c>
      <c r="X305" s="40">
        <f t="shared" si="44"/>
        <v>0</v>
      </c>
      <c r="Y305"/>
      <c r="Z305"/>
      <c r="AA305"/>
    </row>
    <row r="306" spans="1:27" s="51" customFormat="1" ht="18.600000000000001" hidden="1" customHeight="1" x14ac:dyDescent="0.25">
      <c r="A306" s="82" t="s">
        <v>16</v>
      </c>
      <c r="B306" s="41" t="s">
        <v>729</v>
      </c>
      <c r="C306" s="42" t="s">
        <v>734</v>
      </c>
      <c r="D306" s="41" t="s">
        <v>860</v>
      </c>
      <c r="E306" s="43" t="s">
        <v>861</v>
      </c>
      <c r="F306" s="43" t="s">
        <v>429</v>
      </c>
      <c r="G306" s="43" t="s">
        <v>743</v>
      </c>
      <c r="H306" s="85" t="s">
        <v>862</v>
      </c>
      <c r="I306" s="23" t="s">
        <v>24</v>
      </c>
      <c r="J306" s="44">
        <v>380</v>
      </c>
      <c r="K306" s="45">
        <v>0.25</v>
      </c>
      <c r="L306" s="46">
        <f t="shared" si="39"/>
        <v>95</v>
      </c>
      <c r="M306" s="47">
        <f t="shared" si="40"/>
        <v>285</v>
      </c>
      <c r="N306" s="48">
        <v>0.16</v>
      </c>
      <c r="O306" s="49">
        <f t="shared" si="42"/>
        <v>45.6</v>
      </c>
      <c r="P306" s="50">
        <f t="shared" si="43"/>
        <v>330.6</v>
      </c>
      <c r="Q306" s="23"/>
      <c r="R306" s="60"/>
      <c r="S306" s="61"/>
      <c r="T306" s="62">
        <f t="shared" si="45"/>
        <v>0</v>
      </c>
      <c r="U306" s="46">
        <f t="shared" si="45"/>
        <v>0</v>
      </c>
      <c r="V306" s="63">
        <f t="shared" si="46"/>
        <v>0</v>
      </c>
      <c r="W306" s="49">
        <f t="shared" si="41"/>
        <v>0</v>
      </c>
      <c r="X306" s="50">
        <f t="shared" si="44"/>
        <v>0</v>
      </c>
      <c r="Y306"/>
      <c r="Z306"/>
      <c r="AA306"/>
    </row>
    <row r="307" spans="1:27" s="51" customFormat="1" ht="18.600000000000001" hidden="1" customHeight="1" x14ac:dyDescent="0.25">
      <c r="A307" s="80" t="s">
        <v>16</v>
      </c>
      <c r="B307" s="20" t="s">
        <v>729</v>
      </c>
      <c r="C307" s="21" t="s">
        <v>734</v>
      </c>
      <c r="D307" s="20">
        <v>7427129409928</v>
      </c>
      <c r="E307" s="22" t="s">
        <v>863</v>
      </c>
      <c r="F307" s="22" t="s">
        <v>429</v>
      </c>
      <c r="G307" s="22">
        <v>8</v>
      </c>
      <c r="H307" s="83" t="s">
        <v>864</v>
      </c>
      <c r="I307" s="23" t="s">
        <v>24</v>
      </c>
      <c r="J307" s="24">
        <v>780</v>
      </c>
      <c r="K307" s="25">
        <v>0.25</v>
      </c>
      <c r="L307" s="26">
        <f t="shared" si="39"/>
        <v>195</v>
      </c>
      <c r="M307" s="27">
        <f t="shared" si="40"/>
        <v>585</v>
      </c>
      <c r="N307" s="28">
        <v>0.16</v>
      </c>
      <c r="O307" s="29">
        <f t="shared" si="42"/>
        <v>93.600000000000009</v>
      </c>
      <c r="P307" s="30">
        <f t="shared" si="43"/>
        <v>678.6</v>
      </c>
      <c r="Q307" s="23"/>
      <c r="R307" s="52"/>
      <c r="S307" s="53"/>
      <c r="T307" s="54">
        <f t="shared" si="45"/>
        <v>0</v>
      </c>
      <c r="U307" s="26">
        <f t="shared" si="45"/>
        <v>0</v>
      </c>
      <c r="V307" s="55">
        <f t="shared" si="46"/>
        <v>0</v>
      </c>
      <c r="W307" s="29">
        <f t="shared" si="41"/>
        <v>0</v>
      </c>
      <c r="X307" s="30">
        <f t="shared" si="44"/>
        <v>0</v>
      </c>
      <c r="Y307"/>
      <c r="Z307"/>
      <c r="AA307"/>
    </row>
    <row r="308" spans="1:27" s="51" customFormat="1" ht="18.600000000000001" hidden="1" customHeight="1" x14ac:dyDescent="0.25">
      <c r="A308" s="81" t="s">
        <v>16</v>
      </c>
      <c r="B308" s="31" t="s">
        <v>729</v>
      </c>
      <c r="C308" s="32" t="s">
        <v>799</v>
      </c>
      <c r="D308" s="31">
        <v>7427129409959</v>
      </c>
      <c r="E308" s="33" t="s">
        <v>865</v>
      </c>
      <c r="F308" s="33" t="s">
        <v>429</v>
      </c>
      <c r="G308" s="33" t="s">
        <v>364</v>
      </c>
      <c r="H308" s="84" t="s">
        <v>866</v>
      </c>
      <c r="I308" s="23" t="s">
        <v>24</v>
      </c>
      <c r="J308" s="34">
        <v>780</v>
      </c>
      <c r="K308" s="35">
        <v>0.25</v>
      </c>
      <c r="L308" s="36">
        <f t="shared" si="39"/>
        <v>195</v>
      </c>
      <c r="M308" s="37">
        <f t="shared" si="40"/>
        <v>585</v>
      </c>
      <c r="N308" s="38">
        <v>0.16</v>
      </c>
      <c r="O308" s="39">
        <f t="shared" si="42"/>
        <v>93.600000000000009</v>
      </c>
      <c r="P308" s="40">
        <f t="shared" si="43"/>
        <v>678.6</v>
      </c>
      <c r="Q308" s="23"/>
      <c r="R308" s="56"/>
      <c r="S308" s="57"/>
      <c r="T308" s="58">
        <f t="shared" si="45"/>
        <v>0</v>
      </c>
      <c r="U308" s="36">
        <f t="shared" si="45"/>
        <v>0</v>
      </c>
      <c r="V308" s="59">
        <f t="shared" si="46"/>
        <v>0</v>
      </c>
      <c r="W308" s="39">
        <f t="shared" si="41"/>
        <v>0</v>
      </c>
      <c r="X308" s="40">
        <f t="shared" si="44"/>
        <v>0</v>
      </c>
      <c r="Y308"/>
      <c r="Z308"/>
      <c r="AA308"/>
    </row>
    <row r="309" spans="1:27" s="51" customFormat="1" ht="18.600000000000001" hidden="1" customHeight="1" x14ac:dyDescent="0.25">
      <c r="A309" s="82" t="s">
        <v>16</v>
      </c>
      <c r="B309" s="41" t="s">
        <v>729</v>
      </c>
      <c r="C309" s="42" t="s">
        <v>799</v>
      </c>
      <c r="D309" s="41">
        <v>7427129409966</v>
      </c>
      <c r="E309" s="43" t="s">
        <v>867</v>
      </c>
      <c r="F309" s="43" t="s">
        <v>429</v>
      </c>
      <c r="G309" s="43" t="s">
        <v>743</v>
      </c>
      <c r="H309" s="85" t="s">
        <v>868</v>
      </c>
      <c r="I309" s="23" t="s">
        <v>24</v>
      </c>
      <c r="J309" s="44">
        <v>380</v>
      </c>
      <c r="K309" s="45">
        <v>0.25</v>
      </c>
      <c r="L309" s="46">
        <f t="shared" si="39"/>
        <v>95</v>
      </c>
      <c r="M309" s="47">
        <f t="shared" si="40"/>
        <v>285</v>
      </c>
      <c r="N309" s="48">
        <v>0.16</v>
      </c>
      <c r="O309" s="49">
        <f t="shared" si="42"/>
        <v>45.6</v>
      </c>
      <c r="P309" s="50">
        <f t="shared" si="43"/>
        <v>330.6</v>
      </c>
      <c r="Q309" s="23"/>
      <c r="R309" s="60"/>
      <c r="S309" s="61"/>
      <c r="T309" s="62">
        <f t="shared" si="45"/>
        <v>0</v>
      </c>
      <c r="U309" s="46">
        <f t="shared" si="45"/>
        <v>0</v>
      </c>
      <c r="V309" s="63">
        <f t="shared" si="46"/>
        <v>0</v>
      </c>
      <c r="W309" s="49">
        <f t="shared" si="41"/>
        <v>0</v>
      </c>
      <c r="X309" s="50">
        <f t="shared" si="44"/>
        <v>0</v>
      </c>
      <c r="Y309"/>
      <c r="Z309"/>
      <c r="AA309"/>
    </row>
    <row r="310" spans="1:27" s="51" customFormat="1" ht="18.600000000000001" hidden="1" customHeight="1" x14ac:dyDescent="0.25">
      <c r="A310" s="80" t="s">
        <v>16</v>
      </c>
      <c r="B310" s="20" t="s">
        <v>729</v>
      </c>
      <c r="C310" s="21" t="s">
        <v>734</v>
      </c>
      <c r="D310" s="20">
        <v>8435635303790</v>
      </c>
      <c r="E310" s="22" t="s">
        <v>869</v>
      </c>
      <c r="F310" s="22" t="s">
        <v>429</v>
      </c>
      <c r="G310" s="22" t="s">
        <v>364</v>
      </c>
      <c r="H310" s="83" t="s">
        <v>870</v>
      </c>
      <c r="I310" s="23" t="s">
        <v>24</v>
      </c>
      <c r="J310" s="24">
        <v>780</v>
      </c>
      <c r="K310" s="25">
        <v>0.25</v>
      </c>
      <c r="L310" s="26">
        <f t="shared" si="39"/>
        <v>195</v>
      </c>
      <c r="M310" s="27">
        <f t="shared" si="40"/>
        <v>585</v>
      </c>
      <c r="N310" s="28">
        <v>0.16</v>
      </c>
      <c r="O310" s="29">
        <f t="shared" si="42"/>
        <v>93.600000000000009</v>
      </c>
      <c r="P310" s="30">
        <f t="shared" si="43"/>
        <v>678.6</v>
      </c>
      <c r="Q310" s="23"/>
      <c r="R310" s="52"/>
      <c r="S310" s="53"/>
      <c r="T310" s="54">
        <f t="shared" si="45"/>
        <v>0</v>
      </c>
      <c r="U310" s="26">
        <f t="shared" si="45"/>
        <v>0</v>
      </c>
      <c r="V310" s="55">
        <f t="shared" si="46"/>
        <v>0</v>
      </c>
      <c r="W310" s="29">
        <f t="shared" si="41"/>
        <v>0</v>
      </c>
      <c r="X310" s="30">
        <f t="shared" si="44"/>
        <v>0</v>
      </c>
      <c r="Y310"/>
      <c r="Z310"/>
      <c r="AA310"/>
    </row>
    <row r="311" spans="1:27" s="51" customFormat="1" ht="18.600000000000001" hidden="1" customHeight="1" x14ac:dyDescent="0.25">
      <c r="A311" s="81" t="s">
        <v>16</v>
      </c>
      <c r="B311" s="31" t="s">
        <v>729</v>
      </c>
      <c r="C311" s="32" t="s">
        <v>734</v>
      </c>
      <c r="D311" s="31">
        <v>8435635304360</v>
      </c>
      <c r="E311" s="33" t="s">
        <v>871</v>
      </c>
      <c r="F311" s="33" t="s">
        <v>429</v>
      </c>
      <c r="G311" s="33" t="s">
        <v>743</v>
      </c>
      <c r="H311" s="84" t="s">
        <v>872</v>
      </c>
      <c r="I311" s="23" t="s">
        <v>24</v>
      </c>
      <c r="J311" s="34">
        <v>380</v>
      </c>
      <c r="K311" s="35">
        <v>0.25</v>
      </c>
      <c r="L311" s="36">
        <f t="shared" si="39"/>
        <v>95</v>
      </c>
      <c r="M311" s="37">
        <f t="shared" si="40"/>
        <v>285</v>
      </c>
      <c r="N311" s="38">
        <v>0.16</v>
      </c>
      <c r="O311" s="39">
        <f t="shared" si="42"/>
        <v>45.6</v>
      </c>
      <c r="P311" s="40">
        <f t="shared" si="43"/>
        <v>330.6</v>
      </c>
      <c r="Q311" s="23"/>
      <c r="R311" s="56"/>
      <c r="S311" s="57"/>
      <c r="T311" s="58">
        <f t="shared" si="45"/>
        <v>0</v>
      </c>
      <c r="U311" s="36">
        <f t="shared" si="45"/>
        <v>0</v>
      </c>
      <c r="V311" s="59">
        <f t="shared" si="46"/>
        <v>0</v>
      </c>
      <c r="W311" s="39">
        <f t="shared" si="41"/>
        <v>0</v>
      </c>
      <c r="X311" s="40">
        <f t="shared" si="44"/>
        <v>0</v>
      </c>
      <c r="Y311"/>
      <c r="Z311"/>
      <c r="AA311"/>
    </row>
    <row r="312" spans="1:27" s="51" customFormat="1" ht="18.600000000000001" hidden="1" customHeight="1" x14ac:dyDescent="0.25">
      <c r="A312" s="82" t="s">
        <v>16</v>
      </c>
      <c r="B312" s="41" t="s">
        <v>729</v>
      </c>
      <c r="C312" s="42" t="s">
        <v>799</v>
      </c>
      <c r="D312" s="41">
        <v>8435635306784</v>
      </c>
      <c r="E312" s="43" t="s">
        <v>873</v>
      </c>
      <c r="F312" s="43" t="s">
        <v>429</v>
      </c>
      <c r="G312" s="43">
        <v>8</v>
      </c>
      <c r="H312" s="85" t="s">
        <v>874</v>
      </c>
      <c r="I312" s="23" t="s">
        <v>24</v>
      </c>
      <c r="J312" s="44">
        <v>780</v>
      </c>
      <c r="K312" s="45">
        <v>0.25</v>
      </c>
      <c r="L312" s="46">
        <f t="shared" si="39"/>
        <v>195</v>
      </c>
      <c r="M312" s="47">
        <f t="shared" si="40"/>
        <v>585</v>
      </c>
      <c r="N312" s="48">
        <v>0.16</v>
      </c>
      <c r="O312" s="49">
        <f t="shared" si="42"/>
        <v>93.600000000000009</v>
      </c>
      <c r="P312" s="50">
        <f t="shared" si="43"/>
        <v>678.6</v>
      </c>
      <c r="Q312" s="23"/>
      <c r="R312" s="60"/>
      <c r="S312" s="61"/>
      <c r="T312" s="62">
        <f t="shared" si="45"/>
        <v>0</v>
      </c>
      <c r="U312" s="46">
        <f t="shared" si="45"/>
        <v>0</v>
      </c>
      <c r="V312" s="63">
        <f t="shared" si="46"/>
        <v>0</v>
      </c>
      <c r="W312" s="49">
        <f t="shared" si="41"/>
        <v>0</v>
      </c>
      <c r="X312" s="50">
        <f t="shared" si="44"/>
        <v>0</v>
      </c>
      <c r="Y312"/>
      <c r="Z312"/>
      <c r="AA312"/>
    </row>
    <row r="313" spans="1:27" s="51" customFormat="1" ht="18.600000000000001" hidden="1" customHeight="1" x14ac:dyDescent="0.25">
      <c r="A313" s="80" t="s">
        <v>16</v>
      </c>
      <c r="B313" s="20" t="s">
        <v>729</v>
      </c>
      <c r="C313" s="21" t="s">
        <v>799</v>
      </c>
      <c r="D313" s="20">
        <v>8435635306777</v>
      </c>
      <c r="E313" s="22" t="s">
        <v>875</v>
      </c>
      <c r="F313" s="22" t="s">
        <v>429</v>
      </c>
      <c r="G313" s="22">
        <v>4</v>
      </c>
      <c r="H313" s="83" t="s">
        <v>876</v>
      </c>
      <c r="I313" s="23" t="s">
        <v>24</v>
      </c>
      <c r="J313" s="24">
        <v>380</v>
      </c>
      <c r="K313" s="25">
        <v>0.25</v>
      </c>
      <c r="L313" s="26">
        <f t="shared" si="39"/>
        <v>95</v>
      </c>
      <c r="M313" s="27">
        <f t="shared" si="40"/>
        <v>285</v>
      </c>
      <c r="N313" s="28">
        <v>0.16</v>
      </c>
      <c r="O313" s="29">
        <f t="shared" si="42"/>
        <v>45.6</v>
      </c>
      <c r="P313" s="30">
        <f t="shared" si="43"/>
        <v>330.6</v>
      </c>
      <c r="Q313" s="23"/>
      <c r="R313" s="52"/>
      <c r="S313" s="53"/>
      <c r="T313" s="54">
        <f t="shared" si="45"/>
        <v>0</v>
      </c>
      <c r="U313" s="26">
        <f t="shared" si="45"/>
        <v>0</v>
      </c>
      <c r="V313" s="55">
        <f t="shared" si="46"/>
        <v>0</v>
      </c>
      <c r="W313" s="29">
        <f t="shared" si="41"/>
        <v>0</v>
      </c>
      <c r="X313" s="30">
        <f t="shared" si="44"/>
        <v>0</v>
      </c>
      <c r="Y313"/>
      <c r="Z313"/>
      <c r="AA313"/>
    </row>
    <row r="314" spans="1:27" s="51" customFormat="1" ht="18.600000000000001" hidden="1" customHeight="1" x14ac:dyDescent="0.25">
      <c r="A314" s="81" t="s">
        <v>16</v>
      </c>
      <c r="B314" s="31" t="s">
        <v>729</v>
      </c>
      <c r="C314" s="32" t="s">
        <v>601</v>
      </c>
      <c r="D314" s="31">
        <v>8435635308900</v>
      </c>
      <c r="E314" s="33" t="s">
        <v>877</v>
      </c>
      <c r="F314" s="33" t="s">
        <v>429</v>
      </c>
      <c r="G314" s="33">
        <v>24</v>
      </c>
      <c r="H314" s="84" t="s">
        <v>878</v>
      </c>
      <c r="I314" s="23" t="s">
        <v>24</v>
      </c>
      <c r="J314" s="34">
        <v>2500</v>
      </c>
      <c r="K314" s="35">
        <v>0.25</v>
      </c>
      <c r="L314" s="36">
        <f t="shared" si="39"/>
        <v>625</v>
      </c>
      <c r="M314" s="37">
        <f t="shared" si="40"/>
        <v>1875</v>
      </c>
      <c r="N314" s="38">
        <v>0.16</v>
      </c>
      <c r="O314" s="39">
        <f t="shared" si="42"/>
        <v>300</v>
      </c>
      <c r="P314" s="40">
        <f t="shared" si="43"/>
        <v>2175</v>
      </c>
      <c r="Q314" s="23"/>
      <c r="R314" s="56"/>
      <c r="S314" s="57"/>
      <c r="T314" s="58">
        <f t="shared" si="45"/>
        <v>0</v>
      </c>
      <c r="U314" s="36">
        <f t="shared" si="45"/>
        <v>0</v>
      </c>
      <c r="V314" s="59">
        <f t="shared" si="46"/>
        <v>0</v>
      </c>
      <c r="W314" s="39">
        <f t="shared" si="41"/>
        <v>0</v>
      </c>
      <c r="X314" s="40">
        <f t="shared" si="44"/>
        <v>0</v>
      </c>
      <c r="Y314"/>
      <c r="Z314"/>
      <c r="AA314"/>
    </row>
    <row r="315" spans="1:27" s="51" customFormat="1" ht="18.600000000000001" hidden="1" customHeight="1" x14ac:dyDescent="0.25">
      <c r="A315" s="82" t="s">
        <v>16</v>
      </c>
      <c r="B315" s="41" t="s">
        <v>729</v>
      </c>
      <c r="C315" s="42" t="s">
        <v>601</v>
      </c>
      <c r="D315" s="41">
        <v>8435635308917</v>
      </c>
      <c r="E315" s="43" t="s">
        <v>879</v>
      </c>
      <c r="F315" s="43" t="s">
        <v>429</v>
      </c>
      <c r="G315" s="43">
        <v>24</v>
      </c>
      <c r="H315" s="85" t="s">
        <v>880</v>
      </c>
      <c r="I315" s="23" t="s">
        <v>24</v>
      </c>
      <c r="J315" s="44">
        <v>2500</v>
      </c>
      <c r="K315" s="45">
        <v>0.25</v>
      </c>
      <c r="L315" s="46">
        <f t="shared" si="39"/>
        <v>625</v>
      </c>
      <c r="M315" s="47">
        <f t="shared" si="40"/>
        <v>1875</v>
      </c>
      <c r="N315" s="48">
        <v>0.16</v>
      </c>
      <c r="O315" s="49">
        <f t="shared" si="42"/>
        <v>300</v>
      </c>
      <c r="P315" s="50">
        <f t="shared" si="43"/>
        <v>2175</v>
      </c>
      <c r="Q315" s="23"/>
      <c r="R315" s="60"/>
      <c r="S315" s="61"/>
      <c r="T315" s="62">
        <f t="shared" si="45"/>
        <v>0</v>
      </c>
      <c r="U315" s="46">
        <f t="shared" si="45"/>
        <v>0</v>
      </c>
      <c r="V315" s="63">
        <f t="shared" si="46"/>
        <v>0</v>
      </c>
      <c r="W315" s="49">
        <f t="shared" si="41"/>
        <v>0</v>
      </c>
      <c r="X315" s="50">
        <f t="shared" si="44"/>
        <v>0</v>
      </c>
      <c r="Y315"/>
      <c r="Z315"/>
      <c r="AA315"/>
    </row>
    <row r="316" spans="1:27" s="51" customFormat="1" ht="18.600000000000001" hidden="1" customHeight="1" x14ac:dyDescent="0.25">
      <c r="A316" s="80" t="s">
        <v>16</v>
      </c>
      <c r="B316" s="20" t="s">
        <v>729</v>
      </c>
      <c r="C316" s="21" t="s">
        <v>601</v>
      </c>
      <c r="D316" s="20">
        <v>8435635308924</v>
      </c>
      <c r="E316" s="22" t="s">
        <v>881</v>
      </c>
      <c r="F316" s="22" t="s">
        <v>429</v>
      </c>
      <c r="G316" s="22">
        <v>48</v>
      </c>
      <c r="H316" s="83" t="s">
        <v>882</v>
      </c>
      <c r="I316" s="23" t="s">
        <v>24</v>
      </c>
      <c r="J316" s="24">
        <v>5000</v>
      </c>
      <c r="K316" s="25">
        <v>0.25</v>
      </c>
      <c r="L316" s="26">
        <f t="shared" si="39"/>
        <v>1250</v>
      </c>
      <c r="M316" s="27">
        <f t="shared" si="40"/>
        <v>3750</v>
      </c>
      <c r="N316" s="28">
        <v>0.16</v>
      </c>
      <c r="O316" s="29">
        <f t="shared" si="42"/>
        <v>600</v>
      </c>
      <c r="P316" s="30">
        <f t="shared" si="43"/>
        <v>4350</v>
      </c>
      <c r="Q316" s="23"/>
      <c r="R316" s="52"/>
      <c r="S316" s="53"/>
      <c r="T316" s="54">
        <f t="shared" si="45"/>
        <v>0</v>
      </c>
      <c r="U316" s="26">
        <f t="shared" si="45"/>
        <v>0</v>
      </c>
      <c r="V316" s="55">
        <f t="shared" si="46"/>
        <v>0</v>
      </c>
      <c r="W316" s="29">
        <f t="shared" si="41"/>
        <v>0</v>
      </c>
      <c r="X316" s="30">
        <f t="shared" si="44"/>
        <v>0</v>
      </c>
      <c r="Y316"/>
      <c r="Z316"/>
      <c r="AA316"/>
    </row>
    <row r="317" spans="1:27" s="51" customFormat="1" ht="18.600000000000001" hidden="1" customHeight="1" x14ac:dyDescent="0.25">
      <c r="A317" s="81" t="s">
        <v>16</v>
      </c>
      <c r="B317" s="31" t="s">
        <v>883</v>
      </c>
      <c r="C317" s="32" t="s">
        <v>883</v>
      </c>
      <c r="D317" s="31">
        <v>8412548900551</v>
      </c>
      <c r="E317" s="33" t="s">
        <v>884</v>
      </c>
      <c r="F317" s="33" t="s">
        <v>21</v>
      </c>
      <c r="G317" s="33">
        <v>1</v>
      </c>
      <c r="H317" s="84" t="s">
        <v>885</v>
      </c>
      <c r="I317" s="23" t="s">
        <v>24</v>
      </c>
      <c r="J317" s="34">
        <v>125</v>
      </c>
      <c r="K317" s="35">
        <v>0.25</v>
      </c>
      <c r="L317" s="36">
        <f t="shared" si="39"/>
        <v>31.25</v>
      </c>
      <c r="M317" s="37">
        <f t="shared" si="40"/>
        <v>93.75</v>
      </c>
      <c r="N317" s="38">
        <v>0.16</v>
      </c>
      <c r="O317" s="39">
        <f t="shared" si="42"/>
        <v>15</v>
      </c>
      <c r="P317" s="40">
        <f t="shared" si="43"/>
        <v>108.75</v>
      </c>
      <c r="Q317" s="23"/>
      <c r="R317" s="56"/>
      <c r="S317" s="57"/>
      <c r="T317" s="58">
        <f t="shared" si="45"/>
        <v>0</v>
      </c>
      <c r="U317" s="36">
        <f t="shared" si="45"/>
        <v>0</v>
      </c>
      <c r="V317" s="59">
        <f t="shared" si="46"/>
        <v>0</v>
      </c>
      <c r="W317" s="39">
        <f t="shared" si="41"/>
        <v>0</v>
      </c>
      <c r="X317" s="40">
        <f t="shared" si="44"/>
        <v>0</v>
      </c>
      <c r="Y317"/>
      <c r="Z317"/>
      <c r="AA317"/>
    </row>
    <row r="318" spans="1:27" s="51" customFormat="1" ht="18.600000000000001" hidden="1" customHeight="1" x14ac:dyDescent="0.25">
      <c r="A318" s="82" t="s">
        <v>16</v>
      </c>
      <c r="B318" s="41" t="s">
        <v>883</v>
      </c>
      <c r="C318" s="42" t="s">
        <v>883</v>
      </c>
      <c r="D318" s="41">
        <v>8412548900568</v>
      </c>
      <c r="E318" s="43" t="s">
        <v>886</v>
      </c>
      <c r="F318" s="43" t="s">
        <v>21</v>
      </c>
      <c r="G318" s="43">
        <v>1</v>
      </c>
      <c r="H318" s="85" t="s">
        <v>887</v>
      </c>
      <c r="I318" s="23" t="s">
        <v>24</v>
      </c>
      <c r="J318" s="44">
        <v>125</v>
      </c>
      <c r="K318" s="45">
        <v>0.25</v>
      </c>
      <c r="L318" s="46">
        <f t="shared" si="39"/>
        <v>31.25</v>
      </c>
      <c r="M318" s="47">
        <f t="shared" si="40"/>
        <v>93.75</v>
      </c>
      <c r="N318" s="48">
        <v>0.16</v>
      </c>
      <c r="O318" s="49">
        <f t="shared" si="42"/>
        <v>15</v>
      </c>
      <c r="P318" s="50">
        <f t="shared" si="43"/>
        <v>108.75</v>
      </c>
      <c r="Q318" s="23"/>
      <c r="R318" s="60"/>
      <c r="S318" s="61"/>
      <c r="T318" s="62">
        <f t="shared" ref="T318:U333" si="47">+S318*J318</f>
        <v>0</v>
      </c>
      <c r="U318" s="46">
        <f t="shared" si="47"/>
        <v>0</v>
      </c>
      <c r="V318" s="63">
        <f t="shared" si="46"/>
        <v>0</v>
      </c>
      <c r="W318" s="49">
        <f t="shared" si="41"/>
        <v>0</v>
      </c>
      <c r="X318" s="50">
        <f t="shared" si="44"/>
        <v>0</v>
      </c>
      <c r="Y318"/>
      <c r="Z318"/>
      <c r="AA318"/>
    </row>
    <row r="319" spans="1:27" s="51" customFormat="1" ht="18.600000000000001" hidden="1" customHeight="1" x14ac:dyDescent="0.25">
      <c r="A319" s="80" t="s">
        <v>16</v>
      </c>
      <c r="B319" s="20" t="s">
        <v>883</v>
      </c>
      <c r="C319" s="21" t="s">
        <v>883</v>
      </c>
      <c r="D319" s="20">
        <v>8412548900575</v>
      </c>
      <c r="E319" s="22" t="s">
        <v>888</v>
      </c>
      <c r="F319" s="22" t="s">
        <v>21</v>
      </c>
      <c r="G319" s="22">
        <v>1</v>
      </c>
      <c r="H319" s="83" t="s">
        <v>889</v>
      </c>
      <c r="I319" s="23" t="s">
        <v>24</v>
      </c>
      <c r="J319" s="24">
        <v>125</v>
      </c>
      <c r="K319" s="25">
        <v>0.25</v>
      </c>
      <c r="L319" s="26">
        <f t="shared" si="39"/>
        <v>31.25</v>
      </c>
      <c r="M319" s="27">
        <f t="shared" si="40"/>
        <v>93.75</v>
      </c>
      <c r="N319" s="28">
        <v>0.16</v>
      </c>
      <c r="O319" s="29">
        <f t="shared" si="42"/>
        <v>15</v>
      </c>
      <c r="P319" s="30">
        <f t="shared" si="43"/>
        <v>108.75</v>
      </c>
      <c r="Q319" s="23"/>
      <c r="R319" s="52"/>
      <c r="S319" s="53"/>
      <c r="T319" s="54">
        <f t="shared" si="47"/>
        <v>0</v>
      </c>
      <c r="U319" s="26">
        <f t="shared" si="47"/>
        <v>0</v>
      </c>
      <c r="V319" s="55">
        <f t="shared" si="46"/>
        <v>0</v>
      </c>
      <c r="W319" s="29">
        <f t="shared" si="41"/>
        <v>0</v>
      </c>
      <c r="X319" s="30">
        <f t="shared" si="44"/>
        <v>0</v>
      </c>
      <c r="Y319"/>
      <c r="Z319"/>
      <c r="AA319"/>
    </row>
    <row r="320" spans="1:27" s="51" customFormat="1" ht="18.600000000000001" hidden="1" customHeight="1" x14ac:dyDescent="0.25">
      <c r="A320" s="81" t="s">
        <v>16</v>
      </c>
      <c r="B320" s="31" t="s">
        <v>883</v>
      </c>
      <c r="C320" s="32" t="s">
        <v>883</v>
      </c>
      <c r="D320" s="31">
        <v>8412548900582</v>
      </c>
      <c r="E320" s="33" t="s">
        <v>890</v>
      </c>
      <c r="F320" s="33" t="s">
        <v>21</v>
      </c>
      <c r="G320" s="33">
        <v>1</v>
      </c>
      <c r="H320" s="84" t="s">
        <v>891</v>
      </c>
      <c r="I320" s="23" t="s">
        <v>24</v>
      </c>
      <c r="J320" s="34">
        <v>125</v>
      </c>
      <c r="K320" s="35">
        <v>0.25</v>
      </c>
      <c r="L320" s="36">
        <f t="shared" si="39"/>
        <v>31.25</v>
      </c>
      <c r="M320" s="37">
        <f t="shared" si="40"/>
        <v>93.75</v>
      </c>
      <c r="N320" s="38">
        <v>0.16</v>
      </c>
      <c r="O320" s="39">
        <f t="shared" si="42"/>
        <v>15</v>
      </c>
      <c r="P320" s="40">
        <f t="shared" si="43"/>
        <v>108.75</v>
      </c>
      <c r="Q320" s="23"/>
      <c r="R320" s="56"/>
      <c r="S320" s="57"/>
      <c r="T320" s="58">
        <f t="shared" si="47"/>
        <v>0</v>
      </c>
      <c r="U320" s="36">
        <f t="shared" si="47"/>
        <v>0</v>
      </c>
      <c r="V320" s="59">
        <f t="shared" si="46"/>
        <v>0</v>
      </c>
      <c r="W320" s="39">
        <f t="shared" si="41"/>
        <v>0</v>
      </c>
      <c r="X320" s="40">
        <f t="shared" si="44"/>
        <v>0</v>
      </c>
      <c r="Y320"/>
      <c r="Z320"/>
      <c r="AA320"/>
    </row>
    <row r="321" spans="1:27" s="51" customFormat="1" ht="18.600000000000001" hidden="1" customHeight="1" x14ac:dyDescent="0.25">
      <c r="A321" s="82" t="s">
        <v>16</v>
      </c>
      <c r="B321" s="41" t="s">
        <v>883</v>
      </c>
      <c r="C321" s="42" t="s">
        <v>883</v>
      </c>
      <c r="D321" s="41">
        <v>8412548900599</v>
      </c>
      <c r="E321" s="43" t="s">
        <v>892</v>
      </c>
      <c r="F321" s="43" t="s">
        <v>21</v>
      </c>
      <c r="G321" s="43">
        <v>1</v>
      </c>
      <c r="H321" s="85" t="s">
        <v>893</v>
      </c>
      <c r="I321" s="23" t="s">
        <v>24</v>
      </c>
      <c r="J321" s="44">
        <v>125</v>
      </c>
      <c r="K321" s="45">
        <v>0.25</v>
      </c>
      <c r="L321" s="46">
        <f t="shared" si="39"/>
        <v>31.25</v>
      </c>
      <c r="M321" s="47">
        <f t="shared" si="40"/>
        <v>93.75</v>
      </c>
      <c r="N321" s="48">
        <v>0.16</v>
      </c>
      <c r="O321" s="49">
        <f t="shared" si="42"/>
        <v>15</v>
      </c>
      <c r="P321" s="50">
        <f t="shared" si="43"/>
        <v>108.75</v>
      </c>
      <c r="Q321" s="23"/>
      <c r="R321" s="60"/>
      <c r="S321" s="61"/>
      <c r="T321" s="62">
        <f t="shared" si="47"/>
        <v>0</v>
      </c>
      <c r="U321" s="46">
        <f t="shared" si="47"/>
        <v>0</v>
      </c>
      <c r="V321" s="63">
        <f t="shared" si="46"/>
        <v>0</v>
      </c>
      <c r="W321" s="49">
        <f t="shared" si="41"/>
        <v>0</v>
      </c>
      <c r="X321" s="50">
        <f t="shared" si="44"/>
        <v>0</v>
      </c>
      <c r="Y321"/>
      <c r="Z321"/>
      <c r="AA321"/>
    </row>
    <row r="322" spans="1:27" s="51" customFormat="1" ht="18.600000000000001" hidden="1" customHeight="1" x14ac:dyDescent="0.25">
      <c r="A322" s="80" t="s">
        <v>16</v>
      </c>
      <c r="B322" s="20" t="s">
        <v>883</v>
      </c>
      <c r="C322" s="21" t="s">
        <v>883</v>
      </c>
      <c r="D322" s="20">
        <v>8412548900605</v>
      </c>
      <c r="E322" s="22" t="s">
        <v>894</v>
      </c>
      <c r="F322" s="22" t="s">
        <v>21</v>
      </c>
      <c r="G322" s="22">
        <v>1</v>
      </c>
      <c r="H322" s="83" t="s">
        <v>895</v>
      </c>
      <c r="I322" s="23" t="s">
        <v>24</v>
      </c>
      <c r="J322" s="24">
        <v>125</v>
      </c>
      <c r="K322" s="25">
        <v>0.25</v>
      </c>
      <c r="L322" s="26">
        <f t="shared" si="39"/>
        <v>31.25</v>
      </c>
      <c r="M322" s="27">
        <f t="shared" si="40"/>
        <v>93.75</v>
      </c>
      <c r="N322" s="28">
        <v>0.16</v>
      </c>
      <c r="O322" s="29">
        <f t="shared" si="42"/>
        <v>15</v>
      </c>
      <c r="P322" s="30">
        <f t="shared" si="43"/>
        <v>108.75</v>
      </c>
      <c r="Q322" s="23"/>
      <c r="R322" s="52"/>
      <c r="S322" s="53"/>
      <c r="T322" s="54">
        <f t="shared" si="47"/>
        <v>0</v>
      </c>
      <c r="U322" s="26">
        <f t="shared" si="47"/>
        <v>0</v>
      </c>
      <c r="V322" s="55">
        <f t="shared" si="46"/>
        <v>0</v>
      </c>
      <c r="W322" s="29">
        <f t="shared" si="41"/>
        <v>0</v>
      </c>
      <c r="X322" s="30">
        <f t="shared" si="44"/>
        <v>0</v>
      </c>
      <c r="Y322"/>
      <c r="Z322"/>
      <c r="AA322"/>
    </row>
    <row r="323" spans="1:27" s="51" customFormat="1" ht="18.600000000000001" hidden="1" customHeight="1" x14ac:dyDescent="0.25">
      <c r="A323" s="81" t="s">
        <v>16</v>
      </c>
      <c r="B323" s="31" t="s">
        <v>883</v>
      </c>
      <c r="C323" s="32" t="s">
        <v>883</v>
      </c>
      <c r="D323" s="31">
        <v>8412548900612</v>
      </c>
      <c r="E323" s="33" t="s">
        <v>896</v>
      </c>
      <c r="F323" s="33" t="s">
        <v>21</v>
      </c>
      <c r="G323" s="33">
        <v>1</v>
      </c>
      <c r="H323" s="84" t="s">
        <v>897</v>
      </c>
      <c r="I323" s="23" t="s">
        <v>24</v>
      </c>
      <c r="J323" s="34">
        <v>125</v>
      </c>
      <c r="K323" s="35">
        <v>0.25</v>
      </c>
      <c r="L323" s="36">
        <f t="shared" si="39"/>
        <v>31.25</v>
      </c>
      <c r="M323" s="37">
        <f t="shared" si="40"/>
        <v>93.75</v>
      </c>
      <c r="N323" s="38">
        <v>0.16</v>
      </c>
      <c r="O323" s="39">
        <f t="shared" si="42"/>
        <v>15</v>
      </c>
      <c r="P323" s="40">
        <f t="shared" si="43"/>
        <v>108.75</v>
      </c>
      <c r="Q323" s="23"/>
      <c r="R323" s="56"/>
      <c r="S323" s="57"/>
      <c r="T323" s="58">
        <f t="shared" si="47"/>
        <v>0</v>
      </c>
      <c r="U323" s="36">
        <f t="shared" si="47"/>
        <v>0</v>
      </c>
      <c r="V323" s="59">
        <f t="shared" si="46"/>
        <v>0</v>
      </c>
      <c r="W323" s="39">
        <f t="shared" si="41"/>
        <v>0</v>
      </c>
      <c r="X323" s="40">
        <f t="shared" si="44"/>
        <v>0</v>
      </c>
      <c r="Y323"/>
      <c r="Z323"/>
      <c r="AA323"/>
    </row>
    <row r="324" spans="1:27" s="51" customFormat="1" ht="18.600000000000001" hidden="1" customHeight="1" x14ac:dyDescent="0.25">
      <c r="A324" s="82" t="s">
        <v>16</v>
      </c>
      <c r="B324" s="41" t="s">
        <v>883</v>
      </c>
      <c r="C324" s="42" t="s">
        <v>883</v>
      </c>
      <c r="D324" s="41">
        <v>8412548900629</v>
      </c>
      <c r="E324" s="43" t="s">
        <v>898</v>
      </c>
      <c r="F324" s="43" t="s">
        <v>21</v>
      </c>
      <c r="G324" s="43">
        <v>1</v>
      </c>
      <c r="H324" s="85" t="s">
        <v>899</v>
      </c>
      <c r="I324" s="23" t="s">
        <v>24</v>
      </c>
      <c r="J324" s="44">
        <v>125</v>
      </c>
      <c r="K324" s="45">
        <v>0.25</v>
      </c>
      <c r="L324" s="46">
        <f t="shared" si="39"/>
        <v>31.25</v>
      </c>
      <c r="M324" s="47">
        <f t="shared" si="40"/>
        <v>93.75</v>
      </c>
      <c r="N324" s="48">
        <v>0.16</v>
      </c>
      <c r="O324" s="49">
        <f t="shared" si="42"/>
        <v>15</v>
      </c>
      <c r="P324" s="50">
        <f t="shared" si="43"/>
        <v>108.75</v>
      </c>
      <c r="Q324" s="23"/>
      <c r="R324" s="60"/>
      <c r="S324" s="61"/>
      <c r="T324" s="62">
        <f t="shared" si="47"/>
        <v>0</v>
      </c>
      <c r="U324" s="46">
        <f t="shared" si="47"/>
        <v>0</v>
      </c>
      <c r="V324" s="63">
        <f t="shared" si="46"/>
        <v>0</v>
      </c>
      <c r="W324" s="49">
        <f t="shared" si="41"/>
        <v>0</v>
      </c>
      <c r="X324" s="50">
        <f t="shared" si="44"/>
        <v>0</v>
      </c>
      <c r="Y324"/>
      <c r="Z324"/>
      <c r="AA324"/>
    </row>
    <row r="325" spans="1:27" s="51" customFormat="1" ht="18.600000000000001" hidden="1" customHeight="1" x14ac:dyDescent="0.25">
      <c r="A325" s="80" t="s">
        <v>16</v>
      </c>
      <c r="B325" s="20" t="s">
        <v>883</v>
      </c>
      <c r="C325" s="21" t="s">
        <v>883</v>
      </c>
      <c r="D325" s="20">
        <v>8412548900636</v>
      </c>
      <c r="E325" s="22" t="s">
        <v>900</v>
      </c>
      <c r="F325" s="22" t="s">
        <v>21</v>
      </c>
      <c r="G325" s="22">
        <v>1</v>
      </c>
      <c r="H325" s="83" t="s">
        <v>901</v>
      </c>
      <c r="I325" s="23" t="s">
        <v>24</v>
      </c>
      <c r="J325" s="24">
        <v>125</v>
      </c>
      <c r="K325" s="25">
        <v>0.25</v>
      </c>
      <c r="L325" s="26">
        <f t="shared" si="39"/>
        <v>31.25</v>
      </c>
      <c r="M325" s="27">
        <f t="shared" si="40"/>
        <v>93.75</v>
      </c>
      <c r="N325" s="28">
        <v>0.16</v>
      </c>
      <c r="O325" s="29">
        <f t="shared" si="42"/>
        <v>15</v>
      </c>
      <c r="P325" s="30">
        <f t="shared" si="43"/>
        <v>108.75</v>
      </c>
      <c r="Q325" s="23"/>
      <c r="R325" s="52"/>
      <c r="S325" s="53"/>
      <c r="T325" s="54">
        <f t="shared" si="47"/>
        <v>0</v>
      </c>
      <c r="U325" s="26">
        <f t="shared" si="47"/>
        <v>0</v>
      </c>
      <c r="V325" s="55">
        <f t="shared" si="46"/>
        <v>0</v>
      </c>
      <c r="W325" s="29">
        <f t="shared" si="41"/>
        <v>0</v>
      </c>
      <c r="X325" s="30">
        <f t="shared" si="44"/>
        <v>0</v>
      </c>
      <c r="Y325"/>
      <c r="Z325"/>
      <c r="AA325"/>
    </row>
    <row r="326" spans="1:27" s="51" customFormat="1" ht="18.600000000000001" hidden="1" customHeight="1" x14ac:dyDescent="0.25">
      <c r="A326" s="81" t="s">
        <v>16</v>
      </c>
      <c r="B326" s="31" t="s">
        <v>883</v>
      </c>
      <c r="C326" s="32" t="s">
        <v>883</v>
      </c>
      <c r="D326" s="31">
        <v>8412548900643</v>
      </c>
      <c r="E326" s="33" t="s">
        <v>902</v>
      </c>
      <c r="F326" s="33" t="s">
        <v>21</v>
      </c>
      <c r="G326" s="33">
        <v>1</v>
      </c>
      <c r="H326" s="84" t="s">
        <v>903</v>
      </c>
      <c r="I326" s="23" t="s">
        <v>24</v>
      </c>
      <c r="J326" s="34">
        <v>125</v>
      </c>
      <c r="K326" s="35">
        <v>0.25</v>
      </c>
      <c r="L326" s="36">
        <f t="shared" si="39"/>
        <v>31.25</v>
      </c>
      <c r="M326" s="37">
        <f t="shared" si="40"/>
        <v>93.75</v>
      </c>
      <c r="N326" s="38">
        <v>0.16</v>
      </c>
      <c r="O326" s="39">
        <f t="shared" si="42"/>
        <v>15</v>
      </c>
      <c r="P326" s="40">
        <f t="shared" si="43"/>
        <v>108.75</v>
      </c>
      <c r="Q326" s="23"/>
      <c r="R326" s="56"/>
      <c r="S326" s="57"/>
      <c r="T326" s="58">
        <f t="shared" si="47"/>
        <v>0</v>
      </c>
      <c r="U326" s="36">
        <f t="shared" si="47"/>
        <v>0</v>
      </c>
      <c r="V326" s="59">
        <f t="shared" si="46"/>
        <v>0</v>
      </c>
      <c r="W326" s="39">
        <f t="shared" si="41"/>
        <v>0</v>
      </c>
      <c r="X326" s="40">
        <f t="shared" si="44"/>
        <v>0</v>
      </c>
      <c r="Y326"/>
      <c r="Z326"/>
      <c r="AA326"/>
    </row>
    <row r="327" spans="1:27" s="51" customFormat="1" ht="18.600000000000001" hidden="1" customHeight="1" x14ac:dyDescent="0.25">
      <c r="A327" s="82" t="s">
        <v>16</v>
      </c>
      <c r="B327" s="41" t="s">
        <v>883</v>
      </c>
      <c r="C327" s="42" t="s">
        <v>883</v>
      </c>
      <c r="D327" s="41">
        <v>8412548900650</v>
      </c>
      <c r="E327" s="43" t="s">
        <v>904</v>
      </c>
      <c r="F327" s="43" t="s">
        <v>21</v>
      </c>
      <c r="G327" s="43">
        <v>1</v>
      </c>
      <c r="H327" s="85" t="s">
        <v>905</v>
      </c>
      <c r="I327" s="23" t="s">
        <v>24</v>
      </c>
      <c r="J327" s="44">
        <v>125</v>
      </c>
      <c r="K327" s="45">
        <v>0.25</v>
      </c>
      <c r="L327" s="46">
        <f t="shared" si="39"/>
        <v>31.25</v>
      </c>
      <c r="M327" s="47">
        <f t="shared" si="40"/>
        <v>93.75</v>
      </c>
      <c r="N327" s="48">
        <v>0.16</v>
      </c>
      <c r="O327" s="49">
        <f t="shared" si="42"/>
        <v>15</v>
      </c>
      <c r="P327" s="50">
        <f t="shared" si="43"/>
        <v>108.75</v>
      </c>
      <c r="Q327" s="23"/>
      <c r="R327" s="60"/>
      <c r="S327" s="61"/>
      <c r="T327" s="62">
        <f t="shared" si="47"/>
        <v>0</v>
      </c>
      <c r="U327" s="46">
        <f t="shared" si="47"/>
        <v>0</v>
      </c>
      <c r="V327" s="63">
        <f t="shared" si="46"/>
        <v>0</v>
      </c>
      <c r="W327" s="49">
        <f t="shared" si="41"/>
        <v>0</v>
      </c>
      <c r="X327" s="50">
        <f t="shared" si="44"/>
        <v>0</v>
      </c>
      <c r="Y327"/>
      <c r="Z327"/>
      <c r="AA327"/>
    </row>
    <row r="328" spans="1:27" s="51" customFormat="1" ht="18.600000000000001" hidden="1" customHeight="1" x14ac:dyDescent="0.25">
      <c r="A328" s="80" t="s">
        <v>16</v>
      </c>
      <c r="B328" s="20" t="s">
        <v>883</v>
      </c>
      <c r="C328" s="21" t="s">
        <v>883</v>
      </c>
      <c r="D328" s="20">
        <v>8412548900667</v>
      </c>
      <c r="E328" s="22" t="s">
        <v>906</v>
      </c>
      <c r="F328" s="22" t="s">
        <v>21</v>
      </c>
      <c r="G328" s="22">
        <v>1</v>
      </c>
      <c r="H328" s="83" t="s">
        <v>907</v>
      </c>
      <c r="I328" s="23" t="s">
        <v>24</v>
      </c>
      <c r="J328" s="24">
        <v>125</v>
      </c>
      <c r="K328" s="25">
        <v>0.25</v>
      </c>
      <c r="L328" s="26">
        <f t="shared" si="39"/>
        <v>31.25</v>
      </c>
      <c r="M328" s="27">
        <f t="shared" si="40"/>
        <v>93.75</v>
      </c>
      <c r="N328" s="28">
        <v>0.16</v>
      </c>
      <c r="O328" s="29">
        <f t="shared" si="42"/>
        <v>15</v>
      </c>
      <c r="P328" s="30">
        <f t="shared" si="43"/>
        <v>108.75</v>
      </c>
      <c r="Q328" s="23"/>
      <c r="R328" s="52"/>
      <c r="S328" s="53"/>
      <c r="T328" s="54">
        <f t="shared" si="47"/>
        <v>0</v>
      </c>
      <c r="U328" s="26">
        <f t="shared" si="47"/>
        <v>0</v>
      </c>
      <c r="V328" s="55">
        <f t="shared" si="46"/>
        <v>0</v>
      </c>
      <c r="W328" s="29">
        <f t="shared" si="41"/>
        <v>0</v>
      </c>
      <c r="X328" s="30">
        <f t="shared" si="44"/>
        <v>0</v>
      </c>
      <c r="Y328"/>
      <c r="Z328"/>
      <c r="AA328"/>
    </row>
    <row r="329" spans="1:27" s="51" customFormat="1" ht="18.600000000000001" hidden="1" customHeight="1" x14ac:dyDescent="0.25">
      <c r="A329" s="81" t="s">
        <v>16</v>
      </c>
      <c r="B329" s="31" t="s">
        <v>883</v>
      </c>
      <c r="C329" s="32" t="s">
        <v>883</v>
      </c>
      <c r="D329" s="31">
        <v>8412548900674</v>
      </c>
      <c r="E329" s="33" t="s">
        <v>908</v>
      </c>
      <c r="F329" s="33" t="s">
        <v>21</v>
      </c>
      <c r="G329" s="33">
        <v>1</v>
      </c>
      <c r="H329" s="84" t="s">
        <v>909</v>
      </c>
      <c r="I329" s="23" t="s">
        <v>24</v>
      </c>
      <c r="J329" s="34">
        <v>125</v>
      </c>
      <c r="K329" s="35">
        <v>0.25</v>
      </c>
      <c r="L329" s="36">
        <f t="shared" si="39"/>
        <v>31.25</v>
      </c>
      <c r="M329" s="37">
        <f t="shared" si="40"/>
        <v>93.75</v>
      </c>
      <c r="N329" s="38">
        <v>0.16</v>
      </c>
      <c r="O329" s="39">
        <f t="shared" si="42"/>
        <v>15</v>
      </c>
      <c r="P329" s="40">
        <f t="shared" si="43"/>
        <v>108.75</v>
      </c>
      <c r="Q329" s="23"/>
      <c r="R329" s="56"/>
      <c r="S329" s="57"/>
      <c r="T329" s="58">
        <f t="shared" si="47"/>
        <v>0</v>
      </c>
      <c r="U329" s="36">
        <f t="shared" si="47"/>
        <v>0</v>
      </c>
      <c r="V329" s="59">
        <f t="shared" si="46"/>
        <v>0</v>
      </c>
      <c r="W329" s="39">
        <f t="shared" si="41"/>
        <v>0</v>
      </c>
      <c r="X329" s="40">
        <f t="shared" si="44"/>
        <v>0</v>
      </c>
      <c r="Y329"/>
      <c r="Z329"/>
      <c r="AA329"/>
    </row>
    <row r="330" spans="1:27" s="51" customFormat="1" ht="18.600000000000001" hidden="1" customHeight="1" x14ac:dyDescent="0.25">
      <c r="A330" s="82" t="s">
        <v>16</v>
      </c>
      <c r="B330" s="41" t="s">
        <v>883</v>
      </c>
      <c r="C330" s="42" t="s">
        <v>883</v>
      </c>
      <c r="D330" s="41">
        <v>8412548900681</v>
      </c>
      <c r="E330" s="43" t="s">
        <v>910</v>
      </c>
      <c r="F330" s="43" t="s">
        <v>21</v>
      </c>
      <c r="G330" s="43">
        <v>1</v>
      </c>
      <c r="H330" s="85" t="s">
        <v>911</v>
      </c>
      <c r="I330" s="23" t="s">
        <v>24</v>
      </c>
      <c r="J330" s="44">
        <v>125</v>
      </c>
      <c r="K330" s="45">
        <v>0.25</v>
      </c>
      <c r="L330" s="46">
        <f t="shared" ref="L330:L393" si="48">+J330*K330</f>
        <v>31.25</v>
      </c>
      <c r="M330" s="47">
        <f t="shared" ref="M330:M393" si="49">+J330-L330</f>
        <v>93.75</v>
      </c>
      <c r="N330" s="48">
        <v>0.16</v>
      </c>
      <c r="O330" s="49">
        <f t="shared" si="42"/>
        <v>15</v>
      </c>
      <c r="P330" s="50">
        <f t="shared" si="43"/>
        <v>108.75</v>
      </c>
      <c r="Q330" s="23"/>
      <c r="R330" s="60"/>
      <c r="S330" s="61"/>
      <c r="T330" s="62">
        <f t="shared" si="47"/>
        <v>0</v>
      </c>
      <c r="U330" s="46">
        <f t="shared" si="47"/>
        <v>0</v>
      </c>
      <c r="V330" s="63">
        <f t="shared" si="46"/>
        <v>0</v>
      </c>
      <c r="W330" s="49">
        <f t="shared" ref="W330:W393" si="50">+V330*N330</f>
        <v>0</v>
      </c>
      <c r="X330" s="50">
        <f t="shared" si="44"/>
        <v>0</v>
      </c>
      <c r="Y330"/>
      <c r="Z330"/>
      <c r="AA330"/>
    </row>
    <row r="331" spans="1:27" s="51" customFormat="1" ht="18.600000000000001" hidden="1" customHeight="1" x14ac:dyDescent="0.25">
      <c r="A331" s="80" t="s">
        <v>16</v>
      </c>
      <c r="B331" s="20" t="s">
        <v>883</v>
      </c>
      <c r="C331" s="21" t="s">
        <v>883</v>
      </c>
      <c r="D331" s="20">
        <v>8412548900698</v>
      </c>
      <c r="E331" s="22" t="s">
        <v>912</v>
      </c>
      <c r="F331" s="22" t="s">
        <v>21</v>
      </c>
      <c r="G331" s="22">
        <v>1</v>
      </c>
      <c r="H331" s="83" t="s">
        <v>913</v>
      </c>
      <c r="I331" s="23" t="s">
        <v>24</v>
      </c>
      <c r="J331" s="24">
        <v>125</v>
      </c>
      <c r="K331" s="25">
        <v>0.25</v>
      </c>
      <c r="L331" s="26">
        <f t="shared" si="48"/>
        <v>31.25</v>
      </c>
      <c r="M331" s="27">
        <f t="shared" si="49"/>
        <v>93.75</v>
      </c>
      <c r="N331" s="28">
        <v>0.16</v>
      </c>
      <c r="O331" s="29">
        <f t="shared" ref="O331:O394" si="51">+M331*N331</f>
        <v>15</v>
      </c>
      <c r="P331" s="30">
        <f t="shared" ref="P331:P394" si="52">+M331+O331</f>
        <v>108.75</v>
      </c>
      <c r="Q331" s="23"/>
      <c r="R331" s="52"/>
      <c r="S331" s="53"/>
      <c r="T331" s="54">
        <f t="shared" si="47"/>
        <v>0</v>
      </c>
      <c r="U331" s="26">
        <f t="shared" si="47"/>
        <v>0</v>
      </c>
      <c r="V331" s="55">
        <f t="shared" si="46"/>
        <v>0</v>
      </c>
      <c r="W331" s="29">
        <f t="shared" si="50"/>
        <v>0</v>
      </c>
      <c r="X331" s="30">
        <f t="shared" ref="X331:X394" si="53">+V331+W331</f>
        <v>0</v>
      </c>
      <c r="Y331"/>
      <c r="Z331"/>
      <c r="AA331"/>
    </row>
    <row r="332" spans="1:27" s="51" customFormat="1" ht="18.600000000000001" hidden="1" customHeight="1" x14ac:dyDescent="0.25">
      <c r="A332" s="81" t="s">
        <v>16</v>
      </c>
      <c r="B332" s="31" t="s">
        <v>883</v>
      </c>
      <c r="C332" s="32" t="s">
        <v>883</v>
      </c>
      <c r="D332" s="31">
        <v>8412548900704</v>
      </c>
      <c r="E332" s="33" t="s">
        <v>914</v>
      </c>
      <c r="F332" s="33" t="s">
        <v>21</v>
      </c>
      <c r="G332" s="33">
        <v>1</v>
      </c>
      <c r="H332" s="84" t="s">
        <v>915</v>
      </c>
      <c r="I332" s="23" t="s">
        <v>24</v>
      </c>
      <c r="J332" s="34">
        <v>125</v>
      </c>
      <c r="K332" s="35">
        <v>0.25</v>
      </c>
      <c r="L332" s="36">
        <f t="shared" si="48"/>
        <v>31.25</v>
      </c>
      <c r="M332" s="37">
        <f t="shared" si="49"/>
        <v>93.75</v>
      </c>
      <c r="N332" s="38">
        <v>0.16</v>
      </c>
      <c r="O332" s="39">
        <f t="shared" si="51"/>
        <v>15</v>
      </c>
      <c r="P332" s="40">
        <f t="shared" si="52"/>
        <v>108.75</v>
      </c>
      <c r="Q332" s="23"/>
      <c r="R332" s="56"/>
      <c r="S332" s="57"/>
      <c r="T332" s="58">
        <f t="shared" si="47"/>
        <v>0</v>
      </c>
      <c r="U332" s="36">
        <f t="shared" si="47"/>
        <v>0</v>
      </c>
      <c r="V332" s="59">
        <f t="shared" si="46"/>
        <v>0</v>
      </c>
      <c r="W332" s="39">
        <f t="shared" si="50"/>
        <v>0</v>
      </c>
      <c r="X332" s="40">
        <f t="shared" si="53"/>
        <v>0</v>
      </c>
      <c r="Y332"/>
      <c r="Z332"/>
      <c r="AA332"/>
    </row>
    <row r="333" spans="1:27" s="51" customFormat="1" ht="18.600000000000001" hidden="1" customHeight="1" x14ac:dyDescent="0.25">
      <c r="A333" s="82" t="s">
        <v>16</v>
      </c>
      <c r="B333" s="41" t="s">
        <v>883</v>
      </c>
      <c r="C333" s="42" t="s">
        <v>883</v>
      </c>
      <c r="D333" s="41">
        <v>8412548900711</v>
      </c>
      <c r="E333" s="43" t="s">
        <v>916</v>
      </c>
      <c r="F333" s="43" t="s">
        <v>21</v>
      </c>
      <c r="G333" s="43">
        <v>1</v>
      </c>
      <c r="H333" s="85" t="s">
        <v>917</v>
      </c>
      <c r="I333" s="23" t="s">
        <v>24</v>
      </c>
      <c r="J333" s="44">
        <v>125</v>
      </c>
      <c r="K333" s="45">
        <v>0.25</v>
      </c>
      <c r="L333" s="46">
        <f t="shared" si="48"/>
        <v>31.25</v>
      </c>
      <c r="M333" s="47">
        <f t="shared" si="49"/>
        <v>93.75</v>
      </c>
      <c r="N333" s="48">
        <v>0.16</v>
      </c>
      <c r="O333" s="49">
        <f t="shared" si="51"/>
        <v>15</v>
      </c>
      <c r="P333" s="50">
        <f t="shared" si="52"/>
        <v>108.75</v>
      </c>
      <c r="Q333" s="23"/>
      <c r="R333" s="60"/>
      <c r="S333" s="61"/>
      <c r="T333" s="62">
        <f t="shared" si="47"/>
        <v>0</v>
      </c>
      <c r="U333" s="46">
        <f t="shared" si="47"/>
        <v>0</v>
      </c>
      <c r="V333" s="63">
        <f t="shared" si="46"/>
        <v>0</v>
      </c>
      <c r="W333" s="49">
        <f t="shared" si="50"/>
        <v>0</v>
      </c>
      <c r="X333" s="50">
        <f t="shared" si="53"/>
        <v>0</v>
      </c>
      <c r="Y333"/>
      <c r="Z333"/>
      <c r="AA333"/>
    </row>
    <row r="334" spans="1:27" s="51" customFormat="1" ht="18.600000000000001" hidden="1" customHeight="1" x14ac:dyDescent="0.25">
      <c r="A334" s="80" t="s">
        <v>16</v>
      </c>
      <c r="B334" s="20" t="s">
        <v>883</v>
      </c>
      <c r="C334" s="21" t="s">
        <v>883</v>
      </c>
      <c r="D334" s="20">
        <v>8412548900728</v>
      </c>
      <c r="E334" s="22" t="s">
        <v>918</v>
      </c>
      <c r="F334" s="22" t="s">
        <v>21</v>
      </c>
      <c r="G334" s="22">
        <v>1</v>
      </c>
      <c r="H334" s="83" t="s">
        <v>919</v>
      </c>
      <c r="I334" s="23" t="s">
        <v>24</v>
      </c>
      <c r="J334" s="24">
        <v>125</v>
      </c>
      <c r="K334" s="25">
        <v>0.25</v>
      </c>
      <c r="L334" s="26">
        <f t="shared" si="48"/>
        <v>31.25</v>
      </c>
      <c r="M334" s="27">
        <f t="shared" si="49"/>
        <v>93.75</v>
      </c>
      <c r="N334" s="28">
        <v>0.16</v>
      </c>
      <c r="O334" s="29">
        <f t="shared" si="51"/>
        <v>15</v>
      </c>
      <c r="P334" s="30">
        <f t="shared" si="52"/>
        <v>108.75</v>
      </c>
      <c r="Q334" s="23"/>
      <c r="R334" s="52"/>
      <c r="S334" s="53"/>
      <c r="T334" s="54">
        <f t="shared" ref="T334:U365" si="54">+S334*J334</f>
        <v>0</v>
      </c>
      <c r="U334" s="26">
        <f t="shared" si="54"/>
        <v>0</v>
      </c>
      <c r="V334" s="55">
        <f t="shared" si="46"/>
        <v>0</v>
      </c>
      <c r="W334" s="29">
        <f t="shared" si="50"/>
        <v>0</v>
      </c>
      <c r="X334" s="30">
        <f t="shared" si="53"/>
        <v>0</v>
      </c>
      <c r="Y334"/>
      <c r="Z334"/>
      <c r="AA334"/>
    </row>
    <row r="335" spans="1:27" s="51" customFormat="1" ht="18.600000000000001" hidden="1" customHeight="1" x14ac:dyDescent="0.25">
      <c r="A335" s="81" t="s">
        <v>16</v>
      </c>
      <c r="B335" s="31" t="s">
        <v>883</v>
      </c>
      <c r="C335" s="32" t="s">
        <v>883</v>
      </c>
      <c r="D335" s="31">
        <v>8412548900735</v>
      </c>
      <c r="E335" s="33" t="s">
        <v>920</v>
      </c>
      <c r="F335" s="33" t="s">
        <v>21</v>
      </c>
      <c r="G335" s="33">
        <v>1</v>
      </c>
      <c r="H335" s="84" t="s">
        <v>921</v>
      </c>
      <c r="I335" s="23" t="s">
        <v>24</v>
      </c>
      <c r="J335" s="34">
        <v>125</v>
      </c>
      <c r="K335" s="35">
        <v>0.25</v>
      </c>
      <c r="L335" s="36">
        <f t="shared" si="48"/>
        <v>31.25</v>
      </c>
      <c r="M335" s="37">
        <f t="shared" si="49"/>
        <v>93.75</v>
      </c>
      <c r="N335" s="38">
        <v>0.16</v>
      </c>
      <c r="O335" s="39">
        <f t="shared" si="51"/>
        <v>15</v>
      </c>
      <c r="P335" s="40">
        <f t="shared" si="52"/>
        <v>108.75</v>
      </c>
      <c r="Q335" s="23"/>
      <c r="R335" s="56"/>
      <c r="S335" s="57"/>
      <c r="T335" s="58">
        <f t="shared" si="54"/>
        <v>0</v>
      </c>
      <c r="U335" s="36">
        <f t="shared" si="54"/>
        <v>0</v>
      </c>
      <c r="V335" s="59">
        <f t="shared" si="46"/>
        <v>0</v>
      </c>
      <c r="W335" s="39">
        <f t="shared" si="50"/>
        <v>0</v>
      </c>
      <c r="X335" s="40">
        <f t="shared" si="53"/>
        <v>0</v>
      </c>
      <c r="Y335"/>
      <c r="Z335"/>
      <c r="AA335"/>
    </row>
    <row r="336" spans="1:27" s="51" customFormat="1" ht="18.600000000000001" hidden="1" customHeight="1" x14ac:dyDescent="0.25">
      <c r="A336" s="82" t="s">
        <v>16</v>
      </c>
      <c r="B336" s="41" t="s">
        <v>883</v>
      </c>
      <c r="C336" s="42" t="s">
        <v>883</v>
      </c>
      <c r="D336" s="41">
        <v>8412548900742</v>
      </c>
      <c r="E336" s="43" t="s">
        <v>922</v>
      </c>
      <c r="F336" s="43" t="s">
        <v>21</v>
      </c>
      <c r="G336" s="43">
        <v>1</v>
      </c>
      <c r="H336" s="85" t="s">
        <v>923</v>
      </c>
      <c r="I336" s="23" t="s">
        <v>24</v>
      </c>
      <c r="J336" s="44">
        <v>125</v>
      </c>
      <c r="K336" s="45">
        <v>0.25</v>
      </c>
      <c r="L336" s="46">
        <f t="shared" si="48"/>
        <v>31.25</v>
      </c>
      <c r="M336" s="47">
        <f t="shared" si="49"/>
        <v>93.75</v>
      </c>
      <c r="N336" s="48">
        <v>0.16</v>
      </c>
      <c r="O336" s="49">
        <f t="shared" si="51"/>
        <v>15</v>
      </c>
      <c r="P336" s="50">
        <f t="shared" si="52"/>
        <v>108.75</v>
      </c>
      <c r="Q336" s="23"/>
      <c r="R336" s="60"/>
      <c r="S336" s="61"/>
      <c r="T336" s="62">
        <f t="shared" si="54"/>
        <v>0</v>
      </c>
      <c r="U336" s="46">
        <f t="shared" si="54"/>
        <v>0</v>
      </c>
      <c r="V336" s="63">
        <f t="shared" si="46"/>
        <v>0</v>
      </c>
      <c r="W336" s="49">
        <f t="shared" si="50"/>
        <v>0</v>
      </c>
      <c r="X336" s="50">
        <f t="shared" si="53"/>
        <v>0</v>
      </c>
      <c r="Y336"/>
      <c r="Z336"/>
      <c r="AA336"/>
    </row>
    <row r="337" spans="1:27" s="51" customFormat="1" ht="18.600000000000001" hidden="1" customHeight="1" x14ac:dyDescent="0.25">
      <c r="A337" s="80" t="s">
        <v>16</v>
      </c>
      <c r="B337" s="20" t="s">
        <v>883</v>
      </c>
      <c r="C337" s="21" t="s">
        <v>883</v>
      </c>
      <c r="D337" s="20">
        <v>8412548900759</v>
      </c>
      <c r="E337" s="22" t="s">
        <v>924</v>
      </c>
      <c r="F337" s="22" t="s">
        <v>21</v>
      </c>
      <c r="G337" s="22">
        <v>1</v>
      </c>
      <c r="H337" s="83" t="s">
        <v>925</v>
      </c>
      <c r="I337" s="23" t="s">
        <v>24</v>
      </c>
      <c r="J337" s="24">
        <v>125</v>
      </c>
      <c r="K337" s="25">
        <v>0.25</v>
      </c>
      <c r="L337" s="26">
        <f t="shared" si="48"/>
        <v>31.25</v>
      </c>
      <c r="M337" s="27">
        <f t="shared" si="49"/>
        <v>93.75</v>
      </c>
      <c r="N337" s="28">
        <v>0.16</v>
      </c>
      <c r="O337" s="29">
        <f t="shared" si="51"/>
        <v>15</v>
      </c>
      <c r="P337" s="30">
        <f t="shared" si="52"/>
        <v>108.75</v>
      </c>
      <c r="Q337" s="23"/>
      <c r="R337" s="52"/>
      <c r="S337" s="53"/>
      <c r="T337" s="54">
        <f t="shared" si="54"/>
        <v>0</v>
      </c>
      <c r="U337" s="26">
        <f t="shared" si="54"/>
        <v>0</v>
      </c>
      <c r="V337" s="55">
        <f t="shared" si="46"/>
        <v>0</v>
      </c>
      <c r="W337" s="29">
        <f t="shared" si="50"/>
        <v>0</v>
      </c>
      <c r="X337" s="30">
        <f t="shared" si="53"/>
        <v>0</v>
      </c>
      <c r="Y337"/>
      <c r="Z337"/>
      <c r="AA337"/>
    </row>
    <row r="338" spans="1:27" s="51" customFormat="1" ht="18.600000000000001" hidden="1" customHeight="1" x14ac:dyDescent="0.25">
      <c r="A338" s="81" t="s">
        <v>16</v>
      </c>
      <c r="B338" s="31" t="s">
        <v>883</v>
      </c>
      <c r="C338" s="32" t="s">
        <v>883</v>
      </c>
      <c r="D338" s="31">
        <v>8412548900766</v>
      </c>
      <c r="E338" s="33" t="s">
        <v>926</v>
      </c>
      <c r="F338" s="33" t="s">
        <v>21</v>
      </c>
      <c r="G338" s="33">
        <v>1</v>
      </c>
      <c r="H338" s="84" t="s">
        <v>927</v>
      </c>
      <c r="I338" s="23" t="s">
        <v>24</v>
      </c>
      <c r="J338" s="34">
        <v>125</v>
      </c>
      <c r="K338" s="35">
        <v>0.25</v>
      </c>
      <c r="L338" s="36">
        <f t="shared" si="48"/>
        <v>31.25</v>
      </c>
      <c r="M338" s="37">
        <f t="shared" si="49"/>
        <v>93.75</v>
      </c>
      <c r="N338" s="38">
        <v>0.16</v>
      </c>
      <c r="O338" s="39">
        <f t="shared" si="51"/>
        <v>15</v>
      </c>
      <c r="P338" s="40">
        <f t="shared" si="52"/>
        <v>108.75</v>
      </c>
      <c r="Q338" s="23"/>
      <c r="R338" s="56"/>
      <c r="S338" s="57"/>
      <c r="T338" s="58">
        <f t="shared" si="54"/>
        <v>0</v>
      </c>
      <c r="U338" s="36">
        <f t="shared" si="54"/>
        <v>0</v>
      </c>
      <c r="V338" s="59">
        <f t="shared" si="46"/>
        <v>0</v>
      </c>
      <c r="W338" s="39">
        <f t="shared" si="50"/>
        <v>0</v>
      </c>
      <c r="X338" s="40">
        <f t="shared" si="53"/>
        <v>0</v>
      </c>
      <c r="Y338"/>
      <c r="Z338"/>
      <c r="AA338"/>
    </row>
    <row r="339" spans="1:27" s="51" customFormat="1" ht="18.600000000000001" hidden="1" customHeight="1" x14ac:dyDescent="0.25">
      <c r="A339" s="82" t="s">
        <v>16</v>
      </c>
      <c r="B339" s="41" t="s">
        <v>883</v>
      </c>
      <c r="C339" s="42" t="s">
        <v>883</v>
      </c>
      <c r="D339" s="41">
        <v>8412548900773</v>
      </c>
      <c r="E339" s="43" t="s">
        <v>928</v>
      </c>
      <c r="F339" s="43" t="s">
        <v>21</v>
      </c>
      <c r="G339" s="43">
        <v>1</v>
      </c>
      <c r="H339" s="85" t="s">
        <v>929</v>
      </c>
      <c r="I339" s="23" t="s">
        <v>24</v>
      </c>
      <c r="J339" s="44">
        <v>125</v>
      </c>
      <c r="K339" s="45">
        <v>0.25</v>
      </c>
      <c r="L339" s="46">
        <f t="shared" si="48"/>
        <v>31.25</v>
      </c>
      <c r="M339" s="47">
        <f t="shared" si="49"/>
        <v>93.75</v>
      </c>
      <c r="N339" s="48">
        <v>0.16</v>
      </c>
      <c r="O339" s="49">
        <f t="shared" si="51"/>
        <v>15</v>
      </c>
      <c r="P339" s="50">
        <f t="shared" si="52"/>
        <v>108.75</v>
      </c>
      <c r="Q339" s="23"/>
      <c r="R339" s="60"/>
      <c r="S339" s="61"/>
      <c r="T339" s="62">
        <f t="shared" si="54"/>
        <v>0</v>
      </c>
      <c r="U339" s="46">
        <f t="shared" si="54"/>
        <v>0</v>
      </c>
      <c r="V339" s="63">
        <f t="shared" si="46"/>
        <v>0</v>
      </c>
      <c r="W339" s="49">
        <f t="shared" si="50"/>
        <v>0</v>
      </c>
      <c r="X339" s="50">
        <f t="shared" si="53"/>
        <v>0</v>
      </c>
      <c r="Y339"/>
      <c r="Z339"/>
      <c r="AA339"/>
    </row>
    <row r="340" spans="1:27" s="51" customFormat="1" ht="18.600000000000001" hidden="1" customHeight="1" x14ac:dyDescent="0.25">
      <c r="A340" s="80" t="s">
        <v>16</v>
      </c>
      <c r="B340" s="20" t="s">
        <v>883</v>
      </c>
      <c r="C340" s="21" t="s">
        <v>883</v>
      </c>
      <c r="D340" s="20">
        <v>8412548900780</v>
      </c>
      <c r="E340" s="22" t="s">
        <v>930</v>
      </c>
      <c r="F340" s="22" t="s">
        <v>21</v>
      </c>
      <c r="G340" s="22">
        <v>1</v>
      </c>
      <c r="H340" s="83" t="s">
        <v>931</v>
      </c>
      <c r="I340" s="23" t="s">
        <v>24</v>
      </c>
      <c r="J340" s="24">
        <v>125</v>
      </c>
      <c r="K340" s="25">
        <v>0.25</v>
      </c>
      <c r="L340" s="26">
        <f t="shared" si="48"/>
        <v>31.25</v>
      </c>
      <c r="M340" s="27">
        <f t="shared" si="49"/>
        <v>93.75</v>
      </c>
      <c r="N340" s="28">
        <v>0.16</v>
      </c>
      <c r="O340" s="29">
        <f t="shared" si="51"/>
        <v>15</v>
      </c>
      <c r="P340" s="30">
        <f t="shared" si="52"/>
        <v>108.75</v>
      </c>
      <c r="Q340" s="23"/>
      <c r="R340" s="52"/>
      <c r="S340" s="53"/>
      <c r="T340" s="54">
        <f t="shared" si="54"/>
        <v>0</v>
      </c>
      <c r="U340" s="26">
        <f t="shared" si="54"/>
        <v>0</v>
      </c>
      <c r="V340" s="55">
        <f t="shared" si="46"/>
        <v>0</v>
      </c>
      <c r="W340" s="29">
        <f t="shared" si="50"/>
        <v>0</v>
      </c>
      <c r="X340" s="30">
        <f t="shared" si="53"/>
        <v>0</v>
      </c>
      <c r="Y340"/>
      <c r="Z340"/>
      <c r="AA340"/>
    </row>
    <row r="341" spans="1:27" s="51" customFormat="1" ht="18.600000000000001" hidden="1" customHeight="1" x14ac:dyDescent="0.25">
      <c r="A341" s="81" t="s">
        <v>16</v>
      </c>
      <c r="B341" s="31" t="s">
        <v>883</v>
      </c>
      <c r="C341" s="32" t="s">
        <v>883</v>
      </c>
      <c r="D341" s="31">
        <v>8412548900797</v>
      </c>
      <c r="E341" s="33" t="s">
        <v>932</v>
      </c>
      <c r="F341" s="33" t="s">
        <v>21</v>
      </c>
      <c r="G341" s="33">
        <v>1</v>
      </c>
      <c r="H341" s="84" t="s">
        <v>933</v>
      </c>
      <c r="I341" s="23" t="s">
        <v>24</v>
      </c>
      <c r="J341" s="34">
        <v>125</v>
      </c>
      <c r="K341" s="35">
        <v>0.25</v>
      </c>
      <c r="L341" s="36">
        <f t="shared" si="48"/>
        <v>31.25</v>
      </c>
      <c r="M341" s="37">
        <f t="shared" si="49"/>
        <v>93.75</v>
      </c>
      <c r="N341" s="38">
        <v>0.16</v>
      </c>
      <c r="O341" s="39">
        <f t="shared" si="51"/>
        <v>15</v>
      </c>
      <c r="P341" s="40">
        <f t="shared" si="52"/>
        <v>108.75</v>
      </c>
      <c r="Q341" s="23"/>
      <c r="R341" s="56"/>
      <c r="S341" s="57"/>
      <c r="T341" s="58">
        <f t="shared" si="54"/>
        <v>0</v>
      </c>
      <c r="U341" s="36">
        <f t="shared" si="54"/>
        <v>0</v>
      </c>
      <c r="V341" s="59">
        <f t="shared" si="46"/>
        <v>0</v>
      </c>
      <c r="W341" s="39">
        <f t="shared" si="50"/>
        <v>0</v>
      </c>
      <c r="X341" s="40">
        <f t="shared" si="53"/>
        <v>0</v>
      </c>
      <c r="Y341"/>
      <c r="Z341"/>
      <c r="AA341"/>
    </row>
    <row r="342" spans="1:27" s="51" customFormat="1" ht="18.600000000000001" hidden="1" customHeight="1" x14ac:dyDescent="0.25">
      <c r="A342" s="82" t="s">
        <v>16</v>
      </c>
      <c r="B342" s="41" t="s">
        <v>883</v>
      </c>
      <c r="C342" s="42" t="s">
        <v>883</v>
      </c>
      <c r="D342" s="41">
        <v>8412548900803</v>
      </c>
      <c r="E342" s="43" t="s">
        <v>934</v>
      </c>
      <c r="F342" s="43" t="s">
        <v>21</v>
      </c>
      <c r="G342" s="43">
        <v>1</v>
      </c>
      <c r="H342" s="85" t="s">
        <v>935</v>
      </c>
      <c r="I342" s="23" t="s">
        <v>24</v>
      </c>
      <c r="J342" s="44">
        <v>125</v>
      </c>
      <c r="K342" s="45">
        <v>0.25</v>
      </c>
      <c r="L342" s="46">
        <f t="shared" si="48"/>
        <v>31.25</v>
      </c>
      <c r="M342" s="47">
        <f t="shared" si="49"/>
        <v>93.75</v>
      </c>
      <c r="N342" s="48">
        <v>0.16</v>
      </c>
      <c r="O342" s="49">
        <f t="shared" si="51"/>
        <v>15</v>
      </c>
      <c r="P342" s="50">
        <f t="shared" si="52"/>
        <v>108.75</v>
      </c>
      <c r="Q342" s="23"/>
      <c r="R342" s="60"/>
      <c r="S342" s="61"/>
      <c r="T342" s="62">
        <f t="shared" si="54"/>
        <v>0</v>
      </c>
      <c r="U342" s="46">
        <f t="shared" si="54"/>
        <v>0</v>
      </c>
      <c r="V342" s="63">
        <f t="shared" si="46"/>
        <v>0</v>
      </c>
      <c r="W342" s="49">
        <f t="shared" si="50"/>
        <v>0</v>
      </c>
      <c r="X342" s="50">
        <f t="shared" si="53"/>
        <v>0</v>
      </c>
      <c r="Y342"/>
      <c r="Z342"/>
      <c r="AA342"/>
    </row>
    <row r="343" spans="1:27" s="51" customFormat="1" ht="18.600000000000001" hidden="1" customHeight="1" x14ac:dyDescent="0.25">
      <c r="A343" s="80" t="s">
        <v>16</v>
      </c>
      <c r="B343" s="20" t="s">
        <v>883</v>
      </c>
      <c r="C343" s="21" t="s">
        <v>883</v>
      </c>
      <c r="D343" s="20">
        <v>8412548900810</v>
      </c>
      <c r="E343" s="22" t="s">
        <v>936</v>
      </c>
      <c r="F343" s="22" t="s">
        <v>21</v>
      </c>
      <c r="G343" s="22">
        <v>1</v>
      </c>
      <c r="H343" s="83" t="s">
        <v>937</v>
      </c>
      <c r="I343" s="23" t="s">
        <v>24</v>
      </c>
      <c r="J343" s="24">
        <v>125</v>
      </c>
      <c r="K343" s="25">
        <v>0.25</v>
      </c>
      <c r="L343" s="26">
        <f t="shared" si="48"/>
        <v>31.25</v>
      </c>
      <c r="M343" s="27">
        <f t="shared" si="49"/>
        <v>93.75</v>
      </c>
      <c r="N343" s="28">
        <v>0.16</v>
      </c>
      <c r="O343" s="29">
        <f t="shared" si="51"/>
        <v>15</v>
      </c>
      <c r="P343" s="30">
        <f t="shared" si="52"/>
        <v>108.75</v>
      </c>
      <c r="Q343" s="23"/>
      <c r="R343" s="52"/>
      <c r="S343" s="53"/>
      <c r="T343" s="54">
        <f t="shared" si="54"/>
        <v>0</v>
      </c>
      <c r="U343" s="26">
        <f t="shared" si="54"/>
        <v>0</v>
      </c>
      <c r="V343" s="55">
        <f t="shared" si="46"/>
        <v>0</v>
      </c>
      <c r="W343" s="29">
        <f t="shared" si="50"/>
        <v>0</v>
      </c>
      <c r="X343" s="30">
        <f t="shared" si="53"/>
        <v>0</v>
      </c>
      <c r="Y343"/>
      <c r="Z343"/>
      <c r="AA343"/>
    </row>
    <row r="344" spans="1:27" s="51" customFormat="1" ht="18.600000000000001" hidden="1" customHeight="1" x14ac:dyDescent="0.25">
      <c r="A344" s="81" t="s">
        <v>16</v>
      </c>
      <c r="B344" s="31" t="s">
        <v>883</v>
      </c>
      <c r="C344" s="32" t="s">
        <v>883</v>
      </c>
      <c r="D344" s="31">
        <v>8412548900827</v>
      </c>
      <c r="E344" s="33" t="s">
        <v>938</v>
      </c>
      <c r="F344" s="33" t="s">
        <v>21</v>
      </c>
      <c r="G344" s="33">
        <v>1</v>
      </c>
      <c r="H344" s="84" t="s">
        <v>939</v>
      </c>
      <c r="I344" s="23" t="s">
        <v>24</v>
      </c>
      <c r="J344" s="34">
        <v>125</v>
      </c>
      <c r="K344" s="35">
        <v>0.25</v>
      </c>
      <c r="L344" s="36">
        <f t="shared" si="48"/>
        <v>31.25</v>
      </c>
      <c r="M344" s="37">
        <f t="shared" si="49"/>
        <v>93.75</v>
      </c>
      <c r="N344" s="38">
        <v>0.16</v>
      </c>
      <c r="O344" s="39">
        <f t="shared" si="51"/>
        <v>15</v>
      </c>
      <c r="P344" s="40">
        <f t="shared" si="52"/>
        <v>108.75</v>
      </c>
      <c r="Q344" s="23"/>
      <c r="R344" s="56"/>
      <c r="S344" s="57"/>
      <c r="T344" s="58">
        <f t="shared" si="54"/>
        <v>0</v>
      </c>
      <c r="U344" s="36">
        <f t="shared" si="54"/>
        <v>0</v>
      </c>
      <c r="V344" s="59">
        <f t="shared" si="46"/>
        <v>0</v>
      </c>
      <c r="W344" s="39">
        <f t="shared" si="50"/>
        <v>0</v>
      </c>
      <c r="X344" s="40">
        <f t="shared" si="53"/>
        <v>0</v>
      </c>
      <c r="Y344"/>
      <c r="Z344"/>
      <c r="AA344"/>
    </row>
    <row r="345" spans="1:27" s="51" customFormat="1" ht="18.600000000000001" hidden="1" customHeight="1" x14ac:dyDescent="0.25">
      <c r="A345" s="82" t="s">
        <v>16</v>
      </c>
      <c r="B345" s="41" t="s">
        <v>883</v>
      </c>
      <c r="C345" s="42" t="s">
        <v>883</v>
      </c>
      <c r="D345" s="41">
        <v>8412548900834</v>
      </c>
      <c r="E345" s="43" t="s">
        <v>940</v>
      </c>
      <c r="F345" s="43" t="s">
        <v>21</v>
      </c>
      <c r="G345" s="43">
        <v>1</v>
      </c>
      <c r="H345" s="85" t="s">
        <v>941</v>
      </c>
      <c r="I345" s="23" t="s">
        <v>24</v>
      </c>
      <c r="J345" s="44">
        <v>125</v>
      </c>
      <c r="K345" s="45">
        <v>0.25</v>
      </c>
      <c r="L345" s="46">
        <f t="shared" si="48"/>
        <v>31.25</v>
      </c>
      <c r="M345" s="47">
        <f t="shared" si="49"/>
        <v>93.75</v>
      </c>
      <c r="N345" s="48">
        <v>0.16</v>
      </c>
      <c r="O345" s="49">
        <f t="shared" si="51"/>
        <v>15</v>
      </c>
      <c r="P345" s="50">
        <f t="shared" si="52"/>
        <v>108.75</v>
      </c>
      <c r="Q345" s="23"/>
      <c r="R345" s="60"/>
      <c r="S345" s="61"/>
      <c r="T345" s="62">
        <f t="shared" si="54"/>
        <v>0</v>
      </c>
      <c r="U345" s="46">
        <f t="shared" si="54"/>
        <v>0</v>
      </c>
      <c r="V345" s="63">
        <f t="shared" si="46"/>
        <v>0</v>
      </c>
      <c r="W345" s="49">
        <f t="shared" si="50"/>
        <v>0</v>
      </c>
      <c r="X345" s="50">
        <f t="shared" si="53"/>
        <v>0</v>
      </c>
      <c r="Y345"/>
      <c r="Z345"/>
      <c r="AA345"/>
    </row>
    <row r="346" spans="1:27" s="51" customFormat="1" ht="18.600000000000001" hidden="1" customHeight="1" x14ac:dyDescent="0.25">
      <c r="A346" s="80" t="s">
        <v>16</v>
      </c>
      <c r="B346" s="20" t="s">
        <v>883</v>
      </c>
      <c r="C346" s="21" t="s">
        <v>883</v>
      </c>
      <c r="D346" s="20">
        <v>8412548900841</v>
      </c>
      <c r="E346" s="22" t="s">
        <v>942</v>
      </c>
      <c r="F346" s="22" t="s">
        <v>21</v>
      </c>
      <c r="G346" s="22">
        <v>1</v>
      </c>
      <c r="H346" s="83" t="s">
        <v>943</v>
      </c>
      <c r="I346" s="23" t="s">
        <v>24</v>
      </c>
      <c r="J346" s="24">
        <v>125</v>
      </c>
      <c r="K346" s="25">
        <v>0.25</v>
      </c>
      <c r="L346" s="26">
        <f t="shared" si="48"/>
        <v>31.25</v>
      </c>
      <c r="M346" s="27">
        <f t="shared" si="49"/>
        <v>93.75</v>
      </c>
      <c r="N346" s="28">
        <v>0.16</v>
      </c>
      <c r="O346" s="29">
        <f t="shared" si="51"/>
        <v>15</v>
      </c>
      <c r="P346" s="30">
        <f t="shared" si="52"/>
        <v>108.75</v>
      </c>
      <c r="Q346" s="23"/>
      <c r="R346" s="52"/>
      <c r="S346" s="53"/>
      <c r="T346" s="54">
        <f t="shared" si="54"/>
        <v>0</v>
      </c>
      <c r="U346" s="26">
        <f t="shared" si="54"/>
        <v>0</v>
      </c>
      <c r="V346" s="55">
        <f t="shared" ref="V346:V409" si="55">+T346-U346</f>
        <v>0</v>
      </c>
      <c r="W346" s="29">
        <f t="shared" si="50"/>
        <v>0</v>
      </c>
      <c r="X346" s="30">
        <f t="shared" si="53"/>
        <v>0</v>
      </c>
      <c r="Y346"/>
      <c r="Z346"/>
      <c r="AA346"/>
    </row>
    <row r="347" spans="1:27" s="51" customFormat="1" ht="18.600000000000001" hidden="1" customHeight="1" x14ac:dyDescent="0.25">
      <c r="A347" s="81" t="s">
        <v>16</v>
      </c>
      <c r="B347" s="31" t="s">
        <v>883</v>
      </c>
      <c r="C347" s="32" t="s">
        <v>883</v>
      </c>
      <c r="D347" s="31">
        <v>8412548900858</v>
      </c>
      <c r="E347" s="33" t="s">
        <v>944</v>
      </c>
      <c r="F347" s="33" t="s">
        <v>21</v>
      </c>
      <c r="G347" s="33">
        <v>1</v>
      </c>
      <c r="H347" s="84" t="s">
        <v>945</v>
      </c>
      <c r="I347" s="23" t="s">
        <v>24</v>
      </c>
      <c r="J347" s="34">
        <v>125</v>
      </c>
      <c r="K347" s="35">
        <v>0.25</v>
      </c>
      <c r="L347" s="36">
        <f t="shared" si="48"/>
        <v>31.25</v>
      </c>
      <c r="M347" s="37">
        <f t="shared" si="49"/>
        <v>93.75</v>
      </c>
      <c r="N347" s="38">
        <v>0.16</v>
      </c>
      <c r="O347" s="39">
        <f t="shared" si="51"/>
        <v>15</v>
      </c>
      <c r="P347" s="40">
        <f t="shared" si="52"/>
        <v>108.75</v>
      </c>
      <c r="Q347" s="23"/>
      <c r="R347" s="56"/>
      <c r="S347" s="57"/>
      <c r="T347" s="58">
        <f t="shared" si="54"/>
        <v>0</v>
      </c>
      <c r="U347" s="36">
        <f t="shared" si="54"/>
        <v>0</v>
      </c>
      <c r="V347" s="59">
        <f t="shared" si="55"/>
        <v>0</v>
      </c>
      <c r="W347" s="39">
        <f t="shared" si="50"/>
        <v>0</v>
      </c>
      <c r="X347" s="40">
        <f t="shared" si="53"/>
        <v>0</v>
      </c>
      <c r="Y347"/>
      <c r="Z347"/>
      <c r="AA347"/>
    </row>
    <row r="348" spans="1:27" s="51" customFormat="1" ht="18.600000000000001" hidden="1" customHeight="1" x14ac:dyDescent="0.25">
      <c r="A348" s="82" t="s">
        <v>16</v>
      </c>
      <c r="B348" s="41" t="s">
        <v>883</v>
      </c>
      <c r="C348" s="42" t="s">
        <v>883</v>
      </c>
      <c r="D348" s="41">
        <v>8412548900865</v>
      </c>
      <c r="E348" s="43" t="s">
        <v>946</v>
      </c>
      <c r="F348" s="43" t="s">
        <v>21</v>
      </c>
      <c r="G348" s="43">
        <v>1</v>
      </c>
      <c r="H348" s="85" t="s">
        <v>947</v>
      </c>
      <c r="I348" s="23" t="s">
        <v>24</v>
      </c>
      <c r="J348" s="44">
        <v>125</v>
      </c>
      <c r="K348" s="45">
        <v>0.25</v>
      </c>
      <c r="L348" s="46">
        <f t="shared" si="48"/>
        <v>31.25</v>
      </c>
      <c r="M348" s="47">
        <f t="shared" si="49"/>
        <v>93.75</v>
      </c>
      <c r="N348" s="48">
        <v>0.16</v>
      </c>
      <c r="O348" s="49">
        <f t="shared" si="51"/>
        <v>15</v>
      </c>
      <c r="P348" s="50">
        <f t="shared" si="52"/>
        <v>108.75</v>
      </c>
      <c r="Q348" s="23"/>
      <c r="R348" s="60"/>
      <c r="S348" s="61"/>
      <c r="T348" s="62">
        <f t="shared" si="54"/>
        <v>0</v>
      </c>
      <c r="U348" s="46">
        <f t="shared" si="54"/>
        <v>0</v>
      </c>
      <c r="V348" s="63">
        <f t="shared" si="55"/>
        <v>0</v>
      </c>
      <c r="W348" s="49">
        <f t="shared" si="50"/>
        <v>0</v>
      </c>
      <c r="X348" s="50">
        <f t="shared" si="53"/>
        <v>0</v>
      </c>
      <c r="Y348"/>
      <c r="Z348"/>
      <c r="AA348"/>
    </row>
    <row r="349" spans="1:27" s="51" customFormat="1" ht="18.600000000000001" hidden="1" customHeight="1" x14ac:dyDescent="0.25">
      <c r="A349" s="80" t="s">
        <v>16</v>
      </c>
      <c r="B349" s="20" t="s">
        <v>883</v>
      </c>
      <c r="C349" s="21" t="s">
        <v>883</v>
      </c>
      <c r="D349" s="20">
        <v>8412548900872</v>
      </c>
      <c r="E349" s="22" t="s">
        <v>948</v>
      </c>
      <c r="F349" s="22" t="s">
        <v>21</v>
      </c>
      <c r="G349" s="22">
        <v>1</v>
      </c>
      <c r="H349" s="83" t="s">
        <v>949</v>
      </c>
      <c r="I349" s="23" t="s">
        <v>24</v>
      </c>
      <c r="J349" s="24">
        <v>125</v>
      </c>
      <c r="K349" s="25">
        <v>0.25</v>
      </c>
      <c r="L349" s="26">
        <f t="shared" si="48"/>
        <v>31.25</v>
      </c>
      <c r="M349" s="27">
        <f t="shared" si="49"/>
        <v>93.75</v>
      </c>
      <c r="N349" s="28">
        <v>0.16</v>
      </c>
      <c r="O349" s="29">
        <f t="shared" si="51"/>
        <v>15</v>
      </c>
      <c r="P349" s="30">
        <f t="shared" si="52"/>
        <v>108.75</v>
      </c>
      <c r="Q349" s="23"/>
      <c r="R349" s="52"/>
      <c r="S349" s="53"/>
      <c r="T349" s="54">
        <f t="shared" si="54"/>
        <v>0</v>
      </c>
      <c r="U349" s="26">
        <f t="shared" si="54"/>
        <v>0</v>
      </c>
      <c r="V349" s="55">
        <f t="shared" si="55"/>
        <v>0</v>
      </c>
      <c r="W349" s="29">
        <f t="shared" si="50"/>
        <v>0</v>
      </c>
      <c r="X349" s="30">
        <f t="shared" si="53"/>
        <v>0</v>
      </c>
      <c r="Y349"/>
      <c r="Z349"/>
      <c r="AA349"/>
    </row>
    <row r="350" spans="1:27" s="51" customFormat="1" ht="18.600000000000001" hidden="1" customHeight="1" x14ac:dyDescent="0.25">
      <c r="A350" s="81" t="s">
        <v>16</v>
      </c>
      <c r="B350" s="31" t="s">
        <v>883</v>
      </c>
      <c r="C350" s="32" t="s">
        <v>883</v>
      </c>
      <c r="D350" s="31">
        <v>8412548900889</v>
      </c>
      <c r="E350" s="33" t="s">
        <v>950</v>
      </c>
      <c r="F350" s="33" t="s">
        <v>21</v>
      </c>
      <c r="G350" s="33">
        <v>1</v>
      </c>
      <c r="H350" s="84" t="s">
        <v>951</v>
      </c>
      <c r="I350" s="23" t="s">
        <v>24</v>
      </c>
      <c r="J350" s="34">
        <v>125</v>
      </c>
      <c r="K350" s="35">
        <v>0.25</v>
      </c>
      <c r="L350" s="36">
        <f t="shared" si="48"/>
        <v>31.25</v>
      </c>
      <c r="M350" s="37">
        <f t="shared" si="49"/>
        <v>93.75</v>
      </c>
      <c r="N350" s="38">
        <v>0.16</v>
      </c>
      <c r="O350" s="39">
        <f t="shared" si="51"/>
        <v>15</v>
      </c>
      <c r="P350" s="40">
        <f t="shared" si="52"/>
        <v>108.75</v>
      </c>
      <c r="Q350" s="23"/>
      <c r="R350" s="56"/>
      <c r="S350" s="57"/>
      <c r="T350" s="58">
        <f t="shared" si="54"/>
        <v>0</v>
      </c>
      <c r="U350" s="36">
        <f t="shared" si="54"/>
        <v>0</v>
      </c>
      <c r="V350" s="59">
        <f t="shared" si="55"/>
        <v>0</v>
      </c>
      <c r="W350" s="39">
        <f t="shared" si="50"/>
        <v>0</v>
      </c>
      <c r="X350" s="40">
        <f t="shared" si="53"/>
        <v>0</v>
      </c>
      <c r="Y350"/>
      <c r="Z350"/>
      <c r="AA350"/>
    </row>
    <row r="351" spans="1:27" s="51" customFormat="1" ht="18.600000000000001" hidden="1" customHeight="1" x14ac:dyDescent="0.25">
      <c r="A351" s="82" t="s">
        <v>16</v>
      </c>
      <c r="B351" s="41" t="s">
        <v>883</v>
      </c>
      <c r="C351" s="42" t="s">
        <v>883</v>
      </c>
      <c r="D351" s="41">
        <v>8412548900896</v>
      </c>
      <c r="E351" s="43" t="s">
        <v>952</v>
      </c>
      <c r="F351" s="43" t="s">
        <v>21</v>
      </c>
      <c r="G351" s="43">
        <v>1</v>
      </c>
      <c r="H351" s="85" t="s">
        <v>953</v>
      </c>
      <c r="I351" s="23" t="s">
        <v>24</v>
      </c>
      <c r="J351" s="44">
        <v>125</v>
      </c>
      <c r="K351" s="45">
        <v>0.25</v>
      </c>
      <c r="L351" s="46">
        <f t="shared" si="48"/>
        <v>31.25</v>
      </c>
      <c r="M351" s="47">
        <f t="shared" si="49"/>
        <v>93.75</v>
      </c>
      <c r="N351" s="48">
        <v>0.16</v>
      </c>
      <c r="O351" s="49">
        <f t="shared" si="51"/>
        <v>15</v>
      </c>
      <c r="P351" s="50">
        <f t="shared" si="52"/>
        <v>108.75</v>
      </c>
      <c r="Q351" s="23"/>
      <c r="R351" s="60"/>
      <c r="S351" s="61"/>
      <c r="T351" s="62">
        <f t="shared" si="54"/>
        <v>0</v>
      </c>
      <c r="U351" s="46">
        <f t="shared" si="54"/>
        <v>0</v>
      </c>
      <c r="V351" s="63">
        <f t="shared" si="55"/>
        <v>0</v>
      </c>
      <c r="W351" s="49">
        <f t="shared" si="50"/>
        <v>0</v>
      </c>
      <c r="X351" s="50">
        <f t="shared" si="53"/>
        <v>0</v>
      </c>
      <c r="Y351"/>
      <c r="Z351"/>
      <c r="AA351"/>
    </row>
    <row r="352" spans="1:27" s="51" customFormat="1" ht="18.600000000000001" hidden="1" customHeight="1" x14ac:dyDescent="0.25">
      <c r="A352" s="80" t="s">
        <v>16</v>
      </c>
      <c r="B352" s="20" t="s">
        <v>883</v>
      </c>
      <c r="C352" s="21" t="s">
        <v>883</v>
      </c>
      <c r="D352" s="20">
        <v>8412548900902</v>
      </c>
      <c r="E352" s="22" t="s">
        <v>954</v>
      </c>
      <c r="F352" s="22" t="s">
        <v>21</v>
      </c>
      <c r="G352" s="22">
        <v>1</v>
      </c>
      <c r="H352" s="83" t="s">
        <v>955</v>
      </c>
      <c r="I352" s="23" t="s">
        <v>24</v>
      </c>
      <c r="J352" s="24">
        <v>125</v>
      </c>
      <c r="K352" s="25">
        <v>0.25</v>
      </c>
      <c r="L352" s="26">
        <f t="shared" si="48"/>
        <v>31.25</v>
      </c>
      <c r="M352" s="27">
        <f t="shared" si="49"/>
        <v>93.75</v>
      </c>
      <c r="N352" s="28">
        <v>0.16</v>
      </c>
      <c r="O352" s="29">
        <f t="shared" si="51"/>
        <v>15</v>
      </c>
      <c r="P352" s="30">
        <f t="shared" si="52"/>
        <v>108.75</v>
      </c>
      <c r="Q352" s="23"/>
      <c r="R352" s="52"/>
      <c r="S352" s="53"/>
      <c r="T352" s="54">
        <f t="shared" si="54"/>
        <v>0</v>
      </c>
      <c r="U352" s="26">
        <f t="shared" si="54"/>
        <v>0</v>
      </c>
      <c r="V352" s="55">
        <f t="shared" si="55"/>
        <v>0</v>
      </c>
      <c r="W352" s="29">
        <f t="shared" si="50"/>
        <v>0</v>
      </c>
      <c r="X352" s="30">
        <f t="shared" si="53"/>
        <v>0</v>
      </c>
      <c r="Y352"/>
      <c r="Z352"/>
      <c r="AA352"/>
    </row>
    <row r="353" spans="1:27" s="51" customFormat="1" ht="18.600000000000001" hidden="1" customHeight="1" x14ac:dyDescent="0.25">
      <c r="A353" s="81" t="s">
        <v>16</v>
      </c>
      <c r="B353" s="31" t="s">
        <v>883</v>
      </c>
      <c r="C353" s="32" t="s">
        <v>883</v>
      </c>
      <c r="D353" s="31">
        <v>8412548900919</v>
      </c>
      <c r="E353" s="33" t="s">
        <v>956</v>
      </c>
      <c r="F353" s="33" t="s">
        <v>21</v>
      </c>
      <c r="G353" s="33">
        <v>1</v>
      </c>
      <c r="H353" s="84" t="s">
        <v>957</v>
      </c>
      <c r="I353" s="23" t="s">
        <v>24</v>
      </c>
      <c r="J353" s="34">
        <v>125</v>
      </c>
      <c r="K353" s="35">
        <v>0.25</v>
      </c>
      <c r="L353" s="36">
        <f t="shared" si="48"/>
        <v>31.25</v>
      </c>
      <c r="M353" s="37">
        <f t="shared" si="49"/>
        <v>93.75</v>
      </c>
      <c r="N353" s="38">
        <v>0.16</v>
      </c>
      <c r="O353" s="39">
        <f t="shared" si="51"/>
        <v>15</v>
      </c>
      <c r="P353" s="40">
        <f t="shared" si="52"/>
        <v>108.75</v>
      </c>
      <c r="Q353" s="23"/>
      <c r="R353" s="56"/>
      <c r="S353" s="57"/>
      <c r="T353" s="58">
        <f t="shared" si="54"/>
        <v>0</v>
      </c>
      <c r="U353" s="36">
        <f t="shared" si="54"/>
        <v>0</v>
      </c>
      <c r="V353" s="59">
        <f t="shared" si="55"/>
        <v>0</v>
      </c>
      <c r="W353" s="39">
        <f t="shared" si="50"/>
        <v>0</v>
      </c>
      <c r="X353" s="40">
        <f t="shared" si="53"/>
        <v>0</v>
      </c>
      <c r="Y353"/>
      <c r="Z353"/>
      <c r="AA353"/>
    </row>
    <row r="354" spans="1:27" s="51" customFormat="1" ht="18.600000000000001" hidden="1" customHeight="1" x14ac:dyDescent="0.25">
      <c r="A354" s="82" t="s">
        <v>16</v>
      </c>
      <c r="B354" s="41" t="s">
        <v>883</v>
      </c>
      <c r="C354" s="42" t="s">
        <v>883</v>
      </c>
      <c r="D354" s="41">
        <v>8412548900926</v>
      </c>
      <c r="E354" s="43" t="s">
        <v>958</v>
      </c>
      <c r="F354" s="43" t="s">
        <v>21</v>
      </c>
      <c r="G354" s="43">
        <v>1</v>
      </c>
      <c r="H354" s="85" t="s">
        <v>959</v>
      </c>
      <c r="I354" s="23" t="s">
        <v>24</v>
      </c>
      <c r="J354" s="44">
        <v>125</v>
      </c>
      <c r="K354" s="45">
        <v>0.25</v>
      </c>
      <c r="L354" s="46">
        <f t="shared" si="48"/>
        <v>31.25</v>
      </c>
      <c r="M354" s="47">
        <f t="shared" si="49"/>
        <v>93.75</v>
      </c>
      <c r="N354" s="48">
        <v>0.16</v>
      </c>
      <c r="O354" s="49">
        <f t="shared" si="51"/>
        <v>15</v>
      </c>
      <c r="P354" s="50">
        <f t="shared" si="52"/>
        <v>108.75</v>
      </c>
      <c r="Q354" s="23"/>
      <c r="R354" s="60"/>
      <c r="S354" s="61"/>
      <c r="T354" s="62">
        <f t="shared" si="54"/>
        <v>0</v>
      </c>
      <c r="U354" s="46">
        <f t="shared" si="54"/>
        <v>0</v>
      </c>
      <c r="V354" s="63">
        <f t="shared" si="55"/>
        <v>0</v>
      </c>
      <c r="W354" s="49">
        <f t="shared" si="50"/>
        <v>0</v>
      </c>
      <c r="X354" s="50">
        <f t="shared" si="53"/>
        <v>0</v>
      </c>
      <c r="Y354"/>
      <c r="Z354"/>
      <c r="AA354"/>
    </row>
    <row r="355" spans="1:27" s="51" customFormat="1" ht="18.600000000000001" hidden="1" customHeight="1" x14ac:dyDescent="0.25">
      <c r="A355" s="80" t="s">
        <v>16</v>
      </c>
      <c r="B355" s="20" t="s">
        <v>883</v>
      </c>
      <c r="C355" s="21" t="s">
        <v>883</v>
      </c>
      <c r="D355" s="20">
        <v>8412548900933</v>
      </c>
      <c r="E355" s="22" t="s">
        <v>960</v>
      </c>
      <c r="F355" s="22" t="s">
        <v>21</v>
      </c>
      <c r="G355" s="22">
        <v>1</v>
      </c>
      <c r="H355" s="83" t="s">
        <v>961</v>
      </c>
      <c r="I355" s="23" t="s">
        <v>24</v>
      </c>
      <c r="J355" s="24">
        <v>125</v>
      </c>
      <c r="K355" s="25">
        <v>0.25</v>
      </c>
      <c r="L355" s="26">
        <f t="shared" si="48"/>
        <v>31.25</v>
      </c>
      <c r="M355" s="27">
        <f t="shared" si="49"/>
        <v>93.75</v>
      </c>
      <c r="N355" s="28">
        <v>0.16</v>
      </c>
      <c r="O355" s="29">
        <f t="shared" si="51"/>
        <v>15</v>
      </c>
      <c r="P355" s="30">
        <f t="shared" si="52"/>
        <v>108.75</v>
      </c>
      <c r="Q355" s="23"/>
      <c r="R355" s="52"/>
      <c r="S355" s="53"/>
      <c r="T355" s="54">
        <f t="shared" si="54"/>
        <v>0</v>
      </c>
      <c r="U355" s="26">
        <f t="shared" si="54"/>
        <v>0</v>
      </c>
      <c r="V355" s="55">
        <f t="shared" si="55"/>
        <v>0</v>
      </c>
      <c r="W355" s="29">
        <f t="shared" si="50"/>
        <v>0</v>
      </c>
      <c r="X355" s="30">
        <f t="shared" si="53"/>
        <v>0</v>
      </c>
      <c r="Y355"/>
      <c r="Z355"/>
      <c r="AA355"/>
    </row>
    <row r="356" spans="1:27" s="51" customFormat="1" ht="18.600000000000001" hidden="1" customHeight="1" x14ac:dyDescent="0.25">
      <c r="A356" s="81" t="s">
        <v>16</v>
      </c>
      <c r="B356" s="31" t="s">
        <v>883</v>
      </c>
      <c r="C356" s="32" t="s">
        <v>883</v>
      </c>
      <c r="D356" s="31">
        <v>8412548900940</v>
      </c>
      <c r="E356" s="33" t="s">
        <v>962</v>
      </c>
      <c r="F356" s="33" t="s">
        <v>21</v>
      </c>
      <c r="G356" s="33">
        <v>1</v>
      </c>
      <c r="H356" s="84" t="s">
        <v>963</v>
      </c>
      <c r="I356" s="23" t="s">
        <v>24</v>
      </c>
      <c r="J356" s="34">
        <v>125</v>
      </c>
      <c r="K356" s="35">
        <v>0.25</v>
      </c>
      <c r="L356" s="36">
        <f t="shared" si="48"/>
        <v>31.25</v>
      </c>
      <c r="M356" s="37">
        <f t="shared" si="49"/>
        <v>93.75</v>
      </c>
      <c r="N356" s="38">
        <v>0.16</v>
      </c>
      <c r="O356" s="39">
        <f t="shared" si="51"/>
        <v>15</v>
      </c>
      <c r="P356" s="40">
        <f t="shared" si="52"/>
        <v>108.75</v>
      </c>
      <c r="Q356" s="23"/>
      <c r="R356" s="56"/>
      <c r="S356" s="57"/>
      <c r="T356" s="58">
        <f t="shared" si="54"/>
        <v>0</v>
      </c>
      <c r="U356" s="36">
        <f t="shared" si="54"/>
        <v>0</v>
      </c>
      <c r="V356" s="59">
        <f t="shared" si="55"/>
        <v>0</v>
      </c>
      <c r="W356" s="39">
        <f t="shared" si="50"/>
        <v>0</v>
      </c>
      <c r="X356" s="40">
        <f t="shared" si="53"/>
        <v>0</v>
      </c>
      <c r="Y356"/>
      <c r="Z356"/>
      <c r="AA356"/>
    </row>
    <row r="357" spans="1:27" s="51" customFormat="1" ht="18.600000000000001" hidden="1" customHeight="1" x14ac:dyDescent="0.25">
      <c r="A357" s="82" t="s">
        <v>16</v>
      </c>
      <c r="B357" s="41" t="s">
        <v>883</v>
      </c>
      <c r="C357" s="42" t="s">
        <v>883</v>
      </c>
      <c r="D357" s="41">
        <v>8412548900957</v>
      </c>
      <c r="E357" s="43" t="s">
        <v>964</v>
      </c>
      <c r="F357" s="43" t="s">
        <v>21</v>
      </c>
      <c r="G357" s="43">
        <v>1</v>
      </c>
      <c r="H357" s="85" t="s">
        <v>965</v>
      </c>
      <c r="I357" s="23" t="s">
        <v>24</v>
      </c>
      <c r="J357" s="44">
        <v>125</v>
      </c>
      <c r="K357" s="45">
        <v>0.25</v>
      </c>
      <c r="L357" s="46">
        <f t="shared" si="48"/>
        <v>31.25</v>
      </c>
      <c r="M357" s="47">
        <f t="shared" si="49"/>
        <v>93.75</v>
      </c>
      <c r="N357" s="48">
        <v>0.16</v>
      </c>
      <c r="O357" s="49">
        <f t="shared" si="51"/>
        <v>15</v>
      </c>
      <c r="P357" s="50">
        <f t="shared" si="52"/>
        <v>108.75</v>
      </c>
      <c r="Q357" s="23"/>
      <c r="R357" s="60"/>
      <c r="S357" s="61"/>
      <c r="T357" s="62">
        <f t="shared" si="54"/>
        <v>0</v>
      </c>
      <c r="U357" s="46">
        <f t="shared" si="54"/>
        <v>0</v>
      </c>
      <c r="V357" s="63">
        <f t="shared" si="55"/>
        <v>0</v>
      </c>
      <c r="W357" s="49">
        <f t="shared" si="50"/>
        <v>0</v>
      </c>
      <c r="X357" s="50">
        <f t="shared" si="53"/>
        <v>0</v>
      </c>
      <c r="Y357"/>
      <c r="Z357"/>
      <c r="AA357"/>
    </row>
    <row r="358" spans="1:27" s="51" customFormat="1" ht="18.600000000000001" hidden="1" customHeight="1" x14ac:dyDescent="0.25">
      <c r="A358" s="80" t="s">
        <v>16</v>
      </c>
      <c r="B358" s="20" t="s">
        <v>883</v>
      </c>
      <c r="C358" s="21" t="s">
        <v>883</v>
      </c>
      <c r="D358" s="20">
        <v>8412548900964</v>
      </c>
      <c r="E358" s="22" t="s">
        <v>966</v>
      </c>
      <c r="F358" s="22" t="s">
        <v>21</v>
      </c>
      <c r="G358" s="22">
        <v>1</v>
      </c>
      <c r="H358" s="83" t="s">
        <v>967</v>
      </c>
      <c r="I358" s="23" t="s">
        <v>24</v>
      </c>
      <c r="J358" s="24">
        <v>125</v>
      </c>
      <c r="K358" s="25">
        <v>0.25</v>
      </c>
      <c r="L358" s="26">
        <f t="shared" si="48"/>
        <v>31.25</v>
      </c>
      <c r="M358" s="27">
        <f t="shared" si="49"/>
        <v>93.75</v>
      </c>
      <c r="N358" s="28">
        <v>0.16</v>
      </c>
      <c r="O358" s="29">
        <f t="shared" si="51"/>
        <v>15</v>
      </c>
      <c r="P358" s="30">
        <f t="shared" si="52"/>
        <v>108.75</v>
      </c>
      <c r="Q358" s="23"/>
      <c r="R358" s="52"/>
      <c r="S358" s="53"/>
      <c r="T358" s="54">
        <f t="shared" si="54"/>
        <v>0</v>
      </c>
      <c r="U358" s="26">
        <f t="shared" si="54"/>
        <v>0</v>
      </c>
      <c r="V358" s="55">
        <f t="shared" si="55"/>
        <v>0</v>
      </c>
      <c r="W358" s="29">
        <f t="shared" si="50"/>
        <v>0</v>
      </c>
      <c r="X358" s="30">
        <f t="shared" si="53"/>
        <v>0</v>
      </c>
      <c r="Y358"/>
      <c r="Z358"/>
      <c r="AA358"/>
    </row>
    <row r="359" spans="1:27" s="51" customFormat="1" ht="18.600000000000001" hidden="1" customHeight="1" x14ac:dyDescent="0.25">
      <c r="A359" s="81" t="s">
        <v>16</v>
      </c>
      <c r="B359" s="31" t="s">
        <v>883</v>
      </c>
      <c r="C359" s="32" t="s">
        <v>883</v>
      </c>
      <c r="D359" s="31">
        <v>8412548900971</v>
      </c>
      <c r="E359" s="33" t="s">
        <v>968</v>
      </c>
      <c r="F359" s="33" t="s">
        <v>21</v>
      </c>
      <c r="G359" s="33">
        <v>1</v>
      </c>
      <c r="H359" s="84" t="s">
        <v>969</v>
      </c>
      <c r="I359" s="23" t="s">
        <v>24</v>
      </c>
      <c r="J359" s="34">
        <v>125</v>
      </c>
      <c r="K359" s="35">
        <v>0.25</v>
      </c>
      <c r="L359" s="36">
        <f t="shared" si="48"/>
        <v>31.25</v>
      </c>
      <c r="M359" s="37">
        <f t="shared" si="49"/>
        <v>93.75</v>
      </c>
      <c r="N359" s="38">
        <v>0.16</v>
      </c>
      <c r="O359" s="39">
        <f t="shared" si="51"/>
        <v>15</v>
      </c>
      <c r="P359" s="40">
        <f t="shared" si="52"/>
        <v>108.75</v>
      </c>
      <c r="Q359" s="23"/>
      <c r="R359" s="56"/>
      <c r="S359" s="57"/>
      <c r="T359" s="58">
        <f t="shared" si="54"/>
        <v>0</v>
      </c>
      <c r="U359" s="36">
        <f t="shared" si="54"/>
        <v>0</v>
      </c>
      <c r="V359" s="59">
        <f t="shared" si="55"/>
        <v>0</v>
      </c>
      <c r="W359" s="39">
        <f t="shared" si="50"/>
        <v>0</v>
      </c>
      <c r="X359" s="40">
        <f t="shared" si="53"/>
        <v>0</v>
      </c>
      <c r="Y359"/>
      <c r="Z359"/>
      <c r="AA359"/>
    </row>
    <row r="360" spans="1:27" s="51" customFormat="1" ht="18.600000000000001" hidden="1" customHeight="1" x14ac:dyDescent="0.25">
      <c r="A360" s="82" t="s">
        <v>16</v>
      </c>
      <c r="B360" s="41" t="s">
        <v>883</v>
      </c>
      <c r="C360" s="42" t="s">
        <v>883</v>
      </c>
      <c r="D360" s="41">
        <v>8412548900988</v>
      </c>
      <c r="E360" s="43" t="s">
        <v>970</v>
      </c>
      <c r="F360" s="43" t="s">
        <v>21</v>
      </c>
      <c r="G360" s="43">
        <v>1</v>
      </c>
      <c r="H360" s="85" t="s">
        <v>971</v>
      </c>
      <c r="I360" s="23" t="s">
        <v>24</v>
      </c>
      <c r="J360" s="44">
        <v>125</v>
      </c>
      <c r="K360" s="45">
        <v>0.25</v>
      </c>
      <c r="L360" s="46">
        <f t="shared" si="48"/>
        <v>31.25</v>
      </c>
      <c r="M360" s="47">
        <f t="shared" si="49"/>
        <v>93.75</v>
      </c>
      <c r="N360" s="48">
        <v>0.16</v>
      </c>
      <c r="O360" s="49">
        <f t="shared" si="51"/>
        <v>15</v>
      </c>
      <c r="P360" s="50">
        <f t="shared" si="52"/>
        <v>108.75</v>
      </c>
      <c r="Q360" s="23"/>
      <c r="R360" s="60"/>
      <c r="S360" s="61"/>
      <c r="T360" s="62">
        <f t="shared" si="54"/>
        <v>0</v>
      </c>
      <c r="U360" s="46">
        <f t="shared" si="54"/>
        <v>0</v>
      </c>
      <c r="V360" s="63">
        <f t="shared" si="55"/>
        <v>0</v>
      </c>
      <c r="W360" s="49">
        <f t="shared" si="50"/>
        <v>0</v>
      </c>
      <c r="X360" s="50">
        <f t="shared" si="53"/>
        <v>0</v>
      </c>
      <c r="Y360"/>
      <c r="Z360"/>
      <c r="AA360"/>
    </row>
    <row r="361" spans="1:27" s="51" customFormat="1" ht="18.600000000000001" hidden="1" customHeight="1" x14ac:dyDescent="0.25">
      <c r="A361" s="80" t="s">
        <v>16</v>
      </c>
      <c r="B361" s="20" t="s">
        <v>883</v>
      </c>
      <c r="C361" s="21" t="s">
        <v>883</v>
      </c>
      <c r="D361" s="20">
        <v>8412548900995</v>
      </c>
      <c r="E361" s="22" t="s">
        <v>972</v>
      </c>
      <c r="F361" s="22" t="s">
        <v>21</v>
      </c>
      <c r="G361" s="22">
        <v>1</v>
      </c>
      <c r="H361" s="83" t="s">
        <v>973</v>
      </c>
      <c r="I361" s="23" t="s">
        <v>24</v>
      </c>
      <c r="J361" s="24">
        <v>125</v>
      </c>
      <c r="K361" s="25">
        <v>0.25</v>
      </c>
      <c r="L361" s="26">
        <f t="shared" si="48"/>
        <v>31.25</v>
      </c>
      <c r="M361" s="27">
        <f t="shared" si="49"/>
        <v>93.75</v>
      </c>
      <c r="N361" s="28">
        <v>0.16</v>
      </c>
      <c r="O361" s="29">
        <f t="shared" si="51"/>
        <v>15</v>
      </c>
      <c r="P361" s="30">
        <f t="shared" si="52"/>
        <v>108.75</v>
      </c>
      <c r="Q361" s="23"/>
      <c r="R361" s="52"/>
      <c r="S361" s="53"/>
      <c r="T361" s="54">
        <f t="shared" si="54"/>
        <v>0</v>
      </c>
      <c r="U361" s="26">
        <f t="shared" si="54"/>
        <v>0</v>
      </c>
      <c r="V361" s="55">
        <f t="shared" si="55"/>
        <v>0</v>
      </c>
      <c r="W361" s="29">
        <f t="shared" si="50"/>
        <v>0</v>
      </c>
      <c r="X361" s="30">
        <f t="shared" si="53"/>
        <v>0</v>
      </c>
      <c r="Y361"/>
      <c r="Z361"/>
      <c r="AA361"/>
    </row>
    <row r="362" spans="1:27" s="51" customFormat="1" ht="18.600000000000001" hidden="1" customHeight="1" x14ac:dyDescent="0.25">
      <c r="A362" s="81" t="s">
        <v>16</v>
      </c>
      <c r="B362" s="31" t="s">
        <v>883</v>
      </c>
      <c r="C362" s="32" t="s">
        <v>883</v>
      </c>
      <c r="D362" s="31">
        <v>8412548901008</v>
      </c>
      <c r="E362" s="33" t="s">
        <v>974</v>
      </c>
      <c r="F362" s="33" t="s">
        <v>21</v>
      </c>
      <c r="G362" s="33">
        <v>1</v>
      </c>
      <c r="H362" s="84" t="s">
        <v>975</v>
      </c>
      <c r="I362" s="23" t="s">
        <v>24</v>
      </c>
      <c r="J362" s="34">
        <v>125</v>
      </c>
      <c r="K362" s="35">
        <v>0.25</v>
      </c>
      <c r="L362" s="36">
        <f t="shared" si="48"/>
        <v>31.25</v>
      </c>
      <c r="M362" s="37">
        <f t="shared" si="49"/>
        <v>93.75</v>
      </c>
      <c r="N362" s="38">
        <v>0.16</v>
      </c>
      <c r="O362" s="39">
        <f t="shared" si="51"/>
        <v>15</v>
      </c>
      <c r="P362" s="40">
        <f t="shared" si="52"/>
        <v>108.75</v>
      </c>
      <c r="Q362" s="23"/>
      <c r="R362" s="56"/>
      <c r="S362" s="57"/>
      <c r="T362" s="58">
        <f t="shared" si="54"/>
        <v>0</v>
      </c>
      <c r="U362" s="36">
        <f t="shared" si="54"/>
        <v>0</v>
      </c>
      <c r="V362" s="59">
        <f t="shared" si="55"/>
        <v>0</v>
      </c>
      <c r="W362" s="39">
        <f t="shared" si="50"/>
        <v>0</v>
      </c>
      <c r="X362" s="40">
        <f t="shared" si="53"/>
        <v>0</v>
      </c>
      <c r="Y362"/>
      <c r="Z362"/>
      <c r="AA362"/>
    </row>
    <row r="363" spans="1:27" s="51" customFormat="1" ht="18.600000000000001" hidden="1" customHeight="1" x14ac:dyDescent="0.25">
      <c r="A363" s="82" t="s">
        <v>16</v>
      </c>
      <c r="B363" s="41" t="s">
        <v>883</v>
      </c>
      <c r="C363" s="42" t="s">
        <v>883</v>
      </c>
      <c r="D363" s="41">
        <v>8412548901015</v>
      </c>
      <c r="E363" s="43" t="s">
        <v>976</v>
      </c>
      <c r="F363" s="43" t="s">
        <v>21</v>
      </c>
      <c r="G363" s="43">
        <v>1</v>
      </c>
      <c r="H363" s="85" t="s">
        <v>977</v>
      </c>
      <c r="I363" s="23" t="s">
        <v>24</v>
      </c>
      <c r="J363" s="44">
        <v>125</v>
      </c>
      <c r="K363" s="45">
        <v>0.25</v>
      </c>
      <c r="L363" s="46">
        <f t="shared" si="48"/>
        <v>31.25</v>
      </c>
      <c r="M363" s="47">
        <f t="shared" si="49"/>
        <v>93.75</v>
      </c>
      <c r="N363" s="48">
        <v>0.16</v>
      </c>
      <c r="O363" s="49">
        <f t="shared" si="51"/>
        <v>15</v>
      </c>
      <c r="P363" s="50">
        <f t="shared" si="52"/>
        <v>108.75</v>
      </c>
      <c r="Q363" s="23"/>
      <c r="R363" s="60"/>
      <c r="S363" s="61"/>
      <c r="T363" s="62">
        <f t="shared" si="54"/>
        <v>0</v>
      </c>
      <c r="U363" s="46">
        <f t="shared" si="54"/>
        <v>0</v>
      </c>
      <c r="V363" s="63">
        <f t="shared" si="55"/>
        <v>0</v>
      </c>
      <c r="W363" s="49">
        <f t="shared" si="50"/>
        <v>0</v>
      </c>
      <c r="X363" s="50">
        <f t="shared" si="53"/>
        <v>0</v>
      </c>
      <c r="Y363"/>
      <c r="Z363"/>
      <c r="AA363"/>
    </row>
    <row r="364" spans="1:27" s="51" customFormat="1" ht="18.600000000000001" hidden="1" customHeight="1" x14ac:dyDescent="0.25">
      <c r="A364" s="80" t="s">
        <v>16</v>
      </c>
      <c r="B364" s="20" t="s">
        <v>883</v>
      </c>
      <c r="C364" s="21" t="s">
        <v>883</v>
      </c>
      <c r="D364" s="20">
        <v>8412548901022</v>
      </c>
      <c r="E364" s="22" t="s">
        <v>978</v>
      </c>
      <c r="F364" s="22" t="s">
        <v>21</v>
      </c>
      <c r="G364" s="22">
        <v>1</v>
      </c>
      <c r="H364" s="83" t="s">
        <v>979</v>
      </c>
      <c r="I364" s="23" t="s">
        <v>24</v>
      </c>
      <c r="J364" s="24">
        <v>125</v>
      </c>
      <c r="K364" s="25">
        <v>0.25</v>
      </c>
      <c r="L364" s="26">
        <f t="shared" si="48"/>
        <v>31.25</v>
      </c>
      <c r="M364" s="27">
        <f t="shared" si="49"/>
        <v>93.75</v>
      </c>
      <c r="N364" s="28">
        <v>0.16</v>
      </c>
      <c r="O364" s="29">
        <f t="shared" si="51"/>
        <v>15</v>
      </c>
      <c r="P364" s="30">
        <f t="shared" si="52"/>
        <v>108.75</v>
      </c>
      <c r="Q364" s="23"/>
      <c r="R364" s="52"/>
      <c r="S364" s="53"/>
      <c r="T364" s="54">
        <f t="shared" si="54"/>
        <v>0</v>
      </c>
      <c r="U364" s="26">
        <f t="shared" si="54"/>
        <v>0</v>
      </c>
      <c r="V364" s="55">
        <f t="shared" si="55"/>
        <v>0</v>
      </c>
      <c r="W364" s="29">
        <f t="shared" si="50"/>
        <v>0</v>
      </c>
      <c r="X364" s="30">
        <f t="shared" si="53"/>
        <v>0</v>
      </c>
      <c r="Y364"/>
      <c r="Z364"/>
      <c r="AA364"/>
    </row>
    <row r="365" spans="1:27" s="51" customFormat="1" ht="18.600000000000001" hidden="1" customHeight="1" x14ac:dyDescent="0.25">
      <c r="A365" s="81" t="s">
        <v>16</v>
      </c>
      <c r="B365" s="31" t="s">
        <v>980</v>
      </c>
      <c r="C365" s="32" t="s">
        <v>883</v>
      </c>
      <c r="D365" s="31">
        <v>7427129409836</v>
      </c>
      <c r="E365" s="33" t="s">
        <v>981</v>
      </c>
      <c r="F365" s="33" t="s">
        <v>21</v>
      </c>
      <c r="G365" s="33" t="s">
        <v>364</v>
      </c>
      <c r="H365" s="84" t="s">
        <v>982</v>
      </c>
      <c r="I365" s="23" t="s">
        <v>24</v>
      </c>
      <c r="J365" s="34">
        <v>930</v>
      </c>
      <c r="K365" s="35">
        <v>0.25</v>
      </c>
      <c r="L365" s="36">
        <f t="shared" si="48"/>
        <v>232.5</v>
      </c>
      <c r="M365" s="37">
        <f t="shared" si="49"/>
        <v>697.5</v>
      </c>
      <c r="N365" s="38">
        <v>0.16</v>
      </c>
      <c r="O365" s="39">
        <f t="shared" si="51"/>
        <v>111.60000000000001</v>
      </c>
      <c r="P365" s="40">
        <f t="shared" si="52"/>
        <v>809.1</v>
      </c>
      <c r="Q365" s="23"/>
      <c r="R365" s="56"/>
      <c r="S365" s="57"/>
      <c r="T365" s="58">
        <f t="shared" si="54"/>
        <v>0</v>
      </c>
      <c r="U365" s="36">
        <f t="shared" si="54"/>
        <v>0</v>
      </c>
      <c r="V365" s="59">
        <f t="shared" si="55"/>
        <v>0</v>
      </c>
      <c r="W365" s="39">
        <f t="shared" si="50"/>
        <v>0</v>
      </c>
      <c r="X365" s="40">
        <f t="shared" si="53"/>
        <v>0</v>
      </c>
      <c r="Y365"/>
      <c r="Z365"/>
      <c r="AA365"/>
    </row>
    <row r="366" spans="1:27" s="51" customFormat="1" ht="18.600000000000001" hidden="1" customHeight="1" x14ac:dyDescent="0.25">
      <c r="A366" s="82" t="s">
        <v>16</v>
      </c>
      <c r="B366" s="41" t="s">
        <v>980</v>
      </c>
      <c r="C366" s="42" t="s">
        <v>883</v>
      </c>
      <c r="D366" s="41">
        <v>7427129409843</v>
      </c>
      <c r="E366" s="43" t="s">
        <v>983</v>
      </c>
      <c r="F366" s="43" t="s">
        <v>21</v>
      </c>
      <c r="G366" s="43" t="s">
        <v>364</v>
      </c>
      <c r="H366" s="85" t="s">
        <v>984</v>
      </c>
      <c r="I366" s="23" t="s">
        <v>24</v>
      </c>
      <c r="J366" s="44">
        <v>930</v>
      </c>
      <c r="K366" s="45">
        <v>0.25</v>
      </c>
      <c r="L366" s="46">
        <f t="shared" si="48"/>
        <v>232.5</v>
      </c>
      <c r="M366" s="47">
        <f t="shared" si="49"/>
        <v>697.5</v>
      </c>
      <c r="N366" s="48">
        <v>0.16</v>
      </c>
      <c r="O366" s="49">
        <f t="shared" si="51"/>
        <v>111.60000000000001</v>
      </c>
      <c r="P366" s="50">
        <f t="shared" si="52"/>
        <v>809.1</v>
      </c>
      <c r="Q366" s="23"/>
      <c r="R366" s="60"/>
      <c r="S366" s="61"/>
      <c r="T366" s="62">
        <f t="shared" ref="T366:U381" si="56">+S366*J366</f>
        <v>0</v>
      </c>
      <c r="U366" s="46">
        <f t="shared" si="56"/>
        <v>0</v>
      </c>
      <c r="V366" s="63">
        <f t="shared" si="55"/>
        <v>0</v>
      </c>
      <c r="W366" s="49">
        <f t="shared" si="50"/>
        <v>0</v>
      </c>
      <c r="X366" s="50">
        <f t="shared" si="53"/>
        <v>0</v>
      </c>
      <c r="Y366"/>
      <c r="Z366"/>
      <c r="AA366"/>
    </row>
    <row r="367" spans="1:27" s="51" customFormat="1" ht="18.600000000000001" hidden="1" customHeight="1" x14ac:dyDescent="0.25">
      <c r="A367" s="80" t="s">
        <v>16</v>
      </c>
      <c r="B367" s="20" t="s">
        <v>980</v>
      </c>
      <c r="C367" s="21" t="s">
        <v>883</v>
      </c>
      <c r="D367" s="20">
        <v>7427129409850</v>
      </c>
      <c r="E367" s="22" t="s">
        <v>985</v>
      </c>
      <c r="F367" s="22" t="s">
        <v>21</v>
      </c>
      <c r="G367" s="22" t="s">
        <v>364</v>
      </c>
      <c r="H367" s="83" t="s">
        <v>986</v>
      </c>
      <c r="I367" s="23" t="s">
        <v>24</v>
      </c>
      <c r="J367" s="24">
        <v>930</v>
      </c>
      <c r="K367" s="25">
        <v>0.25</v>
      </c>
      <c r="L367" s="26">
        <f t="shared" si="48"/>
        <v>232.5</v>
      </c>
      <c r="M367" s="27">
        <f t="shared" si="49"/>
        <v>697.5</v>
      </c>
      <c r="N367" s="28">
        <v>0.16</v>
      </c>
      <c r="O367" s="29">
        <f t="shared" si="51"/>
        <v>111.60000000000001</v>
      </c>
      <c r="P367" s="30">
        <f t="shared" si="52"/>
        <v>809.1</v>
      </c>
      <c r="Q367" s="23"/>
      <c r="R367" s="52"/>
      <c r="S367" s="53"/>
      <c r="T367" s="54">
        <f t="shared" si="56"/>
        <v>0</v>
      </c>
      <c r="U367" s="26">
        <f t="shared" si="56"/>
        <v>0</v>
      </c>
      <c r="V367" s="55">
        <f t="shared" si="55"/>
        <v>0</v>
      </c>
      <c r="W367" s="29">
        <f t="shared" si="50"/>
        <v>0</v>
      </c>
      <c r="X367" s="30">
        <f t="shared" si="53"/>
        <v>0</v>
      </c>
      <c r="Y367"/>
      <c r="Z367"/>
      <c r="AA367"/>
    </row>
    <row r="368" spans="1:27" s="51" customFormat="1" ht="18.600000000000001" hidden="1" customHeight="1" x14ac:dyDescent="0.25">
      <c r="A368" s="81" t="s">
        <v>16</v>
      </c>
      <c r="B368" s="31" t="s">
        <v>980</v>
      </c>
      <c r="C368" s="32" t="s">
        <v>883</v>
      </c>
      <c r="D368" s="31">
        <v>7427129409867</v>
      </c>
      <c r="E368" s="33" t="s">
        <v>987</v>
      </c>
      <c r="F368" s="33" t="s">
        <v>21</v>
      </c>
      <c r="G368" s="33" t="s">
        <v>364</v>
      </c>
      <c r="H368" s="84" t="s">
        <v>988</v>
      </c>
      <c r="I368" s="23" t="s">
        <v>24</v>
      </c>
      <c r="J368" s="34">
        <v>930</v>
      </c>
      <c r="K368" s="35">
        <v>0.25</v>
      </c>
      <c r="L368" s="36">
        <f t="shared" si="48"/>
        <v>232.5</v>
      </c>
      <c r="M368" s="37">
        <f t="shared" si="49"/>
        <v>697.5</v>
      </c>
      <c r="N368" s="38">
        <v>0.16</v>
      </c>
      <c r="O368" s="39">
        <f t="shared" si="51"/>
        <v>111.60000000000001</v>
      </c>
      <c r="P368" s="40">
        <f t="shared" si="52"/>
        <v>809.1</v>
      </c>
      <c r="Q368" s="23"/>
      <c r="R368" s="56"/>
      <c r="S368" s="57"/>
      <c r="T368" s="58">
        <f t="shared" si="56"/>
        <v>0</v>
      </c>
      <c r="U368" s="36">
        <f t="shared" si="56"/>
        <v>0</v>
      </c>
      <c r="V368" s="59">
        <f t="shared" si="55"/>
        <v>0</v>
      </c>
      <c r="W368" s="39">
        <f t="shared" si="50"/>
        <v>0</v>
      </c>
      <c r="X368" s="40">
        <f t="shared" si="53"/>
        <v>0</v>
      </c>
      <c r="Y368"/>
      <c r="Z368"/>
      <c r="AA368"/>
    </row>
    <row r="369" spans="1:27" s="51" customFormat="1" ht="18.600000000000001" hidden="1" customHeight="1" x14ac:dyDescent="0.25">
      <c r="A369" s="82" t="s">
        <v>16</v>
      </c>
      <c r="B369" s="41" t="s">
        <v>980</v>
      </c>
      <c r="C369" s="42" t="s">
        <v>883</v>
      </c>
      <c r="D369" s="41">
        <v>7427129409874</v>
      </c>
      <c r="E369" s="43" t="s">
        <v>989</v>
      </c>
      <c r="F369" s="43" t="s">
        <v>21</v>
      </c>
      <c r="G369" s="43" t="s">
        <v>364</v>
      </c>
      <c r="H369" s="85" t="s">
        <v>990</v>
      </c>
      <c r="I369" s="23" t="s">
        <v>24</v>
      </c>
      <c r="J369" s="44">
        <v>930</v>
      </c>
      <c r="K369" s="45">
        <v>0.25</v>
      </c>
      <c r="L369" s="46">
        <f t="shared" si="48"/>
        <v>232.5</v>
      </c>
      <c r="M369" s="47">
        <f t="shared" si="49"/>
        <v>697.5</v>
      </c>
      <c r="N369" s="48">
        <v>0.16</v>
      </c>
      <c r="O369" s="49">
        <f t="shared" si="51"/>
        <v>111.60000000000001</v>
      </c>
      <c r="P369" s="50">
        <f t="shared" si="52"/>
        <v>809.1</v>
      </c>
      <c r="Q369" s="23"/>
      <c r="R369" s="60"/>
      <c r="S369" s="61"/>
      <c r="T369" s="62">
        <f t="shared" si="56"/>
        <v>0</v>
      </c>
      <c r="U369" s="46">
        <f t="shared" si="56"/>
        <v>0</v>
      </c>
      <c r="V369" s="63">
        <f t="shared" si="55"/>
        <v>0</v>
      </c>
      <c r="W369" s="49">
        <f t="shared" si="50"/>
        <v>0</v>
      </c>
      <c r="X369" s="50">
        <f t="shared" si="53"/>
        <v>0</v>
      </c>
      <c r="Y369"/>
      <c r="Z369"/>
      <c r="AA369"/>
    </row>
    <row r="370" spans="1:27" s="51" customFormat="1" ht="18.600000000000001" hidden="1" customHeight="1" x14ac:dyDescent="0.25">
      <c r="A370" s="80" t="s">
        <v>16</v>
      </c>
      <c r="B370" s="20" t="s">
        <v>980</v>
      </c>
      <c r="C370" s="21" t="s">
        <v>883</v>
      </c>
      <c r="D370" s="20">
        <v>7427129409881</v>
      </c>
      <c r="E370" s="22" t="s">
        <v>991</v>
      </c>
      <c r="F370" s="22" t="s">
        <v>21</v>
      </c>
      <c r="G370" s="22" t="s">
        <v>364</v>
      </c>
      <c r="H370" s="83" t="s">
        <v>992</v>
      </c>
      <c r="I370" s="23" t="s">
        <v>24</v>
      </c>
      <c r="J370" s="24">
        <v>930</v>
      </c>
      <c r="K370" s="25">
        <v>0.25</v>
      </c>
      <c r="L370" s="26">
        <f t="shared" si="48"/>
        <v>232.5</v>
      </c>
      <c r="M370" s="27">
        <f t="shared" si="49"/>
        <v>697.5</v>
      </c>
      <c r="N370" s="28">
        <v>0.16</v>
      </c>
      <c r="O370" s="29">
        <f t="shared" si="51"/>
        <v>111.60000000000001</v>
      </c>
      <c r="P370" s="30">
        <f t="shared" si="52"/>
        <v>809.1</v>
      </c>
      <c r="Q370" s="23"/>
      <c r="R370" s="52"/>
      <c r="S370" s="53"/>
      <c r="T370" s="54">
        <f t="shared" si="56"/>
        <v>0</v>
      </c>
      <c r="U370" s="26">
        <f t="shared" si="56"/>
        <v>0</v>
      </c>
      <c r="V370" s="55">
        <f t="shared" si="55"/>
        <v>0</v>
      </c>
      <c r="W370" s="29">
        <f t="shared" si="50"/>
        <v>0</v>
      </c>
      <c r="X370" s="30">
        <f t="shared" si="53"/>
        <v>0</v>
      </c>
      <c r="Y370"/>
      <c r="Z370"/>
      <c r="AA370"/>
    </row>
    <row r="371" spans="1:27" s="51" customFormat="1" ht="18.600000000000001" hidden="1" customHeight="1" x14ac:dyDescent="0.25">
      <c r="A371" s="81" t="s">
        <v>16</v>
      </c>
      <c r="B371" s="31" t="s">
        <v>980</v>
      </c>
      <c r="C371" s="32" t="s">
        <v>883</v>
      </c>
      <c r="D371" s="31">
        <v>8435635303820</v>
      </c>
      <c r="E371" s="33" t="s">
        <v>993</v>
      </c>
      <c r="F371" s="33" t="s">
        <v>21</v>
      </c>
      <c r="G371" s="33">
        <v>16</v>
      </c>
      <c r="H371" s="84" t="s">
        <v>994</v>
      </c>
      <c r="I371" s="23" t="s">
        <v>24</v>
      </c>
      <c r="J371" s="34">
        <v>2700</v>
      </c>
      <c r="K371" s="35">
        <v>0.25</v>
      </c>
      <c r="L371" s="36">
        <f t="shared" si="48"/>
        <v>675</v>
      </c>
      <c r="M371" s="37">
        <f t="shared" si="49"/>
        <v>2025</v>
      </c>
      <c r="N371" s="38">
        <v>0.16</v>
      </c>
      <c r="O371" s="39">
        <f t="shared" si="51"/>
        <v>324</v>
      </c>
      <c r="P371" s="40">
        <f t="shared" si="52"/>
        <v>2349</v>
      </c>
      <c r="Q371" s="23"/>
      <c r="R371" s="56"/>
      <c r="S371" s="57"/>
      <c r="T371" s="58">
        <f t="shared" si="56"/>
        <v>0</v>
      </c>
      <c r="U371" s="36">
        <f t="shared" si="56"/>
        <v>0</v>
      </c>
      <c r="V371" s="59">
        <f t="shared" si="55"/>
        <v>0</v>
      </c>
      <c r="W371" s="39">
        <f t="shared" si="50"/>
        <v>0</v>
      </c>
      <c r="X371" s="40">
        <f t="shared" si="53"/>
        <v>0</v>
      </c>
      <c r="Y371"/>
      <c r="Z371"/>
      <c r="AA371"/>
    </row>
    <row r="372" spans="1:27" s="51" customFormat="1" ht="18.600000000000001" hidden="1" customHeight="1" x14ac:dyDescent="0.25">
      <c r="A372" s="82" t="s">
        <v>16</v>
      </c>
      <c r="B372" s="41" t="s">
        <v>980</v>
      </c>
      <c r="C372" s="42" t="s">
        <v>883</v>
      </c>
      <c r="D372" s="41">
        <v>8435635303837</v>
      </c>
      <c r="E372" s="43" t="s">
        <v>995</v>
      </c>
      <c r="F372" s="43" t="s">
        <v>21</v>
      </c>
      <c r="G372" s="43">
        <v>48</v>
      </c>
      <c r="H372" s="85" t="s">
        <v>996</v>
      </c>
      <c r="I372" s="23" t="s">
        <v>24</v>
      </c>
      <c r="J372" s="44">
        <v>8000</v>
      </c>
      <c r="K372" s="45">
        <v>0.25</v>
      </c>
      <c r="L372" s="46">
        <f t="shared" si="48"/>
        <v>2000</v>
      </c>
      <c r="M372" s="47">
        <f t="shared" si="49"/>
        <v>6000</v>
      </c>
      <c r="N372" s="48">
        <v>0.16</v>
      </c>
      <c r="O372" s="49">
        <f t="shared" si="51"/>
        <v>960</v>
      </c>
      <c r="P372" s="50">
        <f t="shared" si="52"/>
        <v>6960</v>
      </c>
      <c r="Q372" s="23"/>
      <c r="R372" s="60"/>
      <c r="S372" s="61"/>
      <c r="T372" s="62">
        <f t="shared" si="56"/>
        <v>0</v>
      </c>
      <c r="U372" s="46">
        <f t="shared" si="56"/>
        <v>0</v>
      </c>
      <c r="V372" s="63">
        <f t="shared" si="55"/>
        <v>0</v>
      </c>
      <c r="W372" s="49">
        <f t="shared" si="50"/>
        <v>0</v>
      </c>
      <c r="X372" s="50">
        <f t="shared" si="53"/>
        <v>0</v>
      </c>
      <c r="Y372"/>
      <c r="Z372"/>
      <c r="AA372"/>
    </row>
    <row r="373" spans="1:27" s="51" customFormat="1" ht="18.600000000000001" hidden="1" customHeight="1" x14ac:dyDescent="0.25">
      <c r="A373" s="80" t="s">
        <v>16</v>
      </c>
      <c r="B373" s="20" t="s">
        <v>980</v>
      </c>
      <c r="C373" s="21" t="s">
        <v>883</v>
      </c>
      <c r="D373" s="20">
        <v>8435635308887</v>
      </c>
      <c r="E373" s="22" t="s">
        <v>997</v>
      </c>
      <c r="F373" s="22" t="s">
        <v>21</v>
      </c>
      <c r="G373" s="22">
        <v>48</v>
      </c>
      <c r="H373" s="83" t="s">
        <v>998</v>
      </c>
      <c r="I373" s="23" t="s">
        <v>24</v>
      </c>
      <c r="J373" s="24">
        <v>5500</v>
      </c>
      <c r="K373" s="25">
        <v>0.25</v>
      </c>
      <c r="L373" s="26">
        <f t="shared" si="48"/>
        <v>1375</v>
      </c>
      <c r="M373" s="27">
        <f t="shared" si="49"/>
        <v>4125</v>
      </c>
      <c r="N373" s="28">
        <v>0.16</v>
      </c>
      <c r="O373" s="29">
        <f t="shared" si="51"/>
        <v>660</v>
      </c>
      <c r="P373" s="30">
        <f t="shared" si="52"/>
        <v>4785</v>
      </c>
      <c r="Q373" s="23"/>
      <c r="R373" s="52"/>
      <c r="S373" s="53"/>
      <c r="T373" s="54">
        <f t="shared" si="56"/>
        <v>0</v>
      </c>
      <c r="U373" s="26">
        <f t="shared" si="56"/>
        <v>0</v>
      </c>
      <c r="V373" s="55">
        <f t="shared" si="55"/>
        <v>0</v>
      </c>
      <c r="W373" s="29">
        <f t="shared" si="50"/>
        <v>0</v>
      </c>
      <c r="X373" s="30">
        <f t="shared" si="53"/>
        <v>0</v>
      </c>
      <c r="Y373"/>
      <c r="Z373"/>
      <c r="AA373"/>
    </row>
    <row r="374" spans="1:27" s="51" customFormat="1" ht="18.600000000000001" hidden="1" customHeight="1" x14ac:dyDescent="0.25">
      <c r="A374" s="81" t="s">
        <v>16</v>
      </c>
      <c r="B374" s="31" t="s">
        <v>980</v>
      </c>
      <c r="C374" s="32" t="s">
        <v>883</v>
      </c>
      <c r="D374" s="31">
        <v>8435635308894</v>
      </c>
      <c r="E374" s="33" t="s">
        <v>999</v>
      </c>
      <c r="F374" s="33" t="s">
        <v>21</v>
      </c>
      <c r="G374" s="33">
        <v>24</v>
      </c>
      <c r="H374" s="84" t="s">
        <v>1000</v>
      </c>
      <c r="I374" s="23" t="s">
        <v>24</v>
      </c>
      <c r="J374" s="34">
        <v>2800</v>
      </c>
      <c r="K374" s="35">
        <v>0.25</v>
      </c>
      <c r="L374" s="36">
        <f t="shared" si="48"/>
        <v>700</v>
      </c>
      <c r="M374" s="37">
        <f t="shared" si="49"/>
        <v>2100</v>
      </c>
      <c r="N374" s="38">
        <v>0.16</v>
      </c>
      <c r="O374" s="39">
        <f t="shared" si="51"/>
        <v>336</v>
      </c>
      <c r="P374" s="40">
        <f t="shared" si="52"/>
        <v>2436</v>
      </c>
      <c r="Q374" s="23"/>
      <c r="R374" s="56"/>
      <c r="S374" s="57"/>
      <c r="T374" s="58">
        <f t="shared" si="56"/>
        <v>0</v>
      </c>
      <c r="U374" s="36">
        <f t="shared" si="56"/>
        <v>0</v>
      </c>
      <c r="V374" s="59">
        <f t="shared" si="55"/>
        <v>0</v>
      </c>
      <c r="W374" s="39">
        <f t="shared" si="50"/>
        <v>0</v>
      </c>
      <c r="X374" s="40">
        <f t="shared" si="53"/>
        <v>0</v>
      </c>
      <c r="Y374"/>
      <c r="Z374"/>
      <c r="AA374"/>
    </row>
    <row r="375" spans="1:27" s="51" customFormat="1" ht="18.600000000000001" hidden="1" customHeight="1" x14ac:dyDescent="0.25">
      <c r="A375" s="82" t="s">
        <v>16</v>
      </c>
      <c r="B375" s="41" t="s">
        <v>1001</v>
      </c>
      <c r="C375" s="42" t="s">
        <v>1002</v>
      </c>
      <c r="D375" s="41">
        <v>8423153061759</v>
      </c>
      <c r="E375" s="43" t="s">
        <v>1003</v>
      </c>
      <c r="F375" s="43" t="s">
        <v>1004</v>
      </c>
      <c r="G375" s="43">
        <v>1</v>
      </c>
      <c r="H375" s="85" t="s">
        <v>1005</v>
      </c>
      <c r="I375" s="23" t="s">
        <v>24</v>
      </c>
      <c r="J375" s="44">
        <v>135</v>
      </c>
      <c r="K375" s="45">
        <v>0.25</v>
      </c>
      <c r="L375" s="46">
        <f t="shared" si="48"/>
        <v>33.75</v>
      </c>
      <c r="M375" s="47">
        <f t="shared" si="49"/>
        <v>101.25</v>
      </c>
      <c r="N375" s="48">
        <v>0.16</v>
      </c>
      <c r="O375" s="49">
        <f t="shared" si="51"/>
        <v>16.2</v>
      </c>
      <c r="P375" s="50">
        <f t="shared" si="52"/>
        <v>117.45</v>
      </c>
      <c r="Q375" s="23"/>
      <c r="R375" s="60"/>
      <c r="S375" s="61"/>
      <c r="T375" s="62">
        <f t="shared" si="56"/>
        <v>0</v>
      </c>
      <c r="U375" s="46">
        <f t="shared" si="56"/>
        <v>0</v>
      </c>
      <c r="V375" s="63">
        <f t="shared" si="55"/>
        <v>0</v>
      </c>
      <c r="W375" s="49">
        <f t="shared" si="50"/>
        <v>0</v>
      </c>
      <c r="X375" s="50">
        <f t="shared" si="53"/>
        <v>0</v>
      </c>
      <c r="Y375"/>
      <c r="Z375"/>
      <c r="AA375"/>
    </row>
    <row r="376" spans="1:27" s="51" customFormat="1" ht="18.600000000000001" hidden="1" customHeight="1" x14ac:dyDescent="0.25">
      <c r="A376" s="80" t="s">
        <v>16</v>
      </c>
      <c r="B376" s="20" t="s">
        <v>1001</v>
      </c>
      <c r="C376" s="21" t="s">
        <v>1002</v>
      </c>
      <c r="D376" s="20">
        <v>8423153061766</v>
      </c>
      <c r="E376" s="22" t="s">
        <v>1006</v>
      </c>
      <c r="F376" s="22" t="s">
        <v>1004</v>
      </c>
      <c r="G376" s="22">
        <v>1</v>
      </c>
      <c r="H376" s="83" t="s">
        <v>1007</v>
      </c>
      <c r="I376" s="23" t="s">
        <v>24</v>
      </c>
      <c r="J376" s="24">
        <v>135</v>
      </c>
      <c r="K376" s="25">
        <v>0.25</v>
      </c>
      <c r="L376" s="26">
        <f t="shared" si="48"/>
        <v>33.75</v>
      </c>
      <c r="M376" s="27">
        <f t="shared" si="49"/>
        <v>101.25</v>
      </c>
      <c r="N376" s="28">
        <v>0.16</v>
      </c>
      <c r="O376" s="29">
        <f t="shared" si="51"/>
        <v>16.2</v>
      </c>
      <c r="P376" s="30">
        <f t="shared" si="52"/>
        <v>117.45</v>
      </c>
      <c r="Q376" s="23"/>
      <c r="R376" s="52"/>
      <c r="S376" s="53"/>
      <c r="T376" s="54">
        <f t="shared" si="56"/>
        <v>0</v>
      </c>
      <c r="U376" s="26">
        <f t="shared" si="56"/>
        <v>0</v>
      </c>
      <c r="V376" s="55">
        <f t="shared" si="55"/>
        <v>0</v>
      </c>
      <c r="W376" s="29">
        <f t="shared" si="50"/>
        <v>0</v>
      </c>
      <c r="X376" s="30">
        <f t="shared" si="53"/>
        <v>0</v>
      </c>
      <c r="Y376"/>
      <c r="Z376"/>
      <c r="AA376"/>
    </row>
    <row r="377" spans="1:27" s="51" customFormat="1" ht="18.600000000000001" hidden="1" customHeight="1" x14ac:dyDescent="0.25">
      <c r="A377" s="81" t="s">
        <v>16</v>
      </c>
      <c r="B377" s="31" t="s">
        <v>1001</v>
      </c>
      <c r="C377" s="32" t="s">
        <v>1002</v>
      </c>
      <c r="D377" s="31">
        <v>8423153061773</v>
      </c>
      <c r="E377" s="33" t="s">
        <v>1008</v>
      </c>
      <c r="F377" s="33" t="s">
        <v>1004</v>
      </c>
      <c r="G377" s="33">
        <v>1</v>
      </c>
      <c r="H377" s="84" t="s">
        <v>1009</v>
      </c>
      <c r="I377" s="23" t="s">
        <v>24</v>
      </c>
      <c r="J377" s="34">
        <v>135</v>
      </c>
      <c r="K377" s="35">
        <v>0.25</v>
      </c>
      <c r="L377" s="36">
        <f t="shared" si="48"/>
        <v>33.75</v>
      </c>
      <c r="M377" s="37">
        <f t="shared" si="49"/>
        <v>101.25</v>
      </c>
      <c r="N377" s="38">
        <v>0.16</v>
      </c>
      <c r="O377" s="39">
        <f t="shared" si="51"/>
        <v>16.2</v>
      </c>
      <c r="P377" s="40">
        <f t="shared" si="52"/>
        <v>117.45</v>
      </c>
      <c r="Q377" s="23"/>
      <c r="R377" s="56"/>
      <c r="S377" s="57"/>
      <c r="T377" s="58">
        <f t="shared" si="56"/>
        <v>0</v>
      </c>
      <c r="U377" s="36">
        <f t="shared" si="56"/>
        <v>0</v>
      </c>
      <c r="V377" s="59">
        <f t="shared" si="55"/>
        <v>0</v>
      </c>
      <c r="W377" s="39">
        <f t="shared" si="50"/>
        <v>0</v>
      </c>
      <c r="X377" s="40">
        <f t="shared" si="53"/>
        <v>0</v>
      </c>
      <c r="Y377"/>
      <c r="Z377"/>
      <c r="AA377"/>
    </row>
    <row r="378" spans="1:27" s="51" customFormat="1" ht="18.600000000000001" hidden="1" customHeight="1" x14ac:dyDescent="0.25">
      <c r="A378" s="82" t="s">
        <v>16</v>
      </c>
      <c r="B378" s="41" t="s">
        <v>1001</v>
      </c>
      <c r="C378" s="42" t="s">
        <v>1002</v>
      </c>
      <c r="D378" s="41">
        <v>8423153061780</v>
      </c>
      <c r="E378" s="43" t="s">
        <v>1010</v>
      </c>
      <c r="F378" s="43" t="s">
        <v>1004</v>
      </c>
      <c r="G378" s="43">
        <v>1</v>
      </c>
      <c r="H378" s="85" t="s">
        <v>1011</v>
      </c>
      <c r="I378" s="23" t="s">
        <v>24</v>
      </c>
      <c r="J378" s="44">
        <v>135</v>
      </c>
      <c r="K378" s="45">
        <v>0.25</v>
      </c>
      <c r="L378" s="46">
        <f t="shared" si="48"/>
        <v>33.75</v>
      </c>
      <c r="M378" s="47">
        <f t="shared" si="49"/>
        <v>101.25</v>
      </c>
      <c r="N378" s="48">
        <v>0.16</v>
      </c>
      <c r="O378" s="49">
        <f t="shared" si="51"/>
        <v>16.2</v>
      </c>
      <c r="P378" s="50">
        <f t="shared" si="52"/>
        <v>117.45</v>
      </c>
      <c r="Q378" s="23"/>
      <c r="R378" s="60"/>
      <c r="S378" s="61"/>
      <c r="T378" s="62">
        <f t="shared" si="56"/>
        <v>0</v>
      </c>
      <c r="U378" s="46">
        <f t="shared" si="56"/>
        <v>0</v>
      </c>
      <c r="V378" s="63">
        <f t="shared" si="55"/>
        <v>0</v>
      </c>
      <c r="W378" s="49">
        <f t="shared" si="50"/>
        <v>0</v>
      </c>
      <c r="X378" s="50">
        <f t="shared" si="53"/>
        <v>0</v>
      </c>
      <c r="Y378"/>
      <c r="Z378"/>
      <c r="AA378"/>
    </row>
    <row r="379" spans="1:27" s="51" customFormat="1" ht="18.600000000000001" hidden="1" customHeight="1" x14ac:dyDescent="0.25">
      <c r="A379" s="80" t="s">
        <v>16</v>
      </c>
      <c r="B379" s="20" t="s">
        <v>1001</v>
      </c>
      <c r="C379" s="21" t="s">
        <v>1002</v>
      </c>
      <c r="D379" s="20">
        <v>8423153061797</v>
      </c>
      <c r="E379" s="22" t="s">
        <v>1012</v>
      </c>
      <c r="F379" s="22" t="s">
        <v>1004</v>
      </c>
      <c r="G379" s="22">
        <v>1</v>
      </c>
      <c r="H379" s="83" t="s">
        <v>1013</v>
      </c>
      <c r="I379" s="23" t="s">
        <v>24</v>
      </c>
      <c r="J379" s="24">
        <v>135</v>
      </c>
      <c r="K379" s="25">
        <v>0.25</v>
      </c>
      <c r="L379" s="26">
        <f t="shared" si="48"/>
        <v>33.75</v>
      </c>
      <c r="M379" s="27">
        <f t="shared" si="49"/>
        <v>101.25</v>
      </c>
      <c r="N379" s="28">
        <v>0.16</v>
      </c>
      <c r="O379" s="29">
        <f t="shared" si="51"/>
        <v>16.2</v>
      </c>
      <c r="P379" s="30">
        <f t="shared" si="52"/>
        <v>117.45</v>
      </c>
      <c r="Q379" s="23"/>
      <c r="R379" s="52"/>
      <c r="S379" s="53"/>
      <c r="T379" s="54">
        <f t="shared" si="56"/>
        <v>0</v>
      </c>
      <c r="U379" s="26">
        <f t="shared" si="56"/>
        <v>0</v>
      </c>
      <c r="V379" s="55">
        <f t="shared" si="55"/>
        <v>0</v>
      </c>
      <c r="W379" s="29">
        <f t="shared" si="50"/>
        <v>0</v>
      </c>
      <c r="X379" s="30">
        <f t="shared" si="53"/>
        <v>0</v>
      </c>
      <c r="Y379"/>
      <c r="Z379"/>
      <c r="AA379"/>
    </row>
    <row r="380" spans="1:27" s="51" customFormat="1" ht="18.600000000000001" hidden="1" customHeight="1" x14ac:dyDescent="0.25">
      <c r="A380" s="81" t="s">
        <v>16</v>
      </c>
      <c r="B380" s="31" t="s">
        <v>1001</v>
      </c>
      <c r="C380" s="32" t="s">
        <v>1002</v>
      </c>
      <c r="D380" s="31">
        <v>8423153061803</v>
      </c>
      <c r="E380" s="33" t="s">
        <v>1014</v>
      </c>
      <c r="F380" s="33" t="s">
        <v>1004</v>
      </c>
      <c r="G380" s="33">
        <v>1</v>
      </c>
      <c r="H380" s="84" t="s">
        <v>1015</v>
      </c>
      <c r="I380" s="23" t="s">
        <v>24</v>
      </c>
      <c r="J380" s="34">
        <v>135</v>
      </c>
      <c r="K380" s="35">
        <v>0.25</v>
      </c>
      <c r="L380" s="36">
        <f t="shared" si="48"/>
        <v>33.75</v>
      </c>
      <c r="M380" s="37">
        <f t="shared" si="49"/>
        <v>101.25</v>
      </c>
      <c r="N380" s="38">
        <v>0.16</v>
      </c>
      <c r="O380" s="39">
        <f t="shared" si="51"/>
        <v>16.2</v>
      </c>
      <c r="P380" s="40">
        <f t="shared" si="52"/>
        <v>117.45</v>
      </c>
      <c r="Q380" s="23"/>
      <c r="R380" s="56"/>
      <c r="S380" s="57"/>
      <c r="T380" s="58">
        <f t="shared" si="56"/>
        <v>0</v>
      </c>
      <c r="U380" s="36">
        <f t="shared" si="56"/>
        <v>0</v>
      </c>
      <c r="V380" s="59">
        <f t="shared" si="55"/>
        <v>0</v>
      </c>
      <c r="W380" s="39">
        <f t="shared" si="50"/>
        <v>0</v>
      </c>
      <c r="X380" s="40">
        <f t="shared" si="53"/>
        <v>0</v>
      </c>
      <c r="Y380"/>
      <c r="Z380"/>
      <c r="AA380"/>
    </row>
    <row r="381" spans="1:27" s="51" customFormat="1" ht="18.600000000000001" hidden="1" customHeight="1" x14ac:dyDescent="0.25">
      <c r="A381" s="82" t="s">
        <v>16</v>
      </c>
      <c r="B381" s="41" t="s">
        <v>1001</v>
      </c>
      <c r="C381" s="42" t="s">
        <v>1002</v>
      </c>
      <c r="D381" s="41">
        <v>8423153061810</v>
      </c>
      <c r="E381" s="43" t="s">
        <v>1016</v>
      </c>
      <c r="F381" s="43" t="s">
        <v>1004</v>
      </c>
      <c r="G381" s="43">
        <v>1</v>
      </c>
      <c r="H381" s="85" t="s">
        <v>87</v>
      </c>
      <c r="I381" s="23" t="s">
        <v>24</v>
      </c>
      <c r="J381" s="44">
        <v>135</v>
      </c>
      <c r="K381" s="45">
        <v>0.25</v>
      </c>
      <c r="L381" s="46">
        <f t="shared" si="48"/>
        <v>33.75</v>
      </c>
      <c r="M381" s="47">
        <f t="shared" si="49"/>
        <v>101.25</v>
      </c>
      <c r="N381" s="48">
        <v>0.16</v>
      </c>
      <c r="O381" s="49">
        <f t="shared" si="51"/>
        <v>16.2</v>
      </c>
      <c r="P381" s="50">
        <f t="shared" si="52"/>
        <v>117.45</v>
      </c>
      <c r="Q381" s="23"/>
      <c r="R381" s="60"/>
      <c r="S381" s="61"/>
      <c r="T381" s="62">
        <f t="shared" si="56"/>
        <v>0</v>
      </c>
      <c r="U381" s="46">
        <f t="shared" si="56"/>
        <v>0</v>
      </c>
      <c r="V381" s="63">
        <f t="shared" si="55"/>
        <v>0</v>
      </c>
      <c r="W381" s="49">
        <f t="shared" si="50"/>
        <v>0</v>
      </c>
      <c r="X381" s="50">
        <f t="shared" si="53"/>
        <v>0</v>
      </c>
      <c r="Y381"/>
      <c r="Z381"/>
      <c r="AA381"/>
    </row>
    <row r="382" spans="1:27" s="51" customFormat="1" ht="18.600000000000001" hidden="1" customHeight="1" x14ac:dyDescent="0.25">
      <c r="A382" s="80" t="s">
        <v>16</v>
      </c>
      <c r="B382" s="20" t="s">
        <v>1001</v>
      </c>
      <c r="C382" s="21" t="s">
        <v>1002</v>
      </c>
      <c r="D382" s="20">
        <v>8423153061827</v>
      </c>
      <c r="E382" s="22" t="s">
        <v>1017</v>
      </c>
      <c r="F382" s="22" t="s">
        <v>1004</v>
      </c>
      <c r="G382" s="22">
        <v>1</v>
      </c>
      <c r="H382" s="83" t="s">
        <v>1018</v>
      </c>
      <c r="I382" s="23" t="s">
        <v>24</v>
      </c>
      <c r="J382" s="24">
        <v>135</v>
      </c>
      <c r="K382" s="25">
        <v>0.25</v>
      </c>
      <c r="L382" s="26">
        <f t="shared" si="48"/>
        <v>33.75</v>
      </c>
      <c r="M382" s="27">
        <f t="shared" si="49"/>
        <v>101.25</v>
      </c>
      <c r="N382" s="28">
        <v>0.16</v>
      </c>
      <c r="O382" s="29">
        <f t="shared" si="51"/>
        <v>16.2</v>
      </c>
      <c r="P382" s="30">
        <f t="shared" si="52"/>
        <v>117.45</v>
      </c>
      <c r="Q382" s="23"/>
      <c r="R382" s="52"/>
      <c r="S382" s="53"/>
      <c r="T382" s="54">
        <f t="shared" ref="T382:U397" si="57">+S382*J382</f>
        <v>0</v>
      </c>
      <c r="U382" s="26">
        <f t="shared" si="57"/>
        <v>0</v>
      </c>
      <c r="V382" s="55">
        <f t="shared" si="55"/>
        <v>0</v>
      </c>
      <c r="W382" s="29">
        <f t="shared" si="50"/>
        <v>0</v>
      </c>
      <c r="X382" s="30">
        <f t="shared" si="53"/>
        <v>0</v>
      </c>
      <c r="Y382"/>
      <c r="Z382"/>
      <c r="AA382"/>
    </row>
    <row r="383" spans="1:27" s="51" customFormat="1" ht="18.600000000000001" hidden="1" customHeight="1" x14ac:dyDescent="0.25">
      <c r="A383" s="81" t="s">
        <v>16</v>
      </c>
      <c r="B383" s="31" t="s">
        <v>1001</v>
      </c>
      <c r="C383" s="32" t="s">
        <v>1002</v>
      </c>
      <c r="D383" s="31">
        <v>8423153061834</v>
      </c>
      <c r="E383" s="33" t="s">
        <v>1019</v>
      </c>
      <c r="F383" s="33" t="s">
        <v>1004</v>
      </c>
      <c r="G383" s="33">
        <v>1</v>
      </c>
      <c r="H383" s="84" t="s">
        <v>78</v>
      </c>
      <c r="I383" s="23" t="s">
        <v>24</v>
      </c>
      <c r="J383" s="34">
        <v>135</v>
      </c>
      <c r="K383" s="35">
        <v>0.25</v>
      </c>
      <c r="L383" s="36">
        <f t="shared" si="48"/>
        <v>33.75</v>
      </c>
      <c r="M383" s="37">
        <f t="shared" si="49"/>
        <v>101.25</v>
      </c>
      <c r="N383" s="38">
        <v>0.16</v>
      </c>
      <c r="O383" s="39">
        <f t="shared" si="51"/>
        <v>16.2</v>
      </c>
      <c r="P383" s="40">
        <f t="shared" si="52"/>
        <v>117.45</v>
      </c>
      <c r="Q383" s="23"/>
      <c r="R383" s="56"/>
      <c r="S383" s="57"/>
      <c r="T383" s="58">
        <f t="shared" si="57"/>
        <v>0</v>
      </c>
      <c r="U383" s="36">
        <f t="shared" si="57"/>
        <v>0</v>
      </c>
      <c r="V383" s="59">
        <f t="shared" si="55"/>
        <v>0</v>
      </c>
      <c r="W383" s="39">
        <f t="shared" si="50"/>
        <v>0</v>
      </c>
      <c r="X383" s="40">
        <f t="shared" si="53"/>
        <v>0</v>
      </c>
      <c r="Y383"/>
      <c r="Z383"/>
      <c r="AA383"/>
    </row>
    <row r="384" spans="1:27" s="51" customFormat="1" ht="18.600000000000001" hidden="1" customHeight="1" x14ac:dyDescent="0.25">
      <c r="A384" s="82" t="s">
        <v>16</v>
      </c>
      <c r="B384" s="41" t="s">
        <v>1001</v>
      </c>
      <c r="C384" s="42" t="s">
        <v>1002</v>
      </c>
      <c r="D384" s="41">
        <v>8423153061841</v>
      </c>
      <c r="E384" s="43" t="s">
        <v>1020</v>
      </c>
      <c r="F384" s="43" t="s">
        <v>1004</v>
      </c>
      <c r="G384" s="43">
        <v>1</v>
      </c>
      <c r="H384" s="85" t="s">
        <v>1021</v>
      </c>
      <c r="I384" s="23" t="s">
        <v>24</v>
      </c>
      <c r="J384" s="44">
        <v>135</v>
      </c>
      <c r="K384" s="45">
        <v>0.25</v>
      </c>
      <c r="L384" s="46">
        <f t="shared" si="48"/>
        <v>33.75</v>
      </c>
      <c r="M384" s="47">
        <f t="shared" si="49"/>
        <v>101.25</v>
      </c>
      <c r="N384" s="48">
        <v>0.16</v>
      </c>
      <c r="O384" s="49">
        <f t="shared" si="51"/>
        <v>16.2</v>
      </c>
      <c r="P384" s="50">
        <f t="shared" si="52"/>
        <v>117.45</v>
      </c>
      <c r="Q384" s="23"/>
      <c r="R384" s="60"/>
      <c r="S384" s="61"/>
      <c r="T384" s="62">
        <f t="shared" si="57"/>
        <v>0</v>
      </c>
      <c r="U384" s="46">
        <f t="shared" si="57"/>
        <v>0</v>
      </c>
      <c r="V384" s="63">
        <f t="shared" si="55"/>
        <v>0</v>
      </c>
      <c r="W384" s="49">
        <f t="shared" si="50"/>
        <v>0</v>
      </c>
      <c r="X384" s="50">
        <f t="shared" si="53"/>
        <v>0</v>
      </c>
      <c r="Y384"/>
      <c r="Z384"/>
      <c r="AA384"/>
    </row>
    <row r="385" spans="1:27" s="51" customFormat="1" ht="18.600000000000001" hidden="1" customHeight="1" x14ac:dyDescent="0.25">
      <c r="A385" s="80" t="s">
        <v>16</v>
      </c>
      <c r="B385" s="20" t="s">
        <v>1001</v>
      </c>
      <c r="C385" s="21" t="s">
        <v>1002</v>
      </c>
      <c r="D385" s="20">
        <v>8423153061858</v>
      </c>
      <c r="E385" s="22" t="s">
        <v>1022</v>
      </c>
      <c r="F385" s="22" t="s">
        <v>1004</v>
      </c>
      <c r="G385" s="22">
        <v>1</v>
      </c>
      <c r="H385" s="83" t="s">
        <v>1023</v>
      </c>
      <c r="I385" s="23" t="s">
        <v>24</v>
      </c>
      <c r="J385" s="24">
        <v>135</v>
      </c>
      <c r="K385" s="25">
        <v>0.25</v>
      </c>
      <c r="L385" s="26">
        <f t="shared" si="48"/>
        <v>33.75</v>
      </c>
      <c r="M385" s="27">
        <f t="shared" si="49"/>
        <v>101.25</v>
      </c>
      <c r="N385" s="28">
        <v>0.16</v>
      </c>
      <c r="O385" s="29">
        <f t="shared" si="51"/>
        <v>16.2</v>
      </c>
      <c r="P385" s="30">
        <f t="shared" si="52"/>
        <v>117.45</v>
      </c>
      <c r="Q385" s="23"/>
      <c r="R385" s="52"/>
      <c r="S385" s="53"/>
      <c r="T385" s="54">
        <f t="shared" si="57"/>
        <v>0</v>
      </c>
      <c r="U385" s="26">
        <f t="shared" si="57"/>
        <v>0</v>
      </c>
      <c r="V385" s="55">
        <f t="shared" si="55"/>
        <v>0</v>
      </c>
      <c r="W385" s="29">
        <f t="shared" si="50"/>
        <v>0</v>
      </c>
      <c r="X385" s="30">
        <f t="shared" si="53"/>
        <v>0</v>
      </c>
      <c r="Y385"/>
      <c r="Z385"/>
      <c r="AA385"/>
    </row>
    <row r="386" spans="1:27" s="51" customFormat="1" ht="18.600000000000001" hidden="1" customHeight="1" x14ac:dyDescent="0.25">
      <c r="A386" s="81" t="s">
        <v>16</v>
      </c>
      <c r="B386" s="31" t="s">
        <v>1001</v>
      </c>
      <c r="C386" s="32" t="s">
        <v>1002</v>
      </c>
      <c r="D386" s="31">
        <v>8423153061865</v>
      </c>
      <c r="E386" s="33" t="s">
        <v>1024</v>
      </c>
      <c r="F386" s="33" t="s">
        <v>1004</v>
      </c>
      <c r="G386" s="33">
        <v>1</v>
      </c>
      <c r="H386" s="84" t="s">
        <v>1025</v>
      </c>
      <c r="I386" s="23" t="s">
        <v>24</v>
      </c>
      <c r="J386" s="34">
        <v>135</v>
      </c>
      <c r="K386" s="35">
        <v>0.25</v>
      </c>
      <c r="L386" s="36">
        <f t="shared" si="48"/>
        <v>33.75</v>
      </c>
      <c r="M386" s="37">
        <f t="shared" si="49"/>
        <v>101.25</v>
      </c>
      <c r="N386" s="38">
        <v>0.16</v>
      </c>
      <c r="O386" s="39">
        <f t="shared" si="51"/>
        <v>16.2</v>
      </c>
      <c r="P386" s="40">
        <f t="shared" si="52"/>
        <v>117.45</v>
      </c>
      <c r="Q386" s="23"/>
      <c r="R386" s="56"/>
      <c r="S386" s="57"/>
      <c r="T386" s="58">
        <f t="shared" si="57"/>
        <v>0</v>
      </c>
      <c r="U386" s="36">
        <f t="shared" si="57"/>
        <v>0</v>
      </c>
      <c r="V386" s="59">
        <f t="shared" si="55"/>
        <v>0</v>
      </c>
      <c r="W386" s="39">
        <f t="shared" si="50"/>
        <v>0</v>
      </c>
      <c r="X386" s="40">
        <f t="shared" si="53"/>
        <v>0</v>
      </c>
      <c r="Y386"/>
      <c r="Z386"/>
      <c r="AA386"/>
    </row>
    <row r="387" spans="1:27" s="51" customFormat="1" ht="18.600000000000001" hidden="1" customHeight="1" x14ac:dyDescent="0.25">
      <c r="A387" s="82" t="s">
        <v>16</v>
      </c>
      <c r="B387" s="41" t="s">
        <v>1001</v>
      </c>
      <c r="C387" s="42" t="s">
        <v>1002</v>
      </c>
      <c r="D387" s="41">
        <v>8423153061971</v>
      </c>
      <c r="E387" s="43" t="s">
        <v>1026</v>
      </c>
      <c r="F387" s="43" t="s">
        <v>1004</v>
      </c>
      <c r="G387" s="43">
        <v>1</v>
      </c>
      <c r="H387" s="85" t="s">
        <v>1027</v>
      </c>
      <c r="I387" s="23" t="s">
        <v>24</v>
      </c>
      <c r="J387" s="44">
        <v>135</v>
      </c>
      <c r="K387" s="45">
        <v>0.25</v>
      </c>
      <c r="L387" s="46">
        <f t="shared" si="48"/>
        <v>33.75</v>
      </c>
      <c r="M387" s="47">
        <f t="shared" si="49"/>
        <v>101.25</v>
      </c>
      <c r="N387" s="48">
        <v>0.16</v>
      </c>
      <c r="O387" s="49">
        <f t="shared" si="51"/>
        <v>16.2</v>
      </c>
      <c r="P387" s="50">
        <f t="shared" si="52"/>
        <v>117.45</v>
      </c>
      <c r="Q387" s="23"/>
      <c r="R387" s="60"/>
      <c r="S387" s="61"/>
      <c r="T387" s="62">
        <f t="shared" si="57"/>
        <v>0</v>
      </c>
      <c r="U387" s="46">
        <f t="shared" si="57"/>
        <v>0</v>
      </c>
      <c r="V387" s="63">
        <f t="shared" si="55"/>
        <v>0</v>
      </c>
      <c r="W387" s="49">
        <f t="shared" si="50"/>
        <v>0</v>
      </c>
      <c r="X387" s="50">
        <f t="shared" si="53"/>
        <v>0</v>
      </c>
      <c r="Y387"/>
      <c r="Z387"/>
      <c r="AA387"/>
    </row>
    <row r="388" spans="1:27" s="51" customFormat="1" ht="18.600000000000001" hidden="1" customHeight="1" x14ac:dyDescent="0.25">
      <c r="A388" s="80" t="s">
        <v>16</v>
      </c>
      <c r="B388" s="20" t="s">
        <v>1001</v>
      </c>
      <c r="C388" s="21" t="s">
        <v>1002</v>
      </c>
      <c r="D388" s="20">
        <v>8423153061988</v>
      </c>
      <c r="E388" s="22" t="s">
        <v>1028</v>
      </c>
      <c r="F388" s="22" t="s">
        <v>1004</v>
      </c>
      <c r="G388" s="22">
        <v>1</v>
      </c>
      <c r="H388" s="83" t="s">
        <v>1029</v>
      </c>
      <c r="I388" s="23" t="s">
        <v>24</v>
      </c>
      <c r="J388" s="24">
        <v>135</v>
      </c>
      <c r="K388" s="25">
        <v>0.25</v>
      </c>
      <c r="L388" s="26">
        <f t="shared" si="48"/>
        <v>33.75</v>
      </c>
      <c r="M388" s="27">
        <f t="shared" si="49"/>
        <v>101.25</v>
      </c>
      <c r="N388" s="28">
        <v>0.16</v>
      </c>
      <c r="O388" s="29">
        <f t="shared" si="51"/>
        <v>16.2</v>
      </c>
      <c r="P388" s="30">
        <f t="shared" si="52"/>
        <v>117.45</v>
      </c>
      <c r="Q388" s="23"/>
      <c r="R388" s="52"/>
      <c r="S388" s="53"/>
      <c r="T388" s="54">
        <f t="shared" si="57"/>
        <v>0</v>
      </c>
      <c r="U388" s="26">
        <f t="shared" si="57"/>
        <v>0</v>
      </c>
      <c r="V388" s="55">
        <f t="shared" si="55"/>
        <v>0</v>
      </c>
      <c r="W388" s="29">
        <f t="shared" si="50"/>
        <v>0</v>
      </c>
      <c r="X388" s="30">
        <f t="shared" si="53"/>
        <v>0</v>
      </c>
      <c r="Y388"/>
      <c r="Z388"/>
      <c r="AA388"/>
    </row>
    <row r="389" spans="1:27" s="51" customFormat="1" ht="18.600000000000001" hidden="1" customHeight="1" x14ac:dyDescent="0.25">
      <c r="A389" s="81" t="s">
        <v>16</v>
      </c>
      <c r="B389" s="31" t="s">
        <v>1001</v>
      </c>
      <c r="C389" s="32" t="s">
        <v>1002</v>
      </c>
      <c r="D389" s="31">
        <v>8423153061995</v>
      </c>
      <c r="E389" s="33" t="s">
        <v>1030</v>
      </c>
      <c r="F389" s="33" t="s">
        <v>1004</v>
      </c>
      <c r="G389" s="33">
        <v>1</v>
      </c>
      <c r="H389" s="84" t="s">
        <v>1031</v>
      </c>
      <c r="I389" s="23" t="s">
        <v>24</v>
      </c>
      <c r="J389" s="34">
        <v>135</v>
      </c>
      <c r="K389" s="35">
        <v>0.25</v>
      </c>
      <c r="L389" s="36">
        <f t="shared" si="48"/>
        <v>33.75</v>
      </c>
      <c r="M389" s="37">
        <f t="shared" si="49"/>
        <v>101.25</v>
      </c>
      <c r="N389" s="38">
        <v>0.16</v>
      </c>
      <c r="O389" s="39">
        <f t="shared" si="51"/>
        <v>16.2</v>
      </c>
      <c r="P389" s="40">
        <f t="shared" si="52"/>
        <v>117.45</v>
      </c>
      <c r="Q389" s="23"/>
      <c r="R389" s="56"/>
      <c r="S389" s="57"/>
      <c r="T389" s="58">
        <f t="shared" si="57"/>
        <v>0</v>
      </c>
      <c r="U389" s="36">
        <f t="shared" si="57"/>
        <v>0</v>
      </c>
      <c r="V389" s="59">
        <f t="shared" si="55"/>
        <v>0</v>
      </c>
      <c r="W389" s="39">
        <f t="shared" si="50"/>
        <v>0</v>
      </c>
      <c r="X389" s="40">
        <f t="shared" si="53"/>
        <v>0</v>
      </c>
      <c r="Y389"/>
      <c r="Z389"/>
      <c r="AA389"/>
    </row>
    <row r="390" spans="1:27" s="51" customFormat="1" ht="18.600000000000001" hidden="1" customHeight="1" x14ac:dyDescent="0.25">
      <c r="A390" s="82" t="s">
        <v>16</v>
      </c>
      <c r="B390" s="41" t="s">
        <v>1001</v>
      </c>
      <c r="C390" s="42" t="s">
        <v>1002</v>
      </c>
      <c r="D390" s="41">
        <v>8423153062008</v>
      </c>
      <c r="E390" s="43" t="s">
        <v>1032</v>
      </c>
      <c r="F390" s="43" t="s">
        <v>1004</v>
      </c>
      <c r="G390" s="43">
        <v>1</v>
      </c>
      <c r="H390" s="85" t="s">
        <v>1033</v>
      </c>
      <c r="I390" s="23" t="s">
        <v>24</v>
      </c>
      <c r="J390" s="44">
        <v>135</v>
      </c>
      <c r="K390" s="45">
        <v>0.25</v>
      </c>
      <c r="L390" s="46">
        <f t="shared" si="48"/>
        <v>33.75</v>
      </c>
      <c r="M390" s="47">
        <f t="shared" si="49"/>
        <v>101.25</v>
      </c>
      <c r="N390" s="48">
        <v>0.16</v>
      </c>
      <c r="O390" s="49">
        <f t="shared" si="51"/>
        <v>16.2</v>
      </c>
      <c r="P390" s="50">
        <f t="shared" si="52"/>
        <v>117.45</v>
      </c>
      <c r="Q390" s="23"/>
      <c r="R390" s="60"/>
      <c r="S390" s="61"/>
      <c r="T390" s="62">
        <f t="shared" si="57"/>
        <v>0</v>
      </c>
      <c r="U390" s="46">
        <f t="shared" si="57"/>
        <v>0</v>
      </c>
      <c r="V390" s="63">
        <f t="shared" si="55"/>
        <v>0</v>
      </c>
      <c r="W390" s="49">
        <f t="shared" si="50"/>
        <v>0</v>
      </c>
      <c r="X390" s="50">
        <f t="shared" si="53"/>
        <v>0</v>
      </c>
      <c r="Y390"/>
      <c r="Z390"/>
      <c r="AA390"/>
    </row>
    <row r="391" spans="1:27" s="51" customFormat="1" ht="18.600000000000001" hidden="1" customHeight="1" x14ac:dyDescent="0.25">
      <c r="A391" s="80" t="s">
        <v>16</v>
      </c>
      <c r="B391" s="20" t="s">
        <v>1001</v>
      </c>
      <c r="C391" s="21" t="s">
        <v>1002</v>
      </c>
      <c r="D391" s="20">
        <v>8423153062015</v>
      </c>
      <c r="E391" s="22" t="s">
        <v>1034</v>
      </c>
      <c r="F391" s="22" t="s">
        <v>1004</v>
      </c>
      <c r="G391" s="22">
        <v>1</v>
      </c>
      <c r="H391" s="83" t="s">
        <v>1035</v>
      </c>
      <c r="I391" s="23" t="s">
        <v>24</v>
      </c>
      <c r="J391" s="24">
        <v>135</v>
      </c>
      <c r="K391" s="25">
        <v>0.25</v>
      </c>
      <c r="L391" s="26">
        <f t="shared" si="48"/>
        <v>33.75</v>
      </c>
      <c r="M391" s="27">
        <f t="shared" si="49"/>
        <v>101.25</v>
      </c>
      <c r="N391" s="28">
        <v>0.16</v>
      </c>
      <c r="O391" s="29">
        <f t="shared" si="51"/>
        <v>16.2</v>
      </c>
      <c r="P391" s="30">
        <f t="shared" si="52"/>
        <v>117.45</v>
      </c>
      <c r="Q391" s="23"/>
      <c r="R391" s="52"/>
      <c r="S391" s="53"/>
      <c r="T391" s="54">
        <f t="shared" si="57"/>
        <v>0</v>
      </c>
      <c r="U391" s="26">
        <f t="shared" si="57"/>
        <v>0</v>
      </c>
      <c r="V391" s="55">
        <f t="shared" si="55"/>
        <v>0</v>
      </c>
      <c r="W391" s="29">
        <f t="shared" si="50"/>
        <v>0</v>
      </c>
      <c r="X391" s="30">
        <f t="shared" si="53"/>
        <v>0</v>
      </c>
      <c r="Y391"/>
      <c r="Z391"/>
      <c r="AA391"/>
    </row>
    <row r="392" spans="1:27" s="51" customFormat="1" ht="18.600000000000001" hidden="1" customHeight="1" x14ac:dyDescent="0.25">
      <c r="A392" s="81" t="s">
        <v>16</v>
      </c>
      <c r="B392" s="31" t="s">
        <v>1001</v>
      </c>
      <c r="C392" s="32" t="s">
        <v>1002</v>
      </c>
      <c r="D392" s="31">
        <v>8423153062022</v>
      </c>
      <c r="E392" s="33" t="s">
        <v>1036</v>
      </c>
      <c r="F392" s="33" t="s">
        <v>1004</v>
      </c>
      <c r="G392" s="33">
        <v>1</v>
      </c>
      <c r="H392" s="84" t="s">
        <v>1037</v>
      </c>
      <c r="I392" s="23" t="s">
        <v>24</v>
      </c>
      <c r="J392" s="34">
        <v>135</v>
      </c>
      <c r="K392" s="35">
        <v>0.25</v>
      </c>
      <c r="L392" s="36">
        <f t="shared" si="48"/>
        <v>33.75</v>
      </c>
      <c r="M392" s="37">
        <f t="shared" si="49"/>
        <v>101.25</v>
      </c>
      <c r="N392" s="38">
        <v>0.16</v>
      </c>
      <c r="O392" s="39">
        <f t="shared" si="51"/>
        <v>16.2</v>
      </c>
      <c r="P392" s="40">
        <f t="shared" si="52"/>
        <v>117.45</v>
      </c>
      <c r="Q392" s="23"/>
      <c r="R392" s="56"/>
      <c r="S392" s="57"/>
      <c r="T392" s="58">
        <f t="shared" si="57"/>
        <v>0</v>
      </c>
      <c r="U392" s="36">
        <f t="shared" si="57"/>
        <v>0</v>
      </c>
      <c r="V392" s="59">
        <f t="shared" si="55"/>
        <v>0</v>
      </c>
      <c r="W392" s="39">
        <f t="shared" si="50"/>
        <v>0</v>
      </c>
      <c r="X392" s="40">
        <f t="shared" si="53"/>
        <v>0</v>
      </c>
      <c r="Y392"/>
      <c r="Z392"/>
      <c r="AA392"/>
    </row>
    <row r="393" spans="1:27" s="51" customFormat="1" ht="18.600000000000001" hidden="1" customHeight="1" x14ac:dyDescent="0.25">
      <c r="A393" s="82" t="s">
        <v>16</v>
      </c>
      <c r="B393" s="41" t="s">
        <v>1001</v>
      </c>
      <c r="C393" s="42" t="s">
        <v>1002</v>
      </c>
      <c r="D393" s="41">
        <v>8423153062039</v>
      </c>
      <c r="E393" s="43" t="s">
        <v>1038</v>
      </c>
      <c r="F393" s="43" t="s">
        <v>1004</v>
      </c>
      <c r="G393" s="43">
        <v>1</v>
      </c>
      <c r="H393" s="85" t="s">
        <v>1039</v>
      </c>
      <c r="I393" s="23" t="s">
        <v>24</v>
      </c>
      <c r="J393" s="44">
        <v>135</v>
      </c>
      <c r="K393" s="45">
        <v>0.25</v>
      </c>
      <c r="L393" s="46">
        <f t="shared" si="48"/>
        <v>33.75</v>
      </c>
      <c r="M393" s="47">
        <f t="shared" si="49"/>
        <v>101.25</v>
      </c>
      <c r="N393" s="48">
        <v>0.16</v>
      </c>
      <c r="O393" s="49">
        <f t="shared" si="51"/>
        <v>16.2</v>
      </c>
      <c r="P393" s="50">
        <f t="shared" si="52"/>
        <v>117.45</v>
      </c>
      <c r="Q393" s="23"/>
      <c r="R393" s="60"/>
      <c r="S393" s="61"/>
      <c r="T393" s="62">
        <f t="shared" si="57"/>
        <v>0</v>
      </c>
      <c r="U393" s="46">
        <f t="shared" si="57"/>
        <v>0</v>
      </c>
      <c r="V393" s="63">
        <f t="shared" si="55"/>
        <v>0</v>
      </c>
      <c r="W393" s="49">
        <f t="shared" si="50"/>
        <v>0</v>
      </c>
      <c r="X393" s="50">
        <f t="shared" si="53"/>
        <v>0</v>
      </c>
      <c r="Y393"/>
      <c r="Z393"/>
      <c r="AA393"/>
    </row>
    <row r="394" spans="1:27" s="51" customFormat="1" ht="18.600000000000001" hidden="1" customHeight="1" x14ac:dyDescent="0.25">
      <c r="A394" s="80" t="s">
        <v>16</v>
      </c>
      <c r="B394" s="20" t="s">
        <v>1001</v>
      </c>
      <c r="C394" s="21" t="s">
        <v>1002</v>
      </c>
      <c r="D394" s="20">
        <v>8423153062046</v>
      </c>
      <c r="E394" s="22" t="s">
        <v>1040</v>
      </c>
      <c r="F394" s="22" t="s">
        <v>1004</v>
      </c>
      <c r="G394" s="22">
        <v>1</v>
      </c>
      <c r="H394" s="83" t="s">
        <v>1041</v>
      </c>
      <c r="I394" s="23" t="s">
        <v>24</v>
      </c>
      <c r="J394" s="24">
        <v>135</v>
      </c>
      <c r="K394" s="25">
        <v>0.25</v>
      </c>
      <c r="L394" s="26">
        <f t="shared" ref="L394:L457" si="58">+J394*K394</f>
        <v>33.75</v>
      </c>
      <c r="M394" s="27">
        <f t="shared" ref="M394:M457" si="59">+J394-L394</f>
        <v>101.25</v>
      </c>
      <c r="N394" s="28">
        <v>0.16</v>
      </c>
      <c r="O394" s="29">
        <f t="shared" si="51"/>
        <v>16.2</v>
      </c>
      <c r="P394" s="30">
        <f t="shared" si="52"/>
        <v>117.45</v>
      </c>
      <c r="Q394" s="23"/>
      <c r="R394" s="52"/>
      <c r="S394" s="53"/>
      <c r="T394" s="54">
        <f t="shared" si="57"/>
        <v>0</v>
      </c>
      <c r="U394" s="26">
        <f t="shared" si="57"/>
        <v>0</v>
      </c>
      <c r="V394" s="55">
        <f t="shared" si="55"/>
        <v>0</v>
      </c>
      <c r="W394" s="29">
        <f t="shared" ref="W394:W457" si="60">+V394*N394</f>
        <v>0</v>
      </c>
      <c r="X394" s="30">
        <f t="shared" si="53"/>
        <v>0</v>
      </c>
      <c r="Y394"/>
      <c r="Z394"/>
      <c r="AA394"/>
    </row>
    <row r="395" spans="1:27" s="51" customFormat="1" ht="18.600000000000001" hidden="1" customHeight="1" x14ac:dyDescent="0.25">
      <c r="A395" s="81" t="s">
        <v>16</v>
      </c>
      <c r="B395" s="31" t="s">
        <v>1001</v>
      </c>
      <c r="C395" s="32" t="s">
        <v>1002</v>
      </c>
      <c r="D395" s="31">
        <v>8423153062053</v>
      </c>
      <c r="E395" s="33" t="s">
        <v>1042</v>
      </c>
      <c r="F395" s="33" t="s">
        <v>1004</v>
      </c>
      <c r="G395" s="33">
        <v>1</v>
      </c>
      <c r="H395" s="84" t="s">
        <v>1043</v>
      </c>
      <c r="I395" s="23" t="s">
        <v>24</v>
      </c>
      <c r="J395" s="34">
        <v>135</v>
      </c>
      <c r="K395" s="35">
        <v>0.25</v>
      </c>
      <c r="L395" s="36">
        <f t="shared" si="58"/>
        <v>33.75</v>
      </c>
      <c r="M395" s="37">
        <f t="shared" si="59"/>
        <v>101.25</v>
      </c>
      <c r="N395" s="38">
        <v>0.16</v>
      </c>
      <c r="O395" s="39">
        <f t="shared" ref="O395:O458" si="61">+M395*N395</f>
        <v>16.2</v>
      </c>
      <c r="P395" s="40">
        <f t="shared" ref="P395:P458" si="62">+M395+O395</f>
        <v>117.45</v>
      </c>
      <c r="Q395" s="23"/>
      <c r="R395" s="56"/>
      <c r="S395" s="57"/>
      <c r="T395" s="58">
        <f t="shared" si="57"/>
        <v>0</v>
      </c>
      <c r="U395" s="36">
        <f t="shared" si="57"/>
        <v>0</v>
      </c>
      <c r="V395" s="59">
        <f t="shared" si="55"/>
        <v>0</v>
      </c>
      <c r="W395" s="39">
        <f t="shared" si="60"/>
        <v>0</v>
      </c>
      <c r="X395" s="40">
        <f t="shared" ref="X395:X458" si="63">+V395+W395</f>
        <v>0</v>
      </c>
      <c r="Y395"/>
      <c r="Z395"/>
      <c r="AA395"/>
    </row>
    <row r="396" spans="1:27" s="51" customFormat="1" ht="18.600000000000001" hidden="1" customHeight="1" x14ac:dyDescent="0.25">
      <c r="A396" s="82" t="s">
        <v>16</v>
      </c>
      <c r="B396" s="41" t="s">
        <v>1001</v>
      </c>
      <c r="C396" s="42" t="s">
        <v>1002</v>
      </c>
      <c r="D396" s="41">
        <v>8423153062060</v>
      </c>
      <c r="E396" s="43" t="s">
        <v>1044</v>
      </c>
      <c r="F396" s="43" t="s">
        <v>1004</v>
      </c>
      <c r="G396" s="43">
        <v>1</v>
      </c>
      <c r="H396" s="85" t="s">
        <v>720</v>
      </c>
      <c r="I396" s="23" t="s">
        <v>24</v>
      </c>
      <c r="J396" s="44">
        <v>135</v>
      </c>
      <c r="K396" s="45">
        <v>0.25</v>
      </c>
      <c r="L396" s="46">
        <f t="shared" si="58"/>
        <v>33.75</v>
      </c>
      <c r="M396" s="47">
        <f t="shared" si="59"/>
        <v>101.25</v>
      </c>
      <c r="N396" s="48">
        <v>0.16</v>
      </c>
      <c r="O396" s="49">
        <f t="shared" si="61"/>
        <v>16.2</v>
      </c>
      <c r="P396" s="50">
        <f t="shared" si="62"/>
        <v>117.45</v>
      </c>
      <c r="Q396" s="23"/>
      <c r="R396" s="60"/>
      <c r="S396" s="61"/>
      <c r="T396" s="62">
        <f t="shared" si="57"/>
        <v>0</v>
      </c>
      <c r="U396" s="46">
        <f t="shared" si="57"/>
        <v>0</v>
      </c>
      <c r="V396" s="63">
        <f t="shared" si="55"/>
        <v>0</v>
      </c>
      <c r="W396" s="49">
        <f t="shared" si="60"/>
        <v>0</v>
      </c>
      <c r="X396" s="50">
        <f t="shared" si="63"/>
        <v>0</v>
      </c>
      <c r="Y396"/>
      <c r="Z396"/>
      <c r="AA396"/>
    </row>
    <row r="397" spans="1:27" s="51" customFormat="1" ht="18.600000000000001" hidden="1" customHeight="1" x14ac:dyDescent="0.25">
      <c r="A397" s="80" t="s">
        <v>16</v>
      </c>
      <c r="B397" s="20" t="s">
        <v>1001</v>
      </c>
      <c r="C397" s="21" t="s">
        <v>1002</v>
      </c>
      <c r="D397" s="20">
        <v>8423153062077</v>
      </c>
      <c r="E397" s="22" t="s">
        <v>1045</v>
      </c>
      <c r="F397" s="22" t="s">
        <v>1004</v>
      </c>
      <c r="G397" s="22">
        <v>1</v>
      </c>
      <c r="H397" s="83" t="s">
        <v>1046</v>
      </c>
      <c r="I397" s="23" t="s">
        <v>24</v>
      </c>
      <c r="J397" s="24">
        <v>135</v>
      </c>
      <c r="K397" s="25">
        <v>0.25</v>
      </c>
      <c r="L397" s="26">
        <f t="shared" si="58"/>
        <v>33.75</v>
      </c>
      <c r="M397" s="27">
        <f t="shared" si="59"/>
        <v>101.25</v>
      </c>
      <c r="N397" s="28">
        <v>0.16</v>
      </c>
      <c r="O397" s="29">
        <f t="shared" si="61"/>
        <v>16.2</v>
      </c>
      <c r="P397" s="30">
        <f t="shared" si="62"/>
        <v>117.45</v>
      </c>
      <c r="Q397" s="23"/>
      <c r="R397" s="52"/>
      <c r="S397" s="53"/>
      <c r="T397" s="54">
        <f t="shared" si="57"/>
        <v>0</v>
      </c>
      <c r="U397" s="26">
        <f t="shared" si="57"/>
        <v>0</v>
      </c>
      <c r="V397" s="55">
        <f t="shared" si="55"/>
        <v>0</v>
      </c>
      <c r="W397" s="29">
        <f t="shared" si="60"/>
        <v>0</v>
      </c>
      <c r="X397" s="30">
        <f t="shared" si="63"/>
        <v>0</v>
      </c>
      <c r="Y397"/>
      <c r="Z397"/>
      <c r="AA397"/>
    </row>
    <row r="398" spans="1:27" s="51" customFormat="1" ht="18.600000000000001" hidden="1" customHeight="1" x14ac:dyDescent="0.25">
      <c r="A398" s="81" t="s">
        <v>16</v>
      </c>
      <c r="B398" s="31" t="s">
        <v>1001</v>
      </c>
      <c r="C398" s="32" t="s">
        <v>1002</v>
      </c>
      <c r="D398" s="31">
        <v>8423153062084</v>
      </c>
      <c r="E398" s="33" t="s">
        <v>1047</v>
      </c>
      <c r="F398" s="33" t="s">
        <v>1004</v>
      </c>
      <c r="G398" s="33">
        <v>1</v>
      </c>
      <c r="H398" s="84" t="s">
        <v>1048</v>
      </c>
      <c r="I398" s="23" t="s">
        <v>24</v>
      </c>
      <c r="J398" s="34">
        <v>135</v>
      </c>
      <c r="K398" s="35">
        <v>0.25</v>
      </c>
      <c r="L398" s="36">
        <f t="shared" si="58"/>
        <v>33.75</v>
      </c>
      <c r="M398" s="37">
        <f t="shared" si="59"/>
        <v>101.25</v>
      </c>
      <c r="N398" s="38">
        <v>0.16</v>
      </c>
      <c r="O398" s="39">
        <f t="shared" si="61"/>
        <v>16.2</v>
      </c>
      <c r="P398" s="40">
        <f t="shared" si="62"/>
        <v>117.45</v>
      </c>
      <c r="Q398" s="23"/>
      <c r="R398" s="56"/>
      <c r="S398" s="57"/>
      <c r="T398" s="58">
        <f t="shared" ref="T398:U461" si="64">+S398*J398</f>
        <v>0</v>
      </c>
      <c r="U398" s="36">
        <f t="shared" si="64"/>
        <v>0</v>
      </c>
      <c r="V398" s="59">
        <f t="shared" si="55"/>
        <v>0</v>
      </c>
      <c r="W398" s="39">
        <f t="shared" si="60"/>
        <v>0</v>
      </c>
      <c r="X398" s="40">
        <f t="shared" si="63"/>
        <v>0</v>
      </c>
      <c r="Y398"/>
      <c r="Z398"/>
      <c r="AA398"/>
    </row>
    <row r="399" spans="1:27" s="51" customFormat="1" ht="18.600000000000001" hidden="1" customHeight="1" x14ac:dyDescent="0.25">
      <c r="A399" s="82" t="s">
        <v>16</v>
      </c>
      <c r="B399" s="41" t="s">
        <v>1001</v>
      </c>
      <c r="C399" s="42" t="s">
        <v>1002</v>
      </c>
      <c r="D399" s="41">
        <v>8423153062091</v>
      </c>
      <c r="E399" s="43" t="s">
        <v>1049</v>
      </c>
      <c r="F399" s="43" t="s">
        <v>1004</v>
      </c>
      <c r="G399" s="43">
        <v>1</v>
      </c>
      <c r="H399" s="85" t="s">
        <v>1050</v>
      </c>
      <c r="I399" s="23" t="s">
        <v>24</v>
      </c>
      <c r="J399" s="44">
        <v>135</v>
      </c>
      <c r="K399" s="45">
        <v>0.25</v>
      </c>
      <c r="L399" s="46">
        <f t="shared" si="58"/>
        <v>33.75</v>
      </c>
      <c r="M399" s="47">
        <f t="shared" si="59"/>
        <v>101.25</v>
      </c>
      <c r="N399" s="48">
        <v>0.16</v>
      </c>
      <c r="O399" s="49">
        <f t="shared" si="61"/>
        <v>16.2</v>
      </c>
      <c r="P399" s="50">
        <f t="shared" si="62"/>
        <v>117.45</v>
      </c>
      <c r="Q399" s="23"/>
      <c r="R399" s="60"/>
      <c r="S399" s="61"/>
      <c r="T399" s="62">
        <f t="shared" si="64"/>
        <v>0</v>
      </c>
      <c r="U399" s="46">
        <f t="shared" si="64"/>
        <v>0</v>
      </c>
      <c r="V399" s="63">
        <f t="shared" si="55"/>
        <v>0</v>
      </c>
      <c r="W399" s="49">
        <f t="shared" si="60"/>
        <v>0</v>
      </c>
      <c r="X399" s="50">
        <f t="shared" si="63"/>
        <v>0</v>
      </c>
      <c r="Y399"/>
      <c r="Z399"/>
      <c r="AA399"/>
    </row>
    <row r="400" spans="1:27" s="51" customFormat="1" ht="18.600000000000001" hidden="1" customHeight="1" x14ac:dyDescent="0.25">
      <c r="A400" s="80" t="s">
        <v>16</v>
      </c>
      <c r="B400" s="20" t="s">
        <v>1001</v>
      </c>
      <c r="C400" s="21" t="s">
        <v>1002</v>
      </c>
      <c r="D400" s="20">
        <v>8423153062107</v>
      </c>
      <c r="E400" s="22" t="s">
        <v>1051</v>
      </c>
      <c r="F400" s="22" t="s">
        <v>1004</v>
      </c>
      <c r="G400" s="22">
        <v>1</v>
      </c>
      <c r="H400" s="83" t="s">
        <v>1052</v>
      </c>
      <c r="I400" s="23" t="s">
        <v>24</v>
      </c>
      <c r="J400" s="24">
        <v>135</v>
      </c>
      <c r="K400" s="25">
        <v>0.25</v>
      </c>
      <c r="L400" s="26">
        <f t="shared" si="58"/>
        <v>33.75</v>
      </c>
      <c r="M400" s="27">
        <f t="shared" si="59"/>
        <v>101.25</v>
      </c>
      <c r="N400" s="28">
        <v>0.16</v>
      </c>
      <c r="O400" s="29">
        <f t="shared" si="61"/>
        <v>16.2</v>
      </c>
      <c r="P400" s="30">
        <f t="shared" si="62"/>
        <v>117.45</v>
      </c>
      <c r="Q400" s="23"/>
      <c r="R400" s="52"/>
      <c r="S400" s="53"/>
      <c r="T400" s="54">
        <f t="shared" si="64"/>
        <v>0</v>
      </c>
      <c r="U400" s="26">
        <f t="shared" si="64"/>
        <v>0</v>
      </c>
      <c r="V400" s="55">
        <f t="shared" si="55"/>
        <v>0</v>
      </c>
      <c r="W400" s="29">
        <f t="shared" si="60"/>
        <v>0</v>
      </c>
      <c r="X400" s="30">
        <f t="shared" si="63"/>
        <v>0</v>
      </c>
      <c r="Y400"/>
      <c r="Z400"/>
      <c r="AA400"/>
    </row>
    <row r="401" spans="1:27" s="51" customFormat="1" ht="18.600000000000001" hidden="1" customHeight="1" x14ac:dyDescent="0.25">
      <c r="A401" s="81" t="s">
        <v>16</v>
      </c>
      <c r="B401" s="31" t="s">
        <v>1001</v>
      </c>
      <c r="C401" s="32" t="s">
        <v>1002</v>
      </c>
      <c r="D401" s="31">
        <v>8423153062114</v>
      </c>
      <c r="E401" s="33" t="s">
        <v>1053</v>
      </c>
      <c r="F401" s="33" t="s">
        <v>1004</v>
      </c>
      <c r="G401" s="33">
        <v>1</v>
      </c>
      <c r="H401" s="84" t="s">
        <v>1054</v>
      </c>
      <c r="I401" s="23" t="s">
        <v>24</v>
      </c>
      <c r="J401" s="34">
        <v>135</v>
      </c>
      <c r="K401" s="35">
        <v>0.25</v>
      </c>
      <c r="L401" s="36">
        <f t="shared" si="58"/>
        <v>33.75</v>
      </c>
      <c r="M401" s="37">
        <f t="shared" si="59"/>
        <v>101.25</v>
      </c>
      <c r="N401" s="38">
        <v>0.16</v>
      </c>
      <c r="O401" s="39">
        <f t="shared" si="61"/>
        <v>16.2</v>
      </c>
      <c r="P401" s="40">
        <f t="shared" si="62"/>
        <v>117.45</v>
      </c>
      <c r="Q401" s="23"/>
      <c r="R401" s="56"/>
      <c r="S401" s="57"/>
      <c r="T401" s="58">
        <f t="shared" si="64"/>
        <v>0</v>
      </c>
      <c r="U401" s="36">
        <f t="shared" si="64"/>
        <v>0</v>
      </c>
      <c r="V401" s="59">
        <f t="shared" si="55"/>
        <v>0</v>
      </c>
      <c r="W401" s="39">
        <f t="shared" si="60"/>
        <v>0</v>
      </c>
      <c r="X401" s="40">
        <f t="shared" si="63"/>
        <v>0</v>
      </c>
      <c r="Y401"/>
      <c r="Z401"/>
      <c r="AA401"/>
    </row>
    <row r="402" spans="1:27" s="51" customFormat="1" ht="18.600000000000001" hidden="1" customHeight="1" x14ac:dyDescent="0.25">
      <c r="A402" s="82" t="s">
        <v>16</v>
      </c>
      <c r="B402" s="41" t="s">
        <v>1001</v>
      </c>
      <c r="C402" s="42" t="s">
        <v>1002</v>
      </c>
      <c r="D402" s="41">
        <v>8423153062121</v>
      </c>
      <c r="E402" s="43" t="s">
        <v>1055</v>
      </c>
      <c r="F402" s="43" t="s">
        <v>1004</v>
      </c>
      <c r="G402" s="43">
        <v>1</v>
      </c>
      <c r="H402" s="85" t="s">
        <v>1056</v>
      </c>
      <c r="I402" s="23" t="s">
        <v>24</v>
      </c>
      <c r="J402" s="44">
        <v>135</v>
      </c>
      <c r="K402" s="45">
        <v>0.25</v>
      </c>
      <c r="L402" s="46">
        <f t="shared" si="58"/>
        <v>33.75</v>
      </c>
      <c r="M402" s="47">
        <f t="shared" si="59"/>
        <v>101.25</v>
      </c>
      <c r="N402" s="48">
        <v>0.16</v>
      </c>
      <c r="O402" s="49">
        <f t="shared" si="61"/>
        <v>16.2</v>
      </c>
      <c r="P402" s="50">
        <f t="shared" si="62"/>
        <v>117.45</v>
      </c>
      <c r="Q402" s="23"/>
      <c r="R402" s="60"/>
      <c r="S402" s="61"/>
      <c r="T402" s="62">
        <f t="shared" si="64"/>
        <v>0</v>
      </c>
      <c r="U402" s="46">
        <f t="shared" si="64"/>
        <v>0</v>
      </c>
      <c r="V402" s="63">
        <f t="shared" si="55"/>
        <v>0</v>
      </c>
      <c r="W402" s="49">
        <f t="shared" si="60"/>
        <v>0</v>
      </c>
      <c r="X402" s="50">
        <f t="shared" si="63"/>
        <v>0</v>
      </c>
      <c r="Y402"/>
      <c r="Z402"/>
      <c r="AA402"/>
    </row>
    <row r="403" spans="1:27" s="51" customFormat="1" ht="18.600000000000001" hidden="1" customHeight="1" x14ac:dyDescent="0.25">
      <c r="A403" s="80" t="s">
        <v>16</v>
      </c>
      <c r="B403" s="20" t="s">
        <v>1001</v>
      </c>
      <c r="C403" s="21" t="s">
        <v>1002</v>
      </c>
      <c r="D403" s="20">
        <v>8423153062138</v>
      </c>
      <c r="E403" s="22" t="s">
        <v>1057</v>
      </c>
      <c r="F403" s="22" t="s">
        <v>1004</v>
      </c>
      <c r="G403" s="22">
        <v>1</v>
      </c>
      <c r="H403" s="83" t="s">
        <v>1058</v>
      </c>
      <c r="I403" s="23" t="s">
        <v>24</v>
      </c>
      <c r="J403" s="24">
        <v>135</v>
      </c>
      <c r="K403" s="25">
        <v>0.25</v>
      </c>
      <c r="L403" s="26">
        <f t="shared" si="58"/>
        <v>33.75</v>
      </c>
      <c r="M403" s="27">
        <f t="shared" si="59"/>
        <v>101.25</v>
      </c>
      <c r="N403" s="28">
        <v>0.16</v>
      </c>
      <c r="O403" s="29">
        <f t="shared" si="61"/>
        <v>16.2</v>
      </c>
      <c r="P403" s="30">
        <f t="shared" si="62"/>
        <v>117.45</v>
      </c>
      <c r="Q403" s="23"/>
      <c r="R403" s="52"/>
      <c r="S403" s="53"/>
      <c r="T403" s="54">
        <f t="shared" si="64"/>
        <v>0</v>
      </c>
      <c r="U403" s="26">
        <f t="shared" si="64"/>
        <v>0</v>
      </c>
      <c r="V403" s="55">
        <f t="shared" si="55"/>
        <v>0</v>
      </c>
      <c r="W403" s="29">
        <f t="shared" si="60"/>
        <v>0</v>
      </c>
      <c r="X403" s="30">
        <f t="shared" si="63"/>
        <v>0</v>
      </c>
      <c r="Y403"/>
      <c r="Z403"/>
      <c r="AA403"/>
    </row>
    <row r="404" spans="1:27" s="51" customFormat="1" ht="18.600000000000001" hidden="1" customHeight="1" x14ac:dyDescent="0.25">
      <c r="A404" s="81" t="s">
        <v>16</v>
      </c>
      <c r="B404" s="31" t="s">
        <v>1001</v>
      </c>
      <c r="C404" s="32" t="s">
        <v>1002</v>
      </c>
      <c r="D404" s="31">
        <v>8423153062145</v>
      </c>
      <c r="E404" s="33" t="s">
        <v>1059</v>
      </c>
      <c r="F404" s="33" t="s">
        <v>1004</v>
      </c>
      <c r="G404" s="33">
        <v>1</v>
      </c>
      <c r="H404" s="84" t="s">
        <v>1060</v>
      </c>
      <c r="I404" s="23" t="s">
        <v>24</v>
      </c>
      <c r="J404" s="34">
        <v>135</v>
      </c>
      <c r="K404" s="35">
        <v>0.25</v>
      </c>
      <c r="L404" s="36">
        <f t="shared" si="58"/>
        <v>33.75</v>
      </c>
      <c r="M404" s="37">
        <f t="shared" si="59"/>
        <v>101.25</v>
      </c>
      <c r="N404" s="38">
        <v>0.16</v>
      </c>
      <c r="O404" s="39">
        <f t="shared" si="61"/>
        <v>16.2</v>
      </c>
      <c r="P404" s="40">
        <f t="shared" si="62"/>
        <v>117.45</v>
      </c>
      <c r="Q404" s="23"/>
      <c r="R404" s="56"/>
      <c r="S404" s="57"/>
      <c r="T404" s="58">
        <f t="shared" si="64"/>
        <v>0</v>
      </c>
      <c r="U404" s="36">
        <f t="shared" si="64"/>
        <v>0</v>
      </c>
      <c r="V404" s="59">
        <f t="shared" si="55"/>
        <v>0</v>
      </c>
      <c r="W404" s="39">
        <f t="shared" si="60"/>
        <v>0</v>
      </c>
      <c r="X404" s="40">
        <f t="shared" si="63"/>
        <v>0</v>
      </c>
      <c r="Y404"/>
      <c r="Z404"/>
      <c r="AA404"/>
    </row>
    <row r="405" spans="1:27" s="51" customFormat="1" ht="18.600000000000001" hidden="1" customHeight="1" x14ac:dyDescent="0.25">
      <c r="A405" s="82" t="s">
        <v>16</v>
      </c>
      <c r="B405" s="41" t="s">
        <v>1001</v>
      </c>
      <c r="C405" s="42" t="s">
        <v>1002</v>
      </c>
      <c r="D405" s="41">
        <v>8423153062152</v>
      </c>
      <c r="E405" s="43" t="s">
        <v>1061</v>
      </c>
      <c r="F405" s="43" t="s">
        <v>1004</v>
      </c>
      <c r="G405" s="43">
        <v>1</v>
      </c>
      <c r="H405" s="85" t="s">
        <v>1062</v>
      </c>
      <c r="I405" s="23" t="s">
        <v>24</v>
      </c>
      <c r="J405" s="44">
        <v>135</v>
      </c>
      <c r="K405" s="45">
        <v>0.25</v>
      </c>
      <c r="L405" s="46">
        <f t="shared" si="58"/>
        <v>33.75</v>
      </c>
      <c r="M405" s="47">
        <f t="shared" si="59"/>
        <v>101.25</v>
      </c>
      <c r="N405" s="48">
        <v>0.16</v>
      </c>
      <c r="O405" s="49">
        <f t="shared" si="61"/>
        <v>16.2</v>
      </c>
      <c r="P405" s="50">
        <f t="shared" si="62"/>
        <v>117.45</v>
      </c>
      <c r="Q405" s="23"/>
      <c r="R405" s="60"/>
      <c r="S405" s="61"/>
      <c r="T405" s="62">
        <f t="shared" si="64"/>
        <v>0</v>
      </c>
      <c r="U405" s="46">
        <f t="shared" si="64"/>
        <v>0</v>
      </c>
      <c r="V405" s="63">
        <f t="shared" si="55"/>
        <v>0</v>
      </c>
      <c r="W405" s="49">
        <f t="shared" si="60"/>
        <v>0</v>
      </c>
      <c r="X405" s="50">
        <f t="shared" si="63"/>
        <v>0</v>
      </c>
      <c r="Y405"/>
      <c r="Z405"/>
      <c r="AA405"/>
    </row>
    <row r="406" spans="1:27" s="51" customFormat="1" ht="18.600000000000001" hidden="1" customHeight="1" x14ac:dyDescent="0.25">
      <c r="A406" s="80" t="s">
        <v>16</v>
      </c>
      <c r="B406" s="20" t="s">
        <v>1001</v>
      </c>
      <c r="C406" s="21" t="s">
        <v>1002</v>
      </c>
      <c r="D406" s="20">
        <v>8423153062169</v>
      </c>
      <c r="E406" s="22" t="s">
        <v>1063</v>
      </c>
      <c r="F406" s="22" t="s">
        <v>1004</v>
      </c>
      <c r="G406" s="22">
        <v>1</v>
      </c>
      <c r="H406" s="83" t="s">
        <v>165</v>
      </c>
      <c r="I406" s="23" t="s">
        <v>24</v>
      </c>
      <c r="J406" s="24">
        <v>135</v>
      </c>
      <c r="K406" s="25">
        <v>0.25</v>
      </c>
      <c r="L406" s="26">
        <f t="shared" si="58"/>
        <v>33.75</v>
      </c>
      <c r="M406" s="27">
        <f t="shared" si="59"/>
        <v>101.25</v>
      </c>
      <c r="N406" s="28">
        <v>0.16</v>
      </c>
      <c r="O406" s="29">
        <f t="shared" si="61"/>
        <v>16.2</v>
      </c>
      <c r="P406" s="30">
        <f t="shared" si="62"/>
        <v>117.45</v>
      </c>
      <c r="Q406" s="23"/>
      <c r="R406" s="52"/>
      <c r="S406" s="53"/>
      <c r="T406" s="54">
        <f t="shared" si="64"/>
        <v>0</v>
      </c>
      <c r="U406" s="26">
        <f t="shared" si="64"/>
        <v>0</v>
      </c>
      <c r="V406" s="55">
        <f t="shared" si="55"/>
        <v>0</v>
      </c>
      <c r="W406" s="29">
        <f t="shared" si="60"/>
        <v>0</v>
      </c>
      <c r="X406" s="30">
        <f t="shared" si="63"/>
        <v>0</v>
      </c>
      <c r="Y406"/>
      <c r="Z406"/>
      <c r="AA406"/>
    </row>
    <row r="407" spans="1:27" s="51" customFormat="1" ht="18.600000000000001" hidden="1" customHeight="1" x14ac:dyDescent="0.25">
      <c r="A407" s="81" t="s">
        <v>16</v>
      </c>
      <c r="B407" s="31" t="s">
        <v>1001</v>
      </c>
      <c r="C407" s="32" t="s">
        <v>1002</v>
      </c>
      <c r="D407" s="31">
        <v>8423153062176</v>
      </c>
      <c r="E407" s="33" t="s">
        <v>1064</v>
      </c>
      <c r="F407" s="33" t="s">
        <v>1004</v>
      </c>
      <c r="G407" s="33">
        <v>1</v>
      </c>
      <c r="H407" s="84" t="s">
        <v>1065</v>
      </c>
      <c r="I407" s="23" t="s">
        <v>24</v>
      </c>
      <c r="J407" s="34">
        <v>135</v>
      </c>
      <c r="K407" s="35">
        <v>0.25</v>
      </c>
      <c r="L407" s="36">
        <f t="shared" si="58"/>
        <v>33.75</v>
      </c>
      <c r="M407" s="37">
        <f t="shared" si="59"/>
        <v>101.25</v>
      </c>
      <c r="N407" s="38">
        <v>0.16</v>
      </c>
      <c r="O407" s="39">
        <f t="shared" si="61"/>
        <v>16.2</v>
      </c>
      <c r="P407" s="40">
        <f t="shared" si="62"/>
        <v>117.45</v>
      </c>
      <c r="Q407" s="23"/>
      <c r="R407" s="56"/>
      <c r="S407" s="57"/>
      <c r="T407" s="58">
        <f t="shared" si="64"/>
        <v>0</v>
      </c>
      <c r="U407" s="36">
        <f t="shared" si="64"/>
        <v>0</v>
      </c>
      <c r="V407" s="59">
        <f t="shared" si="55"/>
        <v>0</v>
      </c>
      <c r="W407" s="39">
        <f t="shared" si="60"/>
        <v>0</v>
      </c>
      <c r="X407" s="40">
        <f t="shared" si="63"/>
        <v>0</v>
      </c>
      <c r="Y407"/>
      <c r="Z407"/>
      <c r="AA407"/>
    </row>
    <row r="408" spans="1:27" s="51" customFormat="1" ht="18.600000000000001" hidden="1" customHeight="1" x14ac:dyDescent="0.25">
      <c r="A408" s="82" t="s">
        <v>16</v>
      </c>
      <c r="B408" s="41" t="s">
        <v>1001</v>
      </c>
      <c r="C408" s="42" t="s">
        <v>1002</v>
      </c>
      <c r="D408" s="41">
        <v>8423153062183</v>
      </c>
      <c r="E408" s="43" t="s">
        <v>1066</v>
      </c>
      <c r="F408" s="43" t="s">
        <v>1004</v>
      </c>
      <c r="G408" s="43">
        <v>1</v>
      </c>
      <c r="H408" s="85" t="s">
        <v>1067</v>
      </c>
      <c r="I408" s="23" t="s">
        <v>24</v>
      </c>
      <c r="J408" s="44">
        <v>135</v>
      </c>
      <c r="K408" s="45">
        <v>0.25</v>
      </c>
      <c r="L408" s="46">
        <f t="shared" si="58"/>
        <v>33.75</v>
      </c>
      <c r="M408" s="47">
        <f t="shared" si="59"/>
        <v>101.25</v>
      </c>
      <c r="N408" s="48">
        <v>0.16</v>
      </c>
      <c r="O408" s="49">
        <f t="shared" si="61"/>
        <v>16.2</v>
      </c>
      <c r="P408" s="50">
        <f t="shared" si="62"/>
        <v>117.45</v>
      </c>
      <c r="Q408" s="23"/>
      <c r="R408" s="60"/>
      <c r="S408" s="61"/>
      <c r="T408" s="62">
        <f t="shared" si="64"/>
        <v>0</v>
      </c>
      <c r="U408" s="46">
        <f t="shared" si="64"/>
        <v>0</v>
      </c>
      <c r="V408" s="63">
        <f t="shared" si="55"/>
        <v>0</v>
      </c>
      <c r="W408" s="49">
        <f t="shared" si="60"/>
        <v>0</v>
      </c>
      <c r="X408" s="50">
        <f t="shared" si="63"/>
        <v>0</v>
      </c>
      <c r="Y408"/>
      <c r="Z408"/>
      <c r="AA408"/>
    </row>
    <row r="409" spans="1:27" s="51" customFormat="1" ht="18.600000000000001" hidden="1" customHeight="1" x14ac:dyDescent="0.25">
      <c r="A409" s="80" t="s">
        <v>16</v>
      </c>
      <c r="B409" s="20" t="s">
        <v>1001</v>
      </c>
      <c r="C409" s="21" t="s">
        <v>1002</v>
      </c>
      <c r="D409" s="20">
        <v>8423153062190</v>
      </c>
      <c r="E409" s="22" t="s">
        <v>1068</v>
      </c>
      <c r="F409" s="22" t="s">
        <v>1004</v>
      </c>
      <c r="G409" s="22">
        <v>1</v>
      </c>
      <c r="H409" s="83" t="s">
        <v>1069</v>
      </c>
      <c r="I409" s="23" t="s">
        <v>24</v>
      </c>
      <c r="J409" s="24">
        <v>135</v>
      </c>
      <c r="K409" s="25">
        <v>0.25</v>
      </c>
      <c r="L409" s="26">
        <f t="shared" si="58"/>
        <v>33.75</v>
      </c>
      <c r="M409" s="27">
        <f t="shared" si="59"/>
        <v>101.25</v>
      </c>
      <c r="N409" s="28">
        <v>0.16</v>
      </c>
      <c r="O409" s="29">
        <f t="shared" si="61"/>
        <v>16.2</v>
      </c>
      <c r="P409" s="30">
        <f t="shared" si="62"/>
        <v>117.45</v>
      </c>
      <c r="Q409" s="23"/>
      <c r="R409" s="52"/>
      <c r="S409" s="53"/>
      <c r="T409" s="54">
        <f t="shared" si="64"/>
        <v>0</v>
      </c>
      <c r="U409" s="26">
        <f t="shared" si="64"/>
        <v>0</v>
      </c>
      <c r="V409" s="55">
        <f t="shared" si="55"/>
        <v>0</v>
      </c>
      <c r="W409" s="29">
        <f t="shared" si="60"/>
        <v>0</v>
      </c>
      <c r="X409" s="30">
        <f t="shared" si="63"/>
        <v>0</v>
      </c>
      <c r="Y409"/>
      <c r="Z409"/>
      <c r="AA409"/>
    </row>
    <row r="410" spans="1:27" s="51" customFormat="1" ht="18.600000000000001" hidden="1" customHeight="1" x14ac:dyDescent="0.25">
      <c r="A410" s="81" t="s">
        <v>16</v>
      </c>
      <c r="B410" s="31" t="s">
        <v>1001</v>
      </c>
      <c r="C410" s="32" t="s">
        <v>1002</v>
      </c>
      <c r="D410" s="31">
        <v>8423153062206</v>
      </c>
      <c r="E410" s="33" t="s">
        <v>1070</v>
      </c>
      <c r="F410" s="33" t="s">
        <v>1004</v>
      </c>
      <c r="G410" s="33">
        <v>1</v>
      </c>
      <c r="H410" s="84" t="s">
        <v>1071</v>
      </c>
      <c r="I410" s="23" t="s">
        <v>24</v>
      </c>
      <c r="J410" s="34">
        <v>135</v>
      </c>
      <c r="K410" s="35">
        <v>0.25</v>
      </c>
      <c r="L410" s="36">
        <f t="shared" si="58"/>
        <v>33.75</v>
      </c>
      <c r="M410" s="37">
        <f t="shared" si="59"/>
        <v>101.25</v>
      </c>
      <c r="N410" s="38">
        <v>0.16</v>
      </c>
      <c r="O410" s="39">
        <f t="shared" si="61"/>
        <v>16.2</v>
      </c>
      <c r="P410" s="40">
        <f t="shared" si="62"/>
        <v>117.45</v>
      </c>
      <c r="Q410" s="23"/>
      <c r="R410" s="56"/>
      <c r="S410" s="57"/>
      <c r="T410" s="58">
        <f t="shared" si="64"/>
        <v>0</v>
      </c>
      <c r="U410" s="36">
        <f t="shared" si="64"/>
        <v>0</v>
      </c>
      <c r="V410" s="59">
        <f t="shared" ref="V410:V473" si="65">+T410-U410</f>
        <v>0</v>
      </c>
      <c r="W410" s="39">
        <f t="shared" si="60"/>
        <v>0</v>
      </c>
      <c r="X410" s="40">
        <f t="shared" si="63"/>
        <v>0</v>
      </c>
      <c r="Y410"/>
      <c r="Z410"/>
      <c r="AA410"/>
    </row>
    <row r="411" spans="1:27" s="51" customFormat="1" ht="18.600000000000001" hidden="1" customHeight="1" x14ac:dyDescent="0.25">
      <c r="A411" s="82" t="s">
        <v>16</v>
      </c>
      <c r="B411" s="41" t="s">
        <v>1001</v>
      </c>
      <c r="C411" s="42" t="s">
        <v>1002</v>
      </c>
      <c r="D411" s="41">
        <v>8423153062213</v>
      </c>
      <c r="E411" s="43" t="s">
        <v>1072</v>
      </c>
      <c r="F411" s="43" t="s">
        <v>1004</v>
      </c>
      <c r="G411" s="43">
        <v>1</v>
      </c>
      <c r="H411" s="85" t="s">
        <v>1073</v>
      </c>
      <c r="I411" s="23" t="s">
        <v>24</v>
      </c>
      <c r="J411" s="44">
        <v>135</v>
      </c>
      <c r="K411" s="45">
        <v>0.25</v>
      </c>
      <c r="L411" s="46">
        <f t="shared" si="58"/>
        <v>33.75</v>
      </c>
      <c r="M411" s="47">
        <f t="shared" si="59"/>
        <v>101.25</v>
      </c>
      <c r="N411" s="48">
        <v>0.16</v>
      </c>
      <c r="O411" s="49">
        <f t="shared" si="61"/>
        <v>16.2</v>
      </c>
      <c r="P411" s="50">
        <f t="shared" si="62"/>
        <v>117.45</v>
      </c>
      <c r="Q411" s="23"/>
      <c r="R411" s="60"/>
      <c r="S411" s="61"/>
      <c r="T411" s="62">
        <f t="shared" si="64"/>
        <v>0</v>
      </c>
      <c r="U411" s="46">
        <f t="shared" si="64"/>
        <v>0</v>
      </c>
      <c r="V411" s="63">
        <f t="shared" si="65"/>
        <v>0</v>
      </c>
      <c r="W411" s="49">
        <f t="shared" si="60"/>
        <v>0</v>
      </c>
      <c r="X411" s="50">
        <f t="shared" si="63"/>
        <v>0</v>
      </c>
      <c r="Y411"/>
      <c r="Z411"/>
      <c r="AA411"/>
    </row>
    <row r="412" spans="1:27" s="51" customFormat="1" ht="18.600000000000001" hidden="1" customHeight="1" x14ac:dyDescent="0.25">
      <c r="A412" s="80" t="s">
        <v>16</v>
      </c>
      <c r="B412" s="20" t="s">
        <v>1001</v>
      </c>
      <c r="C412" s="21" t="s">
        <v>1002</v>
      </c>
      <c r="D412" s="20">
        <v>8423153062220</v>
      </c>
      <c r="E412" s="22" t="s">
        <v>1074</v>
      </c>
      <c r="F412" s="22" t="s">
        <v>1004</v>
      </c>
      <c r="G412" s="22">
        <v>1</v>
      </c>
      <c r="H412" s="83" t="s">
        <v>1075</v>
      </c>
      <c r="I412" s="23" t="s">
        <v>24</v>
      </c>
      <c r="J412" s="24">
        <v>135</v>
      </c>
      <c r="K412" s="25">
        <v>0.25</v>
      </c>
      <c r="L412" s="26">
        <f t="shared" si="58"/>
        <v>33.75</v>
      </c>
      <c r="M412" s="27">
        <f t="shared" si="59"/>
        <v>101.25</v>
      </c>
      <c r="N412" s="28">
        <v>0.16</v>
      </c>
      <c r="O412" s="29">
        <f t="shared" si="61"/>
        <v>16.2</v>
      </c>
      <c r="P412" s="30">
        <f t="shared" si="62"/>
        <v>117.45</v>
      </c>
      <c r="Q412" s="23"/>
      <c r="R412" s="52"/>
      <c r="S412" s="53"/>
      <c r="T412" s="54">
        <f t="shared" si="64"/>
        <v>0</v>
      </c>
      <c r="U412" s="26">
        <f t="shared" si="64"/>
        <v>0</v>
      </c>
      <c r="V412" s="55">
        <f t="shared" si="65"/>
        <v>0</v>
      </c>
      <c r="W412" s="29">
        <f t="shared" si="60"/>
        <v>0</v>
      </c>
      <c r="X412" s="30">
        <f t="shared" si="63"/>
        <v>0</v>
      </c>
      <c r="Y412"/>
      <c r="Z412"/>
      <c r="AA412"/>
    </row>
    <row r="413" spans="1:27" s="51" customFormat="1" ht="18.600000000000001" hidden="1" customHeight="1" x14ac:dyDescent="0.25">
      <c r="A413" s="81" t="s">
        <v>16</v>
      </c>
      <c r="B413" s="31" t="s">
        <v>1001</v>
      </c>
      <c r="C413" s="32" t="s">
        <v>1002</v>
      </c>
      <c r="D413" s="31">
        <v>8423153062237</v>
      </c>
      <c r="E413" s="33" t="s">
        <v>1076</v>
      </c>
      <c r="F413" s="33" t="s">
        <v>1004</v>
      </c>
      <c r="G413" s="33">
        <v>1</v>
      </c>
      <c r="H413" s="84" t="s">
        <v>1077</v>
      </c>
      <c r="I413" s="23" t="s">
        <v>24</v>
      </c>
      <c r="J413" s="34">
        <v>135</v>
      </c>
      <c r="K413" s="35">
        <v>0.25</v>
      </c>
      <c r="L413" s="36">
        <f t="shared" si="58"/>
        <v>33.75</v>
      </c>
      <c r="M413" s="37">
        <f t="shared" si="59"/>
        <v>101.25</v>
      </c>
      <c r="N413" s="38">
        <v>0.16</v>
      </c>
      <c r="O413" s="39">
        <f t="shared" si="61"/>
        <v>16.2</v>
      </c>
      <c r="P413" s="40">
        <f t="shared" si="62"/>
        <v>117.45</v>
      </c>
      <c r="Q413" s="23"/>
      <c r="R413" s="56"/>
      <c r="S413" s="57"/>
      <c r="T413" s="58">
        <f t="shared" si="64"/>
        <v>0</v>
      </c>
      <c r="U413" s="36">
        <f t="shared" si="64"/>
        <v>0</v>
      </c>
      <c r="V413" s="59">
        <f t="shared" si="65"/>
        <v>0</v>
      </c>
      <c r="W413" s="39">
        <f t="shared" si="60"/>
        <v>0</v>
      </c>
      <c r="X413" s="40">
        <f t="shared" si="63"/>
        <v>0</v>
      </c>
      <c r="Y413"/>
      <c r="Z413"/>
      <c r="AA413"/>
    </row>
    <row r="414" spans="1:27" s="51" customFormat="1" ht="18.600000000000001" hidden="1" customHeight="1" x14ac:dyDescent="0.25">
      <c r="A414" s="82" t="s">
        <v>16</v>
      </c>
      <c r="B414" s="41" t="s">
        <v>1001</v>
      </c>
      <c r="C414" s="42" t="s">
        <v>1002</v>
      </c>
      <c r="D414" s="41">
        <v>8423153062244</v>
      </c>
      <c r="E414" s="43" t="s">
        <v>1078</v>
      </c>
      <c r="F414" s="43" t="s">
        <v>1004</v>
      </c>
      <c r="G414" s="43">
        <v>1</v>
      </c>
      <c r="H414" s="85" t="s">
        <v>1079</v>
      </c>
      <c r="I414" s="23" t="s">
        <v>24</v>
      </c>
      <c r="J414" s="44">
        <v>135</v>
      </c>
      <c r="K414" s="45">
        <v>0.25</v>
      </c>
      <c r="L414" s="46">
        <f t="shared" si="58"/>
        <v>33.75</v>
      </c>
      <c r="M414" s="47">
        <f t="shared" si="59"/>
        <v>101.25</v>
      </c>
      <c r="N414" s="48">
        <v>0.16</v>
      </c>
      <c r="O414" s="49">
        <f t="shared" si="61"/>
        <v>16.2</v>
      </c>
      <c r="P414" s="50">
        <f t="shared" si="62"/>
        <v>117.45</v>
      </c>
      <c r="Q414" s="23"/>
      <c r="R414" s="60"/>
      <c r="S414" s="61"/>
      <c r="T414" s="62">
        <f t="shared" si="64"/>
        <v>0</v>
      </c>
      <c r="U414" s="46">
        <f t="shared" si="64"/>
        <v>0</v>
      </c>
      <c r="V414" s="63">
        <f t="shared" si="65"/>
        <v>0</v>
      </c>
      <c r="W414" s="49">
        <f t="shared" si="60"/>
        <v>0</v>
      </c>
      <c r="X414" s="50">
        <f t="shared" si="63"/>
        <v>0</v>
      </c>
      <c r="Y414"/>
      <c r="Z414"/>
      <c r="AA414"/>
    </row>
    <row r="415" spans="1:27" s="51" customFormat="1" ht="18.600000000000001" hidden="1" customHeight="1" x14ac:dyDescent="0.25">
      <c r="A415" s="80" t="s">
        <v>16</v>
      </c>
      <c r="B415" s="20" t="s">
        <v>1001</v>
      </c>
      <c r="C415" s="21" t="s">
        <v>1002</v>
      </c>
      <c r="D415" s="20">
        <v>8423153062251</v>
      </c>
      <c r="E415" s="22" t="s">
        <v>1080</v>
      </c>
      <c r="F415" s="22" t="s">
        <v>1004</v>
      </c>
      <c r="G415" s="22">
        <v>1</v>
      </c>
      <c r="H415" s="83" t="s">
        <v>1081</v>
      </c>
      <c r="I415" s="23" t="s">
        <v>24</v>
      </c>
      <c r="J415" s="24">
        <v>135</v>
      </c>
      <c r="K415" s="25">
        <v>0.25</v>
      </c>
      <c r="L415" s="26">
        <f t="shared" si="58"/>
        <v>33.75</v>
      </c>
      <c r="M415" s="27">
        <f t="shared" si="59"/>
        <v>101.25</v>
      </c>
      <c r="N415" s="28">
        <v>0.16</v>
      </c>
      <c r="O415" s="29">
        <f t="shared" si="61"/>
        <v>16.2</v>
      </c>
      <c r="P415" s="30">
        <f t="shared" si="62"/>
        <v>117.45</v>
      </c>
      <c r="Q415" s="23"/>
      <c r="R415" s="52"/>
      <c r="S415" s="53"/>
      <c r="T415" s="54">
        <f t="shared" si="64"/>
        <v>0</v>
      </c>
      <c r="U415" s="26">
        <f t="shared" si="64"/>
        <v>0</v>
      </c>
      <c r="V415" s="55">
        <f t="shared" si="65"/>
        <v>0</v>
      </c>
      <c r="W415" s="29">
        <f t="shared" si="60"/>
        <v>0</v>
      </c>
      <c r="X415" s="30">
        <f t="shared" si="63"/>
        <v>0</v>
      </c>
      <c r="Y415"/>
      <c r="Z415"/>
      <c r="AA415"/>
    </row>
    <row r="416" spans="1:27" s="51" customFormat="1" ht="18.600000000000001" hidden="1" customHeight="1" x14ac:dyDescent="0.25">
      <c r="A416" s="81" t="s">
        <v>16</v>
      </c>
      <c r="B416" s="31" t="s">
        <v>1001</v>
      </c>
      <c r="C416" s="32" t="s">
        <v>1002</v>
      </c>
      <c r="D416" s="31">
        <v>8423153062268</v>
      </c>
      <c r="E416" s="33" t="s">
        <v>1082</v>
      </c>
      <c r="F416" s="33" t="s">
        <v>1004</v>
      </c>
      <c r="G416" s="33">
        <v>1</v>
      </c>
      <c r="H416" s="84" t="s">
        <v>1083</v>
      </c>
      <c r="I416" s="23" t="s">
        <v>24</v>
      </c>
      <c r="J416" s="34">
        <v>135</v>
      </c>
      <c r="K416" s="35">
        <v>0.25</v>
      </c>
      <c r="L416" s="36">
        <f t="shared" si="58"/>
        <v>33.75</v>
      </c>
      <c r="M416" s="37">
        <f t="shared" si="59"/>
        <v>101.25</v>
      </c>
      <c r="N416" s="38">
        <v>0.16</v>
      </c>
      <c r="O416" s="39">
        <f t="shared" si="61"/>
        <v>16.2</v>
      </c>
      <c r="P416" s="40">
        <f t="shared" si="62"/>
        <v>117.45</v>
      </c>
      <c r="Q416" s="23"/>
      <c r="R416" s="56"/>
      <c r="S416" s="57"/>
      <c r="T416" s="58">
        <f t="shared" si="64"/>
        <v>0</v>
      </c>
      <c r="U416" s="36">
        <f t="shared" si="64"/>
        <v>0</v>
      </c>
      <c r="V416" s="59">
        <f t="shared" si="65"/>
        <v>0</v>
      </c>
      <c r="W416" s="39">
        <f t="shared" si="60"/>
        <v>0</v>
      </c>
      <c r="X416" s="40">
        <f t="shared" si="63"/>
        <v>0</v>
      </c>
      <c r="Y416"/>
      <c r="Z416"/>
      <c r="AA416"/>
    </row>
    <row r="417" spans="1:27" s="51" customFormat="1" ht="18.600000000000001" hidden="1" customHeight="1" x14ac:dyDescent="0.25">
      <c r="A417" s="82" t="s">
        <v>16</v>
      </c>
      <c r="B417" s="41" t="s">
        <v>1001</v>
      </c>
      <c r="C417" s="42" t="s">
        <v>1002</v>
      </c>
      <c r="D417" s="41">
        <v>8423153062275</v>
      </c>
      <c r="E417" s="43" t="s">
        <v>1084</v>
      </c>
      <c r="F417" s="43" t="s">
        <v>1004</v>
      </c>
      <c r="G417" s="43">
        <v>1</v>
      </c>
      <c r="H417" s="85" t="s">
        <v>1085</v>
      </c>
      <c r="I417" s="23" t="s">
        <v>24</v>
      </c>
      <c r="J417" s="44">
        <v>135</v>
      </c>
      <c r="K417" s="45">
        <v>0.25</v>
      </c>
      <c r="L417" s="46">
        <f t="shared" si="58"/>
        <v>33.75</v>
      </c>
      <c r="M417" s="47">
        <f t="shared" si="59"/>
        <v>101.25</v>
      </c>
      <c r="N417" s="48">
        <v>0.16</v>
      </c>
      <c r="O417" s="49">
        <f t="shared" si="61"/>
        <v>16.2</v>
      </c>
      <c r="P417" s="50">
        <f t="shared" si="62"/>
        <v>117.45</v>
      </c>
      <c r="Q417" s="23"/>
      <c r="R417" s="60"/>
      <c r="S417" s="61"/>
      <c r="T417" s="62">
        <f t="shared" si="64"/>
        <v>0</v>
      </c>
      <c r="U417" s="46">
        <f t="shared" si="64"/>
        <v>0</v>
      </c>
      <c r="V417" s="63">
        <f t="shared" si="65"/>
        <v>0</v>
      </c>
      <c r="W417" s="49">
        <f t="shared" si="60"/>
        <v>0</v>
      </c>
      <c r="X417" s="50">
        <f t="shared" si="63"/>
        <v>0</v>
      </c>
      <c r="Y417"/>
      <c r="Z417"/>
      <c r="AA417"/>
    </row>
    <row r="418" spans="1:27" s="51" customFormat="1" ht="18.600000000000001" hidden="1" customHeight="1" x14ac:dyDescent="0.25">
      <c r="A418" s="80" t="s">
        <v>16</v>
      </c>
      <c r="B418" s="20" t="s">
        <v>1001</v>
      </c>
      <c r="C418" s="21" t="s">
        <v>1002</v>
      </c>
      <c r="D418" s="20">
        <v>8423153062282</v>
      </c>
      <c r="E418" s="22" t="s">
        <v>1086</v>
      </c>
      <c r="F418" s="22" t="s">
        <v>1004</v>
      </c>
      <c r="G418" s="22">
        <v>1</v>
      </c>
      <c r="H418" s="83" t="s">
        <v>39</v>
      </c>
      <c r="I418" s="23" t="s">
        <v>24</v>
      </c>
      <c r="J418" s="24">
        <v>135</v>
      </c>
      <c r="K418" s="25">
        <v>0.25</v>
      </c>
      <c r="L418" s="26">
        <f t="shared" si="58"/>
        <v>33.75</v>
      </c>
      <c r="M418" s="27">
        <f t="shared" si="59"/>
        <v>101.25</v>
      </c>
      <c r="N418" s="28">
        <v>0.16</v>
      </c>
      <c r="O418" s="29">
        <f t="shared" si="61"/>
        <v>16.2</v>
      </c>
      <c r="P418" s="30">
        <f t="shared" si="62"/>
        <v>117.45</v>
      </c>
      <c r="Q418" s="23"/>
      <c r="R418" s="52"/>
      <c r="S418" s="53"/>
      <c r="T418" s="54">
        <f t="shared" si="64"/>
        <v>0</v>
      </c>
      <c r="U418" s="26">
        <f t="shared" si="64"/>
        <v>0</v>
      </c>
      <c r="V418" s="55">
        <f t="shared" si="65"/>
        <v>0</v>
      </c>
      <c r="W418" s="29">
        <f t="shared" si="60"/>
        <v>0</v>
      </c>
      <c r="X418" s="30">
        <f t="shared" si="63"/>
        <v>0</v>
      </c>
      <c r="Y418"/>
      <c r="Z418"/>
      <c r="AA418"/>
    </row>
    <row r="419" spans="1:27" s="51" customFormat="1" ht="18.600000000000001" hidden="1" customHeight="1" x14ac:dyDescent="0.25">
      <c r="A419" s="81" t="s">
        <v>16</v>
      </c>
      <c r="B419" s="31" t="s">
        <v>1001</v>
      </c>
      <c r="C419" s="32" t="s">
        <v>1002</v>
      </c>
      <c r="D419" s="31">
        <v>8423153062299</v>
      </c>
      <c r="E419" s="33" t="s">
        <v>1087</v>
      </c>
      <c r="F419" s="33" t="s">
        <v>1004</v>
      </c>
      <c r="G419" s="33">
        <v>1</v>
      </c>
      <c r="H419" s="84" t="s">
        <v>1088</v>
      </c>
      <c r="I419" s="23" t="s">
        <v>24</v>
      </c>
      <c r="J419" s="34">
        <v>135</v>
      </c>
      <c r="K419" s="35">
        <v>0.25</v>
      </c>
      <c r="L419" s="36">
        <f t="shared" si="58"/>
        <v>33.75</v>
      </c>
      <c r="M419" s="37">
        <f t="shared" si="59"/>
        <v>101.25</v>
      </c>
      <c r="N419" s="38">
        <v>0.16</v>
      </c>
      <c r="O419" s="39">
        <f t="shared" si="61"/>
        <v>16.2</v>
      </c>
      <c r="P419" s="40">
        <f t="shared" si="62"/>
        <v>117.45</v>
      </c>
      <c r="Q419" s="23"/>
      <c r="R419" s="56"/>
      <c r="S419" s="57"/>
      <c r="T419" s="58">
        <f t="shared" si="64"/>
        <v>0</v>
      </c>
      <c r="U419" s="36">
        <f t="shared" si="64"/>
        <v>0</v>
      </c>
      <c r="V419" s="59">
        <f t="shared" si="65"/>
        <v>0</v>
      </c>
      <c r="W419" s="39">
        <f t="shared" si="60"/>
        <v>0</v>
      </c>
      <c r="X419" s="40">
        <f t="shared" si="63"/>
        <v>0</v>
      </c>
      <c r="Y419"/>
      <c r="Z419"/>
      <c r="AA419"/>
    </row>
    <row r="420" spans="1:27" s="51" customFormat="1" ht="18.600000000000001" hidden="1" customHeight="1" x14ac:dyDescent="0.25">
      <c r="A420" s="82" t="s">
        <v>16</v>
      </c>
      <c r="B420" s="41" t="s">
        <v>1001</v>
      </c>
      <c r="C420" s="42" t="s">
        <v>1002</v>
      </c>
      <c r="D420" s="41">
        <v>8423153062305</v>
      </c>
      <c r="E420" s="43" t="s">
        <v>1089</v>
      </c>
      <c r="F420" s="43" t="s">
        <v>1004</v>
      </c>
      <c r="G420" s="43">
        <v>1</v>
      </c>
      <c r="H420" s="85" t="s">
        <v>1090</v>
      </c>
      <c r="I420" s="23" t="s">
        <v>24</v>
      </c>
      <c r="J420" s="44">
        <v>135</v>
      </c>
      <c r="K420" s="45">
        <v>0.25</v>
      </c>
      <c r="L420" s="46">
        <f t="shared" si="58"/>
        <v>33.75</v>
      </c>
      <c r="M420" s="47">
        <f t="shared" si="59"/>
        <v>101.25</v>
      </c>
      <c r="N420" s="48">
        <v>0.16</v>
      </c>
      <c r="O420" s="49">
        <f t="shared" si="61"/>
        <v>16.2</v>
      </c>
      <c r="P420" s="50">
        <f t="shared" si="62"/>
        <v>117.45</v>
      </c>
      <c r="Q420" s="23"/>
      <c r="R420" s="60"/>
      <c r="S420" s="61"/>
      <c r="T420" s="62">
        <f t="shared" si="64"/>
        <v>0</v>
      </c>
      <c r="U420" s="46">
        <f t="shared" si="64"/>
        <v>0</v>
      </c>
      <c r="V420" s="63">
        <f t="shared" si="65"/>
        <v>0</v>
      </c>
      <c r="W420" s="49">
        <f t="shared" si="60"/>
        <v>0</v>
      </c>
      <c r="X420" s="50">
        <f t="shared" si="63"/>
        <v>0</v>
      </c>
      <c r="Y420"/>
      <c r="Z420"/>
      <c r="AA420"/>
    </row>
    <row r="421" spans="1:27" s="51" customFormat="1" ht="18.600000000000001" hidden="1" customHeight="1" x14ac:dyDescent="0.25">
      <c r="A421" s="80" t="s">
        <v>16</v>
      </c>
      <c r="B421" s="20" t="s">
        <v>1001</v>
      </c>
      <c r="C421" s="21" t="s">
        <v>1002</v>
      </c>
      <c r="D421" s="20">
        <v>8423153062312</v>
      </c>
      <c r="E421" s="22" t="s">
        <v>1091</v>
      </c>
      <c r="F421" s="22" t="s">
        <v>1004</v>
      </c>
      <c r="G421" s="22">
        <v>1</v>
      </c>
      <c r="H421" s="83" t="s">
        <v>1092</v>
      </c>
      <c r="I421" s="23" t="s">
        <v>24</v>
      </c>
      <c r="J421" s="24">
        <v>135</v>
      </c>
      <c r="K421" s="25">
        <v>0.25</v>
      </c>
      <c r="L421" s="26">
        <f t="shared" si="58"/>
        <v>33.75</v>
      </c>
      <c r="M421" s="27">
        <f t="shared" si="59"/>
        <v>101.25</v>
      </c>
      <c r="N421" s="28">
        <v>0.16</v>
      </c>
      <c r="O421" s="29">
        <f t="shared" si="61"/>
        <v>16.2</v>
      </c>
      <c r="P421" s="30">
        <f t="shared" si="62"/>
        <v>117.45</v>
      </c>
      <c r="Q421" s="23"/>
      <c r="R421" s="52"/>
      <c r="S421" s="53"/>
      <c r="T421" s="54">
        <f t="shared" si="64"/>
        <v>0</v>
      </c>
      <c r="U421" s="26">
        <f t="shared" si="64"/>
        <v>0</v>
      </c>
      <c r="V421" s="55">
        <f t="shared" si="65"/>
        <v>0</v>
      </c>
      <c r="W421" s="29">
        <f t="shared" si="60"/>
        <v>0</v>
      </c>
      <c r="X421" s="30">
        <f t="shared" si="63"/>
        <v>0</v>
      </c>
      <c r="Y421"/>
      <c r="Z421"/>
      <c r="AA421"/>
    </row>
    <row r="422" spans="1:27" s="51" customFormat="1" ht="18.600000000000001" hidden="1" customHeight="1" x14ac:dyDescent="0.25">
      <c r="A422" s="81" t="s">
        <v>16</v>
      </c>
      <c r="B422" s="31" t="s">
        <v>1001</v>
      </c>
      <c r="C422" s="32" t="s">
        <v>1002</v>
      </c>
      <c r="D422" s="31">
        <v>8423153062329</v>
      </c>
      <c r="E422" s="33" t="s">
        <v>1093</v>
      </c>
      <c r="F422" s="33" t="s">
        <v>1004</v>
      </c>
      <c r="G422" s="33">
        <v>1</v>
      </c>
      <c r="H422" s="84" t="s">
        <v>1094</v>
      </c>
      <c r="I422" s="23" t="s">
        <v>24</v>
      </c>
      <c r="J422" s="34">
        <v>135</v>
      </c>
      <c r="K422" s="35">
        <v>0.25</v>
      </c>
      <c r="L422" s="36">
        <f t="shared" si="58"/>
        <v>33.75</v>
      </c>
      <c r="M422" s="37">
        <f t="shared" si="59"/>
        <v>101.25</v>
      </c>
      <c r="N422" s="38">
        <v>0.16</v>
      </c>
      <c r="O422" s="39">
        <f t="shared" si="61"/>
        <v>16.2</v>
      </c>
      <c r="P422" s="40">
        <f t="shared" si="62"/>
        <v>117.45</v>
      </c>
      <c r="Q422" s="23"/>
      <c r="R422" s="56"/>
      <c r="S422" s="57"/>
      <c r="T422" s="58">
        <f t="shared" si="64"/>
        <v>0</v>
      </c>
      <c r="U422" s="36">
        <f t="shared" si="64"/>
        <v>0</v>
      </c>
      <c r="V422" s="59">
        <f t="shared" si="65"/>
        <v>0</v>
      </c>
      <c r="W422" s="39">
        <f t="shared" si="60"/>
        <v>0</v>
      </c>
      <c r="X422" s="40">
        <f t="shared" si="63"/>
        <v>0</v>
      </c>
      <c r="Y422"/>
      <c r="Z422"/>
      <c r="AA422"/>
    </row>
    <row r="423" spans="1:27" s="51" customFormat="1" ht="18.600000000000001" hidden="1" customHeight="1" x14ac:dyDescent="0.25">
      <c r="A423" s="82" t="s">
        <v>16</v>
      </c>
      <c r="B423" s="41" t="s">
        <v>1001</v>
      </c>
      <c r="C423" s="42" t="s">
        <v>1002</v>
      </c>
      <c r="D423" s="41" t="s">
        <v>1095</v>
      </c>
      <c r="E423" s="43" t="s">
        <v>1096</v>
      </c>
      <c r="F423" s="43" t="s">
        <v>1004</v>
      </c>
      <c r="G423" s="43">
        <v>1</v>
      </c>
      <c r="H423" s="85" t="s">
        <v>1097</v>
      </c>
      <c r="I423" s="23" t="s">
        <v>24</v>
      </c>
      <c r="J423" s="44">
        <v>135</v>
      </c>
      <c r="K423" s="45">
        <v>0.25</v>
      </c>
      <c r="L423" s="46">
        <f t="shared" si="58"/>
        <v>33.75</v>
      </c>
      <c r="M423" s="47">
        <f t="shared" si="59"/>
        <v>101.25</v>
      </c>
      <c r="N423" s="48">
        <v>0.16</v>
      </c>
      <c r="O423" s="49">
        <f t="shared" si="61"/>
        <v>16.2</v>
      </c>
      <c r="P423" s="50">
        <f t="shared" si="62"/>
        <v>117.45</v>
      </c>
      <c r="Q423" s="23"/>
      <c r="R423" s="60"/>
      <c r="S423" s="61"/>
      <c r="T423" s="62">
        <f t="shared" si="64"/>
        <v>0</v>
      </c>
      <c r="U423" s="46">
        <f t="shared" si="64"/>
        <v>0</v>
      </c>
      <c r="V423" s="63">
        <f t="shared" si="65"/>
        <v>0</v>
      </c>
      <c r="W423" s="49">
        <f t="shared" si="60"/>
        <v>0</v>
      </c>
      <c r="X423" s="50">
        <f t="shared" si="63"/>
        <v>0</v>
      </c>
      <c r="Y423"/>
      <c r="Z423"/>
      <c r="AA423"/>
    </row>
    <row r="424" spans="1:27" s="51" customFormat="1" ht="18.600000000000001" hidden="1" customHeight="1" x14ac:dyDescent="0.25">
      <c r="A424" s="80" t="s">
        <v>16</v>
      </c>
      <c r="B424" s="20" t="s">
        <v>1001</v>
      </c>
      <c r="C424" s="21" t="s">
        <v>1002</v>
      </c>
      <c r="D424" s="20" t="s">
        <v>1098</v>
      </c>
      <c r="E424" s="22" t="s">
        <v>1099</v>
      </c>
      <c r="F424" s="22" t="s">
        <v>1004</v>
      </c>
      <c r="G424" s="22">
        <v>1</v>
      </c>
      <c r="H424" s="83" t="s">
        <v>1100</v>
      </c>
      <c r="I424" s="23" t="s">
        <v>24</v>
      </c>
      <c r="J424" s="24">
        <v>135</v>
      </c>
      <c r="K424" s="25">
        <v>0.25</v>
      </c>
      <c r="L424" s="26">
        <f t="shared" si="58"/>
        <v>33.75</v>
      </c>
      <c r="M424" s="27">
        <f t="shared" si="59"/>
        <v>101.25</v>
      </c>
      <c r="N424" s="28">
        <v>0.16</v>
      </c>
      <c r="O424" s="29">
        <f t="shared" si="61"/>
        <v>16.2</v>
      </c>
      <c r="P424" s="30">
        <f t="shared" si="62"/>
        <v>117.45</v>
      </c>
      <c r="Q424" s="23"/>
      <c r="R424" s="52"/>
      <c r="S424" s="53"/>
      <c r="T424" s="54">
        <f t="shared" si="64"/>
        <v>0</v>
      </c>
      <c r="U424" s="26">
        <f t="shared" si="64"/>
        <v>0</v>
      </c>
      <c r="V424" s="55">
        <f t="shared" si="65"/>
        <v>0</v>
      </c>
      <c r="W424" s="29">
        <f t="shared" si="60"/>
        <v>0</v>
      </c>
      <c r="X424" s="30">
        <f t="shared" si="63"/>
        <v>0</v>
      </c>
      <c r="Y424"/>
      <c r="Z424"/>
      <c r="AA424"/>
    </row>
    <row r="425" spans="1:27" s="51" customFormat="1" ht="18.600000000000001" hidden="1" customHeight="1" x14ac:dyDescent="0.25">
      <c r="A425" s="81" t="s">
        <v>16</v>
      </c>
      <c r="B425" s="31" t="s">
        <v>1001</v>
      </c>
      <c r="C425" s="32" t="s">
        <v>1002</v>
      </c>
      <c r="D425" s="31" t="s">
        <v>1101</v>
      </c>
      <c r="E425" s="33" t="s">
        <v>1102</v>
      </c>
      <c r="F425" s="33" t="s">
        <v>1004</v>
      </c>
      <c r="G425" s="33">
        <v>1</v>
      </c>
      <c r="H425" s="84" t="s">
        <v>75</v>
      </c>
      <c r="I425" s="23" t="s">
        <v>24</v>
      </c>
      <c r="J425" s="34">
        <v>135</v>
      </c>
      <c r="K425" s="35">
        <v>0.25</v>
      </c>
      <c r="L425" s="36">
        <f t="shared" si="58"/>
        <v>33.75</v>
      </c>
      <c r="M425" s="37">
        <f t="shared" si="59"/>
        <v>101.25</v>
      </c>
      <c r="N425" s="38">
        <v>0.16</v>
      </c>
      <c r="O425" s="39">
        <f t="shared" si="61"/>
        <v>16.2</v>
      </c>
      <c r="P425" s="40">
        <f t="shared" si="62"/>
        <v>117.45</v>
      </c>
      <c r="Q425" s="23"/>
      <c r="R425" s="56"/>
      <c r="S425" s="57"/>
      <c r="T425" s="58">
        <f t="shared" si="64"/>
        <v>0</v>
      </c>
      <c r="U425" s="36">
        <f t="shared" si="64"/>
        <v>0</v>
      </c>
      <c r="V425" s="59">
        <f t="shared" si="65"/>
        <v>0</v>
      </c>
      <c r="W425" s="39">
        <f t="shared" si="60"/>
        <v>0</v>
      </c>
      <c r="X425" s="40">
        <f t="shared" si="63"/>
        <v>0</v>
      </c>
      <c r="Y425"/>
      <c r="Z425"/>
      <c r="AA425"/>
    </row>
    <row r="426" spans="1:27" s="51" customFormat="1" ht="18.600000000000001" hidden="1" customHeight="1" x14ac:dyDescent="0.25">
      <c r="A426" s="82" t="s">
        <v>16</v>
      </c>
      <c r="B426" s="41" t="s">
        <v>1001</v>
      </c>
      <c r="C426" s="42" t="s">
        <v>1002</v>
      </c>
      <c r="D426" s="41" t="s">
        <v>1103</v>
      </c>
      <c r="E426" s="43" t="s">
        <v>1104</v>
      </c>
      <c r="F426" s="43" t="s">
        <v>1004</v>
      </c>
      <c r="G426" s="43">
        <v>1</v>
      </c>
      <c r="H426" s="85" t="s">
        <v>1105</v>
      </c>
      <c r="I426" s="23" t="s">
        <v>24</v>
      </c>
      <c r="J426" s="44">
        <v>135</v>
      </c>
      <c r="K426" s="45">
        <v>0.25</v>
      </c>
      <c r="L426" s="46">
        <f t="shared" si="58"/>
        <v>33.75</v>
      </c>
      <c r="M426" s="47">
        <f t="shared" si="59"/>
        <v>101.25</v>
      </c>
      <c r="N426" s="48">
        <v>0.16</v>
      </c>
      <c r="O426" s="49">
        <f t="shared" si="61"/>
        <v>16.2</v>
      </c>
      <c r="P426" s="50">
        <f t="shared" si="62"/>
        <v>117.45</v>
      </c>
      <c r="Q426" s="23"/>
      <c r="R426" s="60"/>
      <c r="S426" s="61"/>
      <c r="T426" s="62">
        <f t="shared" si="64"/>
        <v>0</v>
      </c>
      <c r="U426" s="46">
        <f t="shared" si="64"/>
        <v>0</v>
      </c>
      <c r="V426" s="63">
        <f t="shared" si="65"/>
        <v>0</v>
      </c>
      <c r="W426" s="49">
        <f t="shared" si="60"/>
        <v>0</v>
      </c>
      <c r="X426" s="50">
        <f t="shared" si="63"/>
        <v>0</v>
      </c>
      <c r="Y426"/>
      <c r="Z426"/>
      <c r="AA426"/>
    </row>
    <row r="427" spans="1:27" s="51" customFormat="1" ht="18.600000000000001" hidden="1" customHeight="1" x14ac:dyDescent="0.25">
      <c r="A427" s="80" t="s">
        <v>16</v>
      </c>
      <c r="B427" s="20" t="s">
        <v>1001</v>
      </c>
      <c r="C427" s="21" t="s">
        <v>1002</v>
      </c>
      <c r="D427" s="20" t="s">
        <v>1106</v>
      </c>
      <c r="E427" s="22" t="s">
        <v>1107</v>
      </c>
      <c r="F427" s="22" t="s">
        <v>1004</v>
      </c>
      <c r="G427" s="22">
        <v>1</v>
      </c>
      <c r="H427" s="83" t="s">
        <v>1108</v>
      </c>
      <c r="I427" s="23" t="s">
        <v>24</v>
      </c>
      <c r="J427" s="24">
        <v>135</v>
      </c>
      <c r="K427" s="25">
        <v>0.25</v>
      </c>
      <c r="L427" s="26">
        <f t="shared" si="58"/>
        <v>33.75</v>
      </c>
      <c r="M427" s="27">
        <f t="shared" si="59"/>
        <v>101.25</v>
      </c>
      <c r="N427" s="28">
        <v>0.16</v>
      </c>
      <c r="O427" s="29">
        <f t="shared" si="61"/>
        <v>16.2</v>
      </c>
      <c r="P427" s="30">
        <f t="shared" si="62"/>
        <v>117.45</v>
      </c>
      <c r="Q427" s="23"/>
      <c r="R427" s="52"/>
      <c r="S427" s="53"/>
      <c r="T427" s="54">
        <f t="shared" si="64"/>
        <v>0</v>
      </c>
      <c r="U427" s="26">
        <f t="shared" si="64"/>
        <v>0</v>
      </c>
      <c r="V427" s="55">
        <f t="shared" si="65"/>
        <v>0</v>
      </c>
      <c r="W427" s="29">
        <f t="shared" si="60"/>
        <v>0</v>
      </c>
      <c r="X427" s="30">
        <f t="shared" si="63"/>
        <v>0</v>
      </c>
      <c r="Y427"/>
      <c r="Z427"/>
      <c r="AA427"/>
    </row>
    <row r="428" spans="1:27" s="51" customFormat="1" ht="18.600000000000001" hidden="1" customHeight="1" x14ac:dyDescent="0.25">
      <c r="A428" s="81" t="s">
        <v>16</v>
      </c>
      <c r="B428" s="31" t="s">
        <v>1001</v>
      </c>
      <c r="C428" s="32" t="s">
        <v>1002</v>
      </c>
      <c r="D428" s="31" t="s">
        <v>1109</v>
      </c>
      <c r="E428" s="33" t="s">
        <v>1110</v>
      </c>
      <c r="F428" s="33" t="s">
        <v>1004</v>
      </c>
      <c r="G428" s="33">
        <v>1</v>
      </c>
      <c r="H428" s="84" t="s">
        <v>1111</v>
      </c>
      <c r="I428" s="23" t="s">
        <v>24</v>
      </c>
      <c r="J428" s="34">
        <v>135</v>
      </c>
      <c r="K428" s="35">
        <v>0.25</v>
      </c>
      <c r="L428" s="36">
        <f t="shared" si="58"/>
        <v>33.75</v>
      </c>
      <c r="M428" s="37">
        <f t="shared" si="59"/>
        <v>101.25</v>
      </c>
      <c r="N428" s="38">
        <v>0.16</v>
      </c>
      <c r="O428" s="39">
        <f t="shared" si="61"/>
        <v>16.2</v>
      </c>
      <c r="P428" s="40">
        <f t="shared" si="62"/>
        <v>117.45</v>
      </c>
      <c r="Q428" s="23"/>
      <c r="R428" s="56"/>
      <c r="S428" s="57"/>
      <c r="T428" s="58">
        <f t="shared" si="64"/>
        <v>0</v>
      </c>
      <c r="U428" s="36">
        <f t="shared" si="64"/>
        <v>0</v>
      </c>
      <c r="V428" s="59">
        <f t="shared" si="65"/>
        <v>0</v>
      </c>
      <c r="W428" s="39">
        <f t="shared" si="60"/>
        <v>0</v>
      </c>
      <c r="X428" s="40">
        <f t="shared" si="63"/>
        <v>0</v>
      </c>
      <c r="Y428"/>
      <c r="Z428"/>
      <c r="AA428"/>
    </row>
    <row r="429" spans="1:27" s="51" customFormat="1" ht="18.600000000000001" hidden="1" customHeight="1" x14ac:dyDescent="0.25">
      <c r="A429" s="82" t="s">
        <v>16</v>
      </c>
      <c r="B429" s="41" t="s">
        <v>1001</v>
      </c>
      <c r="C429" s="42" t="s">
        <v>1002</v>
      </c>
      <c r="D429" s="41" t="s">
        <v>1112</v>
      </c>
      <c r="E429" s="43" t="s">
        <v>1113</v>
      </c>
      <c r="F429" s="43" t="s">
        <v>1004</v>
      </c>
      <c r="G429" s="43">
        <v>1</v>
      </c>
      <c r="H429" s="85" t="s">
        <v>1114</v>
      </c>
      <c r="I429" s="23" t="s">
        <v>24</v>
      </c>
      <c r="J429" s="44">
        <v>135</v>
      </c>
      <c r="K429" s="45">
        <v>0.25</v>
      </c>
      <c r="L429" s="46">
        <f t="shared" si="58"/>
        <v>33.75</v>
      </c>
      <c r="M429" s="47">
        <f t="shared" si="59"/>
        <v>101.25</v>
      </c>
      <c r="N429" s="48">
        <v>0.16</v>
      </c>
      <c r="O429" s="49">
        <f t="shared" si="61"/>
        <v>16.2</v>
      </c>
      <c r="P429" s="50">
        <f t="shared" si="62"/>
        <v>117.45</v>
      </c>
      <c r="Q429" s="23"/>
      <c r="R429" s="60"/>
      <c r="S429" s="61"/>
      <c r="T429" s="62">
        <f t="shared" si="64"/>
        <v>0</v>
      </c>
      <c r="U429" s="46">
        <f t="shared" si="64"/>
        <v>0</v>
      </c>
      <c r="V429" s="63">
        <f t="shared" si="65"/>
        <v>0</v>
      </c>
      <c r="W429" s="49">
        <f t="shared" si="60"/>
        <v>0</v>
      </c>
      <c r="X429" s="50">
        <f t="shared" si="63"/>
        <v>0</v>
      </c>
      <c r="Y429"/>
      <c r="Z429"/>
      <c r="AA429"/>
    </row>
    <row r="430" spans="1:27" s="51" customFormat="1" ht="18.600000000000001" hidden="1" customHeight="1" x14ac:dyDescent="0.25">
      <c r="A430" s="80" t="s">
        <v>16</v>
      </c>
      <c r="B430" s="20" t="s">
        <v>1001</v>
      </c>
      <c r="C430" s="21" t="s">
        <v>1002</v>
      </c>
      <c r="D430" s="20" t="s">
        <v>1115</v>
      </c>
      <c r="E430" s="22" t="s">
        <v>1116</v>
      </c>
      <c r="F430" s="22" t="s">
        <v>1004</v>
      </c>
      <c r="G430" s="22">
        <v>1</v>
      </c>
      <c r="H430" s="83" t="s">
        <v>1117</v>
      </c>
      <c r="I430" s="23" t="s">
        <v>24</v>
      </c>
      <c r="J430" s="24">
        <v>135</v>
      </c>
      <c r="K430" s="25">
        <v>0.25</v>
      </c>
      <c r="L430" s="26">
        <f t="shared" si="58"/>
        <v>33.75</v>
      </c>
      <c r="M430" s="27">
        <f t="shared" si="59"/>
        <v>101.25</v>
      </c>
      <c r="N430" s="28">
        <v>0.16</v>
      </c>
      <c r="O430" s="29">
        <f t="shared" si="61"/>
        <v>16.2</v>
      </c>
      <c r="P430" s="30">
        <f t="shared" si="62"/>
        <v>117.45</v>
      </c>
      <c r="Q430" s="23"/>
      <c r="R430" s="52"/>
      <c r="S430" s="53"/>
      <c r="T430" s="54">
        <f t="shared" si="64"/>
        <v>0</v>
      </c>
      <c r="U430" s="26">
        <f t="shared" si="64"/>
        <v>0</v>
      </c>
      <c r="V430" s="55">
        <f t="shared" si="65"/>
        <v>0</v>
      </c>
      <c r="W430" s="29">
        <f t="shared" si="60"/>
        <v>0</v>
      </c>
      <c r="X430" s="30">
        <f t="shared" si="63"/>
        <v>0</v>
      </c>
      <c r="Y430"/>
      <c r="Z430"/>
      <c r="AA430"/>
    </row>
    <row r="431" spans="1:27" s="51" customFormat="1" ht="18.600000000000001" hidden="1" customHeight="1" x14ac:dyDescent="0.25">
      <c r="A431" s="81" t="s">
        <v>16</v>
      </c>
      <c r="B431" s="31" t="s">
        <v>1001</v>
      </c>
      <c r="C431" s="32" t="s">
        <v>1002</v>
      </c>
      <c r="D431" s="31" t="s">
        <v>1118</v>
      </c>
      <c r="E431" s="33" t="s">
        <v>1119</v>
      </c>
      <c r="F431" s="33" t="s">
        <v>1004</v>
      </c>
      <c r="G431" s="33">
        <v>1</v>
      </c>
      <c r="H431" s="84" t="s">
        <v>1120</v>
      </c>
      <c r="I431" s="23" t="s">
        <v>24</v>
      </c>
      <c r="J431" s="34">
        <v>135</v>
      </c>
      <c r="K431" s="35">
        <v>0.25</v>
      </c>
      <c r="L431" s="36">
        <f t="shared" si="58"/>
        <v>33.75</v>
      </c>
      <c r="M431" s="37">
        <f t="shared" si="59"/>
        <v>101.25</v>
      </c>
      <c r="N431" s="38">
        <v>0.16</v>
      </c>
      <c r="O431" s="39">
        <f t="shared" si="61"/>
        <v>16.2</v>
      </c>
      <c r="P431" s="40">
        <f t="shared" si="62"/>
        <v>117.45</v>
      </c>
      <c r="Q431" s="23"/>
      <c r="R431" s="56"/>
      <c r="S431" s="57"/>
      <c r="T431" s="58">
        <f t="shared" si="64"/>
        <v>0</v>
      </c>
      <c r="U431" s="36">
        <f t="shared" si="64"/>
        <v>0</v>
      </c>
      <c r="V431" s="59">
        <f t="shared" si="65"/>
        <v>0</v>
      </c>
      <c r="W431" s="39">
        <f t="shared" si="60"/>
        <v>0</v>
      </c>
      <c r="X431" s="40">
        <f t="shared" si="63"/>
        <v>0</v>
      </c>
      <c r="Y431"/>
      <c r="Z431"/>
      <c r="AA431"/>
    </row>
    <row r="432" spans="1:27" s="51" customFormat="1" ht="18.600000000000001" hidden="1" customHeight="1" x14ac:dyDescent="0.25">
      <c r="A432" s="82" t="s">
        <v>16</v>
      </c>
      <c r="B432" s="41" t="s">
        <v>1001</v>
      </c>
      <c r="C432" s="42" t="s">
        <v>1002</v>
      </c>
      <c r="D432" s="41" t="s">
        <v>1121</v>
      </c>
      <c r="E432" s="43" t="s">
        <v>1122</v>
      </c>
      <c r="F432" s="43" t="s">
        <v>1004</v>
      </c>
      <c r="G432" s="43">
        <v>1</v>
      </c>
      <c r="H432" s="85" t="s">
        <v>1123</v>
      </c>
      <c r="I432" s="23" t="s">
        <v>24</v>
      </c>
      <c r="J432" s="44">
        <v>135</v>
      </c>
      <c r="K432" s="45">
        <v>0.25</v>
      </c>
      <c r="L432" s="46">
        <f t="shared" si="58"/>
        <v>33.75</v>
      </c>
      <c r="M432" s="47">
        <f t="shared" si="59"/>
        <v>101.25</v>
      </c>
      <c r="N432" s="48">
        <v>0.16</v>
      </c>
      <c r="O432" s="49">
        <f t="shared" si="61"/>
        <v>16.2</v>
      </c>
      <c r="P432" s="50">
        <f t="shared" si="62"/>
        <v>117.45</v>
      </c>
      <c r="Q432" s="23"/>
      <c r="R432" s="60"/>
      <c r="S432" s="61"/>
      <c r="T432" s="62">
        <f t="shared" si="64"/>
        <v>0</v>
      </c>
      <c r="U432" s="46">
        <f t="shared" si="64"/>
        <v>0</v>
      </c>
      <c r="V432" s="63">
        <f t="shared" si="65"/>
        <v>0</v>
      </c>
      <c r="W432" s="49">
        <f t="shared" si="60"/>
        <v>0</v>
      </c>
      <c r="X432" s="50">
        <f t="shared" si="63"/>
        <v>0</v>
      </c>
      <c r="Y432"/>
      <c r="Z432"/>
      <c r="AA432"/>
    </row>
    <row r="433" spans="1:27" s="51" customFormat="1" ht="18.600000000000001" hidden="1" customHeight="1" x14ac:dyDescent="0.25">
      <c r="A433" s="80" t="s">
        <v>16</v>
      </c>
      <c r="B433" s="20" t="s">
        <v>1001</v>
      </c>
      <c r="C433" s="21" t="s">
        <v>1002</v>
      </c>
      <c r="D433" s="20" t="s">
        <v>1124</v>
      </c>
      <c r="E433" s="22" t="s">
        <v>1125</v>
      </c>
      <c r="F433" s="22" t="s">
        <v>1004</v>
      </c>
      <c r="G433" s="22">
        <v>1</v>
      </c>
      <c r="H433" s="83" t="s">
        <v>1126</v>
      </c>
      <c r="I433" s="23" t="s">
        <v>24</v>
      </c>
      <c r="J433" s="24">
        <v>135</v>
      </c>
      <c r="K433" s="25">
        <v>0.25</v>
      </c>
      <c r="L433" s="26">
        <f t="shared" si="58"/>
        <v>33.75</v>
      </c>
      <c r="M433" s="27">
        <f t="shared" si="59"/>
        <v>101.25</v>
      </c>
      <c r="N433" s="28">
        <v>0.16</v>
      </c>
      <c r="O433" s="29">
        <f t="shared" si="61"/>
        <v>16.2</v>
      </c>
      <c r="P433" s="30">
        <f t="shared" si="62"/>
        <v>117.45</v>
      </c>
      <c r="Q433" s="23"/>
      <c r="R433" s="52"/>
      <c r="S433" s="53"/>
      <c r="T433" s="54">
        <f t="shared" si="64"/>
        <v>0</v>
      </c>
      <c r="U433" s="26">
        <f t="shared" si="64"/>
        <v>0</v>
      </c>
      <c r="V433" s="55">
        <f t="shared" si="65"/>
        <v>0</v>
      </c>
      <c r="W433" s="29">
        <f t="shared" si="60"/>
        <v>0</v>
      </c>
      <c r="X433" s="30">
        <f t="shared" si="63"/>
        <v>0</v>
      </c>
      <c r="Y433"/>
      <c r="Z433"/>
      <c r="AA433"/>
    </row>
    <row r="434" spans="1:27" s="51" customFormat="1" ht="18.600000000000001" hidden="1" customHeight="1" x14ac:dyDescent="0.25">
      <c r="A434" s="81" t="s">
        <v>16</v>
      </c>
      <c r="B434" s="31" t="s">
        <v>1001</v>
      </c>
      <c r="C434" s="32" t="s">
        <v>1002</v>
      </c>
      <c r="D434" s="31" t="s">
        <v>1127</v>
      </c>
      <c r="E434" s="33" t="s">
        <v>1128</v>
      </c>
      <c r="F434" s="33" t="s">
        <v>1004</v>
      </c>
      <c r="G434" s="33">
        <v>1</v>
      </c>
      <c r="H434" s="84" t="s">
        <v>683</v>
      </c>
      <c r="I434" s="23" t="s">
        <v>24</v>
      </c>
      <c r="J434" s="34">
        <v>135</v>
      </c>
      <c r="K434" s="35">
        <v>0.25</v>
      </c>
      <c r="L434" s="36">
        <f t="shared" si="58"/>
        <v>33.75</v>
      </c>
      <c r="M434" s="37">
        <f t="shared" si="59"/>
        <v>101.25</v>
      </c>
      <c r="N434" s="38">
        <v>0.16</v>
      </c>
      <c r="O434" s="39">
        <f t="shared" si="61"/>
        <v>16.2</v>
      </c>
      <c r="P434" s="40">
        <f t="shared" si="62"/>
        <v>117.45</v>
      </c>
      <c r="Q434" s="23"/>
      <c r="R434" s="56"/>
      <c r="S434" s="57"/>
      <c r="T434" s="58">
        <f t="shared" si="64"/>
        <v>0</v>
      </c>
      <c r="U434" s="36">
        <f t="shared" si="64"/>
        <v>0</v>
      </c>
      <c r="V434" s="59">
        <f t="shared" si="65"/>
        <v>0</v>
      </c>
      <c r="W434" s="39">
        <f t="shared" si="60"/>
        <v>0</v>
      </c>
      <c r="X434" s="40">
        <f t="shared" si="63"/>
        <v>0</v>
      </c>
      <c r="Y434"/>
      <c r="Z434"/>
      <c r="AA434"/>
    </row>
    <row r="435" spans="1:27" s="51" customFormat="1" ht="18.600000000000001" hidden="1" customHeight="1" x14ac:dyDescent="0.25">
      <c r="A435" s="82" t="s">
        <v>16</v>
      </c>
      <c r="B435" s="41" t="s">
        <v>1001</v>
      </c>
      <c r="C435" s="42" t="s">
        <v>1002</v>
      </c>
      <c r="D435" s="41" t="s">
        <v>1129</v>
      </c>
      <c r="E435" s="43" t="s">
        <v>1130</v>
      </c>
      <c r="F435" s="43" t="s">
        <v>1004</v>
      </c>
      <c r="G435" s="43">
        <v>1</v>
      </c>
      <c r="H435" s="85" t="s">
        <v>1131</v>
      </c>
      <c r="I435" s="23" t="s">
        <v>24</v>
      </c>
      <c r="J435" s="44">
        <v>135</v>
      </c>
      <c r="K435" s="45">
        <v>0.25</v>
      </c>
      <c r="L435" s="46">
        <f t="shared" si="58"/>
        <v>33.75</v>
      </c>
      <c r="M435" s="47">
        <f t="shared" si="59"/>
        <v>101.25</v>
      </c>
      <c r="N435" s="48">
        <v>0.16</v>
      </c>
      <c r="O435" s="49">
        <f t="shared" si="61"/>
        <v>16.2</v>
      </c>
      <c r="P435" s="50">
        <f t="shared" si="62"/>
        <v>117.45</v>
      </c>
      <c r="Q435" s="23"/>
      <c r="R435" s="60"/>
      <c r="S435" s="61"/>
      <c r="T435" s="62">
        <f t="shared" si="64"/>
        <v>0</v>
      </c>
      <c r="U435" s="46">
        <f t="shared" si="64"/>
        <v>0</v>
      </c>
      <c r="V435" s="63">
        <f t="shared" si="65"/>
        <v>0</v>
      </c>
      <c r="W435" s="49">
        <f t="shared" si="60"/>
        <v>0</v>
      </c>
      <c r="X435" s="50">
        <f t="shared" si="63"/>
        <v>0</v>
      </c>
      <c r="Y435"/>
      <c r="Z435"/>
      <c r="AA435"/>
    </row>
    <row r="436" spans="1:27" s="51" customFormat="1" ht="18.600000000000001" hidden="1" customHeight="1" x14ac:dyDescent="0.25">
      <c r="A436" s="80" t="s">
        <v>16</v>
      </c>
      <c r="B436" s="20" t="s">
        <v>1001</v>
      </c>
      <c r="C436" s="21" t="s">
        <v>1002</v>
      </c>
      <c r="D436" s="20" t="s">
        <v>1132</v>
      </c>
      <c r="E436" s="22" t="s">
        <v>1133</v>
      </c>
      <c r="F436" s="22" t="s">
        <v>1004</v>
      </c>
      <c r="G436" s="22">
        <v>1</v>
      </c>
      <c r="H436" s="83" t="s">
        <v>1134</v>
      </c>
      <c r="I436" s="23" t="s">
        <v>24</v>
      </c>
      <c r="J436" s="24">
        <v>135</v>
      </c>
      <c r="K436" s="25">
        <v>0.25</v>
      </c>
      <c r="L436" s="26">
        <f t="shared" si="58"/>
        <v>33.75</v>
      </c>
      <c r="M436" s="27">
        <f t="shared" si="59"/>
        <v>101.25</v>
      </c>
      <c r="N436" s="28">
        <v>0.16</v>
      </c>
      <c r="O436" s="29">
        <f t="shared" si="61"/>
        <v>16.2</v>
      </c>
      <c r="P436" s="30">
        <f t="shared" si="62"/>
        <v>117.45</v>
      </c>
      <c r="Q436" s="23"/>
      <c r="R436" s="52"/>
      <c r="S436" s="53"/>
      <c r="T436" s="54">
        <f t="shared" si="64"/>
        <v>0</v>
      </c>
      <c r="U436" s="26">
        <f t="shared" si="64"/>
        <v>0</v>
      </c>
      <c r="V436" s="55">
        <f t="shared" si="65"/>
        <v>0</v>
      </c>
      <c r="W436" s="29">
        <f t="shared" si="60"/>
        <v>0</v>
      </c>
      <c r="X436" s="30">
        <f t="shared" si="63"/>
        <v>0</v>
      </c>
      <c r="Y436"/>
      <c r="Z436"/>
      <c r="AA436"/>
    </row>
    <row r="437" spans="1:27" s="51" customFormat="1" ht="18.600000000000001" hidden="1" customHeight="1" x14ac:dyDescent="0.25">
      <c r="A437" s="81" t="s">
        <v>16</v>
      </c>
      <c r="B437" s="31" t="s">
        <v>1001</v>
      </c>
      <c r="C437" s="32" t="s">
        <v>1002</v>
      </c>
      <c r="D437" s="31" t="s">
        <v>1135</v>
      </c>
      <c r="E437" s="33" t="s">
        <v>1136</v>
      </c>
      <c r="F437" s="33" t="s">
        <v>1004</v>
      </c>
      <c r="G437" s="33">
        <v>1</v>
      </c>
      <c r="H437" s="84" t="s">
        <v>1137</v>
      </c>
      <c r="I437" s="23" t="s">
        <v>24</v>
      </c>
      <c r="J437" s="34">
        <v>135</v>
      </c>
      <c r="K437" s="35">
        <v>0.25</v>
      </c>
      <c r="L437" s="36">
        <f t="shared" si="58"/>
        <v>33.75</v>
      </c>
      <c r="M437" s="37">
        <f t="shared" si="59"/>
        <v>101.25</v>
      </c>
      <c r="N437" s="38">
        <v>0.16</v>
      </c>
      <c r="O437" s="39">
        <f t="shared" si="61"/>
        <v>16.2</v>
      </c>
      <c r="P437" s="40">
        <f t="shared" si="62"/>
        <v>117.45</v>
      </c>
      <c r="Q437" s="23"/>
      <c r="R437" s="56"/>
      <c r="S437" s="57"/>
      <c r="T437" s="58">
        <f t="shared" si="64"/>
        <v>0</v>
      </c>
      <c r="U437" s="36">
        <f t="shared" si="64"/>
        <v>0</v>
      </c>
      <c r="V437" s="59">
        <f t="shared" si="65"/>
        <v>0</v>
      </c>
      <c r="W437" s="39">
        <f t="shared" si="60"/>
        <v>0</v>
      </c>
      <c r="X437" s="40">
        <f t="shared" si="63"/>
        <v>0</v>
      </c>
      <c r="Y437"/>
      <c r="Z437"/>
      <c r="AA437"/>
    </row>
    <row r="438" spans="1:27" s="51" customFormat="1" ht="18.600000000000001" hidden="1" customHeight="1" x14ac:dyDescent="0.25">
      <c r="A438" s="82" t="s">
        <v>16</v>
      </c>
      <c r="B438" s="41" t="s">
        <v>1001</v>
      </c>
      <c r="C438" s="42" t="s">
        <v>1002</v>
      </c>
      <c r="D438" s="41" t="s">
        <v>1138</v>
      </c>
      <c r="E438" s="43" t="s">
        <v>1139</v>
      </c>
      <c r="F438" s="43" t="s">
        <v>1004</v>
      </c>
      <c r="G438" s="43">
        <v>1</v>
      </c>
      <c r="H438" s="85" t="s">
        <v>1140</v>
      </c>
      <c r="I438" s="23" t="s">
        <v>24</v>
      </c>
      <c r="J438" s="44">
        <v>135</v>
      </c>
      <c r="K438" s="45">
        <v>0.25</v>
      </c>
      <c r="L438" s="46">
        <f t="shared" si="58"/>
        <v>33.75</v>
      </c>
      <c r="M438" s="47">
        <f t="shared" si="59"/>
        <v>101.25</v>
      </c>
      <c r="N438" s="48">
        <v>0.16</v>
      </c>
      <c r="O438" s="49">
        <f t="shared" si="61"/>
        <v>16.2</v>
      </c>
      <c r="P438" s="50">
        <f t="shared" si="62"/>
        <v>117.45</v>
      </c>
      <c r="Q438" s="23"/>
      <c r="R438" s="60"/>
      <c r="S438" s="61"/>
      <c r="T438" s="62">
        <f t="shared" si="64"/>
        <v>0</v>
      </c>
      <c r="U438" s="46">
        <f t="shared" si="64"/>
        <v>0</v>
      </c>
      <c r="V438" s="63">
        <f t="shared" si="65"/>
        <v>0</v>
      </c>
      <c r="W438" s="49">
        <f t="shared" si="60"/>
        <v>0</v>
      </c>
      <c r="X438" s="50">
        <f t="shared" si="63"/>
        <v>0</v>
      </c>
      <c r="Y438"/>
      <c r="Z438"/>
      <c r="AA438"/>
    </row>
    <row r="439" spans="1:27" s="51" customFormat="1" ht="18.600000000000001" hidden="1" customHeight="1" x14ac:dyDescent="0.25">
      <c r="A439" s="80" t="s">
        <v>16</v>
      </c>
      <c r="B439" s="20" t="s">
        <v>1001</v>
      </c>
      <c r="C439" s="21" t="s">
        <v>1002</v>
      </c>
      <c r="D439" s="20" t="s">
        <v>1141</v>
      </c>
      <c r="E439" s="22" t="s">
        <v>1142</v>
      </c>
      <c r="F439" s="22" t="s">
        <v>1004</v>
      </c>
      <c r="G439" s="22">
        <v>1</v>
      </c>
      <c r="H439" s="83" t="s">
        <v>1143</v>
      </c>
      <c r="I439" s="23" t="s">
        <v>24</v>
      </c>
      <c r="J439" s="24">
        <v>135</v>
      </c>
      <c r="K439" s="25">
        <v>0.25</v>
      </c>
      <c r="L439" s="26">
        <f t="shared" si="58"/>
        <v>33.75</v>
      </c>
      <c r="M439" s="27">
        <f t="shared" si="59"/>
        <v>101.25</v>
      </c>
      <c r="N439" s="28">
        <v>0.16</v>
      </c>
      <c r="O439" s="29">
        <f t="shared" si="61"/>
        <v>16.2</v>
      </c>
      <c r="P439" s="30">
        <f t="shared" si="62"/>
        <v>117.45</v>
      </c>
      <c r="Q439" s="23"/>
      <c r="R439" s="52"/>
      <c r="S439" s="53"/>
      <c r="T439" s="54">
        <f t="shared" si="64"/>
        <v>0</v>
      </c>
      <c r="U439" s="26">
        <f t="shared" si="64"/>
        <v>0</v>
      </c>
      <c r="V439" s="55">
        <f t="shared" si="65"/>
        <v>0</v>
      </c>
      <c r="W439" s="29">
        <f t="shared" si="60"/>
        <v>0</v>
      </c>
      <c r="X439" s="30">
        <f t="shared" si="63"/>
        <v>0</v>
      </c>
      <c r="Y439"/>
      <c r="Z439"/>
      <c r="AA439"/>
    </row>
    <row r="440" spans="1:27" s="51" customFormat="1" ht="18.600000000000001" hidden="1" customHeight="1" x14ac:dyDescent="0.25">
      <c r="A440" s="81" t="s">
        <v>16</v>
      </c>
      <c r="B440" s="31" t="s">
        <v>1001</v>
      </c>
      <c r="C440" s="32" t="s">
        <v>1002</v>
      </c>
      <c r="D440" s="31" t="s">
        <v>1144</v>
      </c>
      <c r="E440" s="33" t="s">
        <v>1145</v>
      </c>
      <c r="F440" s="33" t="s">
        <v>1004</v>
      </c>
      <c r="G440" s="33">
        <v>1</v>
      </c>
      <c r="H440" s="84" t="s">
        <v>1146</v>
      </c>
      <c r="I440" s="23" t="s">
        <v>24</v>
      </c>
      <c r="J440" s="34">
        <v>135</v>
      </c>
      <c r="K440" s="35">
        <v>0.25</v>
      </c>
      <c r="L440" s="36">
        <f t="shared" si="58"/>
        <v>33.75</v>
      </c>
      <c r="M440" s="37">
        <f t="shared" si="59"/>
        <v>101.25</v>
      </c>
      <c r="N440" s="38">
        <v>0.16</v>
      </c>
      <c r="O440" s="39">
        <f t="shared" si="61"/>
        <v>16.2</v>
      </c>
      <c r="P440" s="40">
        <f t="shared" si="62"/>
        <v>117.45</v>
      </c>
      <c r="Q440" s="23"/>
      <c r="R440" s="56"/>
      <c r="S440" s="57"/>
      <c r="T440" s="58">
        <f t="shared" si="64"/>
        <v>0</v>
      </c>
      <c r="U440" s="36">
        <f t="shared" si="64"/>
        <v>0</v>
      </c>
      <c r="V440" s="59">
        <f t="shared" si="65"/>
        <v>0</v>
      </c>
      <c r="W440" s="39">
        <f t="shared" si="60"/>
        <v>0</v>
      </c>
      <c r="X440" s="40">
        <f t="shared" si="63"/>
        <v>0</v>
      </c>
      <c r="Y440"/>
      <c r="Z440"/>
      <c r="AA440"/>
    </row>
    <row r="441" spans="1:27" s="51" customFormat="1" ht="18.600000000000001" hidden="1" customHeight="1" x14ac:dyDescent="0.25">
      <c r="A441" s="82" t="s">
        <v>16</v>
      </c>
      <c r="B441" s="41" t="s">
        <v>1001</v>
      </c>
      <c r="C441" s="42" t="s">
        <v>1147</v>
      </c>
      <c r="D441" s="41" t="s">
        <v>1148</v>
      </c>
      <c r="E441" s="43" t="s">
        <v>1149</v>
      </c>
      <c r="F441" s="43" t="s">
        <v>1004</v>
      </c>
      <c r="G441" s="43">
        <v>1</v>
      </c>
      <c r="H441" s="85" t="s">
        <v>1150</v>
      </c>
      <c r="I441" s="23" t="s">
        <v>24</v>
      </c>
      <c r="J441" s="44">
        <v>135</v>
      </c>
      <c r="K441" s="45">
        <v>0.25</v>
      </c>
      <c r="L441" s="46">
        <f t="shared" si="58"/>
        <v>33.75</v>
      </c>
      <c r="M441" s="47">
        <f t="shared" si="59"/>
        <v>101.25</v>
      </c>
      <c r="N441" s="48">
        <v>0.16</v>
      </c>
      <c r="O441" s="49">
        <f t="shared" si="61"/>
        <v>16.2</v>
      </c>
      <c r="P441" s="50">
        <f t="shared" si="62"/>
        <v>117.45</v>
      </c>
      <c r="Q441" s="23"/>
      <c r="R441" s="60"/>
      <c r="S441" s="61"/>
      <c r="T441" s="62">
        <f t="shared" si="64"/>
        <v>0</v>
      </c>
      <c r="U441" s="46">
        <f t="shared" si="64"/>
        <v>0</v>
      </c>
      <c r="V441" s="63">
        <f t="shared" si="65"/>
        <v>0</v>
      </c>
      <c r="W441" s="49">
        <f t="shared" si="60"/>
        <v>0</v>
      </c>
      <c r="X441" s="50">
        <f t="shared" si="63"/>
        <v>0</v>
      </c>
      <c r="Y441"/>
      <c r="Z441"/>
      <c r="AA441"/>
    </row>
    <row r="442" spans="1:27" s="51" customFormat="1" ht="18.600000000000001" hidden="1" customHeight="1" x14ac:dyDescent="0.25">
      <c r="A442" s="80" t="s">
        <v>16</v>
      </c>
      <c r="B442" s="20" t="s">
        <v>1001</v>
      </c>
      <c r="C442" s="21" t="s">
        <v>1147</v>
      </c>
      <c r="D442" s="20" t="s">
        <v>1151</v>
      </c>
      <c r="E442" s="22" t="s">
        <v>1152</v>
      </c>
      <c r="F442" s="22" t="s">
        <v>1004</v>
      </c>
      <c r="G442" s="22">
        <v>1</v>
      </c>
      <c r="H442" s="83" t="s">
        <v>1153</v>
      </c>
      <c r="I442" s="23" t="s">
        <v>24</v>
      </c>
      <c r="J442" s="24">
        <v>135</v>
      </c>
      <c r="K442" s="25">
        <v>0.25</v>
      </c>
      <c r="L442" s="26">
        <f t="shared" si="58"/>
        <v>33.75</v>
      </c>
      <c r="M442" s="27">
        <f t="shared" si="59"/>
        <v>101.25</v>
      </c>
      <c r="N442" s="28">
        <v>0.16</v>
      </c>
      <c r="O442" s="29">
        <f t="shared" si="61"/>
        <v>16.2</v>
      </c>
      <c r="P442" s="30">
        <f t="shared" si="62"/>
        <v>117.45</v>
      </c>
      <c r="Q442" s="23"/>
      <c r="R442" s="52"/>
      <c r="S442" s="53"/>
      <c r="T442" s="54">
        <f t="shared" si="64"/>
        <v>0</v>
      </c>
      <c r="U442" s="26">
        <f t="shared" si="64"/>
        <v>0</v>
      </c>
      <c r="V442" s="55">
        <f t="shared" si="65"/>
        <v>0</v>
      </c>
      <c r="W442" s="29">
        <f t="shared" si="60"/>
        <v>0</v>
      </c>
      <c r="X442" s="30">
        <f t="shared" si="63"/>
        <v>0</v>
      </c>
      <c r="Y442"/>
      <c r="Z442"/>
      <c r="AA442"/>
    </row>
    <row r="443" spans="1:27" s="51" customFormat="1" ht="18.600000000000001" hidden="1" customHeight="1" x14ac:dyDescent="0.25">
      <c r="A443" s="81" t="s">
        <v>16</v>
      </c>
      <c r="B443" s="31" t="s">
        <v>1001</v>
      </c>
      <c r="C443" s="32" t="s">
        <v>1147</v>
      </c>
      <c r="D443" s="31" t="s">
        <v>1154</v>
      </c>
      <c r="E443" s="33" t="s">
        <v>1155</v>
      </c>
      <c r="F443" s="33" t="s">
        <v>1004</v>
      </c>
      <c r="G443" s="33">
        <v>1</v>
      </c>
      <c r="H443" s="84" t="s">
        <v>1156</v>
      </c>
      <c r="I443" s="23" t="s">
        <v>24</v>
      </c>
      <c r="J443" s="34">
        <v>135</v>
      </c>
      <c r="K443" s="35">
        <v>0.25</v>
      </c>
      <c r="L443" s="36">
        <f t="shared" si="58"/>
        <v>33.75</v>
      </c>
      <c r="M443" s="37">
        <f t="shared" si="59"/>
        <v>101.25</v>
      </c>
      <c r="N443" s="38">
        <v>0.16</v>
      </c>
      <c r="O443" s="39">
        <f t="shared" si="61"/>
        <v>16.2</v>
      </c>
      <c r="P443" s="40">
        <f t="shared" si="62"/>
        <v>117.45</v>
      </c>
      <c r="Q443" s="23"/>
      <c r="R443" s="56"/>
      <c r="S443" s="57"/>
      <c r="T443" s="58">
        <f t="shared" si="64"/>
        <v>0</v>
      </c>
      <c r="U443" s="36">
        <f t="shared" si="64"/>
        <v>0</v>
      </c>
      <c r="V443" s="59">
        <f t="shared" si="65"/>
        <v>0</v>
      </c>
      <c r="W443" s="39">
        <f t="shared" si="60"/>
        <v>0</v>
      </c>
      <c r="X443" s="40">
        <f t="shared" si="63"/>
        <v>0</v>
      </c>
      <c r="Y443"/>
      <c r="Z443"/>
      <c r="AA443"/>
    </row>
    <row r="444" spans="1:27" s="51" customFormat="1" ht="18.600000000000001" hidden="1" customHeight="1" x14ac:dyDescent="0.25">
      <c r="A444" s="82" t="s">
        <v>16</v>
      </c>
      <c r="B444" s="41" t="s">
        <v>1001</v>
      </c>
      <c r="C444" s="42" t="s">
        <v>1147</v>
      </c>
      <c r="D444" s="41" t="s">
        <v>1157</v>
      </c>
      <c r="E444" s="43" t="s">
        <v>1158</v>
      </c>
      <c r="F444" s="43" t="s">
        <v>1004</v>
      </c>
      <c r="G444" s="43">
        <v>1</v>
      </c>
      <c r="H444" s="85" t="s">
        <v>1159</v>
      </c>
      <c r="I444" s="23" t="s">
        <v>24</v>
      </c>
      <c r="J444" s="44">
        <v>135</v>
      </c>
      <c r="K444" s="45">
        <v>0.25</v>
      </c>
      <c r="L444" s="46">
        <f t="shared" si="58"/>
        <v>33.75</v>
      </c>
      <c r="M444" s="47">
        <f t="shared" si="59"/>
        <v>101.25</v>
      </c>
      <c r="N444" s="48">
        <v>0.16</v>
      </c>
      <c r="O444" s="49">
        <f t="shared" si="61"/>
        <v>16.2</v>
      </c>
      <c r="P444" s="50">
        <f t="shared" si="62"/>
        <v>117.45</v>
      </c>
      <c r="Q444" s="23"/>
      <c r="R444" s="60"/>
      <c r="S444" s="61"/>
      <c r="T444" s="62">
        <f t="shared" si="64"/>
        <v>0</v>
      </c>
      <c r="U444" s="46">
        <f t="shared" si="64"/>
        <v>0</v>
      </c>
      <c r="V444" s="63">
        <f t="shared" si="65"/>
        <v>0</v>
      </c>
      <c r="W444" s="49">
        <f t="shared" si="60"/>
        <v>0</v>
      </c>
      <c r="X444" s="50">
        <f t="shared" si="63"/>
        <v>0</v>
      </c>
      <c r="Y444"/>
      <c r="Z444"/>
      <c r="AA444"/>
    </row>
    <row r="445" spans="1:27" s="51" customFormat="1" ht="18.600000000000001" hidden="1" customHeight="1" x14ac:dyDescent="0.25">
      <c r="A445" s="80" t="s">
        <v>16</v>
      </c>
      <c r="B445" s="20" t="s">
        <v>1001</v>
      </c>
      <c r="C445" s="21" t="s">
        <v>1147</v>
      </c>
      <c r="D445" s="20" t="s">
        <v>1160</v>
      </c>
      <c r="E445" s="22" t="s">
        <v>1161</v>
      </c>
      <c r="F445" s="22" t="s">
        <v>1004</v>
      </c>
      <c r="G445" s="22">
        <v>1</v>
      </c>
      <c r="H445" s="83" t="s">
        <v>1162</v>
      </c>
      <c r="I445" s="23" t="s">
        <v>24</v>
      </c>
      <c r="J445" s="24">
        <v>135</v>
      </c>
      <c r="K445" s="25">
        <v>0.25</v>
      </c>
      <c r="L445" s="26">
        <f t="shared" si="58"/>
        <v>33.75</v>
      </c>
      <c r="M445" s="27">
        <f t="shared" si="59"/>
        <v>101.25</v>
      </c>
      <c r="N445" s="28">
        <v>0.16</v>
      </c>
      <c r="O445" s="29">
        <f t="shared" si="61"/>
        <v>16.2</v>
      </c>
      <c r="P445" s="30">
        <f t="shared" si="62"/>
        <v>117.45</v>
      </c>
      <c r="Q445" s="23"/>
      <c r="R445" s="52"/>
      <c r="S445" s="53"/>
      <c r="T445" s="54">
        <f t="shared" si="64"/>
        <v>0</v>
      </c>
      <c r="U445" s="26">
        <f t="shared" si="64"/>
        <v>0</v>
      </c>
      <c r="V445" s="55">
        <f t="shared" si="65"/>
        <v>0</v>
      </c>
      <c r="W445" s="29">
        <f t="shared" si="60"/>
        <v>0</v>
      </c>
      <c r="X445" s="30">
        <f t="shared" si="63"/>
        <v>0</v>
      </c>
      <c r="Y445"/>
      <c r="Z445"/>
      <c r="AA445"/>
    </row>
    <row r="446" spans="1:27" s="51" customFormat="1" ht="18.600000000000001" hidden="1" customHeight="1" x14ac:dyDescent="0.25">
      <c r="A446" s="81" t="s">
        <v>16</v>
      </c>
      <c r="B446" s="31" t="s">
        <v>1001</v>
      </c>
      <c r="C446" s="32" t="s">
        <v>1147</v>
      </c>
      <c r="D446" s="31" t="s">
        <v>1163</v>
      </c>
      <c r="E446" s="33" t="s">
        <v>1164</v>
      </c>
      <c r="F446" s="33" t="s">
        <v>1004</v>
      </c>
      <c r="G446" s="33">
        <v>1</v>
      </c>
      <c r="H446" s="84" t="s">
        <v>1165</v>
      </c>
      <c r="I446" s="23" t="s">
        <v>24</v>
      </c>
      <c r="J446" s="34">
        <v>135</v>
      </c>
      <c r="K446" s="35">
        <v>0.25</v>
      </c>
      <c r="L446" s="36">
        <f t="shared" si="58"/>
        <v>33.75</v>
      </c>
      <c r="M446" s="37">
        <f t="shared" si="59"/>
        <v>101.25</v>
      </c>
      <c r="N446" s="38">
        <v>0.16</v>
      </c>
      <c r="O446" s="39">
        <f t="shared" si="61"/>
        <v>16.2</v>
      </c>
      <c r="P446" s="40">
        <f t="shared" si="62"/>
        <v>117.45</v>
      </c>
      <c r="Q446" s="23"/>
      <c r="R446" s="56"/>
      <c r="S446" s="57"/>
      <c r="T446" s="58">
        <f t="shared" si="64"/>
        <v>0</v>
      </c>
      <c r="U446" s="36">
        <f t="shared" si="64"/>
        <v>0</v>
      </c>
      <c r="V446" s="59">
        <f t="shared" si="65"/>
        <v>0</v>
      </c>
      <c r="W446" s="39">
        <f t="shared" si="60"/>
        <v>0</v>
      </c>
      <c r="X446" s="40">
        <f t="shared" si="63"/>
        <v>0</v>
      </c>
      <c r="Y446"/>
      <c r="Z446"/>
      <c r="AA446"/>
    </row>
    <row r="447" spans="1:27" s="51" customFormat="1" ht="18.600000000000001" hidden="1" customHeight="1" x14ac:dyDescent="0.25">
      <c r="A447" s="82" t="s">
        <v>16</v>
      </c>
      <c r="B447" s="41" t="s">
        <v>1001</v>
      </c>
      <c r="C447" s="42" t="s">
        <v>1166</v>
      </c>
      <c r="D447" s="41" t="s">
        <v>1167</v>
      </c>
      <c r="E447" s="43" t="s">
        <v>1168</v>
      </c>
      <c r="F447" s="43" t="s">
        <v>1004</v>
      </c>
      <c r="G447" s="43">
        <v>1</v>
      </c>
      <c r="H447" s="85" t="s">
        <v>1169</v>
      </c>
      <c r="I447" s="23" t="s">
        <v>24</v>
      </c>
      <c r="J447" s="44">
        <v>135</v>
      </c>
      <c r="K447" s="45">
        <v>0.25</v>
      </c>
      <c r="L447" s="46">
        <f t="shared" si="58"/>
        <v>33.75</v>
      </c>
      <c r="M447" s="47">
        <f t="shared" si="59"/>
        <v>101.25</v>
      </c>
      <c r="N447" s="48">
        <v>0.16</v>
      </c>
      <c r="O447" s="49">
        <f t="shared" si="61"/>
        <v>16.2</v>
      </c>
      <c r="P447" s="50">
        <f t="shared" si="62"/>
        <v>117.45</v>
      </c>
      <c r="Q447" s="23"/>
      <c r="R447" s="60"/>
      <c r="S447" s="61"/>
      <c r="T447" s="62">
        <f t="shared" si="64"/>
        <v>0</v>
      </c>
      <c r="U447" s="46">
        <f t="shared" si="64"/>
        <v>0</v>
      </c>
      <c r="V447" s="63">
        <f t="shared" si="65"/>
        <v>0</v>
      </c>
      <c r="W447" s="49">
        <f t="shared" si="60"/>
        <v>0</v>
      </c>
      <c r="X447" s="50">
        <f t="shared" si="63"/>
        <v>0</v>
      </c>
      <c r="Y447"/>
      <c r="Z447"/>
      <c r="AA447"/>
    </row>
    <row r="448" spans="1:27" s="51" customFormat="1" ht="18.600000000000001" hidden="1" customHeight="1" x14ac:dyDescent="0.25">
      <c r="A448" s="80" t="s">
        <v>16</v>
      </c>
      <c r="B448" s="20" t="s">
        <v>1001</v>
      </c>
      <c r="C448" s="21" t="s">
        <v>1166</v>
      </c>
      <c r="D448" s="20" t="s">
        <v>1170</v>
      </c>
      <c r="E448" s="22" t="s">
        <v>1171</v>
      </c>
      <c r="F448" s="22" t="s">
        <v>1004</v>
      </c>
      <c r="G448" s="22">
        <v>1</v>
      </c>
      <c r="H448" s="83" t="s">
        <v>1172</v>
      </c>
      <c r="I448" s="23" t="s">
        <v>24</v>
      </c>
      <c r="J448" s="24">
        <v>135</v>
      </c>
      <c r="K448" s="25">
        <v>0.25</v>
      </c>
      <c r="L448" s="26">
        <f t="shared" si="58"/>
        <v>33.75</v>
      </c>
      <c r="M448" s="27">
        <f t="shared" si="59"/>
        <v>101.25</v>
      </c>
      <c r="N448" s="28">
        <v>0.16</v>
      </c>
      <c r="O448" s="29">
        <f t="shared" si="61"/>
        <v>16.2</v>
      </c>
      <c r="P448" s="30">
        <f t="shared" si="62"/>
        <v>117.45</v>
      </c>
      <c r="Q448" s="23"/>
      <c r="R448" s="52"/>
      <c r="S448" s="53"/>
      <c r="T448" s="54">
        <f t="shared" si="64"/>
        <v>0</v>
      </c>
      <c r="U448" s="26">
        <f t="shared" si="64"/>
        <v>0</v>
      </c>
      <c r="V448" s="55">
        <f t="shared" si="65"/>
        <v>0</v>
      </c>
      <c r="W448" s="29">
        <f t="shared" si="60"/>
        <v>0</v>
      </c>
      <c r="X448" s="30">
        <f t="shared" si="63"/>
        <v>0</v>
      </c>
      <c r="Y448"/>
      <c r="Z448"/>
      <c r="AA448"/>
    </row>
    <row r="449" spans="1:27" s="51" customFormat="1" ht="18.600000000000001" hidden="1" customHeight="1" x14ac:dyDescent="0.25">
      <c r="A449" s="81" t="s">
        <v>16</v>
      </c>
      <c r="B449" s="31" t="s">
        <v>1001</v>
      </c>
      <c r="C449" s="32" t="s">
        <v>1166</v>
      </c>
      <c r="D449" s="31" t="s">
        <v>1173</v>
      </c>
      <c r="E449" s="33" t="s">
        <v>1174</v>
      </c>
      <c r="F449" s="33" t="s">
        <v>1004</v>
      </c>
      <c r="G449" s="33">
        <v>1</v>
      </c>
      <c r="H449" s="84" t="s">
        <v>1175</v>
      </c>
      <c r="I449" s="23" t="s">
        <v>24</v>
      </c>
      <c r="J449" s="34">
        <v>135</v>
      </c>
      <c r="K449" s="35">
        <v>0.25</v>
      </c>
      <c r="L449" s="36">
        <f t="shared" si="58"/>
        <v>33.75</v>
      </c>
      <c r="M449" s="37">
        <f t="shared" si="59"/>
        <v>101.25</v>
      </c>
      <c r="N449" s="38">
        <v>0.16</v>
      </c>
      <c r="O449" s="39">
        <f t="shared" si="61"/>
        <v>16.2</v>
      </c>
      <c r="P449" s="40">
        <f t="shared" si="62"/>
        <v>117.45</v>
      </c>
      <c r="Q449" s="23"/>
      <c r="R449" s="56"/>
      <c r="S449" s="57"/>
      <c r="T449" s="58">
        <f t="shared" si="64"/>
        <v>0</v>
      </c>
      <c r="U449" s="36">
        <f t="shared" si="64"/>
        <v>0</v>
      </c>
      <c r="V449" s="59">
        <f t="shared" si="65"/>
        <v>0</v>
      </c>
      <c r="W449" s="39">
        <f t="shared" si="60"/>
        <v>0</v>
      </c>
      <c r="X449" s="40">
        <f t="shared" si="63"/>
        <v>0</v>
      </c>
      <c r="Y449"/>
      <c r="Z449"/>
      <c r="AA449"/>
    </row>
    <row r="450" spans="1:27" s="51" customFormat="1" ht="18.600000000000001" hidden="1" customHeight="1" x14ac:dyDescent="0.25">
      <c r="A450" s="82" t="s">
        <v>16</v>
      </c>
      <c r="B450" s="41" t="s">
        <v>1001</v>
      </c>
      <c r="C450" s="42" t="s">
        <v>1166</v>
      </c>
      <c r="D450" s="41" t="s">
        <v>1176</v>
      </c>
      <c r="E450" s="43" t="s">
        <v>1177</v>
      </c>
      <c r="F450" s="43" t="s">
        <v>1004</v>
      </c>
      <c r="G450" s="43">
        <v>1</v>
      </c>
      <c r="H450" s="85" t="s">
        <v>1178</v>
      </c>
      <c r="I450" s="23" t="s">
        <v>24</v>
      </c>
      <c r="J450" s="44">
        <v>135</v>
      </c>
      <c r="K450" s="45">
        <v>0.25</v>
      </c>
      <c r="L450" s="46">
        <f t="shared" si="58"/>
        <v>33.75</v>
      </c>
      <c r="M450" s="47">
        <f t="shared" si="59"/>
        <v>101.25</v>
      </c>
      <c r="N450" s="48">
        <v>0.16</v>
      </c>
      <c r="O450" s="49">
        <f t="shared" si="61"/>
        <v>16.2</v>
      </c>
      <c r="P450" s="50">
        <f t="shared" si="62"/>
        <v>117.45</v>
      </c>
      <c r="Q450" s="23"/>
      <c r="R450" s="60"/>
      <c r="S450" s="61"/>
      <c r="T450" s="62">
        <f t="shared" si="64"/>
        <v>0</v>
      </c>
      <c r="U450" s="46">
        <f t="shared" si="64"/>
        <v>0</v>
      </c>
      <c r="V450" s="63">
        <f t="shared" si="65"/>
        <v>0</v>
      </c>
      <c r="W450" s="49">
        <f t="shared" si="60"/>
        <v>0</v>
      </c>
      <c r="X450" s="50">
        <f t="shared" si="63"/>
        <v>0</v>
      </c>
      <c r="Y450"/>
      <c r="Z450"/>
      <c r="AA450"/>
    </row>
    <row r="451" spans="1:27" s="51" customFormat="1" ht="18.600000000000001" hidden="1" customHeight="1" x14ac:dyDescent="0.25">
      <c r="A451" s="80" t="s">
        <v>16</v>
      </c>
      <c r="B451" s="20" t="s">
        <v>1001</v>
      </c>
      <c r="C451" s="21" t="s">
        <v>1166</v>
      </c>
      <c r="D451" s="20" t="s">
        <v>1179</v>
      </c>
      <c r="E451" s="22" t="s">
        <v>1180</v>
      </c>
      <c r="F451" s="22" t="s">
        <v>1004</v>
      </c>
      <c r="G451" s="22">
        <v>1</v>
      </c>
      <c r="H451" s="83" t="s">
        <v>1181</v>
      </c>
      <c r="I451" s="23" t="s">
        <v>24</v>
      </c>
      <c r="J451" s="24">
        <v>135</v>
      </c>
      <c r="K451" s="25">
        <v>0.25</v>
      </c>
      <c r="L451" s="26">
        <f t="shared" si="58"/>
        <v>33.75</v>
      </c>
      <c r="M451" s="27">
        <f t="shared" si="59"/>
        <v>101.25</v>
      </c>
      <c r="N451" s="28">
        <v>0.16</v>
      </c>
      <c r="O451" s="29">
        <f t="shared" si="61"/>
        <v>16.2</v>
      </c>
      <c r="P451" s="30">
        <f t="shared" si="62"/>
        <v>117.45</v>
      </c>
      <c r="Q451" s="23"/>
      <c r="R451" s="52"/>
      <c r="S451" s="53"/>
      <c r="T451" s="54">
        <f t="shared" si="64"/>
        <v>0</v>
      </c>
      <c r="U451" s="26">
        <f t="shared" si="64"/>
        <v>0</v>
      </c>
      <c r="V451" s="55">
        <f t="shared" si="65"/>
        <v>0</v>
      </c>
      <c r="W451" s="29">
        <f t="shared" si="60"/>
        <v>0</v>
      </c>
      <c r="X451" s="30">
        <f t="shared" si="63"/>
        <v>0</v>
      </c>
      <c r="Y451"/>
      <c r="Z451"/>
      <c r="AA451"/>
    </row>
    <row r="452" spans="1:27" s="51" customFormat="1" ht="18.600000000000001" hidden="1" customHeight="1" x14ac:dyDescent="0.25">
      <c r="A452" s="81" t="s">
        <v>16</v>
      </c>
      <c r="B452" s="31" t="s">
        <v>1001</v>
      </c>
      <c r="C452" s="32" t="s">
        <v>1166</v>
      </c>
      <c r="D452" s="31" t="s">
        <v>1182</v>
      </c>
      <c r="E452" s="33" t="s">
        <v>1183</v>
      </c>
      <c r="F452" s="33" t="s">
        <v>1004</v>
      </c>
      <c r="G452" s="33">
        <v>1</v>
      </c>
      <c r="H452" s="84" t="s">
        <v>1184</v>
      </c>
      <c r="I452" s="23" t="s">
        <v>24</v>
      </c>
      <c r="J452" s="34">
        <v>135</v>
      </c>
      <c r="K452" s="35">
        <v>0.25</v>
      </c>
      <c r="L452" s="36">
        <f t="shared" si="58"/>
        <v>33.75</v>
      </c>
      <c r="M452" s="37">
        <f t="shared" si="59"/>
        <v>101.25</v>
      </c>
      <c r="N452" s="38">
        <v>0.16</v>
      </c>
      <c r="O452" s="39">
        <f t="shared" si="61"/>
        <v>16.2</v>
      </c>
      <c r="P452" s="40">
        <f t="shared" si="62"/>
        <v>117.45</v>
      </c>
      <c r="Q452" s="23"/>
      <c r="R452" s="56"/>
      <c r="S452" s="57"/>
      <c r="T452" s="58">
        <f t="shared" si="64"/>
        <v>0</v>
      </c>
      <c r="U452" s="36">
        <f t="shared" si="64"/>
        <v>0</v>
      </c>
      <c r="V452" s="59">
        <f t="shared" si="65"/>
        <v>0</v>
      </c>
      <c r="W452" s="39">
        <f t="shared" si="60"/>
        <v>0</v>
      </c>
      <c r="X452" s="40">
        <f t="shared" si="63"/>
        <v>0</v>
      </c>
      <c r="Y452"/>
      <c r="Z452"/>
      <c r="AA452"/>
    </row>
    <row r="453" spans="1:27" s="51" customFormat="1" ht="18.600000000000001" hidden="1" customHeight="1" x14ac:dyDescent="0.25">
      <c r="A453" s="82" t="s">
        <v>16</v>
      </c>
      <c r="B453" s="41" t="s">
        <v>1001</v>
      </c>
      <c r="C453" s="42" t="s">
        <v>1166</v>
      </c>
      <c r="D453" s="41" t="s">
        <v>1185</v>
      </c>
      <c r="E453" s="43" t="s">
        <v>1186</v>
      </c>
      <c r="F453" s="43" t="s">
        <v>1004</v>
      </c>
      <c r="G453" s="43">
        <v>1</v>
      </c>
      <c r="H453" s="85" t="s">
        <v>1187</v>
      </c>
      <c r="I453" s="23" t="s">
        <v>24</v>
      </c>
      <c r="J453" s="44">
        <v>135</v>
      </c>
      <c r="K453" s="45">
        <v>0.25</v>
      </c>
      <c r="L453" s="46">
        <f t="shared" si="58"/>
        <v>33.75</v>
      </c>
      <c r="M453" s="47">
        <f t="shared" si="59"/>
        <v>101.25</v>
      </c>
      <c r="N453" s="48">
        <v>0.16</v>
      </c>
      <c r="O453" s="49">
        <f t="shared" si="61"/>
        <v>16.2</v>
      </c>
      <c r="P453" s="50">
        <f t="shared" si="62"/>
        <v>117.45</v>
      </c>
      <c r="Q453" s="23"/>
      <c r="R453" s="60"/>
      <c r="S453" s="61"/>
      <c r="T453" s="62">
        <f t="shared" si="64"/>
        <v>0</v>
      </c>
      <c r="U453" s="46">
        <f t="shared" si="64"/>
        <v>0</v>
      </c>
      <c r="V453" s="63">
        <f t="shared" si="65"/>
        <v>0</v>
      </c>
      <c r="W453" s="49">
        <f t="shared" si="60"/>
        <v>0</v>
      </c>
      <c r="X453" s="50">
        <f t="shared" si="63"/>
        <v>0</v>
      </c>
      <c r="Y453"/>
      <c r="Z453"/>
      <c r="AA453"/>
    </row>
    <row r="454" spans="1:27" s="51" customFormat="1" ht="18.600000000000001" hidden="1" customHeight="1" x14ac:dyDescent="0.25">
      <c r="A454" s="80" t="s">
        <v>16</v>
      </c>
      <c r="B454" s="20" t="s">
        <v>1001</v>
      </c>
      <c r="C454" s="21" t="s">
        <v>1166</v>
      </c>
      <c r="D454" s="20" t="s">
        <v>1188</v>
      </c>
      <c r="E454" s="22" t="s">
        <v>1189</v>
      </c>
      <c r="F454" s="22" t="s">
        <v>1004</v>
      </c>
      <c r="G454" s="22">
        <v>1</v>
      </c>
      <c r="H454" s="83" t="s">
        <v>1190</v>
      </c>
      <c r="I454" s="23" t="s">
        <v>24</v>
      </c>
      <c r="J454" s="24">
        <v>135</v>
      </c>
      <c r="K454" s="25">
        <v>0.25</v>
      </c>
      <c r="L454" s="26">
        <f t="shared" si="58"/>
        <v>33.75</v>
      </c>
      <c r="M454" s="27">
        <f t="shared" si="59"/>
        <v>101.25</v>
      </c>
      <c r="N454" s="28">
        <v>0.16</v>
      </c>
      <c r="O454" s="29">
        <f t="shared" si="61"/>
        <v>16.2</v>
      </c>
      <c r="P454" s="30">
        <f t="shared" si="62"/>
        <v>117.45</v>
      </c>
      <c r="Q454" s="23"/>
      <c r="R454" s="52"/>
      <c r="S454" s="53"/>
      <c r="T454" s="54">
        <f t="shared" si="64"/>
        <v>0</v>
      </c>
      <c r="U454" s="26">
        <f t="shared" si="64"/>
        <v>0</v>
      </c>
      <c r="V454" s="55">
        <f t="shared" si="65"/>
        <v>0</v>
      </c>
      <c r="W454" s="29">
        <f t="shared" si="60"/>
        <v>0</v>
      </c>
      <c r="X454" s="30">
        <f t="shared" si="63"/>
        <v>0</v>
      </c>
      <c r="Y454"/>
      <c r="Z454"/>
      <c r="AA454"/>
    </row>
    <row r="455" spans="1:27" s="51" customFormat="1" ht="18.600000000000001" hidden="1" customHeight="1" x14ac:dyDescent="0.25">
      <c r="A455" s="81" t="s">
        <v>16</v>
      </c>
      <c r="B455" s="31" t="s">
        <v>1001</v>
      </c>
      <c r="C455" s="32" t="s">
        <v>1166</v>
      </c>
      <c r="D455" s="31" t="s">
        <v>1191</v>
      </c>
      <c r="E455" s="33" t="s">
        <v>1192</v>
      </c>
      <c r="F455" s="33" t="s">
        <v>1004</v>
      </c>
      <c r="G455" s="33">
        <v>1</v>
      </c>
      <c r="H455" s="84" t="s">
        <v>1193</v>
      </c>
      <c r="I455" s="23" t="s">
        <v>24</v>
      </c>
      <c r="J455" s="34">
        <v>135</v>
      </c>
      <c r="K455" s="35">
        <v>0.25</v>
      </c>
      <c r="L455" s="36">
        <f t="shared" si="58"/>
        <v>33.75</v>
      </c>
      <c r="M455" s="37">
        <f t="shared" si="59"/>
        <v>101.25</v>
      </c>
      <c r="N455" s="38">
        <v>0.16</v>
      </c>
      <c r="O455" s="39">
        <f t="shared" si="61"/>
        <v>16.2</v>
      </c>
      <c r="P455" s="40">
        <f t="shared" si="62"/>
        <v>117.45</v>
      </c>
      <c r="Q455" s="23"/>
      <c r="R455" s="56"/>
      <c r="S455" s="57"/>
      <c r="T455" s="58">
        <f t="shared" si="64"/>
        <v>0</v>
      </c>
      <c r="U455" s="36">
        <f t="shared" si="64"/>
        <v>0</v>
      </c>
      <c r="V455" s="59">
        <f t="shared" si="65"/>
        <v>0</v>
      </c>
      <c r="W455" s="39">
        <f t="shared" si="60"/>
        <v>0</v>
      </c>
      <c r="X455" s="40">
        <f t="shared" si="63"/>
        <v>0</v>
      </c>
      <c r="Y455"/>
      <c r="Z455"/>
      <c r="AA455"/>
    </row>
    <row r="456" spans="1:27" s="51" customFormat="1" ht="18.600000000000001" hidden="1" customHeight="1" x14ac:dyDescent="0.25">
      <c r="A456" s="82" t="s">
        <v>16</v>
      </c>
      <c r="B456" s="41" t="s">
        <v>1001</v>
      </c>
      <c r="C456" s="42" t="s">
        <v>1166</v>
      </c>
      <c r="D456" s="41" t="s">
        <v>1194</v>
      </c>
      <c r="E456" s="43" t="s">
        <v>1195</v>
      </c>
      <c r="F456" s="43" t="s">
        <v>1004</v>
      </c>
      <c r="G456" s="43">
        <v>1</v>
      </c>
      <c r="H456" s="85" t="s">
        <v>1196</v>
      </c>
      <c r="I456" s="23" t="s">
        <v>24</v>
      </c>
      <c r="J456" s="44">
        <v>135</v>
      </c>
      <c r="K456" s="45">
        <v>0.25</v>
      </c>
      <c r="L456" s="46">
        <f t="shared" si="58"/>
        <v>33.75</v>
      </c>
      <c r="M456" s="47">
        <f t="shared" si="59"/>
        <v>101.25</v>
      </c>
      <c r="N456" s="48">
        <v>0.16</v>
      </c>
      <c r="O456" s="49">
        <f t="shared" si="61"/>
        <v>16.2</v>
      </c>
      <c r="P456" s="50">
        <f t="shared" si="62"/>
        <v>117.45</v>
      </c>
      <c r="Q456" s="23"/>
      <c r="R456" s="60"/>
      <c r="S456" s="61"/>
      <c r="T456" s="62">
        <f t="shared" si="64"/>
        <v>0</v>
      </c>
      <c r="U456" s="46">
        <f t="shared" si="64"/>
        <v>0</v>
      </c>
      <c r="V456" s="63">
        <f t="shared" si="65"/>
        <v>0</v>
      </c>
      <c r="W456" s="49">
        <f t="shared" si="60"/>
        <v>0</v>
      </c>
      <c r="X456" s="50">
        <f t="shared" si="63"/>
        <v>0</v>
      </c>
      <c r="Y456"/>
      <c r="Z456"/>
      <c r="AA456"/>
    </row>
    <row r="457" spans="1:27" s="51" customFormat="1" ht="18.600000000000001" hidden="1" customHeight="1" x14ac:dyDescent="0.25">
      <c r="A457" s="80" t="s">
        <v>16</v>
      </c>
      <c r="B457" s="20" t="s">
        <v>1001</v>
      </c>
      <c r="C457" s="21" t="s">
        <v>1166</v>
      </c>
      <c r="D457" s="20" t="s">
        <v>1197</v>
      </c>
      <c r="E457" s="22" t="s">
        <v>1198</v>
      </c>
      <c r="F457" s="22" t="s">
        <v>1004</v>
      </c>
      <c r="G457" s="22">
        <v>1</v>
      </c>
      <c r="H457" s="83" t="s">
        <v>1199</v>
      </c>
      <c r="I457" s="23" t="s">
        <v>24</v>
      </c>
      <c r="J457" s="24">
        <v>135</v>
      </c>
      <c r="K457" s="25">
        <v>0.25</v>
      </c>
      <c r="L457" s="26">
        <f t="shared" si="58"/>
        <v>33.75</v>
      </c>
      <c r="M457" s="27">
        <f t="shared" si="59"/>
        <v>101.25</v>
      </c>
      <c r="N457" s="28">
        <v>0.16</v>
      </c>
      <c r="O457" s="29">
        <f t="shared" si="61"/>
        <v>16.2</v>
      </c>
      <c r="P457" s="30">
        <f t="shared" si="62"/>
        <v>117.45</v>
      </c>
      <c r="Q457" s="23"/>
      <c r="R457" s="52"/>
      <c r="S457" s="53"/>
      <c r="T457" s="54">
        <f t="shared" si="64"/>
        <v>0</v>
      </c>
      <c r="U457" s="26">
        <f t="shared" si="64"/>
        <v>0</v>
      </c>
      <c r="V457" s="55">
        <f t="shared" si="65"/>
        <v>0</v>
      </c>
      <c r="W457" s="29">
        <f t="shared" si="60"/>
        <v>0</v>
      </c>
      <c r="X457" s="30">
        <f t="shared" si="63"/>
        <v>0</v>
      </c>
      <c r="Y457"/>
      <c r="Z457"/>
      <c r="AA457"/>
    </row>
    <row r="458" spans="1:27" s="51" customFormat="1" ht="18.600000000000001" hidden="1" customHeight="1" x14ac:dyDescent="0.25">
      <c r="A458" s="81" t="s">
        <v>16</v>
      </c>
      <c r="B458" s="31" t="s">
        <v>1001</v>
      </c>
      <c r="C458" s="32" t="s">
        <v>1166</v>
      </c>
      <c r="D458" s="31" t="s">
        <v>1200</v>
      </c>
      <c r="E458" s="33" t="s">
        <v>1201</v>
      </c>
      <c r="F458" s="33" t="s">
        <v>1004</v>
      </c>
      <c r="G458" s="33">
        <v>1</v>
      </c>
      <c r="H458" s="84" t="s">
        <v>1202</v>
      </c>
      <c r="I458" s="23" t="s">
        <v>24</v>
      </c>
      <c r="J458" s="34">
        <v>135</v>
      </c>
      <c r="K458" s="35">
        <v>0.25</v>
      </c>
      <c r="L458" s="36">
        <f t="shared" ref="L458:L521" si="66">+J458*K458</f>
        <v>33.75</v>
      </c>
      <c r="M458" s="37">
        <f t="shared" ref="M458:M521" si="67">+J458-L458</f>
        <v>101.25</v>
      </c>
      <c r="N458" s="38">
        <v>0.16</v>
      </c>
      <c r="O458" s="39">
        <f t="shared" si="61"/>
        <v>16.2</v>
      </c>
      <c r="P458" s="40">
        <f t="shared" si="62"/>
        <v>117.45</v>
      </c>
      <c r="Q458" s="23"/>
      <c r="R458" s="56"/>
      <c r="S458" s="57"/>
      <c r="T458" s="58">
        <f t="shared" si="64"/>
        <v>0</v>
      </c>
      <c r="U458" s="36">
        <f t="shared" si="64"/>
        <v>0</v>
      </c>
      <c r="V458" s="59">
        <f t="shared" si="65"/>
        <v>0</v>
      </c>
      <c r="W458" s="39">
        <f t="shared" ref="W458:W521" si="68">+V458*N458</f>
        <v>0</v>
      </c>
      <c r="X458" s="40">
        <f t="shared" si="63"/>
        <v>0</v>
      </c>
      <c r="Y458"/>
      <c r="Z458"/>
      <c r="AA458"/>
    </row>
    <row r="459" spans="1:27" s="51" customFormat="1" ht="18.600000000000001" hidden="1" customHeight="1" x14ac:dyDescent="0.25">
      <c r="A459" s="82" t="s">
        <v>16</v>
      </c>
      <c r="B459" s="41" t="s">
        <v>1203</v>
      </c>
      <c r="C459" s="42" t="s">
        <v>1001</v>
      </c>
      <c r="D459" s="41" t="s">
        <v>1204</v>
      </c>
      <c r="E459" s="43" t="s">
        <v>1205</v>
      </c>
      <c r="F459" s="43" t="s">
        <v>1004</v>
      </c>
      <c r="G459" s="43" t="s">
        <v>415</v>
      </c>
      <c r="H459" s="85" t="s">
        <v>1206</v>
      </c>
      <c r="I459" s="23" t="s">
        <v>24</v>
      </c>
      <c r="J459" s="44">
        <v>8000</v>
      </c>
      <c r="K459" s="45">
        <v>0.25</v>
      </c>
      <c r="L459" s="46">
        <f t="shared" si="66"/>
        <v>2000</v>
      </c>
      <c r="M459" s="47">
        <f t="shared" si="67"/>
        <v>6000</v>
      </c>
      <c r="N459" s="48">
        <v>0.16</v>
      </c>
      <c r="O459" s="49">
        <f t="shared" ref="O459:O522" si="69">+M459*N459</f>
        <v>960</v>
      </c>
      <c r="P459" s="50">
        <f t="shared" ref="P459:P522" si="70">+M459+O459</f>
        <v>6960</v>
      </c>
      <c r="Q459" s="23"/>
      <c r="R459" s="60"/>
      <c r="S459" s="61"/>
      <c r="T459" s="62">
        <f t="shared" si="64"/>
        <v>0</v>
      </c>
      <c r="U459" s="46">
        <f t="shared" si="64"/>
        <v>0</v>
      </c>
      <c r="V459" s="63">
        <f t="shared" si="65"/>
        <v>0</v>
      </c>
      <c r="W459" s="49">
        <f t="shared" si="68"/>
        <v>0</v>
      </c>
      <c r="X459" s="50">
        <f t="shared" ref="X459:X522" si="71">+V459+W459</f>
        <v>0</v>
      </c>
      <c r="Y459"/>
      <c r="Z459"/>
      <c r="AA459"/>
    </row>
    <row r="460" spans="1:27" s="51" customFormat="1" ht="18.600000000000001" hidden="1" customHeight="1" x14ac:dyDescent="0.25">
      <c r="A460" s="80" t="s">
        <v>16</v>
      </c>
      <c r="B460" s="20" t="s">
        <v>1203</v>
      </c>
      <c r="C460" s="21" t="s">
        <v>1002</v>
      </c>
      <c r="D460" s="20" t="s">
        <v>1207</v>
      </c>
      <c r="E460" s="22" t="s">
        <v>1208</v>
      </c>
      <c r="F460" s="22" t="s">
        <v>1004</v>
      </c>
      <c r="G460" s="22" t="s">
        <v>843</v>
      </c>
      <c r="H460" s="83" t="s">
        <v>598</v>
      </c>
      <c r="I460" s="23" t="s">
        <v>24</v>
      </c>
      <c r="J460" s="24">
        <v>770</v>
      </c>
      <c r="K460" s="25">
        <v>0.25</v>
      </c>
      <c r="L460" s="26">
        <f t="shared" si="66"/>
        <v>192.5</v>
      </c>
      <c r="M460" s="27">
        <f t="shared" si="67"/>
        <v>577.5</v>
      </c>
      <c r="N460" s="28">
        <v>0.16</v>
      </c>
      <c r="O460" s="29">
        <f t="shared" si="69"/>
        <v>92.4</v>
      </c>
      <c r="P460" s="30">
        <f t="shared" si="70"/>
        <v>669.9</v>
      </c>
      <c r="Q460" s="23"/>
      <c r="R460" s="52"/>
      <c r="S460" s="53"/>
      <c r="T460" s="54">
        <f t="shared" si="64"/>
        <v>0</v>
      </c>
      <c r="U460" s="26">
        <f t="shared" si="64"/>
        <v>0</v>
      </c>
      <c r="V460" s="55">
        <f t="shared" si="65"/>
        <v>0</v>
      </c>
      <c r="W460" s="29">
        <f t="shared" si="68"/>
        <v>0</v>
      </c>
      <c r="X460" s="30">
        <f t="shared" si="71"/>
        <v>0</v>
      </c>
      <c r="Y460"/>
      <c r="Z460"/>
      <c r="AA460"/>
    </row>
    <row r="461" spans="1:27" s="51" customFormat="1" ht="18.600000000000001" hidden="1" customHeight="1" x14ac:dyDescent="0.25">
      <c r="A461" s="81" t="s">
        <v>16</v>
      </c>
      <c r="B461" s="31" t="s">
        <v>1203</v>
      </c>
      <c r="C461" s="32" t="s">
        <v>1002</v>
      </c>
      <c r="D461" s="31" t="s">
        <v>1209</v>
      </c>
      <c r="E461" s="33" t="s">
        <v>1210</v>
      </c>
      <c r="F461" s="33" t="s">
        <v>1004</v>
      </c>
      <c r="G461" s="33" t="s">
        <v>843</v>
      </c>
      <c r="H461" s="84" t="s">
        <v>1211</v>
      </c>
      <c r="I461" s="23" t="s">
        <v>24</v>
      </c>
      <c r="J461" s="34">
        <v>770</v>
      </c>
      <c r="K461" s="35">
        <v>0.25</v>
      </c>
      <c r="L461" s="36">
        <f t="shared" si="66"/>
        <v>192.5</v>
      </c>
      <c r="M461" s="37">
        <f t="shared" si="67"/>
        <v>577.5</v>
      </c>
      <c r="N461" s="38">
        <v>0.16</v>
      </c>
      <c r="O461" s="39">
        <f t="shared" si="69"/>
        <v>92.4</v>
      </c>
      <c r="P461" s="40">
        <f t="shared" si="70"/>
        <v>669.9</v>
      </c>
      <c r="Q461" s="23"/>
      <c r="R461" s="56"/>
      <c r="S461" s="57"/>
      <c r="T461" s="58">
        <f t="shared" si="64"/>
        <v>0</v>
      </c>
      <c r="U461" s="36">
        <f t="shared" si="64"/>
        <v>0</v>
      </c>
      <c r="V461" s="59">
        <f t="shared" si="65"/>
        <v>0</v>
      </c>
      <c r="W461" s="39">
        <f t="shared" si="68"/>
        <v>0</v>
      </c>
      <c r="X461" s="40">
        <f t="shared" si="71"/>
        <v>0</v>
      </c>
      <c r="Y461"/>
      <c r="Z461"/>
      <c r="AA461"/>
    </row>
    <row r="462" spans="1:27" s="51" customFormat="1" ht="18.600000000000001" hidden="1" customHeight="1" x14ac:dyDescent="0.25">
      <c r="A462" s="82" t="s">
        <v>16</v>
      </c>
      <c r="B462" s="41" t="s">
        <v>1203</v>
      </c>
      <c r="C462" s="42" t="s">
        <v>1002</v>
      </c>
      <c r="D462" s="41" t="s">
        <v>1212</v>
      </c>
      <c r="E462" s="43" t="s">
        <v>1213</v>
      </c>
      <c r="F462" s="43" t="s">
        <v>1004</v>
      </c>
      <c r="G462" s="43" t="s">
        <v>843</v>
      </c>
      <c r="H462" s="85" t="s">
        <v>1214</v>
      </c>
      <c r="I462" s="23" t="s">
        <v>24</v>
      </c>
      <c r="J462" s="44">
        <v>770</v>
      </c>
      <c r="K462" s="45">
        <v>0.25</v>
      </c>
      <c r="L462" s="46">
        <f t="shared" si="66"/>
        <v>192.5</v>
      </c>
      <c r="M462" s="47">
        <f t="shared" si="67"/>
        <v>577.5</v>
      </c>
      <c r="N462" s="48">
        <v>0.16</v>
      </c>
      <c r="O462" s="49">
        <f t="shared" si="69"/>
        <v>92.4</v>
      </c>
      <c r="P462" s="50">
        <f t="shared" si="70"/>
        <v>669.9</v>
      </c>
      <c r="Q462" s="23"/>
      <c r="R462" s="60"/>
      <c r="S462" s="61"/>
      <c r="T462" s="62">
        <f t="shared" ref="T462:U477" si="72">+S462*J462</f>
        <v>0</v>
      </c>
      <c r="U462" s="46">
        <f t="shared" si="72"/>
        <v>0</v>
      </c>
      <c r="V462" s="63">
        <f t="shared" si="65"/>
        <v>0</v>
      </c>
      <c r="W462" s="49">
        <f t="shared" si="68"/>
        <v>0</v>
      </c>
      <c r="X462" s="50">
        <f t="shared" si="71"/>
        <v>0</v>
      </c>
      <c r="Y462"/>
      <c r="Z462"/>
      <c r="AA462"/>
    </row>
    <row r="463" spans="1:27" s="51" customFormat="1" ht="18.600000000000001" hidden="1" customHeight="1" x14ac:dyDescent="0.25">
      <c r="A463" s="80" t="s">
        <v>16</v>
      </c>
      <c r="B463" s="20" t="s">
        <v>1203</v>
      </c>
      <c r="C463" s="21" t="s">
        <v>1002</v>
      </c>
      <c r="D463" s="20" t="s">
        <v>1215</v>
      </c>
      <c r="E463" s="22" t="s">
        <v>1216</v>
      </c>
      <c r="F463" s="22" t="s">
        <v>1004</v>
      </c>
      <c r="G463" s="22" t="s">
        <v>843</v>
      </c>
      <c r="H463" s="83" t="s">
        <v>1217</v>
      </c>
      <c r="I463" s="23" t="s">
        <v>24</v>
      </c>
      <c r="J463" s="24">
        <v>770</v>
      </c>
      <c r="K463" s="25">
        <v>0.25</v>
      </c>
      <c r="L463" s="26">
        <f t="shared" si="66"/>
        <v>192.5</v>
      </c>
      <c r="M463" s="27">
        <f t="shared" si="67"/>
        <v>577.5</v>
      </c>
      <c r="N463" s="28">
        <v>0.16</v>
      </c>
      <c r="O463" s="29">
        <f t="shared" si="69"/>
        <v>92.4</v>
      </c>
      <c r="P463" s="30">
        <f t="shared" si="70"/>
        <v>669.9</v>
      </c>
      <c r="Q463" s="23"/>
      <c r="R463" s="52"/>
      <c r="S463" s="53"/>
      <c r="T463" s="54">
        <f t="shared" si="72"/>
        <v>0</v>
      </c>
      <c r="U463" s="26">
        <f t="shared" si="72"/>
        <v>0</v>
      </c>
      <c r="V463" s="55">
        <f t="shared" si="65"/>
        <v>0</v>
      </c>
      <c r="W463" s="29">
        <f t="shared" si="68"/>
        <v>0</v>
      </c>
      <c r="X463" s="30">
        <f t="shared" si="71"/>
        <v>0</v>
      </c>
      <c r="Y463"/>
      <c r="Z463"/>
      <c r="AA463"/>
    </row>
    <row r="464" spans="1:27" s="51" customFormat="1" ht="18.600000000000001" hidden="1" customHeight="1" x14ac:dyDescent="0.25">
      <c r="A464" s="81" t="s">
        <v>16</v>
      </c>
      <c r="B464" s="31" t="s">
        <v>1203</v>
      </c>
      <c r="C464" s="32" t="s">
        <v>1002</v>
      </c>
      <c r="D464" s="31" t="s">
        <v>1218</v>
      </c>
      <c r="E464" s="33" t="s">
        <v>1219</v>
      </c>
      <c r="F464" s="33" t="s">
        <v>1004</v>
      </c>
      <c r="G464" s="33" t="s">
        <v>843</v>
      </c>
      <c r="H464" s="84" t="s">
        <v>1220</v>
      </c>
      <c r="I464" s="23" t="s">
        <v>24</v>
      </c>
      <c r="J464" s="34">
        <v>770</v>
      </c>
      <c r="K464" s="35">
        <v>0.25</v>
      </c>
      <c r="L464" s="36">
        <f t="shared" si="66"/>
        <v>192.5</v>
      </c>
      <c r="M464" s="37">
        <f t="shared" si="67"/>
        <v>577.5</v>
      </c>
      <c r="N464" s="38">
        <v>0.16</v>
      </c>
      <c r="O464" s="39">
        <f t="shared" si="69"/>
        <v>92.4</v>
      </c>
      <c r="P464" s="40">
        <f t="shared" si="70"/>
        <v>669.9</v>
      </c>
      <c r="Q464" s="23"/>
      <c r="R464" s="56"/>
      <c r="S464" s="57"/>
      <c r="T464" s="58">
        <f t="shared" si="72"/>
        <v>0</v>
      </c>
      <c r="U464" s="36">
        <f t="shared" si="72"/>
        <v>0</v>
      </c>
      <c r="V464" s="59">
        <f t="shared" si="65"/>
        <v>0</v>
      </c>
      <c r="W464" s="39">
        <f t="shared" si="68"/>
        <v>0</v>
      </c>
      <c r="X464" s="40">
        <f t="shared" si="71"/>
        <v>0</v>
      </c>
      <c r="Y464"/>
      <c r="Z464"/>
      <c r="AA464"/>
    </row>
    <row r="465" spans="1:27" s="51" customFormat="1" ht="18.600000000000001" hidden="1" customHeight="1" x14ac:dyDescent="0.25">
      <c r="A465" s="82" t="s">
        <v>16</v>
      </c>
      <c r="B465" s="41" t="s">
        <v>1203</v>
      </c>
      <c r="C465" s="42" t="s">
        <v>1002</v>
      </c>
      <c r="D465" s="41" t="s">
        <v>1221</v>
      </c>
      <c r="E465" s="43" t="s">
        <v>1222</v>
      </c>
      <c r="F465" s="43" t="s">
        <v>1004</v>
      </c>
      <c r="G465" s="43" t="s">
        <v>843</v>
      </c>
      <c r="H465" s="85" t="s">
        <v>1223</v>
      </c>
      <c r="I465" s="23" t="s">
        <v>24</v>
      </c>
      <c r="J465" s="44">
        <v>770</v>
      </c>
      <c r="K465" s="45">
        <v>0.25</v>
      </c>
      <c r="L465" s="46">
        <f t="shared" si="66"/>
        <v>192.5</v>
      </c>
      <c r="M465" s="47">
        <f t="shared" si="67"/>
        <v>577.5</v>
      </c>
      <c r="N465" s="48">
        <v>0.16</v>
      </c>
      <c r="O465" s="49">
        <f t="shared" si="69"/>
        <v>92.4</v>
      </c>
      <c r="P465" s="50">
        <f t="shared" si="70"/>
        <v>669.9</v>
      </c>
      <c r="Q465" s="23"/>
      <c r="R465" s="60"/>
      <c r="S465" s="61"/>
      <c r="T465" s="62">
        <f t="shared" si="72"/>
        <v>0</v>
      </c>
      <c r="U465" s="46">
        <f t="shared" si="72"/>
        <v>0</v>
      </c>
      <c r="V465" s="63">
        <f t="shared" si="65"/>
        <v>0</v>
      </c>
      <c r="W465" s="49">
        <f t="shared" si="68"/>
        <v>0</v>
      </c>
      <c r="X465" s="50">
        <f t="shared" si="71"/>
        <v>0</v>
      </c>
      <c r="Y465"/>
      <c r="Z465"/>
      <c r="AA465"/>
    </row>
    <row r="466" spans="1:27" s="51" customFormat="1" ht="18.600000000000001" hidden="1" customHeight="1" x14ac:dyDescent="0.25">
      <c r="A466" s="80" t="s">
        <v>16</v>
      </c>
      <c r="B466" s="20" t="s">
        <v>1203</v>
      </c>
      <c r="C466" s="21" t="s">
        <v>1002</v>
      </c>
      <c r="D466" s="20" t="s">
        <v>1224</v>
      </c>
      <c r="E466" s="22" t="s">
        <v>1225</v>
      </c>
      <c r="F466" s="22" t="s">
        <v>1004</v>
      </c>
      <c r="G466" s="22" t="s">
        <v>843</v>
      </c>
      <c r="H466" s="83" t="s">
        <v>1226</v>
      </c>
      <c r="I466" s="23" t="s">
        <v>24</v>
      </c>
      <c r="J466" s="24">
        <v>770</v>
      </c>
      <c r="K466" s="25">
        <v>0.25</v>
      </c>
      <c r="L466" s="26">
        <f t="shared" si="66"/>
        <v>192.5</v>
      </c>
      <c r="M466" s="27">
        <f t="shared" si="67"/>
        <v>577.5</v>
      </c>
      <c r="N466" s="28">
        <v>0.16</v>
      </c>
      <c r="O466" s="29">
        <f t="shared" si="69"/>
        <v>92.4</v>
      </c>
      <c r="P466" s="30">
        <f t="shared" si="70"/>
        <v>669.9</v>
      </c>
      <c r="Q466" s="23"/>
      <c r="R466" s="52"/>
      <c r="S466" s="53"/>
      <c r="T466" s="54">
        <f t="shared" si="72"/>
        <v>0</v>
      </c>
      <c r="U466" s="26">
        <f t="shared" si="72"/>
        <v>0</v>
      </c>
      <c r="V466" s="55">
        <f t="shared" si="65"/>
        <v>0</v>
      </c>
      <c r="W466" s="29">
        <f t="shared" si="68"/>
        <v>0</v>
      </c>
      <c r="X466" s="30">
        <f t="shared" si="71"/>
        <v>0</v>
      </c>
      <c r="Y466"/>
      <c r="Z466"/>
      <c r="AA466"/>
    </row>
    <row r="467" spans="1:27" s="51" customFormat="1" ht="18.600000000000001" hidden="1" customHeight="1" x14ac:dyDescent="0.25">
      <c r="A467" s="81" t="s">
        <v>16</v>
      </c>
      <c r="B467" s="31" t="s">
        <v>1203</v>
      </c>
      <c r="C467" s="32" t="s">
        <v>1002</v>
      </c>
      <c r="D467" s="31" t="s">
        <v>1227</v>
      </c>
      <c r="E467" s="33" t="s">
        <v>1228</v>
      </c>
      <c r="F467" s="33" t="s">
        <v>1004</v>
      </c>
      <c r="G467" s="33" t="s">
        <v>843</v>
      </c>
      <c r="H467" s="84" t="s">
        <v>1229</v>
      </c>
      <c r="I467" s="23" t="s">
        <v>24</v>
      </c>
      <c r="J467" s="34">
        <v>770</v>
      </c>
      <c r="K467" s="35">
        <v>0.25</v>
      </c>
      <c r="L467" s="36">
        <f t="shared" si="66"/>
        <v>192.5</v>
      </c>
      <c r="M467" s="37">
        <f t="shared" si="67"/>
        <v>577.5</v>
      </c>
      <c r="N467" s="38">
        <v>0.16</v>
      </c>
      <c r="O467" s="39">
        <f t="shared" si="69"/>
        <v>92.4</v>
      </c>
      <c r="P467" s="40">
        <f t="shared" si="70"/>
        <v>669.9</v>
      </c>
      <c r="Q467" s="23"/>
      <c r="R467" s="56"/>
      <c r="S467" s="57"/>
      <c r="T467" s="58">
        <f t="shared" si="72"/>
        <v>0</v>
      </c>
      <c r="U467" s="36">
        <f t="shared" si="72"/>
        <v>0</v>
      </c>
      <c r="V467" s="59">
        <f t="shared" si="65"/>
        <v>0</v>
      </c>
      <c r="W467" s="39">
        <f t="shared" si="68"/>
        <v>0</v>
      </c>
      <c r="X467" s="40">
        <f t="shared" si="71"/>
        <v>0</v>
      </c>
      <c r="Y467"/>
      <c r="Z467"/>
      <c r="AA467"/>
    </row>
    <row r="468" spans="1:27" s="51" customFormat="1" ht="18.600000000000001" hidden="1" customHeight="1" x14ac:dyDescent="0.25">
      <c r="A468" s="82" t="s">
        <v>16</v>
      </c>
      <c r="B468" s="41" t="s">
        <v>1203</v>
      </c>
      <c r="C468" s="42" t="s">
        <v>1002</v>
      </c>
      <c r="D468" s="41" t="s">
        <v>1230</v>
      </c>
      <c r="E468" s="43" t="s">
        <v>1231</v>
      </c>
      <c r="F468" s="43" t="s">
        <v>1004</v>
      </c>
      <c r="G468" s="43" t="s">
        <v>843</v>
      </c>
      <c r="H468" s="85" t="s">
        <v>1232</v>
      </c>
      <c r="I468" s="23" t="s">
        <v>24</v>
      </c>
      <c r="J468" s="44">
        <v>770</v>
      </c>
      <c r="K468" s="45">
        <v>0.25</v>
      </c>
      <c r="L468" s="46">
        <f t="shared" si="66"/>
        <v>192.5</v>
      </c>
      <c r="M468" s="47">
        <f t="shared" si="67"/>
        <v>577.5</v>
      </c>
      <c r="N468" s="48">
        <v>0.16</v>
      </c>
      <c r="O468" s="49">
        <f t="shared" si="69"/>
        <v>92.4</v>
      </c>
      <c r="P468" s="50">
        <f t="shared" si="70"/>
        <v>669.9</v>
      </c>
      <c r="Q468" s="23"/>
      <c r="R468" s="60"/>
      <c r="S468" s="61"/>
      <c r="T468" s="62">
        <f t="shared" si="72"/>
        <v>0</v>
      </c>
      <c r="U468" s="46">
        <f t="shared" si="72"/>
        <v>0</v>
      </c>
      <c r="V468" s="63">
        <f t="shared" si="65"/>
        <v>0</v>
      </c>
      <c r="W468" s="49">
        <f t="shared" si="68"/>
        <v>0</v>
      </c>
      <c r="X468" s="50">
        <f t="shared" si="71"/>
        <v>0</v>
      </c>
      <c r="Y468"/>
      <c r="Z468"/>
      <c r="AA468"/>
    </row>
    <row r="469" spans="1:27" s="51" customFormat="1" ht="18.600000000000001" hidden="1" customHeight="1" x14ac:dyDescent="0.25">
      <c r="A469" s="80" t="s">
        <v>16</v>
      </c>
      <c r="B469" s="20" t="s">
        <v>1203</v>
      </c>
      <c r="C469" s="21" t="s">
        <v>1002</v>
      </c>
      <c r="D469" s="20">
        <v>8435635305954</v>
      </c>
      <c r="E469" s="22" t="s">
        <v>1233</v>
      </c>
      <c r="F469" s="22" t="s">
        <v>1004</v>
      </c>
      <c r="G469" s="22">
        <v>6</v>
      </c>
      <c r="H469" s="83" t="s">
        <v>1234</v>
      </c>
      <c r="I469" s="23" t="s">
        <v>24</v>
      </c>
      <c r="J469" s="24">
        <v>770</v>
      </c>
      <c r="K469" s="25">
        <v>0.25</v>
      </c>
      <c r="L469" s="26">
        <f t="shared" si="66"/>
        <v>192.5</v>
      </c>
      <c r="M469" s="27">
        <f t="shared" si="67"/>
        <v>577.5</v>
      </c>
      <c r="N469" s="28">
        <v>0.16</v>
      </c>
      <c r="O469" s="29">
        <f t="shared" si="69"/>
        <v>92.4</v>
      </c>
      <c r="P469" s="30">
        <f t="shared" si="70"/>
        <v>669.9</v>
      </c>
      <c r="Q469" s="23"/>
      <c r="R469" s="52"/>
      <c r="S469" s="53"/>
      <c r="T469" s="54">
        <f t="shared" si="72"/>
        <v>0</v>
      </c>
      <c r="U469" s="26">
        <f t="shared" si="72"/>
        <v>0</v>
      </c>
      <c r="V469" s="55">
        <f t="shared" si="65"/>
        <v>0</v>
      </c>
      <c r="W469" s="29">
        <f t="shared" si="68"/>
        <v>0</v>
      </c>
      <c r="X469" s="30">
        <f t="shared" si="71"/>
        <v>0</v>
      </c>
      <c r="Y469"/>
      <c r="Z469"/>
      <c r="AA469"/>
    </row>
    <row r="470" spans="1:27" s="51" customFormat="1" ht="18.600000000000001" hidden="1" customHeight="1" x14ac:dyDescent="0.25">
      <c r="A470" s="81" t="s">
        <v>16</v>
      </c>
      <c r="B470" s="31" t="s">
        <v>1203</v>
      </c>
      <c r="C470" s="32" t="s">
        <v>1002</v>
      </c>
      <c r="D470" s="31">
        <v>8435635305961</v>
      </c>
      <c r="E470" s="33" t="s">
        <v>1235</v>
      </c>
      <c r="F470" s="33" t="s">
        <v>1004</v>
      </c>
      <c r="G470" s="33">
        <v>6</v>
      </c>
      <c r="H470" s="84" t="s">
        <v>1236</v>
      </c>
      <c r="I470" s="23" t="s">
        <v>24</v>
      </c>
      <c r="J470" s="34">
        <v>770</v>
      </c>
      <c r="K470" s="35">
        <v>0.25</v>
      </c>
      <c r="L470" s="36">
        <f t="shared" si="66"/>
        <v>192.5</v>
      </c>
      <c r="M470" s="37">
        <f t="shared" si="67"/>
        <v>577.5</v>
      </c>
      <c r="N470" s="38">
        <v>0.16</v>
      </c>
      <c r="O470" s="39">
        <f t="shared" si="69"/>
        <v>92.4</v>
      </c>
      <c r="P470" s="40">
        <f t="shared" si="70"/>
        <v>669.9</v>
      </c>
      <c r="Q470" s="23"/>
      <c r="R470" s="56"/>
      <c r="S470" s="57"/>
      <c r="T470" s="58">
        <f t="shared" si="72"/>
        <v>0</v>
      </c>
      <c r="U470" s="36">
        <f t="shared" si="72"/>
        <v>0</v>
      </c>
      <c r="V470" s="59">
        <f t="shared" si="65"/>
        <v>0</v>
      </c>
      <c r="W470" s="39">
        <f t="shared" si="68"/>
        <v>0</v>
      </c>
      <c r="X470" s="40">
        <f t="shared" si="71"/>
        <v>0</v>
      </c>
      <c r="Y470"/>
      <c r="Z470"/>
      <c r="AA470"/>
    </row>
    <row r="471" spans="1:27" s="51" customFormat="1" ht="18.600000000000001" hidden="1" customHeight="1" x14ac:dyDescent="0.25">
      <c r="A471" s="82" t="s">
        <v>16</v>
      </c>
      <c r="B471" s="41" t="s">
        <v>1203</v>
      </c>
      <c r="C471" s="42" t="s">
        <v>1002</v>
      </c>
      <c r="D471" s="41">
        <v>8435635305956</v>
      </c>
      <c r="E471" s="43" t="s">
        <v>1237</v>
      </c>
      <c r="F471" s="43" t="s">
        <v>1004</v>
      </c>
      <c r="G471" s="43">
        <v>6</v>
      </c>
      <c r="H471" s="85" t="s">
        <v>1238</v>
      </c>
      <c r="I471" s="23" t="s">
        <v>24</v>
      </c>
      <c r="J471" s="44">
        <v>770</v>
      </c>
      <c r="K471" s="45">
        <v>0.25</v>
      </c>
      <c r="L471" s="46">
        <f t="shared" si="66"/>
        <v>192.5</v>
      </c>
      <c r="M471" s="47">
        <f t="shared" si="67"/>
        <v>577.5</v>
      </c>
      <c r="N471" s="48">
        <v>0.16</v>
      </c>
      <c r="O471" s="49">
        <f t="shared" si="69"/>
        <v>92.4</v>
      </c>
      <c r="P471" s="50">
        <f t="shared" si="70"/>
        <v>669.9</v>
      </c>
      <c r="Q471" s="23"/>
      <c r="R471" s="60"/>
      <c r="S471" s="61"/>
      <c r="T471" s="62">
        <f t="shared" si="72"/>
        <v>0</v>
      </c>
      <c r="U471" s="46">
        <f t="shared" si="72"/>
        <v>0</v>
      </c>
      <c r="V471" s="63">
        <f t="shared" si="65"/>
        <v>0</v>
      </c>
      <c r="W471" s="49">
        <f t="shared" si="68"/>
        <v>0</v>
      </c>
      <c r="X471" s="50">
        <f t="shared" si="71"/>
        <v>0</v>
      </c>
      <c r="Y471"/>
      <c r="Z471"/>
      <c r="AA471"/>
    </row>
    <row r="472" spans="1:27" s="51" customFormat="1" ht="18.600000000000001" hidden="1" customHeight="1" x14ac:dyDescent="0.25">
      <c r="A472" s="80" t="s">
        <v>16</v>
      </c>
      <c r="B472" s="20" t="s">
        <v>1203</v>
      </c>
      <c r="C472" s="21" t="s">
        <v>1147</v>
      </c>
      <c r="D472" s="20">
        <v>8435635305985</v>
      </c>
      <c r="E472" s="22" t="s">
        <v>1239</v>
      </c>
      <c r="F472" s="22" t="s">
        <v>1004</v>
      </c>
      <c r="G472" s="22">
        <v>6</v>
      </c>
      <c r="H472" s="83" t="s">
        <v>1240</v>
      </c>
      <c r="I472" s="23" t="s">
        <v>24</v>
      </c>
      <c r="J472" s="24">
        <v>770</v>
      </c>
      <c r="K472" s="25">
        <v>0.25</v>
      </c>
      <c r="L472" s="26">
        <f t="shared" si="66"/>
        <v>192.5</v>
      </c>
      <c r="M472" s="27">
        <f t="shared" si="67"/>
        <v>577.5</v>
      </c>
      <c r="N472" s="28">
        <v>0.16</v>
      </c>
      <c r="O472" s="29">
        <f t="shared" si="69"/>
        <v>92.4</v>
      </c>
      <c r="P472" s="30">
        <f t="shared" si="70"/>
        <v>669.9</v>
      </c>
      <c r="Q472" s="23"/>
      <c r="R472" s="52"/>
      <c r="S472" s="53"/>
      <c r="T472" s="54">
        <f t="shared" si="72"/>
        <v>0</v>
      </c>
      <c r="U472" s="26">
        <f t="shared" si="72"/>
        <v>0</v>
      </c>
      <c r="V472" s="55">
        <f t="shared" si="65"/>
        <v>0</v>
      </c>
      <c r="W472" s="29">
        <f t="shared" si="68"/>
        <v>0</v>
      </c>
      <c r="X472" s="30">
        <f t="shared" si="71"/>
        <v>0</v>
      </c>
      <c r="Y472"/>
      <c r="Z472"/>
      <c r="AA472"/>
    </row>
    <row r="473" spans="1:27" s="51" customFormat="1" ht="18.600000000000001" hidden="1" customHeight="1" x14ac:dyDescent="0.25">
      <c r="A473" s="81" t="s">
        <v>16</v>
      </c>
      <c r="B473" s="31" t="s">
        <v>1203</v>
      </c>
      <c r="C473" s="32" t="s">
        <v>1166</v>
      </c>
      <c r="D473" s="31">
        <v>8435635305958</v>
      </c>
      <c r="E473" s="33" t="s">
        <v>1241</v>
      </c>
      <c r="F473" s="33" t="s">
        <v>1004</v>
      </c>
      <c r="G473" s="33">
        <v>6</v>
      </c>
      <c r="H473" s="84" t="s">
        <v>1242</v>
      </c>
      <c r="I473" s="23" t="s">
        <v>24</v>
      </c>
      <c r="J473" s="34">
        <v>770</v>
      </c>
      <c r="K473" s="35">
        <v>0.25</v>
      </c>
      <c r="L473" s="36">
        <f t="shared" si="66"/>
        <v>192.5</v>
      </c>
      <c r="M473" s="37">
        <f t="shared" si="67"/>
        <v>577.5</v>
      </c>
      <c r="N473" s="38">
        <v>0.16</v>
      </c>
      <c r="O473" s="39">
        <f t="shared" si="69"/>
        <v>92.4</v>
      </c>
      <c r="P473" s="40">
        <f t="shared" si="70"/>
        <v>669.9</v>
      </c>
      <c r="Q473" s="23"/>
      <c r="R473" s="56"/>
      <c r="S473" s="57"/>
      <c r="T473" s="58">
        <f t="shared" si="72"/>
        <v>0</v>
      </c>
      <c r="U473" s="36">
        <f t="shared" si="72"/>
        <v>0</v>
      </c>
      <c r="V473" s="59">
        <f t="shared" si="65"/>
        <v>0</v>
      </c>
      <c r="W473" s="39">
        <f t="shared" si="68"/>
        <v>0</v>
      </c>
      <c r="X473" s="40">
        <f t="shared" si="71"/>
        <v>0</v>
      </c>
      <c r="Y473"/>
      <c r="Z473"/>
      <c r="AA473"/>
    </row>
    <row r="474" spans="1:27" s="51" customFormat="1" ht="18.600000000000001" hidden="1" customHeight="1" x14ac:dyDescent="0.25">
      <c r="A474" s="82" t="s">
        <v>16</v>
      </c>
      <c r="B474" s="41" t="s">
        <v>1203</v>
      </c>
      <c r="C474" s="42" t="s">
        <v>1166</v>
      </c>
      <c r="D474" s="41">
        <v>8435635305959</v>
      </c>
      <c r="E474" s="43" t="s">
        <v>1243</v>
      </c>
      <c r="F474" s="43" t="s">
        <v>1004</v>
      </c>
      <c r="G474" s="43">
        <v>6</v>
      </c>
      <c r="H474" s="85" t="s">
        <v>1244</v>
      </c>
      <c r="I474" s="23" t="s">
        <v>24</v>
      </c>
      <c r="J474" s="44">
        <v>770</v>
      </c>
      <c r="K474" s="45">
        <v>0.25</v>
      </c>
      <c r="L474" s="46">
        <f t="shared" si="66"/>
        <v>192.5</v>
      </c>
      <c r="M474" s="47">
        <f t="shared" si="67"/>
        <v>577.5</v>
      </c>
      <c r="N474" s="48">
        <v>0.16</v>
      </c>
      <c r="O474" s="49">
        <f t="shared" si="69"/>
        <v>92.4</v>
      </c>
      <c r="P474" s="50">
        <f t="shared" si="70"/>
        <v>669.9</v>
      </c>
      <c r="Q474" s="23"/>
      <c r="R474" s="60"/>
      <c r="S474" s="61"/>
      <c r="T474" s="62">
        <f t="shared" si="72"/>
        <v>0</v>
      </c>
      <c r="U474" s="46">
        <f t="shared" si="72"/>
        <v>0</v>
      </c>
      <c r="V474" s="63">
        <f t="shared" ref="V474:V537" si="73">+T474-U474</f>
        <v>0</v>
      </c>
      <c r="W474" s="49">
        <f t="shared" si="68"/>
        <v>0</v>
      </c>
      <c r="X474" s="50">
        <f t="shared" si="71"/>
        <v>0</v>
      </c>
      <c r="Y474"/>
      <c r="Z474"/>
      <c r="AA474"/>
    </row>
    <row r="475" spans="1:27" s="51" customFormat="1" ht="18.600000000000001" hidden="1" customHeight="1" x14ac:dyDescent="0.25">
      <c r="A475" s="80" t="s">
        <v>16</v>
      </c>
      <c r="B475" s="20" t="s">
        <v>1203</v>
      </c>
      <c r="C475" s="21" t="s">
        <v>1001</v>
      </c>
      <c r="D475" s="20">
        <v>8435635306371</v>
      </c>
      <c r="E475" s="22" t="s">
        <v>1245</v>
      </c>
      <c r="F475" s="22" t="s">
        <v>1004</v>
      </c>
      <c r="G475" s="22">
        <v>24</v>
      </c>
      <c r="H475" s="83" t="s">
        <v>1246</v>
      </c>
      <c r="I475" s="23" t="s">
        <v>24</v>
      </c>
      <c r="J475" s="24">
        <v>4800</v>
      </c>
      <c r="K475" s="25">
        <v>0.25</v>
      </c>
      <c r="L475" s="26">
        <f t="shared" si="66"/>
        <v>1200</v>
      </c>
      <c r="M475" s="27">
        <f t="shared" si="67"/>
        <v>3600</v>
      </c>
      <c r="N475" s="28">
        <v>0.16</v>
      </c>
      <c r="O475" s="29">
        <f t="shared" si="69"/>
        <v>576</v>
      </c>
      <c r="P475" s="30">
        <f t="shared" si="70"/>
        <v>4176</v>
      </c>
      <c r="Q475" s="23"/>
      <c r="R475" s="52"/>
      <c r="S475" s="53"/>
      <c r="T475" s="54">
        <f t="shared" si="72"/>
        <v>0</v>
      </c>
      <c r="U475" s="26">
        <f t="shared" si="72"/>
        <v>0</v>
      </c>
      <c r="V475" s="55">
        <f t="shared" si="73"/>
        <v>0</v>
      </c>
      <c r="W475" s="29">
        <f t="shared" si="68"/>
        <v>0</v>
      </c>
      <c r="X475" s="30">
        <f t="shared" si="71"/>
        <v>0</v>
      </c>
      <c r="Y475"/>
      <c r="Z475"/>
      <c r="AA475"/>
    </row>
    <row r="476" spans="1:27" s="51" customFormat="1" ht="18.600000000000001" hidden="1" customHeight="1" x14ac:dyDescent="0.25">
      <c r="A476" s="81" t="s">
        <v>16</v>
      </c>
      <c r="B476" s="31" t="s">
        <v>1203</v>
      </c>
      <c r="C476" s="32" t="s">
        <v>1001</v>
      </c>
      <c r="D476" s="31">
        <v>8435635307040</v>
      </c>
      <c r="E476" s="33" t="s">
        <v>1247</v>
      </c>
      <c r="F476" s="33" t="s">
        <v>1004</v>
      </c>
      <c r="G476" s="33">
        <v>1</v>
      </c>
      <c r="H476" s="84" t="s">
        <v>1248</v>
      </c>
      <c r="I476" s="23" t="s">
        <v>24</v>
      </c>
      <c r="J476" s="34">
        <v>900</v>
      </c>
      <c r="K476" s="35">
        <v>0.25</v>
      </c>
      <c r="L476" s="36">
        <f t="shared" si="66"/>
        <v>225</v>
      </c>
      <c r="M476" s="37">
        <f t="shared" si="67"/>
        <v>675</v>
      </c>
      <c r="N476" s="38">
        <v>0.16</v>
      </c>
      <c r="O476" s="39">
        <f t="shared" si="69"/>
        <v>108</v>
      </c>
      <c r="P476" s="40">
        <f t="shared" si="70"/>
        <v>783</v>
      </c>
      <c r="Q476" s="23"/>
      <c r="R476" s="56"/>
      <c r="S476" s="57"/>
      <c r="T476" s="58">
        <f t="shared" si="72"/>
        <v>0</v>
      </c>
      <c r="U476" s="36">
        <f t="shared" si="72"/>
        <v>0</v>
      </c>
      <c r="V476" s="59">
        <f t="shared" si="73"/>
        <v>0</v>
      </c>
      <c r="W476" s="39">
        <f t="shared" si="68"/>
        <v>0</v>
      </c>
      <c r="X476" s="40">
        <f t="shared" si="71"/>
        <v>0</v>
      </c>
      <c r="Y476"/>
      <c r="Z476"/>
      <c r="AA476"/>
    </row>
    <row r="477" spans="1:27" s="51" customFormat="1" ht="18.600000000000001" hidden="1" customHeight="1" x14ac:dyDescent="0.25">
      <c r="A477" s="82" t="s">
        <v>16</v>
      </c>
      <c r="B477" s="41" t="s">
        <v>1203</v>
      </c>
      <c r="C477" s="42" t="s">
        <v>1001</v>
      </c>
      <c r="D477" s="41">
        <v>8435635308955</v>
      </c>
      <c r="E477" s="43" t="s">
        <v>1249</v>
      </c>
      <c r="F477" s="43" t="s">
        <v>1004</v>
      </c>
      <c r="G477" s="43">
        <v>12</v>
      </c>
      <c r="H477" s="85" t="s">
        <v>1250</v>
      </c>
      <c r="I477" s="23" t="s">
        <v>24</v>
      </c>
      <c r="J477" s="44">
        <v>1500</v>
      </c>
      <c r="K477" s="45">
        <v>0.25</v>
      </c>
      <c r="L477" s="46">
        <f t="shared" si="66"/>
        <v>375</v>
      </c>
      <c r="M477" s="47">
        <f t="shared" si="67"/>
        <v>1125</v>
      </c>
      <c r="N477" s="48">
        <v>0.16</v>
      </c>
      <c r="O477" s="49">
        <f t="shared" si="69"/>
        <v>180</v>
      </c>
      <c r="P477" s="50">
        <f t="shared" si="70"/>
        <v>1305</v>
      </c>
      <c r="Q477" s="23"/>
      <c r="R477" s="60"/>
      <c r="S477" s="61"/>
      <c r="T477" s="62">
        <f t="shared" si="72"/>
        <v>0</v>
      </c>
      <c r="U477" s="46">
        <f t="shared" si="72"/>
        <v>0</v>
      </c>
      <c r="V477" s="63">
        <f t="shared" si="73"/>
        <v>0</v>
      </c>
      <c r="W477" s="49">
        <f t="shared" si="68"/>
        <v>0</v>
      </c>
      <c r="X477" s="50">
        <f t="shared" si="71"/>
        <v>0</v>
      </c>
      <c r="Y477"/>
      <c r="Z477"/>
      <c r="AA477"/>
    </row>
    <row r="478" spans="1:27" s="51" customFormat="1" ht="18.600000000000001" hidden="1" customHeight="1" x14ac:dyDescent="0.25">
      <c r="A478" s="80" t="s">
        <v>16</v>
      </c>
      <c r="B478" s="20" t="s">
        <v>1203</v>
      </c>
      <c r="C478" s="21" t="s">
        <v>1001</v>
      </c>
      <c r="D478" s="20">
        <v>8435635308962</v>
      </c>
      <c r="E478" s="22" t="s">
        <v>1251</v>
      </c>
      <c r="F478" s="22" t="s">
        <v>1004</v>
      </c>
      <c r="G478" s="22">
        <v>12</v>
      </c>
      <c r="H478" s="83" t="s">
        <v>1252</v>
      </c>
      <c r="I478" s="23" t="s">
        <v>24</v>
      </c>
      <c r="J478" s="24">
        <v>1500</v>
      </c>
      <c r="K478" s="25">
        <v>0.25</v>
      </c>
      <c r="L478" s="26">
        <f t="shared" si="66"/>
        <v>375</v>
      </c>
      <c r="M478" s="27">
        <f t="shared" si="67"/>
        <v>1125</v>
      </c>
      <c r="N478" s="28">
        <v>0.16</v>
      </c>
      <c r="O478" s="29">
        <f t="shared" si="69"/>
        <v>180</v>
      </c>
      <c r="P478" s="30">
        <f t="shared" si="70"/>
        <v>1305</v>
      </c>
      <c r="Q478" s="23"/>
      <c r="R478" s="52"/>
      <c r="S478" s="53"/>
      <c r="T478" s="54">
        <f t="shared" ref="T478:U493" si="74">+S478*J478</f>
        <v>0</v>
      </c>
      <c r="U478" s="26">
        <f t="shared" si="74"/>
        <v>0</v>
      </c>
      <c r="V478" s="55">
        <f t="shared" si="73"/>
        <v>0</v>
      </c>
      <c r="W478" s="29">
        <f t="shared" si="68"/>
        <v>0</v>
      </c>
      <c r="X478" s="30">
        <f t="shared" si="71"/>
        <v>0</v>
      </c>
      <c r="Y478"/>
      <c r="Z478"/>
      <c r="AA478"/>
    </row>
    <row r="479" spans="1:27" s="51" customFormat="1" ht="18.600000000000001" hidden="1" customHeight="1" x14ac:dyDescent="0.25">
      <c r="A479" s="81" t="s">
        <v>16</v>
      </c>
      <c r="B479" s="31" t="s">
        <v>1203</v>
      </c>
      <c r="C479" s="32" t="s">
        <v>1001</v>
      </c>
      <c r="D479" s="31">
        <v>8435635308979</v>
      </c>
      <c r="E479" s="33" t="s">
        <v>1253</v>
      </c>
      <c r="F479" s="33" t="s">
        <v>1004</v>
      </c>
      <c r="G479" s="33">
        <v>12</v>
      </c>
      <c r="H479" s="84" t="s">
        <v>1254</v>
      </c>
      <c r="I479" s="23" t="s">
        <v>24</v>
      </c>
      <c r="J479" s="34">
        <v>1500</v>
      </c>
      <c r="K479" s="35">
        <v>0.25</v>
      </c>
      <c r="L479" s="36">
        <f t="shared" si="66"/>
        <v>375</v>
      </c>
      <c r="M479" s="37">
        <f t="shared" si="67"/>
        <v>1125</v>
      </c>
      <c r="N479" s="38">
        <v>0.16</v>
      </c>
      <c r="O479" s="39">
        <f t="shared" si="69"/>
        <v>180</v>
      </c>
      <c r="P479" s="40">
        <f t="shared" si="70"/>
        <v>1305</v>
      </c>
      <c r="Q479" s="23"/>
      <c r="R479" s="56"/>
      <c r="S479" s="57"/>
      <c r="T479" s="58">
        <f t="shared" si="74"/>
        <v>0</v>
      </c>
      <c r="U479" s="36">
        <f t="shared" si="74"/>
        <v>0</v>
      </c>
      <c r="V479" s="59">
        <f t="shared" si="73"/>
        <v>0</v>
      </c>
      <c r="W479" s="39">
        <f t="shared" si="68"/>
        <v>0</v>
      </c>
      <c r="X479" s="40">
        <f t="shared" si="71"/>
        <v>0</v>
      </c>
      <c r="Y479"/>
      <c r="Z479"/>
      <c r="AA479"/>
    </row>
    <row r="480" spans="1:27" s="51" customFormat="1" ht="18.600000000000001" hidden="1" customHeight="1" x14ac:dyDescent="0.25">
      <c r="A480" s="82" t="s">
        <v>16</v>
      </c>
      <c r="B480" s="41" t="s">
        <v>1203</v>
      </c>
      <c r="C480" s="42" t="s">
        <v>1001</v>
      </c>
      <c r="D480" s="41">
        <v>8435635308986</v>
      </c>
      <c r="E480" s="43" t="s">
        <v>1255</v>
      </c>
      <c r="F480" s="43" t="s">
        <v>1004</v>
      </c>
      <c r="G480" s="43">
        <v>12</v>
      </c>
      <c r="H480" s="85" t="s">
        <v>129</v>
      </c>
      <c r="I480" s="23" t="s">
        <v>24</v>
      </c>
      <c r="J480" s="44">
        <v>1500</v>
      </c>
      <c r="K480" s="45">
        <v>0.25</v>
      </c>
      <c r="L480" s="46">
        <f t="shared" si="66"/>
        <v>375</v>
      </c>
      <c r="M480" s="47">
        <f t="shared" si="67"/>
        <v>1125</v>
      </c>
      <c r="N480" s="48">
        <v>0.16</v>
      </c>
      <c r="O480" s="49">
        <f t="shared" si="69"/>
        <v>180</v>
      </c>
      <c r="P480" s="50">
        <f t="shared" si="70"/>
        <v>1305</v>
      </c>
      <c r="Q480" s="23"/>
      <c r="R480" s="60"/>
      <c r="S480" s="61"/>
      <c r="T480" s="62">
        <f t="shared" si="74"/>
        <v>0</v>
      </c>
      <c r="U480" s="46">
        <f t="shared" si="74"/>
        <v>0</v>
      </c>
      <c r="V480" s="63">
        <f t="shared" si="73"/>
        <v>0</v>
      </c>
      <c r="W480" s="49">
        <f t="shared" si="68"/>
        <v>0</v>
      </c>
      <c r="X480" s="50">
        <f t="shared" si="71"/>
        <v>0</v>
      </c>
      <c r="Y480"/>
      <c r="Z480"/>
      <c r="AA480"/>
    </row>
    <row r="481" spans="1:27" s="51" customFormat="1" ht="18.600000000000001" hidden="1" customHeight="1" x14ac:dyDescent="0.25">
      <c r="A481" s="80" t="s">
        <v>16</v>
      </c>
      <c r="B481" s="20" t="s">
        <v>1203</v>
      </c>
      <c r="C481" s="21" t="s">
        <v>1001</v>
      </c>
      <c r="D481" s="20">
        <v>8435635308993</v>
      </c>
      <c r="E481" s="22" t="s">
        <v>1256</v>
      </c>
      <c r="F481" s="22" t="s">
        <v>1004</v>
      </c>
      <c r="G481" s="22">
        <v>12</v>
      </c>
      <c r="H481" s="83" t="s">
        <v>1257</v>
      </c>
      <c r="I481" s="23" t="s">
        <v>24</v>
      </c>
      <c r="J481" s="24">
        <v>1500</v>
      </c>
      <c r="K481" s="25">
        <v>0.25</v>
      </c>
      <c r="L481" s="26">
        <f t="shared" si="66"/>
        <v>375</v>
      </c>
      <c r="M481" s="27">
        <f t="shared" si="67"/>
        <v>1125</v>
      </c>
      <c r="N481" s="28">
        <v>0.16</v>
      </c>
      <c r="O481" s="29">
        <f t="shared" si="69"/>
        <v>180</v>
      </c>
      <c r="P481" s="30">
        <f t="shared" si="70"/>
        <v>1305</v>
      </c>
      <c r="Q481" s="23"/>
      <c r="R481" s="52"/>
      <c r="S481" s="53"/>
      <c r="T481" s="54">
        <f t="shared" si="74"/>
        <v>0</v>
      </c>
      <c r="U481" s="26">
        <f t="shared" si="74"/>
        <v>0</v>
      </c>
      <c r="V481" s="55">
        <f t="shared" si="73"/>
        <v>0</v>
      </c>
      <c r="W481" s="29">
        <f t="shared" si="68"/>
        <v>0</v>
      </c>
      <c r="X481" s="30">
        <f t="shared" si="71"/>
        <v>0</v>
      </c>
      <c r="Y481"/>
      <c r="Z481"/>
      <c r="AA481"/>
    </row>
    <row r="482" spans="1:27" s="51" customFormat="1" ht="18.600000000000001" hidden="1" customHeight="1" x14ac:dyDescent="0.25">
      <c r="A482" s="81" t="s">
        <v>16</v>
      </c>
      <c r="B482" s="31" t="s">
        <v>1203</v>
      </c>
      <c r="C482" s="32" t="s">
        <v>1001</v>
      </c>
      <c r="D482" s="31">
        <v>8435635309006</v>
      </c>
      <c r="E482" s="33" t="s">
        <v>1258</v>
      </c>
      <c r="F482" s="33" t="s">
        <v>1004</v>
      </c>
      <c r="G482" s="33">
        <v>12</v>
      </c>
      <c r="H482" s="84" t="s">
        <v>1259</v>
      </c>
      <c r="I482" s="23" t="s">
        <v>24</v>
      </c>
      <c r="J482" s="34">
        <v>1500</v>
      </c>
      <c r="K482" s="35">
        <v>0.25</v>
      </c>
      <c r="L482" s="36">
        <f t="shared" si="66"/>
        <v>375</v>
      </c>
      <c r="M482" s="37">
        <f t="shared" si="67"/>
        <v>1125</v>
      </c>
      <c r="N482" s="38">
        <v>0.16</v>
      </c>
      <c r="O482" s="39">
        <f t="shared" si="69"/>
        <v>180</v>
      </c>
      <c r="P482" s="40">
        <f t="shared" si="70"/>
        <v>1305</v>
      </c>
      <c r="Q482" s="23"/>
      <c r="R482" s="56"/>
      <c r="S482" s="57"/>
      <c r="T482" s="58">
        <f t="shared" si="74"/>
        <v>0</v>
      </c>
      <c r="U482" s="36">
        <f t="shared" si="74"/>
        <v>0</v>
      </c>
      <c r="V482" s="59">
        <f t="shared" si="73"/>
        <v>0</v>
      </c>
      <c r="W482" s="39">
        <f t="shared" si="68"/>
        <v>0</v>
      </c>
      <c r="X482" s="40">
        <f t="shared" si="71"/>
        <v>0</v>
      </c>
      <c r="Y482"/>
      <c r="Z482"/>
      <c r="AA482"/>
    </row>
    <row r="483" spans="1:27" s="51" customFormat="1" ht="18.600000000000001" hidden="1" customHeight="1" x14ac:dyDescent="0.25">
      <c r="A483" s="82" t="s">
        <v>16</v>
      </c>
      <c r="B483" s="41" t="s">
        <v>1203</v>
      </c>
      <c r="C483" s="42" t="s">
        <v>1001</v>
      </c>
      <c r="D483" s="41">
        <v>8435635309013</v>
      </c>
      <c r="E483" s="43" t="s">
        <v>1260</v>
      </c>
      <c r="F483" s="43" t="s">
        <v>1004</v>
      </c>
      <c r="G483" s="43">
        <v>12</v>
      </c>
      <c r="H483" s="85" t="s">
        <v>1261</v>
      </c>
      <c r="I483" s="23" t="s">
        <v>24</v>
      </c>
      <c r="J483" s="44">
        <v>1500</v>
      </c>
      <c r="K483" s="45">
        <v>0.25</v>
      </c>
      <c r="L483" s="46">
        <f t="shared" si="66"/>
        <v>375</v>
      </c>
      <c r="M483" s="47">
        <f t="shared" si="67"/>
        <v>1125</v>
      </c>
      <c r="N483" s="48">
        <v>0.16</v>
      </c>
      <c r="O483" s="49">
        <f t="shared" si="69"/>
        <v>180</v>
      </c>
      <c r="P483" s="50">
        <f t="shared" si="70"/>
        <v>1305</v>
      </c>
      <c r="Q483" s="23"/>
      <c r="R483" s="60"/>
      <c r="S483" s="61"/>
      <c r="T483" s="62">
        <f t="shared" si="74"/>
        <v>0</v>
      </c>
      <c r="U483" s="46">
        <f t="shared" si="74"/>
        <v>0</v>
      </c>
      <c r="V483" s="63">
        <f t="shared" si="73"/>
        <v>0</v>
      </c>
      <c r="W483" s="49">
        <f t="shared" si="68"/>
        <v>0</v>
      </c>
      <c r="X483" s="50">
        <f t="shared" si="71"/>
        <v>0</v>
      </c>
      <c r="Y483"/>
      <c r="Z483"/>
      <c r="AA483"/>
    </row>
    <row r="484" spans="1:27" s="51" customFormat="1" ht="18.600000000000001" hidden="1" customHeight="1" x14ac:dyDescent="0.25">
      <c r="A484" s="80" t="s">
        <v>16</v>
      </c>
      <c r="B484" s="20" t="s">
        <v>1262</v>
      </c>
      <c r="C484" s="21" t="s">
        <v>1262</v>
      </c>
      <c r="D484" s="20">
        <v>8435635304803</v>
      </c>
      <c r="E484" s="22" t="s">
        <v>1263</v>
      </c>
      <c r="F484" s="22" t="s">
        <v>1004</v>
      </c>
      <c r="G484" s="22">
        <v>24</v>
      </c>
      <c r="H484" s="83" t="s">
        <v>1264</v>
      </c>
      <c r="I484" s="23" t="s">
        <v>24</v>
      </c>
      <c r="J484" s="24">
        <v>4800</v>
      </c>
      <c r="K484" s="25">
        <v>0.25</v>
      </c>
      <c r="L484" s="26">
        <f t="shared" si="66"/>
        <v>1200</v>
      </c>
      <c r="M484" s="27">
        <f t="shared" si="67"/>
        <v>3600</v>
      </c>
      <c r="N484" s="28">
        <v>0.16</v>
      </c>
      <c r="O484" s="29">
        <f t="shared" si="69"/>
        <v>576</v>
      </c>
      <c r="P484" s="30">
        <f t="shared" si="70"/>
        <v>4176</v>
      </c>
      <c r="Q484" s="23"/>
      <c r="R484" s="52"/>
      <c r="S484" s="53"/>
      <c r="T484" s="54">
        <f t="shared" si="74"/>
        <v>0</v>
      </c>
      <c r="U484" s="26">
        <f t="shared" si="74"/>
        <v>0</v>
      </c>
      <c r="V484" s="55">
        <f t="shared" si="73"/>
        <v>0</v>
      </c>
      <c r="W484" s="29">
        <f t="shared" si="68"/>
        <v>0</v>
      </c>
      <c r="X484" s="30">
        <f t="shared" si="71"/>
        <v>0</v>
      </c>
      <c r="Y484"/>
      <c r="Z484"/>
      <c r="AA484"/>
    </row>
    <row r="485" spans="1:27" s="51" customFormat="1" ht="18.600000000000001" hidden="1" customHeight="1" x14ac:dyDescent="0.25">
      <c r="A485" s="81" t="s">
        <v>16</v>
      </c>
      <c r="B485" s="31" t="s">
        <v>1262</v>
      </c>
      <c r="C485" s="32" t="s">
        <v>1262</v>
      </c>
      <c r="D485" s="31">
        <v>8435635304766</v>
      </c>
      <c r="E485" s="33" t="s">
        <v>1265</v>
      </c>
      <c r="F485" s="33" t="s">
        <v>1004</v>
      </c>
      <c r="G485" s="33" t="s">
        <v>843</v>
      </c>
      <c r="H485" s="84" t="s">
        <v>1266</v>
      </c>
      <c r="I485" s="23" t="s">
        <v>24</v>
      </c>
      <c r="J485" s="34">
        <v>780</v>
      </c>
      <c r="K485" s="35">
        <v>0.25</v>
      </c>
      <c r="L485" s="36">
        <f t="shared" si="66"/>
        <v>195</v>
      </c>
      <c r="M485" s="37">
        <f t="shared" si="67"/>
        <v>585</v>
      </c>
      <c r="N485" s="38">
        <v>0.16</v>
      </c>
      <c r="O485" s="39">
        <f t="shared" si="69"/>
        <v>93.600000000000009</v>
      </c>
      <c r="P485" s="40">
        <f t="shared" si="70"/>
        <v>678.6</v>
      </c>
      <c r="Q485" s="23"/>
      <c r="R485" s="56"/>
      <c r="S485" s="57"/>
      <c r="T485" s="58">
        <f t="shared" si="74"/>
        <v>0</v>
      </c>
      <c r="U485" s="36">
        <f t="shared" si="74"/>
        <v>0</v>
      </c>
      <c r="V485" s="59">
        <f t="shared" si="73"/>
        <v>0</v>
      </c>
      <c r="W485" s="39">
        <f t="shared" si="68"/>
        <v>0</v>
      </c>
      <c r="X485" s="40">
        <f t="shared" si="71"/>
        <v>0</v>
      </c>
      <c r="Y485"/>
      <c r="Z485"/>
      <c r="AA485"/>
    </row>
    <row r="486" spans="1:27" s="51" customFormat="1" ht="18.600000000000001" hidden="1" customHeight="1" x14ac:dyDescent="0.25">
      <c r="A486" s="82" t="s">
        <v>16</v>
      </c>
      <c r="B486" s="41" t="s">
        <v>1262</v>
      </c>
      <c r="C486" s="42" t="s">
        <v>1262</v>
      </c>
      <c r="D486" s="41">
        <v>8435635304773</v>
      </c>
      <c r="E486" s="43" t="s">
        <v>1267</v>
      </c>
      <c r="F486" s="43" t="s">
        <v>1004</v>
      </c>
      <c r="G486" s="43" t="s">
        <v>843</v>
      </c>
      <c r="H486" s="85" t="s">
        <v>1268</v>
      </c>
      <c r="I486" s="23" t="s">
        <v>24</v>
      </c>
      <c r="J486" s="44">
        <v>780</v>
      </c>
      <c r="K486" s="45">
        <v>0.25</v>
      </c>
      <c r="L486" s="46">
        <f t="shared" si="66"/>
        <v>195</v>
      </c>
      <c r="M486" s="47">
        <f t="shared" si="67"/>
        <v>585</v>
      </c>
      <c r="N486" s="48">
        <v>0.16</v>
      </c>
      <c r="O486" s="49">
        <f t="shared" si="69"/>
        <v>93.600000000000009</v>
      </c>
      <c r="P486" s="50">
        <f t="shared" si="70"/>
        <v>678.6</v>
      </c>
      <c r="Q486" s="23"/>
      <c r="R486" s="60"/>
      <c r="S486" s="61"/>
      <c r="T486" s="62">
        <f t="shared" si="74"/>
        <v>0</v>
      </c>
      <c r="U486" s="46">
        <f t="shared" si="74"/>
        <v>0</v>
      </c>
      <c r="V486" s="63">
        <f t="shared" si="73"/>
        <v>0</v>
      </c>
      <c r="W486" s="49">
        <f t="shared" si="68"/>
        <v>0</v>
      </c>
      <c r="X486" s="50">
        <f t="shared" si="71"/>
        <v>0</v>
      </c>
      <c r="Y486"/>
      <c r="Z486"/>
      <c r="AA486"/>
    </row>
    <row r="487" spans="1:27" s="51" customFormat="1" ht="18.600000000000001" hidden="1" customHeight="1" x14ac:dyDescent="0.25">
      <c r="A487" s="80" t="s">
        <v>16</v>
      </c>
      <c r="B487" s="20" t="s">
        <v>1262</v>
      </c>
      <c r="C487" s="21" t="s">
        <v>1262</v>
      </c>
      <c r="D487" s="20">
        <v>8435635304780</v>
      </c>
      <c r="E487" s="22" t="s">
        <v>1269</v>
      </c>
      <c r="F487" s="22" t="s">
        <v>1004</v>
      </c>
      <c r="G487" s="22" t="s">
        <v>843</v>
      </c>
      <c r="H487" s="83" t="s">
        <v>1270</v>
      </c>
      <c r="I487" s="23" t="s">
        <v>24</v>
      </c>
      <c r="J487" s="24">
        <v>780</v>
      </c>
      <c r="K487" s="25">
        <v>0.25</v>
      </c>
      <c r="L487" s="26">
        <f t="shared" si="66"/>
        <v>195</v>
      </c>
      <c r="M487" s="27">
        <f t="shared" si="67"/>
        <v>585</v>
      </c>
      <c r="N487" s="28">
        <v>0.16</v>
      </c>
      <c r="O487" s="29">
        <f t="shared" si="69"/>
        <v>93.600000000000009</v>
      </c>
      <c r="P487" s="30">
        <f t="shared" si="70"/>
        <v>678.6</v>
      </c>
      <c r="Q487" s="23"/>
      <c r="R487" s="52"/>
      <c r="S487" s="53"/>
      <c r="T487" s="54">
        <f t="shared" si="74"/>
        <v>0</v>
      </c>
      <c r="U487" s="26">
        <f t="shared" si="74"/>
        <v>0</v>
      </c>
      <c r="V487" s="55">
        <f t="shared" si="73"/>
        <v>0</v>
      </c>
      <c r="W487" s="29">
        <f t="shared" si="68"/>
        <v>0</v>
      </c>
      <c r="X487" s="30">
        <f t="shared" si="71"/>
        <v>0</v>
      </c>
      <c r="Y487"/>
      <c r="Z487"/>
      <c r="AA487"/>
    </row>
    <row r="488" spans="1:27" s="51" customFormat="1" ht="18.600000000000001" hidden="1" customHeight="1" x14ac:dyDescent="0.25">
      <c r="A488" s="81" t="s">
        <v>16</v>
      </c>
      <c r="B488" s="31" t="s">
        <v>1262</v>
      </c>
      <c r="C488" s="32" t="s">
        <v>1262</v>
      </c>
      <c r="D488" s="31">
        <v>8435635304797</v>
      </c>
      <c r="E488" s="33" t="s">
        <v>1271</v>
      </c>
      <c r="F488" s="33" t="s">
        <v>1004</v>
      </c>
      <c r="G488" s="33">
        <v>6</v>
      </c>
      <c r="H488" s="84" t="s">
        <v>1272</v>
      </c>
      <c r="I488" s="23" t="s">
        <v>24</v>
      </c>
      <c r="J488" s="34">
        <v>780</v>
      </c>
      <c r="K488" s="35">
        <v>0.25</v>
      </c>
      <c r="L488" s="36">
        <f t="shared" si="66"/>
        <v>195</v>
      </c>
      <c r="M488" s="37">
        <f t="shared" si="67"/>
        <v>585</v>
      </c>
      <c r="N488" s="38">
        <v>0.16</v>
      </c>
      <c r="O488" s="39">
        <f t="shared" si="69"/>
        <v>93.600000000000009</v>
      </c>
      <c r="P488" s="40">
        <f t="shared" si="70"/>
        <v>678.6</v>
      </c>
      <c r="Q488" s="23"/>
      <c r="R488" s="56"/>
      <c r="S488" s="57"/>
      <c r="T488" s="58">
        <f t="shared" si="74"/>
        <v>0</v>
      </c>
      <c r="U488" s="36">
        <f t="shared" si="74"/>
        <v>0</v>
      </c>
      <c r="V488" s="59">
        <f t="shared" si="73"/>
        <v>0</v>
      </c>
      <c r="W488" s="39">
        <f t="shared" si="68"/>
        <v>0</v>
      </c>
      <c r="X488" s="40">
        <f t="shared" si="71"/>
        <v>0</v>
      </c>
      <c r="Y488"/>
      <c r="Z488"/>
      <c r="AA488"/>
    </row>
    <row r="489" spans="1:27" s="51" customFormat="1" ht="18.600000000000001" hidden="1" customHeight="1" x14ac:dyDescent="0.25">
      <c r="A489" s="82" t="s">
        <v>16</v>
      </c>
      <c r="B489" s="41" t="s">
        <v>1262</v>
      </c>
      <c r="C489" s="42" t="s">
        <v>1262</v>
      </c>
      <c r="D489" s="41">
        <v>8435635304810</v>
      </c>
      <c r="E489" s="43" t="s">
        <v>1273</v>
      </c>
      <c r="F489" s="43" t="s">
        <v>1004</v>
      </c>
      <c r="G489" s="43">
        <v>1</v>
      </c>
      <c r="H489" s="85" t="s">
        <v>1274</v>
      </c>
      <c r="I489" s="23" t="s">
        <v>24</v>
      </c>
      <c r="J489" s="44">
        <v>135</v>
      </c>
      <c r="K489" s="45">
        <v>0.25</v>
      </c>
      <c r="L489" s="46">
        <f t="shared" si="66"/>
        <v>33.75</v>
      </c>
      <c r="M489" s="47">
        <f t="shared" si="67"/>
        <v>101.25</v>
      </c>
      <c r="N489" s="48">
        <v>0.16</v>
      </c>
      <c r="O489" s="49">
        <f t="shared" si="69"/>
        <v>16.2</v>
      </c>
      <c r="P489" s="50">
        <f t="shared" si="70"/>
        <v>117.45</v>
      </c>
      <c r="Q489" s="23"/>
      <c r="R489" s="60"/>
      <c r="S489" s="61"/>
      <c r="T489" s="62">
        <f t="shared" si="74"/>
        <v>0</v>
      </c>
      <c r="U489" s="46">
        <f t="shared" si="74"/>
        <v>0</v>
      </c>
      <c r="V489" s="63">
        <f t="shared" si="73"/>
        <v>0</v>
      </c>
      <c r="W489" s="49">
        <f t="shared" si="68"/>
        <v>0</v>
      </c>
      <c r="X489" s="50">
        <f t="shared" si="71"/>
        <v>0</v>
      </c>
      <c r="Y489"/>
      <c r="Z489"/>
      <c r="AA489"/>
    </row>
    <row r="490" spans="1:27" s="51" customFormat="1" ht="18.600000000000001" hidden="1" customHeight="1" x14ac:dyDescent="0.25">
      <c r="A490" s="80" t="s">
        <v>16</v>
      </c>
      <c r="B490" s="20" t="s">
        <v>1262</v>
      </c>
      <c r="C490" s="21" t="s">
        <v>1262</v>
      </c>
      <c r="D490" s="20">
        <v>8435635304827</v>
      </c>
      <c r="E490" s="22" t="s">
        <v>1275</v>
      </c>
      <c r="F490" s="22" t="s">
        <v>1004</v>
      </c>
      <c r="G490" s="22">
        <v>1</v>
      </c>
      <c r="H490" s="83" t="s">
        <v>1276</v>
      </c>
      <c r="I490" s="23" t="s">
        <v>24</v>
      </c>
      <c r="J490" s="24">
        <v>135</v>
      </c>
      <c r="K490" s="25">
        <v>0.25</v>
      </c>
      <c r="L490" s="26">
        <f t="shared" si="66"/>
        <v>33.75</v>
      </c>
      <c r="M490" s="27">
        <f t="shared" si="67"/>
        <v>101.25</v>
      </c>
      <c r="N490" s="28">
        <v>0.16</v>
      </c>
      <c r="O490" s="29">
        <f t="shared" si="69"/>
        <v>16.2</v>
      </c>
      <c r="P490" s="30">
        <f t="shared" si="70"/>
        <v>117.45</v>
      </c>
      <c r="Q490" s="23"/>
      <c r="R490" s="52"/>
      <c r="S490" s="53"/>
      <c r="T490" s="54">
        <f t="shared" si="74"/>
        <v>0</v>
      </c>
      <c r="U490" s="26">
        <f t="shared" si="74"/>
        <v>0</v>
      </c>
      <c r="V490" s="55">
        <f t="shared" si="73"/>
        <v>0</v>
      </c>
      <c r="W490" s="29">
        <f t="shared" si="68"/>
        <v>0</v>
      </c>
      <c r="X490" s="30">
        <f t="shared" si="71"/>
        <v>0</v>
      </c>
      <c r="Y490"/>
      <c r="Z490"/>
      <c r="AA490"/>
    </row>
    <row r="491" spans="1:27" s="51" customFormat="1" ht="18.600000000000001" hidden="1" customHeight="1" x14ac:dyDescent="0.25">
      <c r="A491" s="81" t="s">
        <v>16</v>
      </c>
      <c r="B491" s="31" t="s">
        <v>1262</v>
      </c>
      <c r="C491" s="32" t="s">
        <v>1262</v>
      </c>
      <c r="D491" s="31">
        <v>8435635304834</v>
      </c>
      <c r="E491" s="33" t="s">
        <v>1277</v>
      </c>
      <c r="F491" s="33" t="s">
        <v>1004</v>
      </c>
      <c r="G491" s="33">
        <v>1</v>
      </c>
      <c r="H491" s="84" t="s">
        <v>1278</v>
      </c>
      <c r="I491" s="23" t="s">
        <v>24</v>
      </c>
      <c r="J491" s="34">
        <v>135</v>
      </c>
      <c r="K491" s="35">
        <v>0.25</v>
      </c>
      <c r="L491" s="36">
        <f t="shared" si="66"/>
        <v>33.75</v>
      </c>
      <c r="M491" s="37">
        <f t="shared" si="67"/>
        <v>101.25</v>
      </c>
      <c r="N491" s="38">
        <v>0.16</v>
      </c>
      <c r="O491" s="39">
        <f t="shared" si="69"/>
        <v>16.2</v>
      </c>
      <c r="P491" s="40">
        <f t="shared" si="70"/>
        <v>117.45</v>
      </c>
      <c r="Q491" s="23"/>
      <c r="R491" s="56"/>
      <c r="S491" s="57"/>
      <c r="T491" s="58">
        <f t="shared" si="74"/>
        <v>0</v>
      </c>
      <c r="U491" s="36">
        <f t="shared" si="74"/>
        <v>0</v>
      </c>
      <c r="V491" s="59">
        <f t="shared" si="73"/>
        <v>0</v>
      </c>
      <c r="W491" s="39">
        <f t="shared" si="68"/>
        <v>0</v>
      </c>
      <c r="X491" s="40">
        <f t="shared" si="71"/>
        <v>0</v>
      </c>
      <c r="Y491"/>
      <c r="Z491"/>
      <c r="AA491"/>
    </row>
    <row r="492" spans="1:27" s="51" customFormat="1" ht="18.600000000000001" hidden="1" customHeight="1" x14ac:dyDescent="0.25">
      <c r="A492" s="82" t="s">
        <v>16</v>
      </c>
      <c r="B492" s="41" t="s">
        <v>1262</v>
      </c>
      <c r="C492" s="42" t="s">
        <v>1262</v>
      </c>
      <c r="D492" s="41">
        <v>8435635304841</v>
      </c>
      <c r="E492" s="43" t="s">
        <v>1279</v>
      </c>
      <c r="F492" s="43" t="s">
        <v>1004</v>
      </c>
      <c r="G492" s="43">
        <v>1</v>
      </c>
      <c r="H492" s="85" t="s">
        <v>1280</v>
      </c>
      <c r="I492" s="23" t="s">
        <v>24</v>
      </c>
      <c r="J492" s="44">
        <v>135</v>
      </c>
      <c r="K492" s="45">
        <v>0.25</v>
      </c>
      <c r="L492" s="46">
        <f t="shared" si="66"/>
        <v>33.75</v>
      </c>
      <c r="M492" s="47">
        <f t="shared" si="67"/>
        <v>101.25</v>
      </c>
      <c r="N492" s="48">
        <v>0.16</v>
      </c>
      <c r="O492" s="49">
        <f t="shared" si="69"/>
        <v>16.2</v>
      </c>
      <c r="P492" s="50">
        <f t="shared" si="70"/>
        <v>117.45</v>
      </c>
      <c r="Q492" s="23"/>
      <c r="R492" s="60"/>
      <c r="S492" s="61"/>
      <c r="T492" s="62">
        <f t="shared" si="74"/>
        <v>0</v>
      </c>
      <c r="U492" s="46">
        <f t="shared" si="74"/>
        <v>0</v>
      </c>
      <c r="V492" s="63">
        <f t="shared" si="73"/>
        <v>0</v>
      </c>
      <c r="W492" s="49">
        <f t="shared" si="68"/>
        <v>0</v>
      </c>
      <c r="X492" s="50">
        <f t="shared" si="71"/>
        <v>0</v>
      </c>
      <c r="Y492"/>
      <c r="Z492"/>
      <c r="AA492"/>
    </row>
    <row r="493" spans="1:27" s="51" customFormat="1" ht="18.600000000000001" hidden="1" customHeight="1" x14ac:dyDescent="0.25">
      <c r="A493" s="80" t="s">
        <v>16</v>
      </c>
      <c r="B493" s="20" t="s">
        <v>1262</v>
      </c>
      <c r="C493" s="21" t="s">
        <v>1262</v>
      </c>
      <c r="D493" s="20">
        <v>8435635304858</v>
      </c>
      <c r="E493" s="22" t="s">
        <v>1281</v>
      </c>
      <c r="F493" s="22" t="s">
        <v>1004</v>
      </c>
      <c r="G493" s="22">
        <v>1</v>
      </c>
      <c r="H493" s="83" t="s">
        <v>1282</v>
      </c>
      <c r="I493" s="23" t="s">
        <v>24</v>
      </c>
      <c r="J493" s="24">
        <v>135</v>
      </c>
      <c r="K493" s="25">
        <v>0.25</v>
      </c>
      <c r="L493" s="26">
        <f t="shared" si="66"/>
        <v>33.75</v>
      </c>
      <c r="M493" s="27">
        <f t="shared" si="67"/>
        <v>101.25</v>
      </c>
      <c r="N493" s="28">
        <v>0.16</v>
      </c>
      <c r="O493" s="29">
        <f t="shared" si="69"/>
        <v>16.2</v>
      </c>
      <c r="P493" s="30">
        <f t="shared" si="70"/>
        <v>117.45</v>
      </c>
      <c r="Q493" s="23"/>
      <c r="R493" s="52"/>
      <c r="S493" s="53"/>
      <c r="T493" s="54">
        <f t="shared" si="74"/>
        <v>0</v>
      </c>
      <c r="U493" s="26">
        <f t="shared" si="74"/>
        <v>0</v>
      </c>
      <c r="V493" s="55">
        <f t="shared" si="73"/>
        <v>0</v>
      </c>
      <c r="W493" s="29">
        <f t="shared" si="68"/>
        <v>0</v>
      </c>
      <c r="X493" s="30">
        <f t="shared" si="71"/>
        <v>0</v>
      </c>
      <c r="Y493"/>
      <c r="Z493"/>
      <c r="AA493"/>
    </row>
    <row r="494" spans="1:27" s="51" customFormat="1" ht="18.600000000000001" hidden="1" customHeight="1" x14ac:dyDescent="0.25">
      <c r="A494" s="81" t="s">
        <v>16</v>
      </c>
      <c r="B494" s="31" t="s">
        <v>1262</v>
      </c>
      <c r="C494" s="32" t="s">
        <v>1262</v>
      </c>
      <c r="D494" s="31">
        <v>8435635304865</v>
      </c>
      <c r="E494" s="33" t="s">
        <v>1283</v>
      </c>
      <c r="F494" s="33" t="s">
        <v>1004</v>
      </c>
      <c r="G494" s="33">
        <v>1</v>
      </c>
      <c r="H494" s="84" t="s">
        <v>1052</v>
      </c>
      <c r="I494" s="23" t="s">
        <v>24</v>
      </c>
      <c r="J494" s="34">
        <v>135</v>
      </c>
      <c r="K494" s="35">
        <v>0.25</v>
      </c>
      <c r="L494" s="36">
        <f t="shared" si="66"/>
        <v>33.75</v>
      </c>
      <c r="M494" s="37">
        <f t="shared" si="67"/>
        <v>101.25</v>
      </c>
      <c r="N494" s="38">
        <v>0.16</v>
      </c>
      <c r="O494" s="39">
        <f t="shared" si="69"/>
        <v>16.2</v>
      </c>
      <c r="P494" s="40">
        <f t="shared" si="70"/>
        <v>117.45</v>
      </c>
      <c r="Q494" s="23"/>
      <c r="R494" s="56"/>
      <c r="S494" s="57"/>
      <c r="T494" s="58">
        <f t="shared" ref="T494:U509" si="75">+S494*J494</f>
        <v>0</v>
      </c>
      <c r="U494" s="36">
        <f t="shared" si="75"/>
        <v>0</v>
      </c>
      <c r="V494" s="59">
        <f t="shared" si="73"/>
        <v>0</v>
      </c>
      <c r="W494" s="39">
        <f t="shared" si="68"/>
        <v>0</v>
      </c>
      <c r="X494" s="40">
        <f t="shared" si="71"/>
        <v>0</v>
      </c>
      <c r="Y494"/>
      <c r="Z494"/>
      <c r="AA494"/>
    </row>
    <row r="495" spans="1:27" s="51" customFormat="1" ht="18.600000000000001" hidden="1" customHeight="1" x14ac:dyDescent="0.25">
      <c r="A495" s="82" t="s">
        <v>16</v>
      </c>
      <c r="B495" s="41" t="s">
        <v>1262</v>
      </c>
      <c r="C495" s="42" t="s">
        <v>1262</v>
      </c>
      <c r="D495" s="41">
        <v>8435635304872</v>
      </c>
      <c r="E495" s="43" t="s">
        <v>1284</v>
      </c>
      <c r="F495" s="43" t="s">
        <v>1004</v>
      </c>
      <c r="G495" s="43">
        <v>1</v>
      </c>
      <c r="H495" s="85" t="s">
        <v>1285</v>
      </c>
      <c r="I495" s="23" t="s">
        <v>24</v>
      </c>
      <c r="J495" s="44">
        <v>135</v>
      </c>
      <c r="K495" s="45">
        <v>0.25</v>
      </c>
      <c r="L495" s="46">
        <f t="shared" si="66"/>
        <v>33.75</v>
      </c>
      <c r="M495" s="47">
        <f t="shared" si="67"/>
        <v>101.25</v>
      </c>
      <c r="N495" s="48">
        <v>0.16</v>
      </c>
      <c r="O495" s="49">
        <f t="shared" si="69"/>
        <v>16.2</v>
      </c>
      <c r="P495" s="50">
        <f t="shared" si="70"/>
        <v>117.45</v>
      </c>
      <c r="Q495" s="23"/>
      <c r="R495" s="60"/>
      <c r="S495" s="61"/>
      <c r="T495" s="62">
        <f t="shared" si="75"/>
        <v>0</v>
      </c>
      <c r="U495" s="46">
        <f t="shared" si="75"/>
        <v>0</v>
      </c>
      <c r="V495" s="63">
        <f t="shared" si="73"/>
        <v>0</v>
      </c>
      <c r="W495" s="49">
        <f t="shared" si="68"/>
        <v>0</v>
      </c>
      <c r="X495" s="50">
        <f t="shared" si="71"/>
        <v>0</v>
      </c>
      <c r="Y495"/>
      <c r="Z495"/>
      <c r="AA495"/>
    </row>
    <row r="496" spans="1:27" s="51" customFormat="1" ht="18.600000000000001" hidden="1" customHeight="1" x14ac:dyDescent="0.25">
      <c r="A496" s="80" t="s">
        <v>16</v>
      </c>
      <c r="B496" s="20" t="s">
        <v>1262</v>
      </c>
      <c r="C496" s="21" t="s">
        <v>1262</v>
      </c>
      <c r="D496" s="20">
        <v>8435635304889</v>
      </c>
      <c r="E496" s="22" t="s">
        <v>1286</v>
      </c>
      <c r="F496" s="22" t="s">
        <v>1004</v>
      </c>
      <c r="G496" s="22">
        <v>1</v>
      </c>
      <c r="H496" s="83" t="s">
        <v>1287</v>
      </c>
      <c r="I496" s="23" t="s">
        <v>24</v>
      </c>
      <c r="J496" s="24">
        <v>135</v>
      </c>
      <c r="K496" s="25">
        <v>0.25</v>
      </c>
      <c r="L496" s="26">
        <f t="shared" si="66"/>
        <v>33.75</v>
      </c>
      <c r="M496" s="27">
        <f t="shared" si="67"/>
        <v>101.25</v>
      </c>
      <c r="N496" s="28">
        <v>0.16</v>
      </c>
      <c r="O496" s="29">
        <f t="shared" si="69"/>
        <v>16.2</v>
      </c>
      <c r="P496" s="30">
        <f t="shared" si="70"/>
        <v>117.45</v>
      </c>
      <c r="Q496" s="23"/>
      <c r="R496" s="52"/>
      <c r="S496" s="53"/>
      <c r="T496" s="54">
        <f t="shared" si="75"/>
        <v>0</v>
      </c>
      <c r="U496" s="26">
        <f t="shared" si="75"/>
        <v>0</v>
      </c>
      <c r="V496" s="55">
        <f t="shared" si="73"/>
        <v>0</v>
      </c>
      <c r="W496" s="29">
        <f t="shared" si="68"/>
        <v>0</v>
      </c>
      <c r="X496" s="30">
        <f t="shared" si="71"/>
        <v>0</v>
      </c>
      <c r="Y496"/>
      <c r="Z496"/>
      <c r="AA496"/>
    </row>
    <row r="497" spans="1:27" s="51" customFormat="1" ht="18.600000000000001" hidden="1" customHeight="1" x14ac:dyDescent="0.25">
      <c r="A497" s="81" t="s">
        <v>16</v>
      </c>
      <c r="B497" s="31" t="s">
        <v>1262</v>
      </c>
      <c r="C497" s="32" t="s">
        <v>1262</v>
      </c>
      <c r="D497" s="31">
        <v>8435635304896</v>
      </c>
      <c r="E497" s="33" t="s">
        <v>1288</v>
      </c>
      <c r="F497" s="33" t="s">
        <v>1004</v>
      </c>
      <c r="G497" s="33">
        <v>1</v>
      </c>
      <c r="H497" s="84" t="s">
        <v>1060</v>
      </c>
      <c r="I497" s="23" t="s">
        <v>24</v>
      </c>
      <c r="J497" s="34">
        <v>135</v>
      </c>
      <c r="K497" s="35">
        <v>0.25</v>
      </c>
      <c r="L497" s="36">
        <f t="shared" si="66"/>
        <v>33.75</v>
      </c>
      <c r="M497" s="37">
        <f t="shared" si="67"/>
        <v>101.25</v>
      </c>
      <c r="N497" s="38">
        <v>0.16</v>
      </c>
      <c r="O497" s="39">
        <f t="shared" si="69"/>
        <v>16.2</v>
      </c>
      <c r="P497" s="40">
        <f t="shared" si="70"/>
        <v>117.45</v>
      </c>
      <c r="Q497" s="23"/>
      <c r="R497" s="56"/>
      <c r="S497" s="57"/>
      <c r="T497" s="58">
        <f t="shared" si="75"/>
        <v>0</v>
      </c>
      <c r="U497" s="36">
        <f t="shared" si="75"/>
        <v>0</v>
      </c>
      <c r="V497" s="59">
        <f t="shared" si="73"/>
        <v>0</v>
      </c>
      <c r="W497" s="39">
        <f t="shared" si="68"/>
        <v>0</v>
      </c>
      <c r="X497" s="40">
        <f t="shared" si="71"/>
        <v>0</v>
      </c>
      <c r="Y497"/>
      <c r="Z497"/>
      <c r="AA497"/>
    </row>
    <row r="498" spans="1:27" s="51" customFormat="1" ht="18.600000000000001" hidden="1" customHeight="1" x14ac:dyDescent="0.25">
      <c r="A498" s="82" t="s">
        <v>16</v>
      </c>
      <c r="B498" s="41" t="s">
        <v>1262</v>
      </c>
      <c r="C498" s="42" t="s">
        <v>1262</v>
      </c>
      <c r="D498" s="41">
        <v>8435635304902</v>
      </c>
      <c r="E498" s="43" t="s">
        <v>1289</v>
      </c>
      <c r="F498" s="43" t="s">
        <v>1004</v>
      </c>
      <c r="G498" s="43">
        <v>1</v>
      </c>
      <c r="H498" s="85" t="s">
        <v>1290</v>
      </c>
      <c r="I498" s="23" t="s">
        <v>24</v>
      </c>
      <c r="J498" s="44">
        <v>135</v>
      </c>
      <c r="K498" s="45">
        <v>0.25</v>
      </c>
      <c r="L498" s="46">
        <f t="shared" si="66"/>
        <v>33.75</v>
      </c>
      <c r="M498" s="47">
        <f t="shared" si="67"/>
        <v>101.25</v>
      </c>
      <c r="N498" s="48">
        <v>0.16</v>
      </c>
      <c r="O498" s="49">
        <f t="shared" si="69"/>
        <v>16.2</v>
      </c>
      <c r="P498" s="50">
        <f t="shared" si="70"/>
        <v>117.45</v>
      </c>
      <c r="Q498" s="23"/>
      <c r="R498" s="60"/>
      <c r="S498" s="61"/>
      <c r="T498" s="62">
        <f t="shared" si="75"/>
        <v>0</v>
      </c>
      <c r="U498" s="46">
        <f t="shared" si="75"/>
        <v>0</v>
      </c>
      <c r="V498" s="63">
        <f t="shared" si="73"/>
        <v>0</v>
      </c>
      <c r="W498" s="49">
        <f t="shared" si="68"/>
        <v>0</v>
      </c>
      <c r="X498" s="50">
        <f t="shared" si="71"/>
        <v>0</v>
      </c>
      <c r="Y498"/>
      <c r="Z498"/>
      <c r="AA498"/>
    </row>
    <row r="499" spans="1:27" s="51" customFormat="1" ht="18.600000000000001" hidden="1" customHeight="1" x14ac:dyDescent="0.25">
      <c r="A499" s="80" t="s">
        <v>16</v>
      </c>
      <c r="B499" s="20" t="s">
        <v>1262</v>
      </c>
      <c r="C499" s="21" t="s">
        <v>1262</v>
      </c>
      <c r="D499" s="20">
        <v>8435635304919</v>
      </c>
      <c r="E499" s="22" t="s">
        <v>1291</v>
      </c>
      <c r="F499" s="22" t="s">
        <v>1004</v>
      </c>
      <c r="G499" s="22">
        <v>1</v>
      </c>
      <c r="H499" s="83" t="s">
        <v>1069</v>
      </c>
      <c r="I499" s="23" t="s">
        <v>24</v>
      </c>
      <c r="J499" s="24">
        <v>135</v>
      </c>
      <c r="K499" s="25">
        <v>0.25</v>
      </c>
      <c r="L499" s="26">
        <f t="shared" si="66"/>
        <v>33.75</v>
      </c>
      <c r="M499" s="27">
        <f t="shared" si="67"/>
        <v>101.25</v>
      </c>
      <c r="N499" s="28">
        <v>0.16</v>
      </c>
      <c r="O499" s="29">
        <f t="shared" si="69"/>
        <v>16.2</v>
      </c>
      <c r="P499" s="30">
        <f t="shared" si="70"/>
        <v>117.45</v>
      </c>
      <c r="Q499" s="23"/>
      <c r="R499" s="52"/>
      <c r="S499" s="53"/>
      <c r="T499" s="54">
        <f t="shared" si="75"/>
        <v>0</v>
      </c>
      <c r="U499" s="26">
        <f t="shared" si="75"/>
        <v>0</v>
      </c>
      <c r="V499" s="55">
        <f t="shared" si="73"/>
        <v>0</v>
      </c>
      <c r="W499" s="29">
        <f t="shared" si="68"/>
        <v>0</v>
      </c>
      <c r="X499" s="30">
        <f t="shared" si="71"/>
        <v>0</v>
      </c>
      <c r="Y499"/>
      <c r="Z499"/>
      <c r="AA499"/>
    </row>
    <row r="500" spans="1:27" s="51" customFormat="1" ht="18.600000000000001" hidden="1" customHeight="1" x14ac:dyDescent="0.25">
      <c r="A500" s="81" t="s">
        <v>16</v>
      </c>
      <c r="B500" s="31" t="s">
        <v>1262</v>
      </c>
      <c r="C500" s="32" t="s">
        <v>1262</v>
      </c>
      <c r="D500" s="31">
        <v>8435635304926</v>
      </c>
      <c r="E500" s="33" t="s">
        <v>1292</v>
      </c>
      <c r="F500" s="33" t="s">
        <v>1004</v>
      </c>
      <c r="G500" s="33">
        <v>1</v>
      </c>
      <c r="H500" s="84" t="s">
        <v>1293</v>
      </c>
      <c r="I500" s="23" t="s">
        <v>24</v>
      </c>
      <c r="J500" s="34">
        <v>135</v>
      </c>
      <c r="K500" s="35">
        <v>0.25</v>
      </c>
      <c r="L500" s="36">
        <f t="shared" si="66"/>
        <v>33.75</v>
      </c>
      <c r="M500" s="37">
        <f t="shared" si="67"/>
        <v>101.25</v>
      </c>
      <c r="N500" s="38">
        <v>0.16</v>
      </c>
      <c r="O500" s="39">
        <f t="shared" si="69"/>
        <v>16.2</v>
      </c>
      <c r="P500" s="40">
        <f t="shared" si="70"/>
        <v>117.45</v>
      </c>
      <c r="Q500" s="23"/>
      <c r="R500" s="56"/>
      <c r="S500" s="57"/>
      <c r="T500" s="58">
        <f t="shared" si="75"/>
        <v>0</v>
      </c>
      <c r="U500" s="36">
        <f t="shared" si="75"/>
        <v>0</v>
      </c>
      <c r="V500" s="59">
        <f t="shared" si="73"/>
        <v>0</v>
      </c>
      <c r="W500" s="39">
        <f t="shared" si="68"/>
        <v>0</v>
      </c>
      <c r="X500" s="40">
        <f t="shared" si="71"/>
        <v>0</v>
      </c>
      <c r="Y500"/>
      <c r="Z500"/>
      <c r="AA500"/>
    </row>
    <row r="501" spans="1:27" s="51" customFormat="1" ht="18.600000000000001" hidden="1" customHeight="1" x14ac:dyDescent="0.25">
      <c r="A501" s="82" t="s">
        <v>16</v>
      </c>
      <c r="B501" s="41" t="s">
        <v>1262</v>
      </c>
      <c r="C501" s="42" t="s">
        <v>1262</v>
      </c>
      <c r="D501" s="41">
        <v>8435635304933</v>
      </c>
      <c r="E501" s="43" t="s">
        <v>1294</v>
      </c>
      <c r="F501" s="43" t="s">
        <v>1004</v>
      </c>
      <c r="G501" s="43">
        <v>1</v>
      </c>
      <c r="H501" s="85" t="s">
        <v>925</v>
      </c>
      <c r="I501" s="23" t="s">
        <v>24</v>
      </c>
      <c r="J501" s="44">
        <v>135</v>
      </c>
      <c r="K501" s="45">
        <v>0.25</v>
      </c>
      <c r="L501" s="46">
        <f t="shared" si="66"/>
        <v>33.75</v>
      </c>
      <c r="M501" s="47">
        <f t="shared" si="67"/>
        <v>101.25</v>
      </c>
      <c r="N501" s="48">
        <v>0.16</v>
      </c>
      <c r="O501" s="49">
        <f t="shared" si="69"/>
        <v>16.2</v>
      </c>
      <c r="P501" s="50">
        <f t="shared" si="70"/>
        <v>117.45</v>
      </c>
      <c r="Q501" s="23"/>
      <c r="R501" s="60"/>
      <c r="S501" s="61"/>
      <c r="T501" s="62">
        <f t="shared" si="75"/>
        <v>0</v>
      </c>
      <c r="U501" s="46">
        <f t="shared" si="75"/>
        <v>0</v>
      </c>
      <c r="V501" s="63">
        <f t="shared" si="73"/>
        <v>0</v>
      </c>
      <c r="W501" s="49">
        <f t="shared" si="68"/>
        <v>0</v>
      </c>
      <c r="X501" s="50">
        <f t="shared" si="71"/>
        <v>0</v>
      </c>
      <c r="Y501"/>
      <c r="Z501"/>
      <c r="AA501"/>
    </row>
    <row r="502" spans="1:27" s="51" customFormat="1" ht="18.600000000000001" hidden="1" customHeight="1" x14ac:dyDescent="0.25">
      <c r="A502" s="80" t="s">
        <v>16</v>
      </c>
      <c r="B502" s="20" t="s">
        <v>1262</v>
      </c>
      <c r="C502" s="21" t="s">
        <v>1262</v>
      </c>
      <c r="D502" s="20">
        <v>8435635304940</v>
      </c>
      <c r="E502" s="22" t="s">
        <v>1295</v>
      </c>
      <c r="F502" s="22" t="s">
        <v>1004</v>
      </c>
      <c r="G502" s="22">
        <v>1</v>
      </c>
      <c r="H502" s="83" t="s">
        <v>1296</v>
      </c>
      <c r="I502" s="23" t="s">
        <v>24</v>
      </c>
      <c r="J502" s="24">
        <v>135</v>
      </c>
      <c r="K502" s="25">
        <v>0.25</v>
      </c>
      <c r="L502" s="26">
        <f t="shared" si="66"/>
        <v>33.75</v>
      </c>
      <c r="M502" s="27">
        <f t="shared" si="67"/>
        <v>101.25</v>
      </c>
      <c r="N502" s="28">
        <v>0.16</v>
      </c>
      <c r="O502" s="29">
        <f t="shared" si="69"/>
        <v>16.2</v>
      </c>
      <c r="P502" s="30">
        <f t="shared" si="70"/>
        <v>117.45</v>
      </c>
      <c r="Q502" s="23"/>
      <c r="R502" s="52"/>
      <c r="S502" s="53"/>
      <c r="T502" s="54">
        <f t="shared" si="75"/>
        <v>0</v>
      </c>
      <c r="U502" s="26">
        <f t="shared" si="75"/>
        <v>0</v>
      </c>
      <c r="V502" s="55">
        <f t="shared" si="73"/>
        <v>0</v>
      </c>
      <c r="W502" s="29">
        <f t="shared" si="68"/>
        <v>0</v>
      </c>
      <c r="X502" s="30">
        <f t="shared" si="71"/>
        <v>0</v>
      </c>
      <c r="Y502"/>
      <c r="Z502"/>
      <c r="AA502"/>
    </row>
    <row r="503" spans="1:27" s="51" customFormat="1" ht="18.600000000000001" hidden="1" customHeight="1" x14ac:dyDescent="0.25">
      <c r="A503" s="81" t="s">
        <v>16</v>
      </c>
      <c r="B503" s="31" t="s">
        <v>1262</v>
      </c>
      <c r="C503" s="32" t="s">
        <v>1262</v>
      </c>
      <c r="D503" s="31">
        <v>8435635304957</v>
      </c>
      <c r="E503" s="33" t="s">
        <v>1297</v>
      </c>
      <c r="F503" s="33" t="s">
        <v>1004</v>
      </c>
      <c r="G503" s="33">
        <v>1</v>
      </c>
      <c r="H503" s="84" t="s">
        <v>1298</v>
      </c>
      <c r="I503" s="23" t="s">
        <v>24</v>
      </c>
      <c r="J503" s="34">
        <v>135</v>
      </c>
      <c r="K503" s="35">
        <v>0.25</v>
      </c>
      <c r="L503" s="36">
        <f t="shared" si="66"/>
        <v>33.75</v>
      </c>
      <c r="M503" s="37">
        <f t="shared" si="67"/>
        <v>101.25</v>
      </c>
      <c r="N503" s="38">
        <v>0.16</v>
      </c>
      <c r="O503" s="39">
        <f t="shared" si="69"/>
        <v>16.2</v>
      </c>
      <c r="P503" s="40">
        <f t="shared" si="70"/>
        <v>117.45</v>
      </c>
      <c r="Q503" s="23"/>
      <c r="R503" s="56"/>
      <c r="S503" s="57"/>
      <c r="T503" s="58">
        <f t="shared" si="75"/>
        <v>0</v>
      </c>
      <c r="U503" s="36">
        <f t="shared" si="75"/>
        <v>0</v>
      </c>
      <c r="V503" s="59">
        <f t="shared" si="73"/>
        <v>0</v>
      </c>
      <c r="W503" s="39">
        <f t="shared" si="68"/>
        <v>0</v>
      </c>
      <c r="X503" s="40">
        <f t="shared" si="71"/>
        <v>0</v>
      </c>
      <c r="Y503"/>
      <c r="Z503"/>
      <c r="AA503"/>
    </row>
    <row r="504" spans="1:27" s="51" customFormat="1" ht="18.600000000000001" hidden="1" customHeight="1" x14ac:dyDescent="0.25">
      <c r="A504" s="82" t="s">
        <v>16</v>
      </c>
      <c r="B504" s="41" t="s">
        <v>1262</v>
      </c>
      <c r="C504" s="42" t="s">
        <v>1262</v>
      </c>
      <c r="D504" s="41">
        <v>8435635304964</v>
      </c>
      <c r="E504" s="43" t="s">
        <v>1299</v>
      </c>
      <c r="F504" s="43" t="s">
        <v>1004</v>
      </c>
      <c r="G504" s="43">
        <v>1</v>
      </c>
      <c r="H504" s="85" t="s">
        <v>1300</v>
      </c>
      <c r="I504" s="23" t="s">
        <v>24</v>
      </c>
      <c r="J504" s="44">
        <v>135</v>
      </c>
      <c r="K504" s="45">
        <v>0.25</v>
      </c>
      <c r="L504" s="46">
        <f t="shared" si="66"/>
        <v>33.75</v>
      </c>
      <c r="M504" s="47">
        <f t="shared" si="67"/>
        <v>101.25</v>
      </c>
      <c r="N504" s="48">
        <v>0.16</v>
      </c>
      <c r="O504" s="49">
        <f t="shared" si="69"/>
        <v>16.2</v>
      </c>
      <c r="P504" s="50">
        <f t="shared" si="70"/>
        <v>117.45</v>
      </c>
      <c r="Q504" s="23"/>
      <c r="R504" s="60"/>
      <c r="S504" s="61"/>
      <c r="T504" s="62">
        <f t="shared" si="75"/>
        <v>0</v>
      </c>
      <c r="U504" s="46">
        <f t="shared" si="75"/>
        <v>0</v>
      </c>
      <c r="V504" s="63">
        <f t="shared" si="73"/>
        <v>0</v>
      </c>
      <c r="W504" s="49">
        <f t="shared" si="68"/>
        <v>0</v>
      </c>
      <c r="X504" s="50">
        <f t="shared" si="71"/>
        <v>0</v>
      </c>
      <c r="Y504"/>
      <c r="Z504"/>
      <c r="AA504"/>
    </row>
    <row r="505" spans="1:27" s="51" customFormat="1" ht="18.600000000000001" hidden="1" customHeight="1" x14ac:dyDescent="0.25">
      <c r="A505" s="80" t="s">
        <v>16</v>
      </c>
      <c r="B505" s="20" t="s">
        <v>1262</v>
      </c>
      <c r="C505" s="21" t="s">
        <v>1262</v>
      </c>
      <c r="D505" s="20">
        <v>8435635304971</v>
      </c>
      <c r="E505" s="22" t="s">
        <v>1301</v>
      </c>
      <c r="F505" s="22" t="s">
        <v>1004</v>
      </c>
      <c r="G505" s="22">
        <v>1</v>
      </c>
      <c r="H505" s="83" t="s">
        <v>1302</v>
      </c>
      <c r="I505" s="23" t="s">
        <v>24</v>
      </c>
      <c r="J505" s="24">
        <v>135</v>
      </c>
      <c r="K505" s="25">
        <v>0.25</v>
      </c>
      <c r="L505" s="26">
        <f t="shared" si="66"/>
        <v>33.75</v>
      </c>
      <c r="M505" s="27">
        <f t="shared" si="67"/>
        <v>101.25</v>
      </c>
      <c r="N505" s="28">
        <v>0.16</v>
      </c>
      <c r="O505" s="29">
        <f t="shared" si="69"/>
        <v>16.2</v>
      </c>
      <c r="P505" s="30">
        <f t="shared" si="70"/>
        <v>117.45</v>
      </c>
      <c r="Q505" s="23"/>
      <c r="R505" s="52"/>
      <c r="S505" s="53"/>
      <c r="T505" s="54">
        <f t="shared" si="75"/>
        <v>0</v>
      </c>
      <c r="U505" s="26">
        <f t="shared" si="75"/>
        <v>0</v>
      </c>
      <c r="V505" s="55">
        <f t="shared" si="73"/>
        <v>0</v>
      </c>
      <c r="W505" s="29">
        <f t="shared" si="68"/>
        <v>0</v>
      </c>
      <c r="X505" s="30">
        <f t="shared" si="71"/>
        <v>0</v>
      </c>
      <c r="Y505"/>
      <c r="Z505"/>
      <c r="AA505"/>
    </row>
    <row r="506" spans="1:27" s="51" customFormat="1" ht="18.600000000000001" hidden="1" customHeight="1" x14ac:dyDescent="0.25">
      <c r="A506" s="81" t="s">
        <v>16</v>
      </c>
      <c r="B506" s="31" t="s">
        <v>1262</v>
      </c>
      <c r="C506" s="32" t="s">
        <v>1262</v>
      </c>
      <c r="D506" s="31">
        <v>8435635304988</v>
      </c>
      <c r="E506" s="33" t="s">
        <v>1303</v>
      </c>
      <c r="F506" s="33" t="s">
        <v>1004</v>
      </c>
      <c r="G506" s="33">
        <v>1</v>
      </c>
      <c r="H506" s="84" t="s">
        <v>1304</v>
      </c>
      <c r="I506" s="23" t="s">
        <v>24</v>
      </c>
      <c r="J506" s="34">
        <v>135</v>
      </c>
      <c r="K506" s="35">
        <v>0.25</v>
      </c>
      <c r="L506" s="36">
        <f t="shared" si="66"/>
        <v>33.75</v>
      </c>
      <c r="M506" s="37">
        <f t="shared" si="67"/>
        <v>101.25</v>
      </c>
      <c r="N506" s="38">
        <v>0.16</v>
      </c>
      <c r="O506" s="39">
        <f t="shared" si="69"/>
        <v>16.2</v>
      </c>
      <c r="P506" s="40">
        <f t="shared" si="70"/>
        <v>117.45</v>
      </c>
      <c r="Q506" s="23"/>
      <c r="R506" s="56"/>
      <c r="S506" s="57"/>
      <c r="T506" s="58">
        <f t="shared" si="75"/>
        <v>0</v>
      </c>
      <c r="U506" s="36">
        <f t="shared" si="75"/>
        <v>0</v>
      </c>
      <c r="V506" s="59">
        <f t="shared" si="73"/>
        <v>0</v>
      </c>
      <c r="W506" s="39">
        <f t="shared" si="68"/>
        <v>0</v>
      </c>
      <c r="X506" s="40">
        <f t="shared" si="71"/>
        <v>0</v>
      </c>
      <c r="Y506"/>
      <c r="Z506"/>
      <c r="AA506"/>
    </row>
    <row r="507" spans="1:27" s="51" customFormat="1" ht="18.600000000000001" hidden="1" customHeight="1" x14ac:dyDescent="0.25">
      <c r="A507" s="82" t="s">
        <v>16</v>
      </c>
      <c r="B507" s="41" t="s">
        <v>1262</v>
      </c>
      <c r="C507" s="42" t="s">
        <v>1262</v>
      </c>
      <c r="D507" s="41">
        <v>8435635304995</v>
      </c>
      <c r="E507" s="43" t="s">
        <v>1305</v>
      </c>
      <c r="F507" s="43" t="s">
        <v>1004</v>
      </c>
      <c r="G507" s="43">
        <v>1</v>
      </c>
      <c r="H507" s="85" t="s">
        <v>1306</v>
      </c>
      <c r="I507" s="23" t="s">
        <v>24</v>
      </c>
      <c r="J507" s="44">
        <v>135</v>
      </c>
      <c r="K507" s="45">
        <v>0.25</v>
      </c>
      <c r="L507" s="46">
        <f t="shared" si="66"/>
        <v>33.75</v>
      </c>
      <c r="M507" s="47">
        <f t="shared" si="67"/>
        <v>101.25</v>
      </c>
      <c r="N507" s="48">
        <v>0.16</v>
      </c>
      <c r="O507" s="49">
        <f t="shared" si="69"/>
        <v>16.2</v>
      </c>
      <c r="P507" s="50">
        <f t="shared" si="70"/>
        <v>117.45</v>
      </c>
      <c r="Q507" s="23"/>
      <c r="R507" s="60"/>
      <c r="S507" s="61"/>
      <c r="T507" s="62">
        <f t="shared" si="75"/>
        <v>0</v>
      </c>
      <c r="U507" s="46">
        <f t="shared" si="75"/>
        <v>0</v>
      </c>
      <c r="V507" s="63">
        <f t="shared" si="73"/>
        <v>0</v>
      </c>
      <c r="W507" s="49">
        <f t="shared" si="68"/>
        <v>0</v>
      </c>
      <c r="X507" s="50">
        <f t="shared" si="71"/>
        <v>0</v>
      </c>
      <c r="Y507"/>
      <c r="Z507"/>
      <c r="AA507"/>
    </row>
    <row r="508" spans="1:27" s="51" customFormat="1" ht="18.600000000000001" hidden="1" customHeight="1" x14ac:dyDescent="0.25">
      <c r="A508" s="80" t="s">
        <v>16</v>
      </c>
      <c r="B508" s="20" t="s">
        <v>1262</v>
      </c>
      <c r="C508" s="21" t="s">
        <v>1262</v>
      </c>
      <c r="D508" s="20">
        <v>8435635305008</v>
      </c>
      <c r="E508" s="22" t="s">
        <v>1307</v>
      </c>
      <c r="F508" s="22" t="s">
        <v>1004</v>
      </c>
      <c r="G508" s="22">
        <v>1</v>
      </c>
      <c r="H508" s="83" t="s">
        <v>1079</v>
      </c>
      <c r="I508" s="23" t="s">
        <v>24</v>
      </c>
      <c r="J508" s="24">
        <v>135</v>
      </c>
      <c r="K508" s="25">
        <v>0.25</v>
      </c>
      <c r="L508" s="26">
        <f t="shared" si="66"/>
        <v>33.75</v>
      </c>
      <c r="M508" s="27">
        <f t="shared" si="67"/>
        <v>101.25</v>
      </c>
      <c r="N508" s="28">
        <v>0.16</v>
      </c>
      <c r="O508" s="29">
        <f t="shared" si="69"/>
        <v>16.2</v>
      </c>
      <c r="P508" s="30">
        <f t="shared" si="70"/>
        <v>117.45</v>
      </c>
      <c r="Q508" s="23"/>
      <c r="R508" s="52"/>
      <c r="S508" s="53"/>
      <c r="T508" s="54">
        <f t="shared" si="75"/>
        <v>0</v>
      </c>
      <c r="U508" s="26">
        <f t="shared" si="75"/>
        <v>0</v>
      </c>
      <c r="V508" s="55">
        <f t="shared" si="73"/>
        <v>0</v>
      </c>
      <c r="W508" s="29">
        <f t="shared" si="68"/>
        <v>0</v>
      </c>
      <c r="X508" s="30">
        <f t="shared" si="71"/>
        <v>0</v>
      </c>
      <c r="Y508"/>
      <c r="Z508"/>
      <c r="AA508"/>
    </row>
    <row r="509" spans="1:27" s="51" customFormat="1" ht="18.600000000000001" hidden="1" customHeight="1" x14ac:dyDescent="0.25">
      <c r="A509" s="81" t="s">
        <v>16</v>
      </c>
      <c r="B509" s="31" t="s">
        <v>1262</v>
      </c>
      <c r="C509" s="32" t="s">
        <v>1262</v>
      </c>
      <c r="D509" s="31">
        <v>8435635305015</v>
      </c>
      <c r="E509" s="33" t="s">
        <v>1308</v>
      </c>
      <c r="F509" s="33" t="s">
        <v>1004</v>
      </c>
      <c r="G509" s="33">
        <v>1</v>
      </c>
      <c r="H509" s="84" t="s">
        <v>667</v>
      </c>
      <c r="I509" s="23" t="s">
        <v>24</v>
      </c>
      <c r="J509" s="34">
        <v>135</v>
      </c>
      <c r="K509" s="35">
        <v>0.25</v>
      </c>
      <c r="L509" s="36">
        <f t="shared" si="66"/>
        <v>33.75</v>
      </c>
      <c r="M509" s="37">
        <f t="shared" si="67"/>
        <v>101.25</v>
      </c>
      <c r="N509" s="38">
        <v>0.16</v>
      </c>
      <c r="O509" s="39">
        <f t="shared" si="69"/>
        <v>16.2</v>
      </c>
      <c r="P509" s="40">
        <f t="shared" si="70"/>
        <v>117.45</v>
      </c>
      <c r="Q509" s="23"/>
      <c r="R509" s="56"/>
      <c r="S509" s="57"/>
      <c r="T509" s="58">
        <f t="shared" si="75"/>
        <v>0</v>
      </c>
      <c r="U509" s="36">
        <f t="shared" si="75"/>
        <v>0</v>
      </c>
      <c r="V509" s="59">
        <f t="shared" si="73"/>
        <v>0</v>
      </c>
      <c r="W509" s="39">
        <f t="shared" si="68"/>
        <v>0</v>
      </c>
      <c r="X509" s="40">
        <f t="shared" si="71"/>
        <v>0</v>
      </c>
      <c r="Y509"/>
      <c r="Z509"/>
      <c r="AA509"/>
    </row>
    <row r="510" spans="1:27" s="51" customFormat="1" ht="18.600000000000001" hidden="1" customHeight="1" x14ac:dyDescent="0.25">
      <c r="A510" s="82" t="s">
        <v>16</v>
      </c>
      <c r="B510" s="41" t="s">
        <v>1262</v>
      </c>
      <c r="C510" s="42" t="s">
        <v>1262</v>
      </c>
      <c r="D510" s="41">
        <v>8435635305022</v>
      </c>
      <c r="E510" s="43" t="s">
        <v>1309</v>
      </c>
      <c r="F510" s="43" t="s">
        <v>1004</v>
      </c>
      <c r="G510" s="43">
        <v>1</v>
      </c>
      <c r="H510" s="85" t="s">
        <v>1310</v>
      </c>
      <c r="I510" s="23" t="s">
        <v>24</v>
      </c>
      <c r="J510" s="44">
        <v>135</v>
      </c>
      <c r="K510" s="45">
        <v>0.25</v>
      </c>
      <c r="L510" s="46">
        <f t="shared" si="66"/>
        <v>33.75</v>
      </c>
      <c r="M510" s="47">
        <f t="shared" si="67"/>
        <v>101.25</v>
      </c>
      <c r="N510" s="48">
        <v>0.16</v>
      </c>
      <c r="O510" s="49">
        <f t="shared" si="69"/>
        <v>16.2</v>
      </c>
      <c r="P510" s="50">
        <f t="shared" si="70"/>
        <v>117.45</v>
      </c>
      <c r="Q510" s="23"/>
      <c r="R510" s="60"/>
      <c r="S510" s="61"/>
      <c r="T510" s="62">
        <f t="shared" ref="T510:U525" si="76">+S510*J510</f>
        <v>0</v>
      </c>
      <c r="U510" s="46">
        <f t="shared" si="76"/>
        <v>0</v>
      </c>
      <c r="V510" s="63">
        <f t="shared" si="73"/>
        <v>0</v>
      </c>
      <c r="W510" s="49">
        <f t="shared" si="68"/>
        <v>0</v>
      </c>
      <c r="X510" s="50">
        <f t="shared" si="71"/>
        <v>0</v>
      </c>
      <c r="Y510"/>
      <c r="Z510"/>
      <c r="AA510"/>
    </row>
    <row r="511" spans="1:27" s="51" customFormat="1" ht="18.600000000000001" hidden="1" customHeight="1" x14ac:dyDescent="0.25">
      <c r="A511" s="80" t="s">
        <v>16</v>
      </c>
      <c r="B511" s="20" t="s">
        <v>1262</v>
      </c>
      <c r="C511" s="21" t="s">
        <v>1262</v>
      </c>
      <c r="D511" s="20">
        <v>8435635305039</v>
      </c>
      <c r="E511" s="22" t="s">
        <v>1311</v>
      </c>
      <c r="F511" s="22" t="s">
        <v>1004</v>
      </c>
      <c r="G511" s="22">
        <v>1</v>
      </c>
      <c r="H511" s="83" t="s">
        <v>1312</v>
      </c>
      <c r="I511" s="23" t="s">
        <v>24</v>
      </c>
      <c r="J511" s="24">
        <v>135</v>
      </c>
      <c r="K511" s="25">
        <v>0.25</v>
      </c>
      <c r="L511" s="26">
        <f t="shared" si="66"/>
        <v>33.75</v>
      </c>
      <c r="M511" s="27">
        <f t="shared" si="67"/>
        <v>101.25</v>
      </c>
      <c r="N511" s="28">
        <v>0.16</v>
      </c>
      <c r="O511" s="29">
        <f t="shared" si="69"/>
        <v>16.2</v>
      </c>
      <c r="P511" s="30">
        <f t="shared" si="70"/>
        <v>117.45</v>
      </c>
      <c r="Q511" s="23"/>
      <c r="R511" s="52"/>
      <c r="S511" s="53"/>
      <c r="T511" s="54">
        <f t="shared" si="76"/>
        <v>0</v>
      </c>
      <c r="U511" s="26">
        <f t="shared" si="76"/>
        <v>0</v>
      </c>
      <c r="V511" s="55">
        <f t="shared" si="73"/>
        <v>0</v>
      </c>
      <c r="W511" s="29">
        <f t="shared" si="68"/>
        <v>0</v>
      </c>
      <c r="X511" s="30">
        <f t="shared" si="71"/>
        <v>0</v>
      </c>
      <c r="Y511"/>
      <c r="Z511"/>
      <c r="AA511"/>
    </row>
    <row r="512" spans="1:27" s="51" customFormat="1" ht="18.600000000000001" hidden="1" customHeight="1" x14ac:dyDescent="0.25">
      <c r="A512" s="81" t="s">
        <v>16</v>
      </c>
      <c r="B512" s="31" t="s">
        <v>1262</v>
      </c>
      <c r="C512" s="32" t="s">
        <v>1262</v>
      </c>
      <c r="D512" s="31">
        <v>8435635305046</v>
      </c>
      <c r="E512" s="33" t="s">
        <v>1313</v>
      </c>
      <c r="F512" s="33" t="s">
        <v>1004</v>
      </c>
      <c r="G512" s="33">
        <v>1</v>
      </c>
      <c r="H512" s="84" t="s">
        <v>1027</v>
      </c>
      <c r="I512" s="23" t="s">
        <v>24</v>
      </c>
      <c r="J512" s="34">
        <v>135</v>
      </c>
      <c r="K512" s="35">
        <v>0.25</v>
      </c>
      <c r="L512" s="36">
        <f t="shared" si="66"/>
        <v>33.75</v>
      </c>
      <c r="M512" s="37">
        <f t="shared" si="67"/>
        <v>101.25</v>
      </c>
      <c r="N512" s="38">
        <v>0.16</v>
      </c>
      <c r="O512" s="39">
        <f t="shared" si="69"/>
        <v>16.2</v>
      </c>
      <c r="P512" s="40">
        <f t="shared" si="70"/>
        <v>117.45</v>
      </c>
      <c r="Q512" s="23"/>
      <c r="R512" s="56"/>
      <c r="S512" s="57"/>
      <c r="T512" s="58">
        <f t="shared" si="76"/>
        <v>0</v>
      </c>
      <c r="U512" s="36">
        <f t="shared" si="76"/>
        <v>0</v>
      </c>
      <c r="V512" s="59">
        <f t="shared" si="73"/>
        <v>0</v>
      </c>
      <c r="W512" s="39">
        <f t="shared" si="68"/>
        <v>0</v>
      </c>
      <c r="X512" s="40">
        <f t="shared" si="71"/>
        <v>0</v>
      </c>
      <c r="Y512"/>
      <c r="Z512"/>
      <c r="AA512"/>
    </row>
    <row r="513" spans="1:27" s="51" customFormat="1" ht="18.600000000000001" hidden="1" customHeight="1" x14ac:dyDescent="0.25">
      <c r="A513" s="82" t="s">
        <v>16</v>
      </c>
      <c r="B513" s="41" t="s">
        <v>1314</v>
      </c>
      <c r="C513" s="42" t="s">
        <v>1315</v>
      </c>
      <c r="D513" s="41">
        <v>8435635305404</v>
      </c>
      <c r="E513" s="43" t="s">
        <v>1316</v>
      </c>
      <c r="F513" s="43" t="s">
        <v>429</v>
      </c>
      <c r="G513" s="43">
        <v>24</v>
      </c>
      <c r="H513" s="85" t="s">
        <v>1317</v>
      </c>
      <c r="I513" s="23" t="s">
        <v>24</v>
      </c>
      <c r="J513" s="44">
        <v>2100</v>
      </c>
      <c r="K513" s="45">
        <v>0.25</v>
      </c>
      <c r="L513" s="46">
        <f t="shared" si="66"/>
        <v>525</v>
      </c>
      <c r="M513" s="47">
        <f t="shared" si="67"/>
        <v>1575</v>
      </c>
      <c r="N513" s="48">
        <v>0.16</v>
      </c>
      <c r="O513" s="49">
        <f t="shared" si="69"/>
        <v>252</v>
      </c>
      <c r="P513" s="50">
        <f t="shared" si="70"/>
        <v>1827</v>
      </c>
      <c r="Q513" s="23"/>
      <c r="R513" s="60"/>
      <c r="S513" s="61"/>
      <c r="T513" s="62">
        <f t="shared" si="76"/>
        <v>0</v>
      </c>
      <c r="U513" s="46">
        <f t="shared" si="76"/>
        <v>0</v>
      </c>
      <c r="V513" s="63">
        <f t="shared" si="73"/>
        <v>0</v>
      </c>
      <c r="W513" s="49">
        <f t="shared" si="68"/>
        <v>0</v>
      </c>
      <c r="X513" s="50">
        <f t="shared" si="71"/>
        <v>0</v>
      </c>
      <c r="Y513"/>
      <c r="Z513"/>
      <c r="AA513"/>
    </row>
    <row r="514" spans="1:27" s="51" customFormat="1" ht="18.600000000000001" hidden="1" customHeight="1" x14ac:dyDescent="0.25">
      <c r="A514" s="80" t="s">
        <v>16</v>
      </c>
      <c r="B514" s="20" t="s">
        <v>1318</v>
      </c>
      <c r="C514" s="21" t="s">
        <v>1319</v>
      </c>
      <c r="D514" s="20">
        <v>8435635305695</v>
      </c>
      <c r="E514" s="22" t="s">
        <v>1320</v>
      </c>
      <c r="F514" s="22" t="s">
        <v>429</v>
      </c>
      <c r="G514" s="22">
        <v>8</v>
      </c>
      <c r="H514" s="83" t="s">
        <v>1321</v>
      </c>
      <c r="I514" s="23" t="s">
        <v>24</v>
      </c>
      <c r="J514" s="24">
        <v>930</v>
      </c>
      <c r="K514" s="25">
        <v>0.25</v>
      </c>
      <c r="L514" s="26">
        <f t="shared" si="66"/>
        <v>232.5</v>
      </c>
      <c r="M514" s="27">
        <f t="shared" si="67"/>
        <v>697.5</v>
      </c>
      <c r="N514" s="28">
        <v>0.16</v>
      </c>
      <c r="O514" s="29">
        <f t="shared" si="69"/>
        <v>111.60000000000001</v>
      </c>
      <c r="P514" s="30">
        <f t="shared" si="70"/>
        <v>809.1</v>
      </c>
      <c r="Q514" s="23"/>
      <c r="R514" s="52"/>
      <c r="S514" s="53"/>
      <c r="T514" s="54">
        <f t="shared" si="76"/>
        <v>0</v>
      </c>
      <c r="U514" s="26">
        <f t="shared" si="76"/>
        <v>0</v>
      </c>
      <c r="V514" s="55">
        <f t="shared" si="73"/>
        <v>0</v>
      </c>
      <c r="W514" s="29">
        <f t="shared" si="68"/>
        <v>0</v>
      </c>
      <c r="X514" s="30">
        <f t="shared" si="71"/>
        <v>0</v>
      </c>
      <c r="Y514"/>
      <c r="Z514"/>
      <c r="AA514"/>
    </row>
    <row r="515" spans="1:27" s="51" customFormat="1" ht="18.600000000000001" hidden="1" customHeight="1" x14ac:dyDescent="0.25">
      <c r="A515" s="81" t="s">
        <v>16</v>
      </c>
      <c r="B515" s="31" t="s">
        <v>1318</v>
      </c>
      <c r="C515" s="32" t="s">
        <v>1319</v>
      </c>
      <c r="D515" s="31">
        <v>8435635305701</v>
      </c>
      <c r="E515" s="33" t="s">
        <v>1322</v>
      </c>
      <c r="F515" s="33" t="s">
        <v>429</v>
      </c>
      <c r="G515" s="33">
        <v>8</v>
      </c>
      <c r="H515" s="84" t="s">
        <v>1323</v>
      </c>
      <c r="I515" s="23" t="s">
        <v>24</v>
      </c>
      <c r="J515" s="34">
        <v>930</v>
      </c>
      <c r="K515" s="35">
        <v>0.25</v>
      </c>
      <c r="L515" s="36">
        <f t="shared" si="66"/>
        <v>232.5</v>
      </c>
      <c r="M515" s="37">
        <f t="shared" si="67"/>
        <v>697.5</v>
      </c>
      <c r="N515" s="38">
        <v>0.16</v>
      </c>
      <c r="O515" s="39">
        <f t="shared" si="69"/>
        <v>111.60000000000001</v>
      </c>
      <c r="P515" s="40">
        <f t="shared" si="70"/>
        <v>809.1</v>
      </c>
      <c r="Q515" s="23"/>
      <c r="R515" s="56"/>
      <c r="S515" s="57"/>
      <c r="T515" s="58">
        <f t="shared" si="76"/>
        <v>0</v>
      </c>
      <c r="U515" s="36">
        <f t="shared" si="76"/>
        <v>0</v>
      </c>
      <c r="V515" s="59">
        <f t="shared" si="73"/>
        <v>0</v>
      </c>
      <c r="W515" s="39">
        <f t="shared" si="68"/>
        <v>0</v>
      </c>
      <c r="X515" s="40">
        <f t="shared" si="71"/>
        <v>0</v>
      </c>
      <c r="Y515"/>
      <c r="Z515"/>
      <c r="AA515"/>
    </row>
    <row r="516" spans="1:27" s="51" customFormat="1" ht="18.600000000000001" hidden="1" customHeight="1" x14ac:dyDescent="0.25">
      <c r="A516" s="82" t="s">
        <v>16</v>
      </c>
      <c r="B516" s="41" t="s">
        <v>1324</v>
      </c>
      <c r="C516" s="42" t="s">
        <v>1325</v>
      </c>
      <c r="D516" s="41">
        <v>8435635307057</v>
      </c>
      <c r="E516" s="43" t="s">
        <v>1326</v>
      </c>
      <c r="F516" s="43" t="s">
        <v>1327</v>
      </c>
      <c r="G516" s="43">
        <v>1</v>
      </c>
      <c r="H516" s="85" t="s">
        <v>1018</v>
      </c>
      <c r="I516" s="23" t="s">
        <v>24</v>
      </c>
      <c r="J516" s="44">
        <v>120</v>
      </c>
      <c r="K516" s="45">
        <v>0.25</v>
      </c>
      <c r="L516" s="46">
        <f t="shared" si="66"/>
        <v>30</v>
      </c>
      <c r="M516" s="47">
        <f t="shared" si="67"/>
        <v>90</v>
      </c>
      <c r="N516" s="48">
        <v>0.16</v>
      </c>
      <c r="O516" s="49">
        <f t="shared" si="69"/>
        <v>14.4</v>
      </c>
      <c r="P516" s="50">
        <f t="shared" si="70"/>
        <v>104.4</v>
      </c>
      <c r="Q516" s="23"/>
      <c r="R516" s="60"/>
      <c r="S516" s="61"/>
      <c r="T516" s="62">
        <f t="shared" si="76"/>
        <v>0</v>
      </c>
      <c r="U516" s="46">
        <f t="shared" si="76"/>
        <v>0</v>
      </c>
      <c r="V516" s="63">
        <f t="shared" si="73"/>
        <v>0</v>
      </c>
      <c r="W516" s="49">
        <f t="shared" si="68"/>
        <v>0</v>
      </c>
      <c r="X516" s="50">
        <f t="shared" si="71"/>
        <v>0</v>
      </c>
      <c r="Y516"/>
      <c r="Z516"/>
      <c r="AA516"/>
    </row>
    <row r="517" spans="1:27" s="51" customFormat="1" ht="18.600000000000001" hidden="1" customHeight="1" x14ac:dyDescent="0.25">
      <c r="A517" s="80" t="s">
        <v>16</v>
      </c>
      <c r="B517" s="20" t="s">
        <v>1324</v>
      </c>
      <c r="C517" s="21" t="s">
        <v>1325</v>
      </c>
      <c r="D517" s="20">
        <v>8435635307064</v>
      </c>
      <c r="E517" s="22" t="s">
        <v>1328</v>
      </c>
      <c r="F517" s="22" t="s">
        <v>1327</v>
      </c>
      <c r="G517" s="22">
        <v>1</v>
      </c>
      <c r="H517" s="83" t="s">
        <v>1329</v>
      </c>
      <c r="I517" s="23" t="s">
        <v>24</v>
      </c>
      <c r="J517" s="24">
        <v>120</v>
      </c>
      <c r="K517" s="25">
        <v>0.25</v>
      </c>
      <c r="L517" s="26">
        <f t="shared" si="66"/>
        <v>30</v>
      </c>
      <c r="M517" s="27">
        <f t="shared" si="67"/>
        <v>90</v>
      </c>
      <c r="N517" s="28">
        <v>0.16</v>
      </c>
      <c r="O517" s="29">
        <f t="shared" si="69"/>
        <v>14.4</v>
      </c>
      <c r="P517" s="30">
        <f t="shared" si="70"/>
        <v>104.4</v>
      </c>
      <c r="Q517" s="23"/>
      <c r="R517" s="52"/>
      <c r="S517" s="53"/>
      <c r="T517" s="54">
        <f t="shared" si="76"/>
        <v>0</v>
      </c>
      <c r="U517" s="26">
        <f t="shared" si="76"/>
        <v>0</v>
      </c>
      <c r="V517" s="55">
        <f t="shared" si="73"/>
        <v>0</v>
      </c>
      <c r="W517" s="29">
        <f t="shared" si="68"/>
        <v>0</v>
      </c>
      <c r="X517" s="30">
        <f t="shared" si="71"/>
        <v>0</v>
      </c>
      <c r="Y517"/>
      <c r="Z517"/>
      <c r="AA517"/>
    </row>
    <row r="518" spans="1:27" s="51" customFormat="1" ht="18.600000000000001" hidden="1" customHeight="1" x14ac:dyDescent="0.25">
      <c r="A518" s="81" t="s">
        <v>16</v>
      </c>
      <c r="B518" s="31" t="s">
        <v>1324</v>
      </c>
      <c r="C518" s="32" t="s">
        <v>1325</v>
      </c>
      <c r="D518" s="31">
        <v>8435635307071</v>
      </c>
      <c r="E518" s="33" t="s">
        <v>1330</v>
      </c>
      <c r="F518" s="33" t="s">
        <v>1327</v>
      </c>
      <c r="G518" s="33">
        <v>1</v>
      </c>
      <c r="H518" s="84" t="s">
        <v>1331</v>
      </c>
      <c r="I518" s="23" t="s">
        <v>24</v>
      </c>
      <c r="J518" s="34">
        <v>120</v>
      </c>
      <c r="K518" s="35">
        <v>0.25</v>
      </c>
      <c r="L518" s="36">
        <f t="shared" si="66"/>
        <v>30</v>
      </c>
      <c r="M518" s="37">
        <f t="shared" si="67"/>
        <v>90</v>
      </c>
      <c r="N518" s="38">
        <v>0.16</v>
      </c>
      <c r="O518" s="39">
        <f t="shared" si="69"/>
        <v>14.4</v>
      </c>
      <c r="P518" s="40">
        <f t="shared" si="70"/>
        <v>104.4</v>
      </c>
      <c r="Q518" s="23"/>
      <c r="R518" s="56"/>
      <c r="S518" s="57"/>
      <c r="T518" s="58">
        <f t="shared" si="76"/>
        <v>0</v>
      </c>
      <c r="U518" s="36">
        <f t="shared" si="76"/>
        <v>0</v>
      </c>
      <c r="V518" s="59">
        <f t="shared" si="73"/>
        <v>0</v>
      </c>
      <c r="W518" s="39">
        <f t="shared" si="68"/>
        <v>0</v>
      </c>
      <c r="X518" s="40">
        <f t="shared" si="71"/>
        <v>0</v>
      </c>
      <c r="Y518"/>
      <c r="Z518"/>
      <c r="AA518"/>
    </row>
    <row r="519" spans="1:27" s="51" customFormat="1" ht="18.600000000000001" hidden="1" customHeight="1" x14ac:dyDescent="0.25">
      <c r="A519" s="82" t="s">
        <v>16</v>
      </c>
      <c r="B519" s="41" t="s">
        <v>1324</v>
      </c>
      <c r="C519" s="42" t="s">
        <v>1325</v>
      </c>
      <c r="D519" s="41">
        <v>8435635307088</v>
      </c>
      <c r="E519" s="43" t="s">
        <v>1332</v>
      </c>
      <c r="F519" s="43" t="s">
        <v>1327</v>
      </c>
      <c r="G519" s="43">
        <v>1</v>
      </c>
      <c r="H519" s="85" t="s">
        <v>1333</v>
      </c>
      <c r="I519" s="23" t="s">
        <v>24</v>
      </c>
      <c r="J519" s="44">
        <v>120</v>
      </c>
      <c r="K519" s="45">
        <v>0.25</v>
      </c>
      <c r="L519" s="46">
        <f t="shared" si="66"/>
        <v>30</v>
      </c>
      <c r="M519" s="47">
        <f t="shared" si="67"/>
        <v>90</v>
      </c>
      <c r="N519" s="48">
        <v>0.16</v>
      </c>
      <c r="O519" s="49">
        <f t="shared" si="69"/>
        <v>14.4</v>
      </c>
      <c r="P519" s="50">
        <f t="shared" si="70"/>
        <v>104.4</v>
      </c>
      <c r="Q519" s="23"/>
      <c r="R519" s="60"/>
      <c r="S519" s="61"/>
      <c r="T519" s="62">
        <f t="shared" si="76"/>
        <v>0</v>
      </c>
      <c r="U519" s="46">
        <f t="shared" si="76"/>
        <v>0</v>
      </c>
      <c r="V519" s="63">
        <f t="shared" si="73"/>
        <v>0</v>
      </c>
      <c r="W519" s="49">
        <f t="shared" si="68"/>
        <v>0</v>
      </c>
      <c r="X519" s="50">
        <f t="shared" si="71"/>
        <v>0</v>
      </c>
      <c r="Y519"/>
      <c r="Z519"/>
      <c r="AA519"/>
    </row>
    <row r="520" spans="1:27" s="51" customFormat="1" ht="18.600000000000001" hidden="1" customHeight="1" x14ac:dyDescent="0.25">
      <c r="A520" s="80" t="s">
        <v>16</v>
      </c>
      <c r="B520" s="20" t="s">
        <v>1324</v>
      </c>
      <c r="C520" s="21" t="s">
        <v>1325</v>
      </c>
      <c r="D520" s="20">
        <v>8435635307095</v>
      </c>
      <c r="E520" s="22" t="s">
        <v>1334</v>
      </c>
      <c r="F520" s="22" t="s">
        <v>1327</v>
      </c>
      <c r="G520" s="22">
        <v>1</v>
      </c>
      <c r="H520" s="83" t="s">
        <v>1335</v>
      </c>
      <c r="I520" s="23" t="s">
        <v>24</v>
      </c>
      <c r="J520" s="24">
        <v>120</v>
      </c>
      <c r="K520" s="25">
        <v>0.25</v>
      </c>
      <c r="L520" s="26">
        <f t="shared" si="66"/>
        <v>30</v>
      </c>
      <c r="M520" s="27">
        <f t="shared" si="67"/>
        <v>90</v>
      </c>
      <c r="N520" s="28">
        <v>0.16</v>
      </c>
      <c r="O520" s="29">
        <f t="shared" si="69"/>
        <v>14.4</v>
      </c>
      <c r="P520" s="30">
        <f t="shared" si="70"/>
        <v>104.4</v>
      </c>
      <c r="Q520" s="23"/>
      <c r="R520" s="52"/>
      <c r="S520" s="53"/>
      <c r="T520" s="54">
        <f t="shared" si="76"/>
        <v>0</v>
      </c>
      <c r="U520" s="26">
        <f t="shared" si="76"/>
        <v>0</v>
      </c>
      <c r="V520" s="55">
        <f t="shared" si="73"/>
        <v>0</v>
      </c>
      <c r="W520" s="29">
        <f t="shared" si="68"/>
        <v>0</v>
      </c>
      <c r="X520" s="30">
        <f t="shared" si="71"/>
        <v>0</v>
      </c>
      <c r="Y520"/>
      <c r="Z520"/>
      <c r="AA520"/>
    </row>
    <row r="521" spans="1:27" s="51" customFormat="1" ht="18.600000000000001" hidden="1" customHeight="1" x14ac:dyDescent="0.25">
      <c r="A521" s="81" t="s">
        <v>16</v>
      </c>
      <c r="B521" s="31" t="s">
        <v>1324</v>
      </c>
      <c r="C521" s="32" t="s">
        <v>1325</v>
      </c>
      <c r="D521" s="31">
        <v>8435635307101</v>
      </c>
      <c r="E521" s="33" t="s">
        <v>1336</v>
      </c>
      <c r="F521" s="33" t="s">
        <v>1327</v>
      </c>
      <c r="G521" s="33">
        <v>1</v>
      </c>
      <c r="H521" s="84" t="s">
        <v>1337</v>
      </c>
      <c r="I521" s="23" t="s">
        <v>24</v>
      </c>
      <c r="J521" s="34">
        <v>120</v>
      </c>
      <c r="K521" s="35">
        <v>0.25</v>
      </c>
      <c r="L521" s="36">
        <f t="shared" si="66"/>
        <v>30</v>
      </c>
      <c r="M521" s="37">
        <f t="shared" si="67"/>
        <v>90</v>
      </c>
      <c r="N521" s="38">
        <v>0.16</v>
      </c>
      <c r="O521" s="39">
        <f t="shared" si="69"/>
        <v>14.4</v>
      </c>
      <c r="P521" s="40">
        <f t="shared" si="70"/>
        <v>104.4</v>
      </c>
      <c r="Q521" s="23"/>
      <c r="R521" s="56"/>
      <c r="S521" s="57"/>
      <c r="T521" s="58">
        <f t="shared" si="76"/>
        <v>0</v>
      </c>
      <c r="U521" s="36">
        <f t="shared" si="76"/>
        <v>0</v>
      </c>
      <c r="V521" s="59">
        <f t="shared" si="73"/>
        <v>0</v>
      </c>
      <c r="W521" s="39">
        <f t="shared" si="68"/>
        <v>0</v>
      </c>
      <c r="X521" s="40">
        <f t="shared" si="71"/>
        <v>0</v>
      </c>
      <c r="Y521"/>
      <c r="Z521"/>
      <c r="AA521"/>
    </row>
    <row r="522" spans="1:27" s="51" customFormat="1" ht="18.600000000000001" hidden="1" customHeight="1" x14ac:dyDescent="0.25">
      <c r="A522" s="82" t="s">
        <v>16</v>
      </c>
      <c r="B522" s="41" t="s">
        <v>1324</v>
      </c>
      <c r="C522" s="42" t="s">
        <v>1325</v>
      </c>
      <c r="D522" s="41">
        <v>8435635307118</v>
      </c>
      <c r="E522" s="43" t="s">
        <v>1338</v>
      </c>
      <c r="F522" s="43" t="s">
        <v>1327</v>
      </c>
      <c r="G522" s="43">
        <v>1</v>
      </c>
      <c r="H522" s="85" t="s">
        <v>87</v>
      </c>
      <c r="I522" s="23" t="s">
        <v>24</v>
      </c>
      <c r="J522" s="44">
        <v>120</v>
      </c>
      <c r="K522" s="45">
        <v>0.25</v>
      </c>
      <c r="L522" s="46">
        <f t="shared" ref="L522:L585" si="77">+J522*K522</f>
        <v>30</v>
      </c>
      <c r="M522" s="47">
        <f t="shared" ref="M522:M585" si="78">+J522-L522</f>
        <v>90</v>
      </c>
      <c r="N522" s="48">
        <v>0.16</v>
      </c>
      <c r="O522" s="49">
        <f t="shared" si="69"/>
        <v>14.4</v>
      </c>
      <c r="P522" s="50">
        <f t="shared" si="70"/>
        <v>104.4</v>
      </c>
      <c r="Q522" s="23"/>
      <c r="R522" s="60"/>
      <c r="S522" s="61"/>
      <c r="T522" s="62">
        <f t="shared" si="76"/>
        <v>0</v>
      </c>
      <c r="U522" s="46">
        <f t="shared" si="76"/>
        <v>0</v>
      </c>
      <c r="V522" s="63">
        <f t="shared" si="73"/>
        <v>0</v>
      </c>
      <c r="W522" s="49">
        <f t="shared" ref="W522:W585" si="79">+V522*N522</f>
        <v>0</v>
      </c>
      <c r="X522" s="50">
        <f t="shared" si="71"/>
        <v>0</v>
      </c>
      <c r="Y522"/>
      <c r="Z522"/>
      <c r="AA522"/>
    </row>
    <row r="523" spans="1:27" s="51" customFormat="1" ht="18.600000000000001" hidden="1" customHeight="1" x14ac:dyDescent="0.25">
      <c r="A523" s="80" t="s">
        <v>16</v>
      </c>
      <c r="B523" s="20" t="s">
        <v>1324</v>
      </c>
      <c r="C523" s="21" t="s">
        <v>1325</v>
      </c>
      <c r="D523" s="20">
        <v>8435635307125</v>
      </c>
      <c r="E523" s="22" t="s">
        <v>1339</v>
      </c>
      <c r="F523" s="22" t="s">
        <v>1327</v>
      </c>
      <c r="G523" s="22">
        <v>1</v>
      </c>
      <c r="H523" s="83" t="s">
        <v>78</v>
      </c>
      <c r="I523" s="23" t="s">
        <v>24</v>
      </c>
      <c r="J523" s="24">
        <v>120</v>
      </c>
      <c r="K523" s="25">
        <v>0.25</v>
      </c>
      <c r="L523" s="26">
        <f t="shared" si="77"/>
        <v>30</v>
      </c>
      <c r="M523" s="27">
        <f t="shared" si="78"/>
        <v>90</v>
      </c>
      <c r="N523" s="28">
        <v>0.16</v>
      </c>
      <c r="O523" s="29">
        <f t="shared" ref="O523:O586" si="80">+M523*N523</f>
        <v>14.4</v>
      </c>
      <c r="P523" s="30">
        <f t="shared" ref="P523:P586" si="81">+M523+O523</f>
        <v>104.4</v>
      </c>
      <c r="Q523" s="23"/>
      <c r="R523" s="52"/>
      <c r="S523" s="53"/>
      <c r="T523" s="54">
        <f t="shared" si="76"/>
        <v>0</v>
      </c>
      <c r="U523" s="26">
        <f t="shared" si="76"/>
        <v>0</v>
      </c>
      <c r="V523" s="55">
        <f t="shared" si="73"/>
        <v>0</v>
      </c>
      <c r="W523" s="29">
        <f t="shared" si="79"/>
        <v>0</v>
      </c>
      <c r="X523" s="30">
        <f t="shared" ref="X523:X586" si="82">+V523+W523</f>
        <v>0</v>
      </c>
      <c r="Y523"/>
      <c r="Z523"/>
      <c r="AA523"/>
    </row>
    <row r="524" spans="1:27" s="51" customFormat="1" ht="18.600000000000001" hidden="1" customHeight="1" x14ac:dyDescent="0.25">
      <c r="A524" s="81" t="s">
        <v>16</v>
      </c>
      <c r="B524" s="31" t="s">
        <v>1324</v>
      </c>
      <c r="C524" s="32" t="s">
        <v>1325</v>
      </c>
      <c r="D524" s="31">
        <v>8435635307132</v>
      </c>
      <c r="E524" s="33" t="s">
        <v>1340</v>
      </c>
      <c r="F524" s="33" t="s">
        <v>1327</v>
      </c>
      <c r="G524" s="33">
        <v>1</v>
      </c>
      <c r="H524" s="84" t="s">
        <v>1011</v>
      </c>
      <c r="I524" s="23" t="s">
        <v>24</v>
      </c>
      <c r="J524" s="34">
        <v>120</v>
      </c>
      <c r="K524" s="35">
        <v>0.25</v>
      </c>
      <c r="L524" s="36">
        <f t="shared" si="77"/>
        <v>30</v>
      </c>
      <c r="M524" s="37">
        <f t="shared" si="78"/>
        <v>90</v>
      </c>
      <c r="N524" s="38">
        <v>0.16</v>
      </c>
      <c r="O524" s="39">
        <f t="shared" si="80"/>
        <v>14.4</v>
      </c>
      <c r="P524" s="40">
        <f t="shared" si="81"/>
        <v>104.4</v>
      </c>
      <c r="Q524" s="23"/>
      <c r="R524" s="56"/>
      <c r="S524" s="57"/>
      <c r="T524" s="58">
        <f t="shared" si="76"/>
        <v>0</v>
      </c>
      <c r="U524" s="36">
        <f t="shared" si="76"/>
        <v>0</v>
      </c>
      <c r="V524" s="59">
        <f t="shared" si="73"/>
        <v>0</v>
      </c>
      <c r="W524" s="39">
        <f t="shared" si="79"/>
        <v>0</v>
      </c>
      <c r="X524" s="40">
        <f t="shared" si="82"/>
        <v>0</v>
      </c>
      <c r="Y524"/>
      <c r="Z524"/>
      <c r="AA524"/>
    </row>
    <row r="525" spans="1:27" s="51" customFormat="1" ht="18.600000000000001" hidden="1" customHeight="1" x14ac:dyDescent="0.25">
      <c r="A525" s="82" t="s">
        <v>16</v>
      </c>
      <c r="B525" s="41" t="s">
        <v>1324</v>
      </c>
      <c r="C525" s="42" t="s">
        <v>1325</v>
      </c>
      <c r="D525" s="41">
        <v>8435635307149</v>
      </c>
      <c r="E525" s="43" t="s">
        <v>1341</v>
      </c>
      <c r="F525" s="43" t="s">
        <v>1327</v>
      </c>
      <c r="G525" s="43">
        <v>1</v>
      </c>
      <c r="H525" s="85" t="s">
        <v>1013</v>
      </c>
      <c r="I525" s="23" t="s">
        <v>24</v>
      </c>
      <c r="J525" s="44">
        <v>120</v>
      </c>
      <c r="K525" s="45">
        <v>0.25</v>
      </c>
      <c r="L525" s="46">
        <f t="shared" si="77"/>
        <v>30</v>
      </c>
      <c r="M525" s="47">
        <f t="shared" si="78"/>
        <v>90</v>
      </c>
      <c r="N525" s="48">
        <v>0.16</v>
      </c>
      <c r="O525" s="49">
        <f t="shared" si="80"/>
        <v>14.4</v>
      </c>
      <c r="P525" s="50">
        <f t="shared" si="81"/>
        <v>104.4</v>
      </c>
      <c r="Q525" s="23"/>
      <c r="R525" s="60"/>
      <c r="S525" s="61"/>
      <c r="T525" s="62">
        <f t="shared" si="76"/>
        <v>0</v>
      </c>
      <c r="U525" s="46">
        <f t="shared" si="76"/>
        <v>0</v>
      </c>
      <c r="V525" s="63">
        <f t="shared" si="73"/>
        <v>0</v>
      </c>
      <c r="W525" s="49">
        <f t="shared" si="79"/>
        <v>0</v>
      </c>
      <c r="X525" s="50">
        <f t="shared" si="82"/>
        <v>0</v>
      </c>
      <c r="Y525"/>
      <c r="Z525"/>
      <c r="AA525"/>
    </row>
    <row r="526" spans="1:27" s="51" customFormat="1" ht="18.600000000000001" hidden="1" customHeight="1" x14ac:dyDescent="0.25">
      <c r="A526" s="80" t="s">
        <v>16</v>
      </c>
      <c r="B526" s="20" t="s">
        <v>1324</v>
      </c>
      <c r="C526" s="21" t="s">
        <v>1325</v>
      </c>
      <c r="D526" s="20">
        <v>8435635307156</v>
      </c>
      <c r="E526" s="22" t="s">
        <v>1342</v>
      </c>
      <c r="F526" s="22" t="s">
        <v>1327</v>
      </c>
      <c r="G526" s="22">
        <v>1</v>
      </c>
      <c r="H526" s="83" t="s">
        <v>1009</v>
      </c>
      <c r="I526" s="23" t="s">
        <v>24</v>
      </c>
      <c r="J526" s="24">
        <v>120</v>
      </c>
      <c r="K526" s="25">
        <v>0.25</v>
      </c>
      <c r="L526" s="26">
        <f t="shared" si="77"/>
        <v>30</v>
      </c>
      <c r="M526" s="27">
        <f t="shared" si="78"/>
        <v>90</v>
      </c>
      <c r="N526" s="28">
        <v>0.16</v>
      </c>
      <c r="O526" s="29">
        <f t="shared" si="80"/>
        <v>14.4</v>
      </c>
      <c r="P526" s="30">
        <f t="shared" si="81"/>
        <v>104.4</v>
      </c>
      <c r="Q526" s="23"/>
      <c r="R526" s="52"/>
      <c r="S526" s="53"/>
      <c r="T526" s="54">
        <f t="shared" ref="T526:U541" si="83">+S526*J526</f>
        <v>0</v>
      </c>
      <c r="U526" s="26">
        <f t="shared" si="83"/>
        <v>0</v>
      </c>
      <c r="V526" s="55">
        <f t="shared" si="73"/>
        <v>0</v>
      </c>
      <c r="W526" s="29">
        <f t="shared" si="79"/>
        <v>0</v>
      </c>
      <c r="X526" s="30">
        <f t="shared" si="82"/>
        <v>0</v>
      </c>
      <c r="Y526"/>
      <c r="Z526"/>
      <c r="AA526"/>
    </row>
    <row r="527" spans="1:27" s="51" customFormat="1" ht="18.600000000000001" hidden="1" customHeight="1" x14ac:dyDescent="0.25">
      <c r="A527" s="81" t="s">
        <v>16</v>
      </c>
      <c r="B527" s="31" t="s">
        <v>1324</v>
      </c>
      <c r="C527" s="32" t="s">
        <v>1325</v>
      </c>
      <c r="D527" s="31">
        <v>8435635307163</v>
      </c>
      <c r="E527" s="33" t="s">
        <v>1343</v>
      </c>
      <c r="F527" s="33" t="s">
        <v>1327</v>
      </c>
      <c r="G527" s="33">
        <v>1</v>
      </c>
      <c r="H527" s="84" t="s">
        <v>1344</v>
      </c>
      <c r="I527" s="23" t="s">
        <v>24</v>
      </c>
      <c r="J527" s="34">
        <v>120</v>
      </c>
      <c r="K527" s="35">
        <v>0.25</v>
      </c>
      <c r="L527" s="36">
        <f t="shared" si="77"/>
        <v>30</v>
      </c>
      <c r="M527" s="37">
        <f t="shared" si="78"/>
        <v>90</v>
      </c>
      <c r="N527" s="38">
        <v>0.16</v>
      </c>
      <c r="O527" s="39">
        <f t="shared" si="80"/>
        <v>14.4</v>
      </c>
      <c r="P527" s="40">
        <f t="shared" si="81"/>
        <v>104.4</v>
      </c>
      <c r="Q527" s="23"/>
      <c r="R527" s="56"/>
      <c r="S527" s="57"/>
      <c r="T527" s="58">
        <f t="shared" si="83"/>
        <v>0</v>
      </c>
      <c r="U527" s="36">
        <f t="shared" si="83"/>
        <v>0</v>
      </c>
      <c r="V527" s="59">
        <f t="shared" si="73"/>
        <v>0</v>
      </c>
      <c r="W527" s="39">
        <f t="shared" si="79"/>
        <v>0</v>
      </c>
      <c r="X527" s="40">
        <f t="shared" si="82"/>
        <v>0</v>
      </c>
      <c r="Y527"/>
      <c r="Z527"/>
      <c r="AA527"/>
    </row>
    <row r="528" spans="1:27" s="51" customFormat="1" ht="18.600000000000001" hidden="1" customHeight="1" x14ac:dyDescent="0.25">
      <c r="A528" s="82" t="s">
        <v>16</v>
      </c>
      <c r="B528" s="41" t="s">
        <v>1324</v>
      </c>
      <c r="C528" s="42" t="s">
        <v>1325</v>
      </c>
      <c r="D528" s="41">
        <v>8435635307170</v>
      </c>
      <c r="E528" s="43" t="s">
        <v>1345</v>
      </c>
      <c r="F528" s="43" t="s">
        <v>1327</v>
      </c>
      <c r="G528" s="43">
        <v>1</v>
      </c>
      <c r="H528" s="85" t="s">
        <v>1346</v>
      </c>
      <c r="I528" s="23" t="s">
        <v>24</v>
      </c>
      <c r="J528" s="44">
        <v>120</v>
      </c>
      <c r="K528" s="45">
        <v>0.25</v>
      </c>
      <c r="L528" s="46">
        <f t="shared" si="77"/>
        <v>30</v>
      </c>
      <c r="M528" s="47">
        <f t="shared" si="78"/>
        <v>90</v>
      </c>
      <c r="N528" s="48">
        <v>0.16</v>
      </c>
      <c r="O528" s="49">
        <f t="shared" si="80"/>
        <v>14.4</v>
      </c>
      <c r="P528" s="50">
        <f t="shared" si="81"/>
        <v>104.4</v>
      </c>
      <c r="Q528" s="23"/>
      <c r="R528" s="60"/>
      <c r="S528" s="61"/>
      <c r="T528" s="62">
        <f t="shared" si="83"/>
        <v>0</v>
      </c>
      <c r="U528" s="46">
        <f t="shared" si="83"/>
        <v>0</v>
      </c>
      <c r="V528" s="63">
        <f t="shared" si="73"/>
        <v>0</v>
      </c>
      <c r="W528" s="49">
        <f t="shared" si="79"/>
        <v>0</v>
      </c>
      <c r="X528" s="50">
        <f t="shared" si="82"/>
        <v>0</v>
      </c>
      <c r="Y528"/>
      <c r="Z528"/>
      <c r="AA528"/>
    </row>
    <row r="529" spans="1:27" s="51" customFormat="1" ht="18.600000000000001" hidden="1" customHeight="1" x14ac:dyDescent="0.25">
      <c r="A529" s="80" t="s">
        <v>16</v>
      </c>
      <c r="B529" s="20" t="s">
        <v>1324</v>
      </c>
      <c r="C529" s="21" t="s">
        <v>1325</v>
      </c>
      <c r="D529" s="20">
        <v>8435635307187</v>
      </c>
      <c r="E529" s="22" t="s">
        <v>1347</v>
      </c>
      <c r="F529" s="22" t="s">
        <v>1327</v>
      </c>
      <c r="G529" s="22">
        <v>1</v>
      </c>
      <c r="H529" s="83" t="s">
        <v>1348</v>
      </c>
      <c r="I529" s="23" t="s">
        <v>24</v>
      </c>
      <c r="J529" s="24">
        <v>120</v>
      </c>
      <c r="K529" s="25">
        <v>0.25</v>
      </c>
      <c r="L529" s="26">
        <f t="shared" si="77"/>
        <v>30</v>
      </c>
      <c r="M529" s="27">
        <f t="shared" si="78"/>
        <v>90</v>
      </c>
      <c r="N529" s="28">
        <v>0.16</v>
      </c>
      <c r="O529" s="29">
        <f t="shared" si="80"/>
        <v>14.4</v>
      </c>
      <c r="P529" s="30">
        <f t="shared" si="81"/>
        <v>104.4</v>
      </c>
      <c r="Q529" s="23"/>
      <c r="R529" s="52"/>
      <c r="S529" s="53"/>
      <c r="T529" s="54">
        <f t="shared" si="83"/>
        <v>0</v>
      </c>
      <c r="U529" s="26">
        <f t="shared" si="83"/>
        <v>0</v>
      </c>
      <c r="V529" s="55">
        <f t="shared" si="73"/>
        <v>0</v>
      </c>
      <c r="W529" s="29">
        <f t="shared" si="79"/>
        <v>0</v>
      </c>
      <c r="X529" s="30">
        <f t="shared" si="82"/>
        <v>0</v>
      </c>
      <c r="Y529"/>
      <c r="Z529"/>
      <c r="AA529"/>
    </row>
    <row r="530" spans="1:27" s="51" customFormat="1" ht="18.600000000000001" hidden="1" customHeight="1" x14ac:dyDescent="0.25">
      <c r="A530" s="81" t="s">
        <v>16</v>
      </c>
      <c r="B530" s="31" t="s">
        <v>1324</v>
      </c>
      <c r="C530" s="32" t="s">
        <v>1325</v>
      </c>
      <c r="D530" s="31">
        <v>8435635307194</v>
      </c>
      <c r="E530" s="33" t="s">
        <v>1349</v>
      </c>
      <c r="F530" s="33" t="s">
        <v>1327</v>
      </c>
      <c r="G530" s="33">
        <v>1</v>
      </c>
      <c r="H530" s="84" t="s">
        <v>27</v>
      </c>
      <c r="I530" s="23" t="s">
        <v>24</v>
      </c>
      <c r="J530" s="34">
        <v>120</v>
      </c>
      <c r="K530" s="35">
        <v>0.25</v>
      </c>
      <c r="L530" s="36">
        <f t="shared" si="77"/>
        <v>30</v>
      </c>
      <c r="M530" s="37">
        <f t="shared" si="78"/>
        <v>90</v>
      </c>
      <c r="N530" s="38">
        <v>0.16</v>
      </c>
      <c r="O530" s="39">
        <f t="shared" si="80"/>
        <v>14.4</v>
      </c>
      <c r="P530" s="40">
        <f t="shared" si="81"/>
        <v>104.4</v>
      </c>
      <c r="Q530" s="23"/>
      <c r="R530" s="56"/>
      <c r="S530" s="57"/>
      <c r="T530" s="58">
        <f t="shared" si="83"/>
        <v>0</v>
      </c>
      <c r="U530" s="36">
        <f t="shared" si="83"/>
        <v>0</v>
      </c>
      <c r="V530" s="59">
        <f t="shared" si="73"/>
        <v>0</v>
      </c>
      <c r="W530" s="39">
        <f t="shared" si="79"/>
        <v>0</v>
      </c>
      <c r="X530" s="40">
        <f t="shared" si="82"/>
        <v>0</v>
      </c>
      <c r="Y530"/>
      <c r="Z530"/>
      <c r="AA530"/>
    </row>
    <row r="531" spans="1:27" s="51" customFormat="1" ht="18.600000000000001" hidden="1" customHeight="1" x14ac:dyDescent="0.25">
      <c r="A531" s="82" t="s">
        <v>16</v>
      </c>
      <c r="B531" s="41" t="s">
        <v>1324</v>
      </c>
      <c r="C531" s="42" t="s">
        <v>1325</v>
      </c>
      <c r="D531" s="41">
        <v>8435635307200</v>
      </c>
      <c r="E531" s="43" t="s">
        <v>1350</v>
      </c>
      <c r="F531" s="43" t="s">
        <v>1327</v>
      </c>
      <c r="G531" s="43">
        <v>1</v>
      </c>
      <c r="H531" s="85" t="s">
        <v>23</v>
      </c>
      <c r="I531" s="23" t="s">
        <v>24</v>
      </c>
      <c r="J531" s="44">
        <v>120</v>
      </c>
      <c r="K531" s="45">
        <v>0.25</v>
      </c>
      <c r="L531" s="46">
        <f t="shared" si="77"/>
        <v>30</v>
      </c>
      <c r="M531" s="47">
        <f t="shared" si="78"/>
        <v>90</v>
      </c>
      <c r="N531" s="48">
        <v>0.16</v>
      </c>
      <c r="O531" s="49">
        <f t="shared" si="80"/>
        <v>14.4</v>
      </c>
      <c r="P531" s="50">
        <f t="shared" si="81"/>
        <v>104.4</v>
      </c>
      <c r="Q531" s="23"/>
      <c r="R531" s="60"/>
      <c r="S531" s="61"/>
      <c r="T531" s="62">
        <f t="shared" si="83"/>
        <v>0</v>
      </c>
      <c r="U531" s="46">
        <f t="shared" si="83"/>
        <v>0</v>
      </c>
      <c r="V531" s="63">
        <f t="shared" si="73"/>
        <v>0</v>
      </c>
      <c r="W531" s="49">
        <f t="shared" si="79"/>
        <v>0</v>
      </c>
      <c r="X531" s="50">
        <f t="shared" si="82"/>
        <v>0</v>
      </c>
      <c r="Y531"/>
      <c r="Z531"/>
      <c r="AA531"/>
    </row>
    <row r="532" spans="1:27" s="51" customFormat="1" ht="18.600000000000001" hidden="1" customHeight="1" x14ac:dyDescent="0.25">
      <c r="A532" s="80" t="s">
        <v>16</v>
      </c>
      <c r="B532" s="20" t="s">
        <v>1324</v>
      </c>
      <c r="C532" s="21" t="s">
        <v>1325</v>
      </c>
      <c r="D532" s="20">
        <v>8435635307217</v>
      </c>
      <c r="E532" s="22" t="s">
        <v>1351</v>
      </c>
      <c r="F532" s="22" t="s">
        <v>1327</v>
      </c>
      <c r="G532" s="22">
        <v>1</v>
      </c>
      <c r="H532" s="83" t="s">
        <v>1352</v>
      </c>
      <c r="I532" s="23" t="s">
        <v>24</v>
      </c>
      <c r="J532" s="24">
        <v>120</v>
      </c>
      <c r="K532" s="25">
        <v>0.25</v>
      </c>
      <c r="L532" s="26">
        <f t="shared" si="77"/>
        <v>30</v>
      </c>
      <c r="M532" s="27">
        <f t="shared" si="78"/>
        <v>90</v>
      </c>
      <c r="N532" s="28">
        <v>0.16</v>
      </c>
      <c r="O532" s="29">
        <f t="shared" si="80"/>
        <v>14.4</v>
      </c>
      <c r="P532" s="30">
        <f t="shared" si="81"/>
        <v>104.4</v>
      </c>
      <c r="Q532" s="23"/>
      <c r="R532" s="52"/>
      <c r="S532" s="53"/>
      <c r="T532" s="54">
        <f t="shared" si="83"/>
        <v>0</v>
      </c>
      <c r="U532" s="26">
        <f t="shared" si="83"/>
        <v>0</v>
      </c>
      <c r="V532" s="55">
        <f t="shared" si="73"/>
        <v>0</v>
      </c>
      <c r="W532" s="29">
        <f t="shared" si="79"/>
        <v>0</v>
      </c>
      <c r="X532" s="30">
        <f t="shared" si="82"/>
        <v>0</v>
      </c>
      <c r="Y532"/>
      <c r="Z532"/>
      <c r="AA532"/>
    </row>
    <row r="533" spans="1:27" s="51" customFormat="1" ht="18.600000000000001" hidden="1" customHeight="1" x14ac:dyDescent="0.25">
      <c r="A533" s="81" t="s">
        <v>16</v>
      </c>
      <c r="B533" s="31" t="s">
        <v>1324</v>
      </c>
      <c r="C533" s="32" t="s">
        <v>1325</v>
      </c>
      <c r="D533" s="31">
        <v>8435635307224</v>
      </c>
      <c r="E533" s="33" t="s">
        <v>1353</v>
      </c>
      <c r="F533" s="33" t="s">
        <v>1327</v>
      </c>
      <c r="G533" s="33">
        <v>1</v>
      </c>
      <c r="H533" s="84" t="s">
        <v>1140</v>
      </c>
      <c r="I533" s="23" t="s">
        <v>24</v>
      </c>
      <c r="J533" s="34">
        <v>120</v>
      </c>
      <c r="K533" s="35">
        <v>0.25</v>
      </c>
      <c r="L533" s="36">
        <f t="shared" si="77"/>
        <v>30</v>
      </c>
      <c r="M533" s="37">
        <f t="shared" si="78"/>
        <v>90</v>
      </c>
      <c r="N533" s="38">
        <v>0.16</v>
      </c>
      <c r="O533" s="39">
        <f t="shared" si="80"/>
        <v>14.4</v>
      </c>
      <c r="P533" s="40">
        <f t="shared" si="81"/>
        <v>104.4</v>
      </c>
      <c r="Q533" s="23"/>
      <c r="R533" s="56"/>
      <c r="S533" s="57"/>
      <c r="T533" s="58">
        <f t="shared" si="83"/>
        <v>0</v>
      </c>
      <c r="U533" s="36">
        <f t="shared" si="83"/>
        <v>0</v>
      </c>
      <c r="V533" s="59">
        <f t="shared" si="73"/>
        <v>0</v>
      </c>
      <c r="W533" s="39">
        <f t="shared" si="79"/>
        <v>0</v>
      </c>
      <c r="X533" s="40">
        <f t="shared" si="82"/>
        <v>0</v>
      </c>
      <c r="Y533"/>
      <c r="Z533"/>
      <c r="AA533"/>
    </row>
    <row r="534" spans="1:27" s="51" customFormat="1" ht="18.600000000000001" hidden="1" customHeight="1" x14ac:dyDescent="0.25">
      <c r="A534" s="82" t="s">
        <v>16</v>
      </c>
      <c r="B534" s="41" t="s">
        <v>1324</v>
      </c>
      <c r="C534" s="42" t="s">
        <v>1325</v>
      </c>
      <c r="D534" s="41">
        <v>8435635307231</v>
      </c>
      <c r="E534" s="43" t="s">
        <v>1354</v>
      </c>
      <c r="F534" s="43" t="s">
        <v>1327</v>
      </c>
      <c r="G534" s="43">
        <v>1</v>
      </c>
      <c r="H534" s="85" t="s">
        <v>1355</v>
      </c>
      <c r="I534" s="23" t="s">
        <v>24</v>
      </c>
      <c r="J534" s="44">
        <v>120</v>
      </c>
      <c r="K534" s="45">
        <v>0.25</v>
      </c>
      <c r="L534" s="46">
        <f t="shared" si="77"/>
        <v>30</v>
      </c>
      <c r="M534" s="47">
        <f t="shared" si="78"/>
        <v>90</v>
      </c>
      <c r="N534" s="48">
        <v>0.16</v>
      </c>
      <c r="O534" s="49">
        <f t="shared" si="80"/>
        <v>14.4</v>
      </c>
      <c r="P534" s="50">
        <f t="shared" si="81"/>
        <v>104.4</v>
      </c>
      <c r="Q534" s="23"/>
      <c r="R534" s="60"/>
      <c r="S534" s="61"/>
      <c r="T534" s="62">
        <f t="shared" si="83"/>
        <v>0</v>
      </c>
      <c r="U534" s="46">
        <f t="shared" si="83"/>
        <v>0</v>
      </c>
      <c r="V534" s="63">
        <f t="shared" si="73"/>
        <v>0</v>
      </c>
      <c r="W534" s="49">
        <f t="shared" si="79"/>
        <v>0</v>
      </c>
      <c r="X534" s="50">
        <f t="shared" si="82"/>
        <v>0</v>
      </c>
      <c r="Y534"/>
      <c r="Z534"/>
      <c r="AA534"/>
    </row>
    <row r="535" spans="1:27" s="51" customFormat="1" ht="18.600000000000001" hidden="1" customHeight="1" x14ac:dyDescent="0.25">
      <c r="A535" s="80" t="s">
        <v>16</v>
      </c>
      <c r="B535" s="20" t="s">
        <v>1324</v>
      </c>
      <c r="C535" s="21" t="s">
        <v>1325</v>
      </c>
      <c r="D535" s="20">
        <v>8435635307248</v>
      </c>
      <c r="E535" s="22" t="s">
        <v>1356</v>
      </c>
      <c r="F535" s="22" t="s">
        <v>1327</v>
      </c>
      <c r="G535" s="22">
        <v>1</v>
      </c>
      <c r="H535" s="83" t="s">
        <v>1357</v>
      </c>
      <c r="I535" s="23" t="s">
        <v>24</v>
      </c>
      <c r="J535" s="24">
        <v>120</v>
      </c>
      <c r="K535" s="25">
        <v>0.25</v>
      </c>
      <c r="L535" s="26">
        <f t="shared" si="77"/>
        <v>30</v>
      </c>
      <c r="M535" s="27">
        <f t="shared" si="78"/>
        <v>90</v>
      </c>
      <c r="N535" s="28">
        <v>0.16</v>
      </c>
      <c r="O535" s="29">
        <f t="shared" si="80"/>
        <v>14.4</v>
      </c>
      <c r="P535" s="30">
        <f t="shared" si="81"/>
        <v>104.4</v>
      </c>
      <c r="Q535" s="23"/>
      <c r="R535" s="52"/>
      <c r="S535" s="53"/>
      <c r="T535" s="54">
        <f t="shared" si="83"/>
        <v>0</v>
      </c>
      <c r="U535" s="26">
        <f t="shared" si="83"/>
        <v>0</v>
      </c>
      <c r="V535" s="55">
        <f t="shared" si="73"/>
        <v>0</v>
      </c>
      <c r="W535" s="29">
        <f t="shared" si="79"/>
        <v>0</v>
      </c>
      <c r="X535" s="30">
        <f t="shared" si="82"/>
        <v>0</v>
      </c>
      <c r="Y535"/>
      <c r="Z535"/>
      <c r="AA535"/>
    </row>
    <row r="536" spans="1:27" s="51" customFormat="1" ht="18.600000000000001" hidden="1" customHeight="1" x14ac:dyDescent="0.25">
      <c r="A536" s="81" t="s">
        <v>16</v>
      </c>
      <c r="B536" s="31" t="s">
        <v>1324</v>
      </c>
      <c r="C536" s="32" t="s">
        <v>1325</v>
      </c>
      <c r="D536" s="31">
        <v>8435635307255</v>
      </c>
      <c r="E536" s="33" t="s">
        <v>1358</v>
      </c>
      <c r="F536" s="33" t="s">
        <v>1327</v>
      </c>
      <c r="G536" s="33">
        <v>1</v>
      </c>
      <c r="H536" s="84" t="s">
        <v>1146</v>
      </c>
      <c r="I536" s="23" t="s">
        <v>24</v>
      </c>
      <c r="J536" s="34">
        <v>120</v>
      </c>
      <c r="K536" s="35">
        <v>0.25</v>
      </c>
      <c r="L536" s="36">
        <f t="shared" si="77"/>
        <v>30</v>
      </c>
      <c r="M536" s="37">
        <f t="shared" si="78"/>
        <v>90</v>
      </c>
      <c r="N536" s="38">
        <v>0.16</v>
      </c>
      <c r="O536" s="39">
        <f t="shared" si="80"/>
        <v>14.4</v>
      </c>
      <c r="P536" s="40">
        <f t="shared" si="81"/>
        <v>104.4</v>
      </c>
      <c r="Q536" s="23"/>
      <c r="R536" s="56"/>
      <c r="S536" s="57"/>
      <c r="T536" s="58">
        <f t="shared" si="83"/>
        <v>0</v>
      </c>
      <c r="U536" s="36">
        <f t="shared" si="83"/>
        <v>0</v>
      </c>
      <c r="V536" s="59">
        <f t="shared" si="73"/>
        <v>0</v>
      </c>
      <c r="W536" s="39">
        <f t="shared" si="79"/>
        <v>0</v>
      </c>
      <c r="X536" s="40">
        <f t="shared" si="82"/>
        <v>0</v>
      </c>
      <c r="Y536"/>
      <c r="Z536"/>
      <c r="AA536"/>
    </row>
    <row r="537" spans="1:27" s="51" customFormat="1" ht="18.600000000000001" hidden="1" customHeight="1" x14ac:dyDescent="0.25">
      <c r="A537" s="82" t="s">
        <v>16</v>
      </c>
      <c r="B537" s="41" t="s">
        <v>1324</v>
      </c>
      <c r="C537" s="42" t="s">
        <v>1325</v>
      </c>
      <c r="D537" s="41">
        <v>8435635307262</v>
      </c>
      <c r="E537" s="43" t="s">
        <v>1359</v>
      </c>
      <c r="F537" s="43" t="s">
        <v>1327</v>
      </c>
      <c r="G537" s="43">
        <v>1</v>
      </c>
      <c r="H537" s="85" t="s">
        <v>186</v>
      </c>
      <c r="I537" s="23" t="s">
        <v>24</v>
      </c>
      <c r="J537" s="44">
        <v>120</v>
      </c>
      <c r="K537" s="45">
        <v>0.25</v>
      </c>
      <c r="L537" s="46">
        <f t="shared" si="77"/>
        <v>30</v>
      </c>
      <c r="M537" s="47">
        <f t="shared" si="78"/>
        <v>90</v>
      </c>
      <c r="N537" s="48">
        <v>0.16</v>
      </c>
      <c r="O537" s="49">
        <f t="shared" si="80"/>
        <v>14.4</v>
      </c>
      <c r="P537" s="50">
        <f t="shared" si="81"/>
        <v>104.4</v>
      </c>
      <c r="Q537" s="23"/>
      <c r="R537" s="60"/>
      <c r="S537" s="61"/>
      <c r="T537" s="62">
        <f t="shared" si="83"/>
        <v>0</v>
      </c>
      <c r="U537" s="46">
        <f t="shared" si="83"/>
        <v>0</v>
      </c>
      <c r="V537" s="63">
        <f t="shared" si="73"/>
        <v>0</v>
      </c>
      <c r="W537" s="49">
        <f t="shared" si="79"/>
        <v>0</v>
      </c>
      <c r="X537" s="50">
        <f t="shared" si="82"/>
        <v>0</v>
      </c>
      <c r="Y537"/>
      <c r="Z537"/>
      <c r="AA537"/>
    </row>
    <row r="538" spans="1:27" s="51" customFormat="1" ht="18.600000000000001" hidden="1" customHeight="1" x14ac:dyDescent="0.25">
      <c r="A538" s="80" t="s">
        <v>16</v>
      </c>
      <c r="B538" s="20" t="s">
        <v>1324</v>
      </c>
      <c r="C538" s="21" t="s">
        <v>1325</v>
      </c>
      <c r="D538" s="20">
        <v>8435635307279</v>
      </c>
      <c r="E538" s="22" t="s">
        <v>1360</v>
      </c>
      <c r="F538" s="22" t="s">
        <v>1327</v>
      </c>
      <c r="G538" s="22">
        <v>1</v>
      </c>
      <c r="H538" s="83" t="s">
        <v>189</v>
      </c>
      <c r="I538" s="23" t="s">
        <v>24</v>
      </c>
      <c r="J538" s="24">
        <v>120</v>
      </c>
      <c r="K538" s="25">
        <v>0.25</v>
      </c>
      <c r="L538" s="26">
        <f t="shared" si="77"/>
        <v>30</v>
      </c>
      <c r="M538" s="27">
        <f t="shared" si="78"/>
        <v>90</v>
      </c>
      <c r="N538" s="28">
        <v>0.16</v>
      </c>
      <c r="O538" s="29">
        <f t="shared" si="80"/>
        <v>14.4</v>
      </c>
      <c r="P538" s="30">
        <f t="shared" si="81"/>
        <v>104.4</v>
      </c>
      <c r="Q538" s="23"/>
      <c r="R538" s="52"/>
      <c r="S538" s="53"/>
      <c r="T538" s="54">
        <f t="shared" si="83"/>
        <v>0</v>
      </c>
      <c r="U538" s="26">
        <f t="shared" si="83"/>
        <v>0</v>
      </c>
      <c r="V538" s="55">
        <f t="shared" ref="V538:V601" si="84">+T538-U538</f>
        <v>0</v>
      </c>
      <c r="W538" s="29">
        <f t="shared" si="79"/>
        <v>0</v>
      </c>
      <c r="X538" s="30">
        <f t="shared" si="82"/>
        <v>0</v>
      </c>
      <c r="Y538"/>
      <c r="Z538"/>
      <c r="AA538"/>
    </row>
    <row r="539" spans="1:27" s="51" customFormat="1" ht="18.600000000000001" hidden="1" customHeight="1" x14ac:dyDescent="0.25">
      <c r="A539" s="81" t="s">
        <v>16</v>
      </c>
      <c r="B539" s="31" t="s">
        <v>1324</v>
      </c>
      <c r="C539" s="32" t="s">
        <v>1325</v>
      </c>
      <c r="D539" s="31">
        <v>8435635307286</v>
      </c>
      <c r="E539" s="33" t="s">
        <v>1361</v>
      </c>
      <c r="F539" s="33" t="s">
        <v>1327</v>
      </c>
      <c r="G539" s="33">
        <v>1</v>
      </c>
      <c r="H539" s="84" t="s">
        <v>1362</v>
      </c>
      <c r="I539" s="23" t="s">
        <v>24</v>
      </c>
      <c r="J539" s="34">
        <v>120</v>
      </c>
      <c r="K539" s="35">
        <v>0.25</v>
      </c>
      <c r="L539" s="36">
        <f t="shared" si="77"/>
        <v>30</v>
      </c>
      <c r="M539" s="37">
        <f t="shared" si="78"/>
        <v>90</v>
      </c>
      <c r="N539" s="38">
        <v>0.16</v>
      </c>
      <c r="O539" s="39">
        <f t="shared" si="80"/>
        <v>14.4</v>
      </c>
      <c r="P539" s="40">
        <f t="shared" si="81"/>
        <v>104.4</v>
      </c>
      <c r="Q539" s="23"/>
      <c r="R539" s="56"/>
      <c r="S539" s="57"/>
      <c r="T539" s="58">
        <f t="shared" si="83"/>
        <v>0</v>
      </c>
      <c r="U539" s="36">
        <f t="shared" si="83"/>
        <v>0</v>
      </c>
      <c r="V539" s="59">
        <f t="shared" si="84"/>
        <v>0</v>
      </c>
      <c r="W539" s="39">
        <f t="shared" si="79"/>
        <v>0</v>
      </c>
      <c r="X539" s="40">
        <f t="shared" si="82"/>
        <v>0</v>
      </c>
      <c r="Y539"/>
      <c r="Z539"/>
      <c r="AA539"/>
    </row>
    <row r="540" spans="1:27" s="51" customFormat="1" ht="18.600000000000001" hidden="1" customHeight="1" x14ac:dyDescent="0.25">
      <c r="A540" s="82" t="s">
        <v>16</v>
      </c>
      <c r="B540" s="41" t="s">
        <v>1324</v>
      </c>
      <c r="C540" s="42" t="s">
        <v>1325</v>
      </c>
      <c r="D540" s="41">
        <v>8435635307293</v>
      </c>
      <c r="E540" s="43" t="s">
        <v>1363</v>
      </c>
      <c r="F540" s="43" t="s">
        <v>1327</v>
      </c>
      <c r="G540" s="43">
        <v>1</v>
      </c>
      <c r="H540" s="85" t="s">
        <v>1364</v>
      </c>
      <c r="I540" s="23" t="s">
        <v>24</v>
      </c>
      <c r="J540" s="44">
        <v>120</v>
      </c>
      <c r="K540" s="45">
        <v>0.25</v>
      </c>
      <c r="L540" s="46">
        <f t="shared" si="77"/>
        <v>30</v>
      </c>
      <c r="M540" s="47">
        <f t="shared" si="78"/>
        <v>90</v>
      </c>
      <c r="N540" s="48">
        <v>0.16</v>
      </c>
      <c r="O540" s="49">
        <f t="shared" si="80"/>
        <v>14.4</v>
      </c>
      <c r="P540" s="50">
        <f t="shared" si="81"/>
        <v>104.4</v>
      </c>
      <c r="Q540" s="23"/>
      <c r="R540" s="60"/>
      <c r="S540" s="61"/>
      <c r="T540" s="62">
        <f t="shared" si="83"/>
        <v>0</v>
      </c>
      <c r="U540" s="46">
        <f t="shared" si="83"/>
        <v>0</v>
      </c>
      <c r="V540" s="63">
        <f t="shared" si="84"/>
        <v>0</v>
      </c>
      <c r="W540" s="49">
        <f t="shared" si="79"/>
        <v>0</v>
      </c>
      <c r="X540" s="50">
        <f t="shared" si="82"/>
        <v>0</v>
      </c>
      <c r="Y540"/>
      <c r="Z540"/>
      <c r="AA540"/>
    </row>
    <row r="541" spans="1:27" s="51" customFormat="1" ht="18.600000000000001" hidden="1" customHeight="1" x14ac:dyDescent="0.25">
      <c r="A541" s="80" t="s">
        <v>16</v>
      </c>
      <c r="B541" s="20" t="s">
        <v>1324</v>
      </c>
      <c r="C541" s="21" t="s">
        <v>1325</v>
      </c>
      <c r="D541" s="20">
        <v>8435635307309</v>
      </c>
      <c r="E541" s="22" t="s">
        <v>1365</v>
      </c>
      <c r="F541" s="22" t="s">
        <v>1327</v>
      </c>
      <c r="G541" s="22">
        <v>1</v>
      </c>
      <c r="H541" s="83" t="s">
        <v>1366</v>
      </c>
      <c r="I541" s="23" t="s">
        <v>24</v>
      </c>
      <c r="J541" s="24">
        <v>120</v>
      </c>
      <c r="K541" s="25">
        <v>0.25</v>
      </c>
      <c r="L541" s="26">
        <f t="shared" si="77"/>
        <v>30</v>
      </c>
      <c r="M541" s="27">
        <f t="shared" si="78"/>
        <v>90</v>
      </c>
      <c r="N541" s="28">
        <v>0.16</v>
      </c>
      <c r="O541" s="29">
        <f t="shared" si="80"/>
        <v>14.4</v>
      </c>
      <c r="P541" s="30">
        <f t="shared" si="81"/>
        <v>104.4</v>
      </c>
      <c r="Q541" s="23"/>
      <c r="R541" s="52"/>
      <c r="S541" s="53"/>
      <c r="T541" s="54">
        <f t="shared" si="83"/>
        <v>0</v>
      </c>
      <c r="U541" s="26">
        <f t="shared" si="83"/>
        <v>0</v>
      </c>
      <c r="V541" s="55">
        <f t="shared" si="84"/>
        <v>0</v>
      </c>
      <c r="W541" s="29">
        <f t="shared" si="79"/>
        <v>0</v>
      </c>
      <c r="X541" s="30">
        <f t="shared" si="82"/>
        <v>0</v>
      </c>
      <c r="Y541"/>
      <c r="Z541"/>
      <c r="AA541"/>
    </row>
    <row r="542" spans="1:27" s="51" customFormat="1" ht="18.600000000000001" hidden="1" customHeight="1" x14ac:dyDescent="0.25">
      <c r="A542" s="81" t="s">
        <v>16</v>
      </c>
      <c r="B542" s="31" t="s">
        <v>1324</v>
      </c>
      <c r="C542" s="32" t="s">
        <v>1325</v>
      </c>
      <c r="D542" s="31">
        <v>8435635307316</v>
      </c>
      <c r="E542" s="33" t="s">
        <v>1367</v>
      </c>
      <c r="F542" s="33" t="s">
        <v>1327</v>
      </c>
      <c r="G542" s="33">
        <v>1</v>
      </c>
      <c r="H542" s="84" t="s">
        <v>1368</v>
      </c>
      <c r="I542" s="23" t="s">
        <v>24</v>
      </c>
      <c r="J542" s="34">
        <v>120</v>
      </c>
      <c r="K542" s="35">
        <v>0.25</v>
      </c>
      <c r="L542" s="36">
        <f t="shared" si="77"/>
        <v>30</v>
      </c>
      <c r="M542" s="37">
        <f t="shared" si="78"/>
        <v>90</v>
      </c>
      <c r="N542" s="38">
        <v>0.16</v>
      </c>
      <c r="O542" s="39">
        <f t="shared" si="80"/>
        <v>14.4</v>
      </c>
      <c r="P542" s="40">
        <f t="shared" si="81"/>
        <v>104.4</v>
      </c>
      <c r="Q542" s="23"/>
      <c r="R542" s="56"/>
      <c r="S542" s="57"/>
      <c r="T542" s="58">
        <f t="shared" ref="T542:U605" si="85">+S542*J542</f>
        <v>0</v>
      </c>
      <c r="U542" s="36">
        <f t="shared" si="85"/>
        <v>0</v>
      </c>
      <c r="V542" s="59">
        <f t="shared" si="84"/>
        <v>0</v>
      </c>
      <c r="W542" s="39">
        <f t="shared" si="79"/>
        <v>0</v>
      </c>
      <c r="X542" s="40">
        <f t="shared" si="82"/>
        <v>0</v>
      </c>
      <c r="Y542"/>
      <c r="Z542"/>
      <c r="AA542"/>
    </row>
    <row r="543" spans="1:27" s="51" customFormat="1" ht="18.600000000000001" hidden="1" customHeight="1" x14ac:dyDescent="0.25">
      <c r="A543" s="82" t="s">
        <v>16</v>
      </c>
      <c r="B543" s="41" t="s">
        <v>1324</v>
      </c>
      <c r="C543" s="42" t="s">
        <v>1325</v>
      </c>
      <c r="D543" s="41">
        <v>8435635307323</v>
      </c>
      <c r="E543" s="43" t="s">
        <v>1369</v>
      </c>
      <c r="F543" s="43" t="s">
        <v>1327</v>
      </c>
      <c r="G543" s="43">
        <v>1</v>
      </c>
      <c r="H543" s="85" t="s">
        <v>1370</v>
      </c>
      <c r="I543" s="23" t="s">
        <v>24</v>
      </c>
      <c r="J543" s="44">
        <v>120</v>
      </c>
      <c r="K543" s="45">
        <v>0.25</v>
      </c>
      <c r="L543" s="46">
        <f t="shared" si="77"/>
        <v>30</v>
      </c>
      <c r="M543" s="47">
        <f t="shared" si="78"/>
        <v>90</v>
      </c>
      <c r="N543" s="48">
        <v>0.16</v>
      </c>
      <c r="O543" s="49">
        <f t="shared" si="80"/>
        <v>14.4</v>
      </c>
      <c r="P543" s="50">
        <f t="shared" si="81"/>
        <v>104.4</v>
      </c>
      <c r="Q543" s="23"/>
      <c r="R543" s="60"/>
      <c r="S543" s="61"/>
      <c r="T543" s="62">
        <f t="shared" si="85"/>
        <v>0</v>
      </c>
      <c r="U543" s="46">
        <f t="shared" si="85"/>
        <v>0</v>
      </c>
      <c r="V543" s="63">
        <f t="shared" si="84"/>
        <v>0</v>
      </c>
      <c r="W543" s="49">
        <f t="shared" si="79"/>
        <v>0</v>
      </c>
      <c r="X543" s="50">
        <f t="shared" si="82"/>
        <v>0</v>
      </c>
      <c r="Y543"/>
      <c r="Z543"/>
      <c r="AA543"/>
    </row>
    <row r="544" spans="1:27" s="51" customFormat="1" ht="18.600000000000001" hidden="1" customHeight="1" x14ac:dyDescent="0.25">
      <c r="A544" s="80" t="s">
        <v>16</v>
      </c>
      <c r="B544" s="20" t="s">
        <v>1324</v>
      </c>
      <c r="C544" s="21" t="s">
        <v>1325</v>
      </c>
      <c r="D544" s="20">
        <v>8435635307330</v>
      </c>
      <c r="E544" s="22" t="s">
        <v>1371</v>
      </c>
      <c r="F544" s="22" t="s">
        <v>1327</v>
      </c>
      <c r="G544" s="22">
        <v>1</v>
      </c>
      <c r="H544" s="83" t="s">
        <v>1372</v>
      </c>
      <c r="I544" s="23" t="s">
        <v>24</v>
      </c>
      <c r="J544" s="24">
        <v>120</v>
      </c>
      <c r="K544" s="25">
        <v>0.25</v>
      </c>
      <c r="L544" s="26">
        <f t="shared" si="77"/>
        <v>30</v>
      </c>
      <c r="M544" s="27">
        <f t="shared" si="78"/>
        <v>90</v>
      </c>
      <c r="N544" s="28">
        <v>0.16</v>
      </c>
      <c r="O544" s="29">
        <f t="shared" si="80"/>
        <v>14.4</v>
      </c>
      <c r="P544" s="30">
        <f t="shared" si="81"/>
        <v>104.4</v>
      </c>
      <c r="Q544" s="23"/>
      <c r="R544" s="52"/>
      <c r="S544" s="53"/>
      <c r="T544" s="54">
        <f t="shared" si="85"/>
        <v>0</v>
      </c>
      <c r="U544" s="26">
        <f t="shared" si="85"/>
        <v>0</v>
      </c>
      <c r="V544" s="55">
        <f t="shared" si="84"/>
        <v>0</v>
      </c>
      <c r="W544" s="29">
        <f t="shared" si="79"/>
        <v>0</v>
      </c>
      <c r="X544" s="30">
        <f t="shared" si="82"/>
        <v>0</v>
      </c>
      <c r="Y544"/>
      <c r="Z544"/>
      <c r="AA544"/>
    </row>
    <row r="545" spans="1:27" s="51" customFormat="1" ht="18.600000000000001" hidden="1" customHeight="1" x14ac:dyDescent="0.25">
      <c r="A545" s="81" t="s">
        <v>16</v>
      </c>
      <c r="B545" s="31" t="s">
        <v>1324</v>
      </c>
      <c r="C545" s="32" t="s">
        <v>1325</v>
      </c>
      <c r="D545" s="31">
        <v>8435635307347</v>
      </c>
      <c r="E545" s="33" t="s">
        <v>1373</v>
      </c>
      <c r="F545" s="33" t="s">
        <v>1327</v>
      </c>
      <c r="G545" s="33">
        <v>1</v>
      </c>
      <c r="H545" s="84" t="s">
        <v>1374</v>
      </c>
      <c r="I545" s="23" t="s">
        <v>24</v>
      </c>
      <c r="J545" s="34">
        <v>120</v>
      </c>
      <c r="K545" s="35">
        <v>0.25</v>
      </c>
      <c r="L545" s="36">
        <f t="shared" si="77"/>
        <v>30</v>
      </c>
      <c r="M545" s="37">
        <f t="shared" si="78"/>
        <v>90</v>
      </c>
      <c r="N545" s="38">
        <v>0.16</v>
      </c>
      <c r="O545" s="39">
        <f t="shared" si="80"/>
        <v>14.4</v>
      </c>
      <c r="P545" s="40">
        <f t="shared" si="81"/>
        <v>104.4</v>
      </c>
      <c r="Q545" s="23"/>
      <c r="R545" s="56"/>
      <c r="S545" s="57"/>
      <c r="T545" s="58">
        <f t="shared" si="85"/>
        <v>0</v>
      </c>
      <c r="U545" s="36">
        <f t="shared" si="85"/>
        <v>0</v>
      </c>
      <c r="V545" s="59">
        <f t="shared" si="84"/>
        <v>0</v>
      </c>
      <c r="W545" s="39">
        <f t="shared" si="79"/>
        <v>0</v>
      </c>
      <c r="X545" s="40">
        <f t="shared" si="82"/>
        <v>0</v>
      </c>
      <c r="Y545"/>
      <c r="Z545"/>
      <c r="AA545"/>
    </row>
    <row r="546" spans="1:27" s="51" customFormat="1" ht="18.600000000000001" hidden="1" customHeight="1" x14ac:dyDescent="0.25">
      <c r="A546" s="82" t="s">
        <v>16</v>
      </c>
      <c r="B546" s="41" t="s">
        <v>1324</v>
      </c>
      <c r="C546" s="42" t="s">
        <v>1325</v>
      </c>
      <c r="D546" s="41">
        <v>8435635307354</v>
      </c>
      <c r="E546" s="43" t="s">
        <v>1375</v>
      </c>
      <c r="F546" s="43" t="s">
        <v>1327</v>
      </c>
      <c r="G546" s="43">
        <v>1</v>
      </c>
      <c r="H546" s="85" t="s">
        <v>1376</v>
      </c>
      <c r="I546" s="23" t="s">
        <v>24</v>
      </c>
      <c r="J546" s="44">
        <v>120</v>
      </c>
      <c r="K546" s="45">
        <v>0.25</v>
      </c>
      <c r="L546" s="46">
        <f t="shared" si="77"/>
        <v>30</v>
      </c>
      <c r="M546" s="47">
        <f t="shared" si="78"/>
        <v>90</v>
      </c>
      <c r="N546" s="48">
        <v>0.16</v>
      </c>
      <c r="O546" s="49">
        <f t="shared" si="80"/>
        <v>14.4</v>
      </c>
      <c r="P546" s="50">
        <f t="shared" si="81"/>
        <v>104.4</v>
      </c>
      <c r="Q546" s="23"/>
      <c r="R546" s="60"/>
      <c r="S546" s="61"/>
      <c r="T546" s="62">
        <f t="shared" si="85"/>
        <v>0</v>
      </c>
      <c r="U546" s="46">
        <f t="shared" si="85"/>
        <v>0</v>
      </c>
      <c r="V546" s="63">
        <f t="shared" si="84"/>
        <v>0</v>
      </c>
      <c r="W546" s="49">
        <f t="shared" si="79"/>
        <v>0</v>
      </c>
      <c r="X546" s="50">
        <f t="shared" si="82"/>
        <v>0</v>
      </c>
      <c r="Y546"/>
      <c r="Z546"/>
      <c r="AA546"/>
    </row>
    <row r="547" spans="1:27" s="51" customFormat="1" ht="18.600000000000001" hidden="1" customHeight="1" x14ac:dyDescent="0.25">
      <c r="A547" s="80" t="s">
        <v>16</v>
      </c>
      <c r="B547" s="20" t="s">
        <v>1324</v>
      </c>
      <c r="C547" s="21" t="s">
        <v>1325</v>
      </c>
      <c r="D547" s="20">
        <v>8435635307361</v>
      </c>
      <c r="E547" s="22" t="s">
        <v>1377</v>
      </c>
      <c r="F547" s="22" t="s">
        <v>1327</v>
      </c>
      <c r="G547" s="22">
        <v>1</v>
      </c>
      <c r="H547" s="83" t="s">
        <v>1378</v>
      </c>
      <c r="I547" s="23" t="s">
        <v>24</v>
      </c>
      <c r="J547" s="24">
        <v>120</v>
      </c>
      <c r="K547" s="25">
        <v>0.25</v>
      </c>
      <c r="L547" s="26">
        <f t="shared" si="77"/>
        <v>30</v>
      </c>
      <c r="M547" s="27">
        <f t="shared" si="78"/>
        <v>90</v>
      </c>
      <c r="N547" s="28">
        <v>0.16</v>
      </c>
      <c r="O547" s="29">
        <f t="shared" si="80"/>
        <v>14.4</v>
      </c>
      <c r="P547" s="30">
        <f t="shared" si="81"/>
        <v>104.4</v>
      </c>
      <c r="Q547" s="23"/>
      <c r="R547" s="52"/>
      <c r="S547" s="53"/>
      <c r="T547" s="54">
        <f t="shared" si="85"/>
        <v>0</v>
      </c>
      <c r="U547" s="26">
        <f t="shared" si="85"/>
        <v>0</v>
      </c>
      <c r="V547" s="55">
        <f t="shared" si="84"/>
        <v>0</v>
      </c>
      <c r="W547" s="29">
        <f t="shared" si="79"/>
        <v>0</v>
      </c>
      <c r="X547" s="30">
        <f t="shared" si="82"/>
        <v>0</v>
      </c>
      <c r="Y547"/>
      <c r="Z547"/>
      <c r="AA547"/>
    </row>
    <row r="548" spans="1:27" s="51" customFormat="1" ht="18.600000000000001" hidden="1" customHeight="1" x14ac:dyDescent="0.25">
      <c r="A548" s="81" t="s">
        <v>16</v>
      </c>
      <c r="B548" s="31" t="s">
        <v>1324</v>
      </c>
      <c r="C548" s="32" t="s">
        <v>1325</v>
      </c>
      <c r="D548" s="31">
        <v>8435635307378</v>
      </c>
      <c r="E548" s="33" t="s">
        <v>1379</v>
      </c>
      <c r="F548" s="33" t="s">
        <v>1327</v>
      </c>
      <c r="G548" s="33">
        <v>1</v>
      </c>
      <c r="H548" s="84" t="s">
        <v>1380</v>
      </c>
      <c r="I548" s="23" t="s">
        <v>24</v>
      </c>
      <c r="J548" s="34">
        <v>120</v>
      </c>
      <c r="K548" s="35">
        <v>0.25</v>
      </c>
      <c r="L548" s="36">
        <f t="shared" si="77"/>
        <v>30</v>
      </c>
      <c r="M548" s="37">
        <f t="shared" si="78"/>
        <v>90</v>
      </c>
      <c r="N548" s="38">
        <v>0.16</v>
      </c>
      <c r="O548" s="39">
        <f t="shared" si="80"/>
        <v>14.4</v>
      </c>
      <c r="P548" s="40">
        <f t="shared" si="81"/>
        <v>104.4</v>
      </c>
      <c r="Q548" s="23"/>
      <c r="R548" s="56"/>
      <c r="S548" s="57"/>
      <c r="T548" s="58">
        <f t="shared" si="85"/>
        <v>0</v>
      </c>
      <c r="U548" s="36">
        <f t="shared" si="85"/>
        <v>0</v>
      </c>
      <c r="V548" s="59">
        <f t="shared" si="84"/>
        <v>0</v>
      </c>
      <c r="W548" s="39">
        <f t="shared" si="79"/>
        <v>0</v>
      </c>
      <c r="X548" s="40">
        <f t="shared" si="82"/>
        <v>0</v>
      </c>
      <c r="Y548"/>
      <c r="Z548"/>
      <c r="AA548"/>
    </row>
    <row r="549" spans="1:27" s="51" customFormat="1" ht="18.600000000000001" hidden="1" customHeight="1" x14ac:dyDescent="0.25">
      <c r="A549" s="82" t="s">
        <v>16</v>
      </c>
      <c r="B549" s="41" t="s">
        <v>1324</v>
      </c>
      <c r="C549" s="42" t="s">
        <v>1325</v>
      </c>
      <c r="D549" s="41">
        <v>8435635307385</v>
      </c>
      <c r="E549" s="43" t="s">
        <v>1381</v>
      </c>
      <c r="F549" s="43" t="s">
        <v>1327</v>
      </c>
      <c r="G549" s="43">
        <v>1</v>
      </c>
      <c r="H549" s="85" t="s">
        <v>1123</v>
      </c>
      <c r="I549" s="23" t="s">
        <v>24</v>
      </c>
      <c r="J549" s="44">
        <v>120</v>
      </c>
      <c r="K549" s="45">
        <v>0.25</v>
      </c>
      <c r="L549" s="46">
        <f t="shared" si="77"/>
        <v>30</v>
      </c>
      <c r="M549" s="47">
        <f t="shared" si="78"/>
        <v>90</v>
      </c>
      <c r="N549" s="48">
        <v>0.16</v>
      </c>
      <c r="O549" s="49">
        <f t="shared" si="80"/>
        <v>14.4</v>
      </c>
      <c r="P549" s="50">
        <f t="shared" si="81"/>
        <v>104.4</v>
      </c>
      <c r="Q549" s="23"/>
      <c r="R549" s="60"/>
      <c r="S549" s="61"/>
      <c r="T549" s="62">
        <f t="shared" si="85"/>
        <v>0</v>
      </c>
      <c r="U549" s="46">
        <f t="shared" si="85"/>
        <v>0</v>
      </c>
      <c r="V549" s="63">
        <f t="shared" si="84"/>
        <v>0</v>
      </c>
      <c r="W549" s="49">
        <f t="shared" si="79"/>
        <v>0</v>
      </c>
      <c r="X549" s="50">
        <f t="shared" si="82"/>
        <v>0</v>
      </c>
      <c r="Y549"/>
      <c r="Z549"/>
      <c r="AA549"/>
    </row>
    <row r="550" spans="1:27" s="51" customFormat="1" ht="18.600000000000001" hidden="1" customHeight="1" x14ac:dyDescent="0.25">
      <c r="A550" s="80" t="s">
        <v>16</v>
      </c>
      <c r="B550" s="20" t="s">
        <v>1324</v>
      </c>
      <c r="C550" s="21" t="s">
        <v>1325</v>
      </c>
      <c r="D550" s="20">
        <v>8435635307392</v>
      </c>
      <c r="E550" s="22" t="s">
        <v>1382</v>
      </c>
      <c r="F550" s="22" t="s">
        <v>1327</v>
      </c>
      <c r="G550" s="22">
        <v>1</v>
      </c>
      <c r="H550" s="83" t="s">
        <v>1383</v>
      </c>
      <c r="I550" s="23" t="s">
        <v>24</v>
      </c>
      <c r="J550" s="24">
        <v>120</v>
      </c>
      <c r="K550" s="25">
        <v>0.25</v>
      </c>
      <c r="L550" s="26">
        <f t="shared" si="77"/>
        <v>30</v>
      </c>
      <c r="M550" s="27">
        <f t="shared" si="78"/>
        <v>90</v>
      </c>
      <c r="N550" s="28">
        <v>0.16</v>
      </c>
      <c r="O550" s="29">
        <f t="shared" si="80"/>
        <v>14.4</v>
      </c>
      <c r="P550" s="30">
        <f t="shared" si="81"/>
        <v>104.4</v>
      </c>
      <c r="Q550" s="23"/>
      <c r="R550" s="52"/>
      <c r="S550" s="53"/>
      <c r="T550" s="54">
        <f t="shared" si="85"/>
        <v>0</v>
      </c>
      <c r="U550" s="26">
        <f t="shared" si="85"/>
        <v>0</v>
      </c>
      <c r="V550" s="55">
        <f t="shared" si="84"/>
        <v>0</v>
      </c>
      <c r="W550" s="29">
        <f t="shared" si="79"/>
        <v>0</v>
      </c>
      <c r="X550" s="30">
        <f t="shared" si="82"/>
        <v>0</v>
      </c>
      <c r="Y550"/>
      <c r="Z550"/>
      <c r="AA550"/>
    </row>
    <row r="551" spans="1:27" s="51" customFormat="1" ht="18.600000000000001" hidden="1" customHeight="1" x14ac:dyDescent="0.25">
      <c r="A551" s="81" t="s">
        <v>16</v>
      </c>
      <c r="B551" s="31" t="s">
        <v>1324</v>
      </c>
      <c r="C551" s="32" t="s">
        <v>1325</v>
      </c>
      <c r="D551" s="31">
        <v>8435635307408</v>
      </c>
      <c r="E551" s="33" t="s">
        <v>1384</v>
      </c>
      <c r="F551" s="33" t="s">
        <v>1327</v>
      </c>
      <c r="G551" s="33">
        <v>1</v>
      </c>
      <c r="H551" s="84" t="s">
        <v>132</v>
      </c>
      <c r="I551" s="23" t="s">
        <v>24</v>
      </c>
      <c r="J551" s="34">
        <v>120</v>
      </c>
      <c r="K551" s="35">
        <v>0.25</v>
      </c>
      <c r="L551" s="36">
        <f t="shared" si="77"/>
        <v>30</v>
      </c>
      <c r="M551" s="37">
        <f t="shared" si="78"/>
        <v>90</v>
      </c>
      <c r="N551" s="38">
        <v>0.16</v>
      </c>
      <c r="O551" s="39">
        <f t="shared" si="80"/>
        <v>14.4</v>
      </c>
      <c r="P551" s="40">
        <f t="shared" si="81"/>
        <v>104.4</v>
      </c>
      <c r="Q551" s="23"/>
      <c r="R551" s="56"/>
      <c r="S551" s="57"/>
      <c r="T551" s="58">
        <f t="shared" si="85"/>
        <v>0</v>
      </c>
      <c r="U551" s="36">
        <f t="shared" si="85"/>
        <v>0</v>
      </c>
      <c r="V551" s="59">
        <f t="shared" si="84"/>
        <v>0</v>
      </c>
      <c r="W551" s="39">
        <f t="shared" si="79"/>
        <v>0</v>
      </c>
      <c r="X551" s="40">
        <f t="shared" si="82"/>
        <v>0</v>
      </c>
      <c r="Y551"/>
      <c r="Z551"/>
      <c r="AA551"/>
    </row>
    <row r="552" spans="1:27" s="51" customFormat="1" ht="18.600000000000001" hidden="1" customHeight="1" x14ac:dyDescent="0.25">
      <c r="A552" s="82" t="s">
        <v>16</v>
      </c>
      <c r="B552" s="41" t="s">
        <v>1324</v>
      </c>
      <c r="C552" s="42" t="s">
        <v>1325</v>
      </c>
      <c r="D552" s="41">
        <v>8435635307415</v>
      </c>
      <c r="E552" s="43" t="s">
        <v>1385</v>
      </c>
      <c r="F552" s="43" t="s">
        <v>1327</v>
      </c>
      <c r="G552" s="43">
        <v>1</v>
      </c>
      <c r="H552" s="85" t="s">
        <v>1386</v>
      </c>
      <c r="I552" s="23" t="s">
        <v>24</v>
      </c>
      <c r="J552" s="44">
        <v>120</v>
      </c>
      <c r="K552" s="45">
        <v>0.25</v>
      </c>
      <c r="L552" s="46">
        <f t="shared" si="77"/>
        <v>30</v>
      </c>
      <c r="M552" s="47">
        <f t="shared" si="78"/>
        <v>90</v>
      </c>
      <c r="N552" s="48">
        <v>0.16</v>
      </c>
      <c r="O552" s="49">
        <f t="shared" si="80"/>
        <v>14.4</v>
      </c>
      <c r="P552" s="50">
        <f t="shared" si="81"/>
        <v>104.4</v>
      </c>
      <c r="Q552" s="23"/>
      <c r="R552" s="60"/>
      <c r="S552" s="61"/>
      <c r="T552" s="62">
        <f t="shared" si="85"/>
        <v>0</v>
      </c>
      <c r="U552" s="46">
        <f t="shared" si="85"/>
        <v>0</v>
      </c>
      <c r="V552" s="63">
        <f t="shared" si="84"/>
        <v>0</v>
      </c>
      <c r="W552" s="49">
        <f t="shared" si="79"/>
        <v>0</v>
      </c>
      <c r="X552" s="50">
        <f t="shared" si="82"/>
        <v>0</v>
      </c>
      <c r="Y552"/>
      <c r="Z552"/>
      <c r="AA552"/>
    </row>
    <row r="553" spans="1:27" s="51" customFormat="1" ht="18.600000000000001" hidden="1" customHeight="1" x14ac:dyDescent="0.25">
      <c r="A553" s="80" t="s">
        <v>16</v>
      </c>
      <c r="B553" s="20" t="s">
        <v>1324</v>
      </c>
      <c r="C553" s="21" t="s">
        <v>1325</v>
      </c>
      <c r="D553" s="20">
        <v>8435635307422</v>
      </c>
      <c r="E553" s="22" t="s">
        <v>1387</v>
      </c>
      <c r="F553" s="22" t="s">
        <v>1327</v>
      </c>
      <c r="G553" s="22">
        <v>1</v>
      </c>
      <c r="H553" s="83" t="s">
        <v>1388</v>
      </c>
      <c r="I553" s="23" t="s">
        <v>24</v>
      </c>
      <c r="J553" s="24">
        <v>120</v>
      </c>
      <c r="K553" s="25">
        <v>0.25</v>
      </c>
      <c r="L553" s="26">
        <f t="shared" si="77"/>
        <v>30</v>
      </c>
      <c r="M553" s="27">
        <f t="shared" si="78"/>
        <v>90</v>
      </c>
      <c r="N553" s="28">
        <v>0.16</v>
      </c>
      <c r="O553" s="29">
        <f t="shared" si="80"/>
        <v>14.4</v>
      </c>
      <c r="P553" s="30">
        <f t="shared" si="81"/>
        <v>104.4</v>
      </c>
      <c r="Q553" s="23"/>
      <c r="R553" s="52"/>
      <c r="S553" s="53"/>
      <c r="T553" s="54">
        <f t="shared" si="85"/>
        <v>0</v>
      </c>
      <c r="U553" s="26">
        <f t="shared" si="85"/>
        <v>0</v>
      </c>
      <c r="V553" s="55">
        <f t="shared" si="84"/>
        <v>0</v>
      </c>
      <c r="W553" s="29">
        <f t="shared" si="79"/>
        <v>0</v>
      </c>
      <c r="X553" s="30">
        <f t="shared" si="82"/>
        <v>0</v>
      </c>
      <c r="Y553"/>
      <c r="Z553"/>
      <c r="AA553"/>
    </row>
    <row r="554" spans="1:27" s="51" customFormat="1" ht="18.600000000000001" hidden="1" customHeight="1" x14ac:dyDescent="0.25">
      <c r="A554" s="81" t="s">
        <v>16</v>
      </c>
      <c r="B554" s="31" t="s">
        <v>1324</v>
      </c>
      <c r="C554" s="32" t="s">
        <v>1325</v>
      </c>
      <c r="D554" s="31">
        <v>8435635307439</v>
      </c>
      <c r="E554" s="33" t="s">
        <v>1389</v>
      </c>
      <c r="F554" s="33" t="s">
        <v>1327</v>
      </c>
      <c r="G554" s="33">
        <v>1</v>
      </c>
      <c r="H554" s="84" t="s">
        <v>1046</v>
      </c>
      <c r="I554" s="23" t="s">
        <v>24</v>
      </c>
      <c r="J554" s="34">
        <v>120</v>
      </c>
      <c r="K554" s="35">
        <v>0.25</v>
      </c>
      <c r="L554" s="36">
        <f t="shared" si="77"/>
        <v>30</v>
      </c>
      <c r="M554" s="37">
        <f t="shared" si="78"/>
        <v>90</v>
      </c>
      <c r="N554" s="38">
        <v>0.16</v>
      </c>
      <c r="O554" s="39">
        <f t="shared" si="80"/>
        <v>14.4</v>
      </c>
      <c r="P554" s="40">
        <f t="shared" si="81"/>
        <v>104.4</v>
      </c>
      <c r="Q554" s="23"/>
      <c r="R554" s="56"/>
      <c r="S554" s="57"/>
      <c r="T554" s="58">
        <f t="shared" si="85"/>
        <v>0</v>
      </c>
      <c r="U554" s="36">
        <f t="shared" si="85"/>
        <v>0</v>
      </c>
      <c r="V554" s="59">
        <f t="shared" si="84"/>
        <v>0</v>
      </c>
      <c r="W554" s="39">
        <f t="shared" si="79"/>
        <v>0</v>
      </c>
      <c r="X554" s="40">
        <f t="shared" si="82"/>
        <v>0</v>
      </c>
      <c r="Y554"/>
      <c r="Z554"/>
      <c r="AA554"/>
    </row>
    <row r="555" spans="1:27" s="51" customFormat="1" ht="18.600000000000001" hidden="1" customHeight="1" x14ac:dyDescent="0.25">
      <c r="A555" s="82" t="s">
        <v>16</v>
      </c>
      <c r="B555" s="41" t="s">
        <v>1324</v>
      </c>
      <c r="C555" s="42" t="s">
        <v>1325</v>
      </c>
      <c r="D555" s="41">
        <v>8435635307446</v>
      </c>
      <c r="E555" s="43" t="s">
        <v>1390</v>
      </c>
      <c r="F555" s="43" t="s">
        <v>1327</v>
      </c>
      <c r="G555" s="43">
        <v>1</v>
      </c>
      <c r="H555" s="85" t="s">
        <v>1391</v>
      </c>
      <c r="I555" s="23" t="s">
        <v>24</v>
      </c>
      <c r="J555" s="44">
        <v>120</v>
      </c>
      <c r="K555" s="45">
        <v>0.25</v>
      </c>
      <c r="L555" s="46">
        <f t="shared" si="77"/>
        <v>30</v>
      </c>
      <c r="M555" s="47">
        <f t="shared" si="78"/>
        <v>90</v>
      </c>
      <c r="N555" s="48">
        <v>0.16</v>
      </c>
      <c r="O555" s="49">
        <f t="shared" si="80"/>
        <v>14.4</v>
      </c>
      <c r="P555" s="50">
        <f t="shared" si="81"/>
        <v>104.4</v>
      </c>
      <c r="Q555" s="23"/>
      <c r="R555" s="60"/>
      <c r="S555" s="61"/>
      <c r="T555" s="62">
        <f t="shared" si="85"/>
        <v>0</v>
      </c>
      <c r="U555" s="46">
        <f t="shared" si="85"/>
        <v>0</v>
      </c>
      <c r="V555" s="63">
        <f t="shared" si="84"/>
        <v>0</v>
      </c>
      <c r="W555" s="49">
        <f t="shared" si="79"/>
        <v>0</v>
      </c>
      <c r="X555" s="50">
        <f t="shared" si="82"/>
        <v>0</v>
      </c>
      <c r="Y555"/>
      <c r="Z555"/>
      <c r="AA555"/>
    </row>
    <row r="556" spans="1:27" s="51" customFormat="1" ht="18.600000000000001" hidden="1" customHeight="1" x14ac:dyDescent="0.25">
      <c r="A556" s="80" t="s">
        <v>16</v>
      </c>
      <c r="B556" s="20" t="s">
        <v>1324</v>
      </c>
      <c r="C556" s="21" t="s">
        <v>1325</v>
      </c>
      <c r="D556" s="20">
        <v>8435635307453</v>
      </c>
      <c r="E556" s="22" t="s">
        <v>1392</v>
      </c>
      <c r="F556" s="22" t="s">
        <v>1327</v>
      </c>
      <c r="G556" s="22">
        <v>1</v>
      </c>
      <c r="H556" s="83" t="s">
        <v>1393</v>
      </c>
      <c r="I556" s="23" t="s">
        <v>24</v>
      </c>
      <c r="J556" s="24">
        <v>120</v>
      </c>
      <c r="K556" s="25">
        <v>0.25</v>
      </c>
      <c r="L556" s="26">
        <f t="shared" si="77"/>
        <v>30</v>
      </c>
      <c r="M556" s="27">
        <f t="shared" si="78"/>
        <v>90</v>
      </c>
      <c r="N556" s="28">
        <v>0.16</v>
      </c>
      <c r="O556" s="29">
        <f t="shared" si="80"/>
        <v>14.4</v>
      </c>
      <c r="P556" s="30">
        <f t="shared" si="81"/>
        <v>104.4</v>
      </c>
      <c r="Q556" s="23"/>
      <c r="R556" s="52"/>
      <c r="S556" s="53"/>
      <c r="T556" s="54">
        <f t="shared" si="85"/>
        <v>0</v>
      </c>
      <c r="U556" s="26">
        <f t="shared" si="85"/>
        <v>0</v>
      </c>
      <c r="V556" s="55">
        <f t="shared" si="84"/>
        <v>0</v>
      </c>
      <c r="W556" s="29">
        <f t="shared" si="79"/>
        <v>0</v>
      </c>
      <c r="X556" s="30">
        <f t="shared" si="82"/>
        <v>0</v>
      </c>
      <c r="Y556"/>
      <c r="Z556"/>
      <c r="AA556"/>
    </row>
    <row r="557" spans="1:27" s="51" customFormat="1" ht="18.600000000000001" hidden="1" customHeight="1" x14ac:dyDescent="0.25">
      <c r="A557" s="81" t="s">
        <v>16</v>
      </c>
      <c r="B557" s="31" t="s">
        <v>1324</v>
      </c>
      <c r="C557" s="32" t="s">
        <v>1325</v>
      </c>
      <c r="D557" s="31">
        <v>8435635307460</v>
      </c>
      <c r="E557" s="33" t="s">
        <v>1394</v>
      </c>
      <c r="F557" s="33" t="s">
        <v>1327</v>
      </c>
      <c r="G557" s="33">
        <v>1</v>
      </c>
      <c r="H557" s="84" t="s">
        <v>1395</v>
      </c>
      <c r="I557" s="23" t="s">
        <v>24</v>
      </c>
      <c r="J557" s="34">
        <v>120</v>
      </c>
      <c r="K557" s="35">
        <v>0.25</v>
      </c>
      <c r="L557" s="36">
        <f t="shared" si="77"/>
        <v>30</v>
      </c>
      <c r="M557" s="37">
        <f t="shared" si="78"/>
        <v>90</v>
      </c>
      <c r="N557" s="38">
        <v>0.16</v>
      </c>
      <c r="O557" s="39">
        <f t="shared" si="80"/>
        <v>14.4</v>
      </c>
      <c r="P557" s="40">
        <f t="shared" si="81"/>
        <v>104.4</v>
      </c>
      <c r="Q557" s="23"/>
      <c r="R557" s="56"/>
      <c r="S557" s="57"/>
      <c r="T557" s="58">
        <f t="shared" si="85"/>
        <v>0</v>
      </c>
      <c r="U557" s="36">
        <f t="shared" si="85"/>
        <v>0</v>
      </c>
      <c r="V557" s="59">
        <f t="shared" si="84"/>
        <v>0</v>
      </c>
      <c r="W557" s="39">
        <f t="shared" si="79"/>
        <v>0</v>
      </c>
      <c r="X557" s="40">
        <f t="shared" si="82"/>
        <v>0</v>
      </c>
      <c r="Y557"/>
      <c r="Z557"/>
      <c r="AA557"/>
    </row>
    <row r="558" spans="1:27" s="51" customFormat="1" ht="18.600000000000001" hidden="1" customHeight="1" x14ac:dyDescent="0.25">
      <c r="A558" s="82" t="s">
        <v>16</v>
      </c>
      <c r="B558" s="41" t="s">
        <v>1324</v>
      </c>
      <c r="C558" s="42" t="s">
        <v>1325</v>
      </c>
      <c r="D558" s="41">
        <v>8435635307477</v>
      </c>
      <c r="E558" s="43" t="s">
        <v>1396</v>
      </c>
      <c r="F558" s="43" t="s">
        <v>1327</v>
      </c>
      <c r="G558" s="43">
        <v>1</v>
      </c>
      <c r="H558" s="85" t="s">
        <v>1397</v>
      </c>
      <c r="I558" s="23" t="s">
        <v>24</v>
      </c>
      <c r="J558" s="44">
        <v>120</v>
      </c>
      <c r="K558" s="45">
        <v>0.25</v>
      </c>
      <c r="L558" s="46">
        <f t="shared" si="77"/>
        <v>30</v>
      </c>
      <c r="M558" s="47">
        <f t="shared" si="78"/>
        <v>90</v>
      </c>
      <c r="N558" s="48">
        <v>0.16</v>
      </c>
      <c r="O558" s="49">
        <f t="shared" si="80"/>
        <v>14.4</v>
      </c>
      <c r="P558" s="50">
        <f t="shared" si="81"/>
        <v>104.4</v>
      </c>
      <c r="Q558" s="23"/>
      <c r="R558" s="60"/>
      <c r="S558" s="61"/>
      <c r="T558" s="62">
        <f t="shared" si="85"/>
        <v>0</v>
      </c>
      <c r="U558" s="46">
        <f t="shared" si="85"/>
        <v>0</v>
      </c>
      <c r="V558" s="63">
        <f t="shared" si="84"/>
        <v>0</v>
      </c>
      <c r="W558" s="49">
        <f t="shared" si="79"/>
        <v>0</v>
      </c>
      <c r="X558" s="50">
        <f t="shared" si="82"/>
        <v>0</v>
      </c>
      <c r="Y558"/>
      <c r="Z558"/>
      <c r="AA558"/>
    </row>
    <row r="559" spans="1:27" s="51" customFormat="1" ht="18.600000000000001" hidden="1" customHeight="1" x14ac:dyDescent="0.25">
      <c r="A559" s="80" t="s">
        <v>16</v>
      </c>
      <c r="B559" s="20" t="s">
        <v>1324</v>
      </c>
      <c r="C559" s="21" t="s">
        <v>1325</v>
      </c>
      <c r="D559" s="20">
        <v>8435635307484</v>
      </c>
      <c r="E559" s="22" t="s">
        <v>1398</v>
      </c>
      <c r="F559" s="22" t="s">
        <v>1327</v>
      </c>
      <c r="G559" s="22">
        <v>1</v>
      </c>
      <c r="H559" s="83" t="s">
        <v>1399</v>
      </c>
      <c r="I559" s="23" t="s">
        <v>24</v>
      </c>
      <c r="J559" s="24">
        <v>120</v>
      </c>
      <c r="K559" s="25">
        <v>0.25</v>
      </c>
      <c r="L559" s="26">
        <f t="shared" si="77"/>
        <v>30</v>
      </c>
      <c r="M559" s="27">
        <f t="shared" si="78"/>
        <v>90</v>
      </c>
      <c r="N559" s="28">
        <v>0.16</v>
      </c>
      <c r="O559" s="29">
        <f t="shared" si="80"/>
        <v>14.4</v>
      </c>
      <c r="P559" s="30">
        <f t="shared" si="81"/>
        <v>104.4</v>
      </c>
      <c r="Q559" s="23"/>
      <c r="R559" s="52"/>
      <c r="S559" s="53"/>
      <c r="T559" s="54">
        <f t="shared" si="85"/>
        <v>0</v>
      </c>
      <c r="U559" s="26">
        <f t="shared" si="85"/>
        <v>0</v>
      </c>
      <c r="V559" s="55">
        <f t="shared" si="84"/>
        <v>0</v>
      </c>
      <c r="W559" s="29">
        <f t="shared" si="79"/>
        <v>0</v>
      </c>
      <c r="X559" s="30">
        <f t="shared" si="82"/>
        <v>0</v>
      </c>
      <c r="Y559"/>
      <c r="Z559"/>
      <c r="AA559"/>
    </row>
    <row r="560" spans="1:27" s="51" customFormat="1" ht="18.600000000000001" hidden="1" customHeight="1" x14ac:dyDescent="0.25">
      <c r="A560" s="81" t="s">
        <v>16</v>
      </c>
      <c r="B560" s="31" t="s">
        <v>1324</v>
      </c>
      <c r="C560" s="32" t="s">
        <v>1325</v>
      </c>
      <c r="D560" s="31">
        <v>8435635307491</v>
      </c>
      <c r="E560" s="33" t="s">
        <v>1400</v>
      </c>
      <c r="F560" s="33" t="s">
        <v>1327</v>
      </c>
      <c r="G560" s="33">
        <v>1</v>
      </c>
      <c r="H560" s="84" t="s">
        <v>1401</v>
      </c>
      <c r="I560" s="23" t="s">
        <v>24</v>
      </c>
      <c r="J560" s="34">
        <v>120</v>
      </c>
      <c r="K560" s="35">
        <v>0.25</v>
      </c>
      <c r="L560" s="36">
        <f t="shared" si="77"/>
        <v>30</v>
      </c>
      <c r="M560" s="37">
        <f t="shared" si="78"/>
        <v>90</v>
      </c>
      <c r="N560" s="38">
        <v>0.16</v>
      </c>
      <c r="O560" s="39">
        <f t="shared" si="80"/>
        <v>14.4</v>
      </c>
      <c r="P560" s="40">
        <f t="shared" si="81"/>
        <v>104.4</v>
      </c>
      <c r="Q560" s="23"/>
      <c r="R560" s="56"/>
      <c r="S560" s="57"/>
      <c r="T560" s="58">
        <f t="shared" si="85"/>
        <v>0</v>
      </c>
      <c r="U560" s="36">
        <f t="shared" si="85"/>
        <v>0</v>
      </c>
      <c r="V560" s="59">
        <f t="shared" si="84"/>
        <v>0</v>
      </c>
      <c r="W560" s="39">
        <f t="shared" si="79"/>
        <v>0</v>
      </c>
      <c r="X560" s="40">
        <f t="shared" si="82"/>
        <v>0</v>
      </c>
      <c r="Y560"/>
      <c r="Z560"/>
      <c r="AA560"/>
    </row>
    <row r="561" spans="1:27" s="51" customFormat="1" ht="18.600000000000001" hidden="1" customHeight="1" x14ac:dyDescent="0.25">
      <c r="A561" s="82" t="s">
        <v>16</v>
      </c>
      <c r="B561" s="41" t="s">
        <v>1324</v>
      </c>
      <c r="C561" s="42" t="s">
        <v>1325</v>
      </c>
      <c r="D561" s="41">
        <v>8435635307507</v>
      </c>
      <c r="E561" s="43" t="s">
        <v>1402</v>
      </c>
      <c r="F561" s="43" t="s">
        <v>1327</v>
      </c>
      <c r="G561" s="43">
        <v>1</v>
      </c>
      <c r="H561" s="85" t="s">
        <v>1403</v>
      </c>
      <c r="I561" s="23" t="s">
        <v>24</v>
      </c>
      <c r="J561" s="44">
        <v>120</v>
      </c>
      <c r="K561" s="45">
        <v>0.25</v>
      </c>
      <c r="L561" s="46">
        <f t="shared" si="77"/>
        <v>30</v>
      </c>
      <c r="M561" s="47">
        <f t="shared" si="78"/>
        <v>90</v>
      </c>
      <c r="N561" s="48">
        <v>0.16</v>
      </c>
      <c r="O561" s="49">
        <f t="shared" si="80"/>
        <v>14.4</v>
      </c>
      <c r="P561" s="50">
        <f t="shared" si="81"/>
        <v>104.4</v>
      </c>
      <c r="Q561" s="23"/>
      <c r="R561" s="60"/>
      <c r="S561" s="61"/>
      <c r="T561" s="62">
        <f t="shared" si="85"/>
        <v>0</v>
      </c>
      <c r="U561" s="46">
        <f t="shared" si="85"/>
        <v>0</v>
      </c>
      <c r="V561" s="63">
        <f t="shared" si="84"/>
        <v>0</v>
      </c>
      <c r="W561" s="49">
        <f t="shared" si="79"/>
        <v>0</v>
      </c>
      <c r="X561" s="50">
        <f t="shared" si="82"/>
        <v>0</v>
      </c>
      <c r="Y561"/>
      <c r="Z561"/>
      <c r="AA561"/>
    </row>
    <row r="562" spans="1:27" s="51" customFormat="1" ht="18.600000000000001" hidden="1" customHeight="1" x14ac:dyDescent="0.25">
      <c r="A562" s="80" t="s">
        <v>16</v>
      </c>
      <c r="B562" s="20" t="s">
        <v>1324</v>
      </c>
      <c r="C562" s="21" t="s">
        <v>1325</v>
      </c>
      <c r="D562" s="20">
        <v>8435635307514</v>
      </c>
      <c r="E562" s="22" t="s">
        <v>1404</v>
      </c>
      <c r="F562" s="22" t="s">
        <v>1327</v>
      </c>
      <c r="G562" s="22">
        <v>1</v>
      </c>
      <c r="H562" s="83" t="s">
        <v>1405</v>
      </c>
      <c r="I562" s="23" t="s">
        <v>24</v>
      </c>
      <c r="J562" s="24">
        <v>120</v>
      </c>
      <c r="K562" s="25">
        <v>0.25</v>
      </c>
      <c r="L562" s="26">
        <f t="shared" si="77"/>
        <v>30</v>
      </c>
      <c r="M562" s="27">
        <f t="shared" si="78"/>
        <v>90</v>
      </c>
      <c r="N562" s="28">
        <v>0.16</v>
      </c>
      <c r="O562" s="29">
        <f t="shared" si="80"/>
        <v>14.4</v>
      </c>
      <c r="P562" s="30">
        <f t="shared" si="81"/>
        <v>104.4</v>
      </c>
      <c r="Q562" s="23"/>
      <c r="R562" s="52"/>
      <c r="S562" s="53"/>
      <c r="T562" s="54">
        <f t="shared" si="85"/>
        <v>0</v>
      </c>
      <c r="U562" s="26">
        <f t="shared" si="85"/>
        <v>0</v>
      </c>
      <c r="V562" s="55">
        <f t="shared" si="84"/>
        <v>0</v>
      </c>
      <c r="W562" s="29">
        <f t="shared" si="79"/>
        <v>0</v>
      </c>
      <c r="X562" s="30">
        <f t="shared" si="82"/>
        <v>0</v>
      </c>
      <c r="Y562"/>
      <c r="Z562"/>
      <c r="AA562"/>
    </row>
    <row r="563" spans="1:27" s="51" customFormat="1" ht="18.600000000000001" hidden="1" customHeight="1" x14ac:dyDescent="0.25">
      <c r="A563" s="81" t="s">
        <v>16</v>
      </c>
      <c r="B563" s="31" t="s">
        <v>1324</v>
      </c>
      <c r="C563" s="32" t="s">
        <v>1325</v>
      </c>
      <c r="D563" s="31">
        <v>8435635307521</v>
      </c>
      <c r="E563" s="33" t="s">
        <v>1406</v>
      </c>
      <c r="F563" s="33" t="s">
        <v>1327</v>
      </c>
      <c r="G563" s="33">
        <v>1</v>
      </c>
      <c r="H563" s="84" t="s">
        <v>1407</v>
      </c>
      <c r="I563" s="23" t="s">
        <v>24</v>
      </c>
      <c r="J563" s="34">
        <v>120</v>
      </c>
      <c r="K563" s="35">
        <v>0.25</v>
      </c>
      <c r="L563" s="36">
        <f t="shared" si="77"/>
        <v>30</v>
      </c>
      <c r="M563" s="37">
        <f t="shared" si="78"/>
        <v>90</v>
      </c>
      <c r="N563" s="38">
        <v>0.16</v>
      </c>
      <c r="O563" s="39">
        <f t="shared" si="80"/>
        <v>14.4</v>
      </c>
      <c r="P563" s="40">
        <f t="shared" si="81"/>
        <v>104.4</v>
      </c>
      <c r="Q563" s="23"/>
      <c r="R563" s="56"/>
      <c r="S563" s="57"/>
      <c r="T563" s="58">
        <f t="shared" si="85"/>
        <v>0</v>
      </c>
      <c r="U563" s="36">
        <f t="shared" si="85"/>
        <v>0</v>
      </c>
      <c r="V563" s="59">
        <f t="shared" si="84"/>
        <v>0</v>
      </c>
      <c r="W563" s="39">
        <f t="shared" si="79"/>
        <v>0</v>
      </c>
      <c r="X563" s="40">
        <f t="shared" si="82"/>
        <v>0</v>
      </c>
      <c r="Y563"/>
      <c r="Z563"/>
      <c r="AA563"/>
    </row>
    <row r="564" spans="1:27" s="51" customFormat="1" ht="18.600000000000001" hidden="1" customHeight="1" x14ac:dyDescent="0.25">
      <c r="A564" s="82" t="s">
        <v>16</v>
      </c>
      <c r="B564" s="41" t="s">
        <v>1324</v>
      </c>
      <c r="C564" s="42" t="s">
        <v>1325</v>
      </c>
      <c r="D564" s="41">
        <v>8435635307538</v>
      </c>
      <c r="E564" s="43" t="s">
        <v>1408</v>
      </c>
      <c r="F564" s="43" t="s">
        <v>1327</v>
      </c>
      <c r="G564" s="43">
        <v>1</v>
      </c>
      <c r="H564" s="85" t="s">
        <v>1126</v>
      </c>
      <c r="I564" s="23" t="s">
        <v>24</v>
      </c>
      <c r="J564" s="44">
        <v>120</v>
      </c>
      <c r="K564" s="45">
        <v>0.25</v>
      </c>
      <c r="L564" s="46">
        <f t="shared" si="77"/>
        <v>30</v>
      </c>
      <c r="M564" s="47">
        <f t="shared" si="78"/>
        <v>90</v>
      </c>
      <c r="N564" s="48">
        <v>0.16</v>
      </c>
      <c r="O564" s="49">
        <f t="shared" si="80"/>
        <v>14.4</v>
      </c>
      <c r="P564" s="50">
        <f t="shared" si="81"/>
        <v>104.4</v>
      </c>
      <c r="Q564" s="23"/>
      <c r="R564" s="60"/>
      <c r="S564" s="61"/>
      <c r="T564" s="62">
        <f t="shared" si="85"/>
        <v>0</v>
      </c>
      <c r="U564" s="46">
        <f t="shared" si="85"/>
        <v>0</v>
      </c>
      <c r="V564" s="63">
        <f t="shared" si="84"/>
        <v>0</v>
      </c>
      <c r="W564" s="49">
        <f t="shared" si="79"/>
        <v>0</v>
      </c>
      <c r="X564" s="50">
        <f t="shared" si="82"/>
        <v>0</v>
      </c>
      <c r="Y564"/>
      <c r="Z564"/>
      <c r="AA564"/>
    </row>
    <row r="565" spans="1:27" s="51" customFormat="1" ht="18.600000000000001" hidden="1" customHeight="1" x14ac:dyDescent="0.25">
      <c r="A565" s="80" t="s">
        <v>16</v>
      </c>
      <c r="B565" s="20" t="s">
        <v>1324</v>
      </c>
      <c r="C565" s="21" t="s">
        <v>1325</v>
      </c>
      <c r="D565" s="20">
        <v>8435635307545</v>
      </c>
      <c r="E565" s="22" t="s">
        <v>1409</v>
      </c>
      <c r="F565" s="22" t="s">
        <v>1327</v>
      </c>
      <c r="G565" s="22">
        <v>1</v>
      </c>
      <c r="H565" s="83" t="s">
        <v>1021</v>
      </c>
      <c r="I565" s="23" t="s">
        <v>24</v>
      </c>
      <c r="J565" s="24">
        <v>120</v>
      </c>
      <c r="K565" s="25">
        <v>0.25</v>
      </c>
      <c r="L565" s="26">
        <f t="shared" si="77"/>
        <v>30</v>
      </c>
      <c r="M565" s="27">
        <f t="shared" si="78"/>
        <v>90</v>
      </c>
      <c r="N565" s="28">
        <v>0.16</v>
      </c>
      <c r="O565" s="29">
        <f t="shared" si="80"/>
        <v>14.4</v>
      </c>
      <c r="P565" s="30">
        <f t="shared" si="81"/>
        <v>104.4</v>
      </c>
      <c r="Q565" s="23"/>
      <c r="R565" s="52"/>
      <c r="S565" s="53"/>
      <c r="T565" s="54">
        <f t="shared" si="85"/>
        <v>0</v>
      </c>
      <c r="U565" s="26">
        <f t="shared" si="85"/>
        <v>0</v>
      </c>
      <c r="V565" s="55">
        <f t="shared" si="84"/>
        <v>0</v>
      </c>
      <c r="W565" s="29">
        <f t="shared" si="79"/>
        <v>0</v>
      </c>
      <c r="X565" s="30">
        <f t="shared" si="82"/>
        <v>0</v>
      </c>
      <c r="Y565"/>
      <c r="Z565"/>
      <c r="AA565"/>
    </row>
    <row r="566" spans="1:27" s="51" customFormat="1" ht="18.600000000000001" hidden="1" customHeight="1" x14ac:dyDescent="0.25">
      <c r="A566" s="81" t="s">
        <v>16</v>
      </c>
      <c r="B566" s="31" t="s">
        <v>1324</v>
      </c>
      <c r="C566" s="32" t="s">
        <v>1325</v>
      </c>
      <c r="D566" s="31">
        <v>8435635307552</v>
      </c>
      <c r="E566" s="33" t="s">
        <v>1410</v>
      </c>
      <c r="F566" s="33" t="s">
        <v>1327</v>
      </c>
      <c r="G566" s="33">
        <v>1</v>
      </c>
      <c r="H566" s="84" t="s">
        <v>1411</v>
      </c>
      <c r="I566" s="23" t="s">
        <v>24</v>
      </c>
      <c r="J566" s="34">
        <v>120</v>
      </c>
      <c r="K566" s="35">
        <v>0.25</v>
      </c>
      <c r="L566" s="36">
        <f t="shared" si="77"/>
        <v>30</v>
      </c>
      <c r="M566" s="37">
        <f t="shared" si="78"/>
        <v>90</v>
      </c>
      <c r="N566" s="38">
        <v>0.16</v>
      </c>
      <c r="O566" s="39">
        <f t="shared" si="80"/>
        <v>14.4</v>
      </c>
      <c r="P566" s="40">
        <f t="shared" si="81"/>
        <v>104.4</v>
      </c>
      <c r="Q566" s="23"/>
      <c r="R566" s="56"/>
      <c r="S566" s="57"/>
      <c r="T566" s="58">
        <f t="shared" si="85"/>
        <v>0</v>
      </c>
      <c r="U566" s="36">
        <f t="shared" si="85"/>
        <v>0</v>
      </c>
      <c r="V566" s="59">
        <f t="shared" si="84"/>
        <v>0</v>
      </c>
      <c r="W566" s="39">
        <f t="shared" si="79"/>
        <v>0</v>
      </c>
      <c r="X566" s="40">
        <f t="shared" si="82"/>
        <v>0</v>
      </c>
      <c r="Y566"/>
      <c r="Z566"/>
      <c r="AA566"/>
    </row>
    <row r="567" spans="1:27" s="51" customFormat="1" ht="18.600000000000001" hidden="1" customHeight="1" x14ac:dyDescent="0.25">
      <c r="A567" s="82" t="s">
        <v>16</v>
      </c>
      <c r="B567" s="41" t="s">
        <v>1324</v>
      </c>
      <c r="C567" s="42" t="s">
        <v>1325</v>
      </c>
      <c r="D567" s="41">
        <v>8435635307569</v>
      </c>
      <c r="E567" s="43" t="s">
        <v>1412</v>
      </c>
      <c r="F567" s="43" t="s">
        <v>1327</v>
      </c>
      <c r="G567" s="43">
        <v>1</v>
      </c>
      <c r="H567" s="85" t="s">
        <v>1050</v>
      </c>
      <c r="I567" s="23" t="s">
        <v>24</v>
      </c>
      <c r="J567" s="44">
        <v>120</v>
      </c>
      <c r="K567" s="45">
        <v>0.25</v>
      </c>
      <c r="L567" s="46">
        <f t="shared" si="77"/>
        <v>30</v>
      </c>
      <c r="M567" s="47">
        <f t="shared" si="78"/>
        <v>90</v>
      </c>
      <c r="N567" s="48">
        <v>0.16</v>
      </c>
      <c r="O567" s="49">
        <f t="shared" si="80"/>
        <v>14.4</v>
      </c>
      <c r="P567" s="50">
        <f t="shared" si="81"/>
        <v>104.4</v>
      </c>
      <c r="Q567" s="23"/>
      <c r="R567" s="60"/>
      <c r="S567" s="61"/>
      <c r="T567" s="62">
        <f t="shared" si="85"/>
        <v>0</v>
      </c>
      <c r="U567" s="46">
        <f t="shared" si="85"/>
        <v>0</v>
      </c>
      <c r="V567" s="63">
        <f t="shared" si="84"/>
        <v>0</v>
      </c>
      <c r="W567" s="49">
        <f t="shared" si="79"/>
        <v>0</v>
      </c>
      <c r="X567" s="50">
        <f t="shared" si="82"/>
        <v>0</v>
      </c>
      <c r="Y567"/>
      <c r="Z567"/>
      <c r="AA567"/>
    </row>
    <row r="568" spans="1:27" s="51" customFormat="1" ht="18.600000000000001" hidden="1" customHeight="1" x14ac:dyDescent="0.25">
      <c r="A568" s="80" t="s">
        <v>16</v>
      </c>
      <c r="B568" s="20" t="s">
        <v>1324</v>
      </c>
      <c r="C568" s="21" t="s">
        <v>1325</v>
      </c>
      <c r="D568" s="20">
        <v>8435635307576</v>
      </c>
      <c r="E568" s="22" t="s">
        <v>1413</v>
      </c>
      <c r="F568" s="22" t="s">
        <v>1327</v>
      </c>
      <c r="G568" s="22">
        <v>1</v>
      </c>
      <c r="H568" s="83" t="s">
        <v>1414</v>
      </c>
      <c r="I568" s="23" t="s">
        <v>24</v>
      </c>
      <c r="J568" s="24">
        <v>120</v>
      </c>
      <c r="K568" s="25">
        <v>0.25</v>
      </c>
      <c r="L568" s="26">
        <f t="shared" si="77"/>
        <v>30</v>
      </c>
      <c r="M568" s="27">
        <f t="shared" si="78"/>
        <v>90</v>
      </c>
      <c r="N568" s="28">
        <v>0.16</v>
      </c>
      <c r="O568" s="29">
        <f t="shared" si="80"/>
        <v>14.4</v>
      </c>
      <c r="P568" s="30">
        <f t="shared" si="81"/>
        <v>104.4</v>
      </c>
      <c r="Q568" s="23"/>
      <c r="R568" s="52"/>
      <c r="S568" s="53"/>
      <c r="T568" s="54">
        <f t="shared" si="85"/>
        <v>0</v>
      </c>
      <c r="U568" s="26">
        <f t="shared" si="85"/>
        <v>0</v>
      </c>
      <c r="V568" s="55">
        <f t="shared" si="84"/>
        <v>0</v>
      </c>
      <c r="W568" s="29">
        <f t="shared" si="79"/>
        <v>0</v>
      </c>
      <c r="X568" s="30">
        <f t="shared" si="82"/>
        <v>0</v>
      </c>
      <c r="Y568"/>
      <c r="Z568"/>
      <c r="AA568"/>
    </row>
    <row r="569" spans="1:27" s="51" customFormat="1" ht="18.600000000000001" hidden="1" customHeight="1" x14ac:dyDescent="0.25">
      <c r="A569" s="81" t="s">
        <v>16</v>
      </c>
      <c r="B569" s="31" t="s">
        <v>1324</v>
      </c>
      <c r="C569" s="32" t="s">
        <v>1325</v>
      </c>
      <c r="D569" s="31">
        <v>8435635307583</v>
      </c>
      <c r="E569" s="33" t="s">
        <v>1415</v>
      </c>
      <c r="F569" s="33" t="s">
        <v>1327</v>
      </c>
      <c r="G569" s="33">
        <v>1</v>
      </c>
      <c r="H569" s="84" t="s">
        <v>1416</v>
      </c>
      <c r="I569" s="23" t="s">
        <v>24</v>
      </c>
      <c r="J569" s="34">
        <v>120</v>
      </c>
      <c r="K569" s="35">
        <v>0.25</v>
      </c>
      <c r="L569" s="36">
        <f t="shared" si="77"/>
        <v>30</v>
      </c>
      <c r="M569" s="37">
        <f t="shared" si="78"/>
        <v>90</v>
      </c>
      <c r="N569" s="38">
        <v>0.16</v>
      </c>
      <c r="O569" s="39">
        <f t="shared" si="80"/>
        <v>14.4</v>
      </c>
      <c r="P569" s="40">
        <f t="shared" si="81"/>
        <v>104.4</v>
      </c>
      <c r="Q569" s="23"/>
      <c r="R569" s="56"/>
      <c r="S569" s="57"/>
      <c r="T569" s="58">
        <f t="shared" si="85"/>
        <v>0</v>
      </c>
      <c r="U569" s="36">
        <f t="shared" si="85"/>
        <v>0</v>
      </c>
      <c r="V569" s="59">
        <f t="shared" si="84"/>
        <v>0</v>
      </c>
      <c r="W569" s="39">
        <f t="shared" si="79"/>
        <v>0</v>
      </c>
      <c r="X569" s="40">
        <f t="shared" si="82"/>
        <v>0</v>
      </c>
      <c r="Y569"/>
      <c r="Z569"/>
      <c r="AA569"/>
    </row>
    <row r="570" spans="1:27" s="51" customFormat="1" ht="18.600000000000001" hidden="1" customHeight="1" x14ac:dyDescent="0.25">
      <c r="A570" s="82" t="s">
        <v>16</v>
      </c>
      <c r="B570" s="41" t="s">
        <v>1324</v>
      </c>
      <c r="C570" s="42" t="s">
        <v>1325</v>
      </c>
      <c r="D570" s="41">
        <v>8435635307590</v>
      </c>
      <c r="E570" s="43" t="s">
        <v>1417</v>
      </c>
      <c r="F570" s="43" t="s">
        <v>1327</v>
      </c>
      <c r="G570" s="43">
        <v>1</v>
      </c>
      <c r="H570" s="85" t="s">
        <v>1418</v>
      </c>
      <c r="I570" s="23" t="s">
        <v>24</v>
      </c>
      <c r="J570" s="44">
        <v>120</v>
      </c>
      <c r="K570" s="45">
        <v>0.25</v>
      </c>
      <c r="L570" s="46">
        <f t="shared" si="77"/>
        <v>30</v>
      </c>
      <c r="M570" s="47">
        <f t="shared" si="78"/>
        <v>90</v>
      </c>
      <c r="N570" s="48">
        <v>0.16</v>
      </c>
      <c r="O570" s="49">
        <f t="shared" si="80"/>
        <v>14.4</v>
      </c>
      <c r="P570" s="50">
        <f t="shared" si="81"/>
        <v>104.4</v>
      </c>
      <c r="Q570" s="23"/>
      <c r="R570" s="60"/>
      <c r="S570" s="61"/>
      <c r="T570" s="62">
        <f t="shared" si="85"/>
        <v>0</v>
      </c>
      <c r="U570" s="46">
        <f t="shared" si="85"/>
        <v>0</v>
      </c>
      <c r="V570" s="63">
        <f t="shared" si="84"/>
        <v>0</v>
      </c>
      <c r="W570" s="49">
        <f t="shared" si="79"/>
        <v>0</v>
      </c>
      <c r="X570" s="50">
        <f t="shared" si="82"/>
        <v>0</v>
      </c>
      <c r="Y570"/>
      <c r="Z570"/>
      <c r="AA570"/>
    </row>
    <row r="571" spans="1:27" s="51" customFormat="1" ht="18.600000000000001" hidden="1" customHeight="1" x14ac:dyDescent="0.25">
      <c r="A571" s="80" t="s">
        <v>16</v>
      </c>
      <c r="B571" s="20" t="s">
        <v>1324</v>
      </c>
      <c r="C571" s="21" t="s">
        <v>1325</v>
      </c>
      <c r="D571" s="20">
        <v>8435635307606</v>
      </c>
      <c r="E571" s="22" t="s">
        <v>1419</v>
      </c>
      <c r="F571" s="22" t="s">
        <v>1327</v>
      </c>
      <c r="G571" s="22">
        <v>1</v>
      </c>
      <c r="H571" s="83" t="s">
        <v>1420</v>
      </c>
      <c r="I571" s="23" t="s">
        <v>24</v>
      </c>
      <c r="J571" s="24">
        <v>120</v>
      </c>
      <c r="K571" s="25">
        <v>0.25</v>
      </c>
      <c r="L571" s="26">
        <f t="shared" si="77"/>
        <v>30</v>
      </c>
      <c r="M571" s="27">
        <f t="shared" si="78"/>
        <v>90</v>
      </c>
      <c r="N571" s="28">
        <v>0.16</v>
      </c>
      <c r="O571" s="29">
        <f t="shared" si="80"/>
        <v>14.4</v>
      </c>
      <c r="P571" s="30">
        <f t="shared" si="81"/>
        <v>104.4</v>
      </c>
      <c r="Q571" s="23"/>
      <c r="R571" s="52"/>
      <c r="S571" s="53"/>
      <c r="T571" s="54">
        <f t="shared" si="85"/>
        <v>0</v>
      </c>
      <c r="U571" s="26">
        <f t="shared" si="85"/>
        <v>0</v>
      </c>
      <c r="V571" s="55">
        <f t="shared" si="84"/>
        <v>0</v>
      </c>
      <c r="W571" s="29">
        <f t="shared" si="79"/>
        <v>0</v>
      </c>
      <c r="X571" s="30">
        <f t="shared" si="82"/>
        <v>0</v>
      </c>
      <c r="Y571"/>
      <c r="Z571"/>
      <c r="AA571"/>
    </row>
    <row r="572" spans="1:27" s="51" customFormat="1" ht="18.600000000000001" hidden="1" customHeight="1" x14ac:dyDescent="0.25">
      <c r="A572" s="81" t="s">
        <v>16</v>
      </c>
      <c r="B572" s="31" t="s">
        <v>1324</v>
      </c>
      <c r="C572" s="32" t="s">
        <v>1325</v>
      </c>
      <c r="D572" s="31">
        <v>8435635307613</v>
      </c>
      <c r="E572" s="33" t="s">
        <v>1421</v>
      </c>
      <c r="F572" s="33" t="s">
        <v>1327</v>
      </c>
      <c r="G572" s="33">
        <v>1</v>
      </c>
      <c r="H572" s="84" t="s">
        <v>1422</v>
      </c>
      <c r="I572" s="23" t="s">
        <v>24</v>
      </c>
      <c r="J572" s="34">
        <v>120</v>
      </c>
      <c r="K572" s="35">
        <v>0.25</v>
      </c>
      <c r="L572" s="36">
        <f t="shared" si="77"/>
        <v>30</v>
      </c>
      <c r="M572" s="37">
        <f t="shared" si="78"/>
        <v>90</v>
      </c>
      <c r="N572" s="38">
        <v>0.16</v>
      </c>
      <c r="O572" s="39">
        <f t="shared" si="80"/>
        <v>14.4</v>
      </c>
      <c r="P572" s="40">
        <f t="shared" si="81"/>
        <v>104.4</v>
      </c>
      <c r="Q572" s="23"/>
      <c r="R572" s="56"/>
      <c r="S572" s="57"/>
      <c r="T572" s="58">
        <f t="shared" si="85"/>
        <v>0</v>
      </c>
      <c r="U572" s="36">
        <f t="shared" si="85"/>
        <v>0</v>
      </c>
      <c r="V572" s="59">
        <f t="shared" si="84"/>
        <v>0</v>
      </c>
      <c r="W572" s="39">
        <f t="shared" si="79"/>
        <v>0</v>
      </c>
      <c r="X572" s="40">
        <f t="shared" si="82"/>
        <v>0</v>
      </c>
      <c r="Y572"/>
      <c r="Z572"/>
      <c r="AA572"/>
    </row>
    <row r="573" spans="1:27" s="51" customFormat="1" ht="18.600000000000001" hidden="1" customHeight="1" x14ac:dyDescent="0.25">
      <c r="A573" s="82" t="s">
        <v>16</v>
      </c>
      <c r="B573" s="41" t="s">
        <v>1324</v>
      </c>
      <c r="C573" s="42" t="s">
        <v>1325</v>
      </c>
      <c r="D573" s="41">
        <v>8435635307620</v>
      </c>
      <c r="E573" s="43" t="s">
        <v>1423</v>
      </c>
      <c r="F573" s="43" t="s">
        <v>1327</v>
      </c>
      <c r="G573" s="43">
        <v>1</v>
      </c>
      <c r="H573" s="85" t="s">
        <v>1424</v>
      </c>
      <c r="I573" s="23" t="s">
        <v>24</v>
      </c>
      <c r="J573" s="44">
        <v>120</v>
      </c>
      <c r="K573" s="45">
        <v>0.25</v>
      </c>
      <c r="L573" s="46">
        <f t="shared" si="77"/>
        <v>30</v>
      </c>
      <c r="M573" s="47">
        <f t="shared" si="78"/>
        <v>90</v>
      </c>
      <c r="N573" s="48">
        <v>0.16</v>
      </c>
      <c r="O573" s="49">
        <f t="shared" si="80"/>
        <v>14.4</v>
      </c>
      <c r="P573" s="50">
        <f t="shared" si="81"/>
        <v>104.4</v>
      </c>
      <c r="Q573" s="23"/>
      <c r="R573" s="60"/>
      <c r="S573" s="61"/>
      <c r="T573" s="62">
        <f t="shared" si="85"/>
        <v>0</v>
      </c>
      <c r="U573" s="46">
        <f t="shared" si="85"/>
        <v>0</v>
      </c>
      <c r="V573" s="63">
        <f t="shared" si="84"/>
        <v>0</v>
      </c>
      <c r="W573" s="49">
        <f t="shared" si="79"/>
        <v>0</v>
      </c>
      <c r="X573" s="50">
        <f t="shared" si="82"/>
        <v>0</v>
      </c>
      <c r="Y573"/>
      <c r="Z573"/>
      <c r="AA573"/>
    </row>
    <row r="574" spans="1:27" s="51" customFormat="1" ht="18.600000000000001" hidden="1" customHeight="1" x14ac:dyDescent="0.25">
      <c r="A574" s="80" t="s">
        <v>16</v>
      </c>
      <c r="B574" s="20" t="s">
        <v>1324</v>
      </c>
      <c r="C574" s="21" t="s">
        <v>1325</v>
      </c>
      <c r="D574" s="20">
        <v>8435635307637</v>
      </c>
      <c r="E574" s="22" t="s">
        <v>1425</v>
      </c>
      <c r="F574" s="22" t="s">
        <v>1327</v>
      </c>
      <c r="G574" s="22">
        <v>1</v>
      </c>
      <c r="H574" s="83" t="s">
        <v>1426</v>
      </c>
      <c r="I574" s="23" t="s">
        <v>24</v>
      </c>
      <c r="J574" s="24">
        <v>120</v>
      </c>
      <c r="K574" s="25">
        <v>0.25</v>
      </c>
      <c r="L574" s="26">
        <f t="shared" si="77"/>
        <v>30</v>
      </c>
      <c r="M574" s="27">
        <f t="shared" si="78"/>
        <v>90</v>
      </c>
      <c r="N574" s="28">
        <v>0.16</v>
      </c>
      <c r="O574" s="29">
        <f t="shared" si="80"/>
        <v>14.4</v>
      </c>
      <c r="P574" s="30">
        <f t="shared" si="81"/>
        <v>104.4</v>
      </c>
      <c r="Q574" s="23"/>
      <c r="R574" s="52"/>
      <c r="S574" s="53"/>
      <c r="T574" s="54">
        <f t="shared" si="85"/>
        <v>0</v>
      </c>
      <c r="U574" s="26">
        <f t="shared" si="85"/>
        <v>0</v>
      </c>
      <c r="V574" s="55">
        <f t="shared" si="84"/>
        <v>0</v>
      </c>
      <c r="W574" s="29">
        <f t="shared" si="79"/>
        <v>0</v>
      </c>
      <c r="X574" s="30">
        <f t="shared" si="82"/>
        <v>0</v>
      </c>
      <c r="Y574"/>
      <c r="Z574"/>
      <c r="AA574"/>
    </row>
    <row r="575" spans="1:27" s="51" customFormat="1" ht="18.600000000000001" hidden="1" customHeight="1" x14ac:dyDescent="0.25">
      <c r="A575" s="81" t="s">
        <v>16</v>
      </c>
      <c r="B575" s="31" t="s">
        <v>1324</v>
      </c>
      <c r="C575" s="32" t="s">
        <v>1325</v>
      </c>
      <c r="D575" s="31">
        <v>8435635307644</v>
      </c>
      <c r="E575" s="33" t="s">
        <v>1427</v>
      </c>
      <c r="F575" s="33" t="s">
        <v>1327</v>
      </c>
      <c r="G575" s="33">
        <v>1</v>
      </c>
      <c r="H575" s="84" t="s">
        <v>1428</v>
      </c>
      <c r="I575" s="23" t="s">
        <v>24</v>
      </c>
      <c r="J575" s="34">
        <v>120</v>
      </c>
      <c r="K575" s="35">
        <v>0.25</v>
      </c>
      <c r="L575" s="36">
        <f t="shared" si="77"/>
        <v>30</v>
      </c>
      <c r="M575" s="37">
        <f t="shared" si="78"/>
        <v>90</v>
      </c>
      <c r="N575" s="38">
        <v>0.16</v>
      </c>
      <c r="O575" s="39">
        <f t="shared" si="80"/>
        <v>14.4</v>
      </c>
      <c r="P575" s="40">
        <f t="shared" si="81"/>
        <v>104.4</v>
      </c>
      <c r="Q575" s="23"/>
      <c r="R575" s="56"/>
      <c r="S575" s="57"/>
      <c r="T575" s="58">
        <f t="shared" si="85"/>
        <v>0</v>
      </c>
      <c r="U575" s="36">
        <f t="shared" si="85"/>
        <v>0</v>
      </c>
      <c r="V575" s="59">
        <f t="shared" si="84"/>
        <v>0</v>
      </c>
      <c r="W575" s="39">
        <f t="shared" si="79"/>
        <v>0</v>
      </c>
      <c r="X575" s="40">
        <f t="shared" si="82"/>
        <v>0</v>
      </c>
      <c r="Y575"/>
      <c r="Z575"/>
      <c r="AA575"/>
    </row>
    <row r="576" spans="1:27" s="51" customFormat="1" ht="18.600000000000001" hidden="1" customHeight="1" x14ac:dyDescent="0.25">
      <c r="A576" s="82" t="s">
        <v>16</v>
      </c>
      <c r="B576" s="41" t="s">
        <v>1324</v>
      </c>
      <c r="C576" s="42" t="s">
        <v>1325</v>
      </c>
      <c r="D576" s="41">
        <v>8435635307651</v>
      </c>
      <c r="E576" s="43" t="s">
        <v>1429</v>
      </c>
      <c r="F576" s="43" t="s">
        <v>1327</v>
      </c>
      <c r="G576" s="43">
        <v>1</v>
      </c>
      <c r="H576" s="85" t="s">
        <v>1430</v>
      </c>
      <c r="I576" s="23" t="s">
        <v>24</v>
      </c>
      <c r="J576" s="44">
        <v>120</v>
      </c>
      <c r="K576" s="45">
        <v>0.25</v>
      </c>
      <c r="L576" s="46">
        <f t="shared" si="77"/>
        <v>30</v>
      </c>
      <c r="M576" s="47">
        <f t="shared" si="78"/>
        <v>90</v>
      </c>
      <c r="N576" s="48">
        <v>0.16</v>
      </c>
      <c r="O576" s="49">
        <f t="shared" si="80"/>
        <v>14.4</v>
      </c>
      <c r="P576" s="50">
        <f t="shared" si="81"/>
        <v>104.4</v>
      </c>
      <c r="Q576" s="23"/>
      <c r="R576" s="60"/>
      <c r="S576" s="61"/>
      <c r="T576" s="62">
        <f t="shared" si="85"/>
        <v>0</v>
      </c>
      <c r="U576" s="46">
        <f t="shared" si="85"/>
        <v>0</v>
      </c>
      <c r="V576" s="63">
        <f t="shared" si="84"/>
        <v>0</v>
      </c>
      <c r="W576" s="49">
        <f t="shared" si="79"/>
        <v>0</v>
      </c>
      <c r="X576" s="50">
        <f t="shared" si="82"/>
        <v>0</v>
      </c>
      <c r="Y576"/>
      <c r="Z576"/>
      <c r="AA576"/>
    </row>
    <row r="577" spans="1:27" s="51" customFormat="1" ht="18.600000000000001" hidden="1" customHeight="1" x14ac:dyDescent="0.25">
      <c r="A577" s="80" t="s">
        <v>16</v>
      </c>
      <c r="B577" s="20" t="s">
        <v>1324</v>
      </c>
      <c r="C577" s="21" t="s">
        <v>1325</v>
      </c>
      <c r="D577" s="20">
        <v>8435635307668</v>
      </c>
      <c r="E577" s="22" t="s">
        <v>1431</v>
      </c>
      <c r="F577" s="22" t="s">
        <v>1327</v>
      </c>
      <c r="G577" s="22">
        <v>1</v>
      </c>
      <c r="H577" s="83" t="s">
        <v>1432</v>
      </c>
      <c r="I577" s="23" t="s">
        <v>24</v>
      </c>
      <c r="J577" s="24">
        <v>120</v>
      </c>
      <c r="K577" s="25">
        <v>0.25</v>
      </c>
      <c r="L577" s="26">
        <f t="shared" si="77"/>
        <v>30</v>
      </c>
      <c r="M577" s="27">
        <f t="shared" si="78"/>
        <v>90</v>
      </c>
      <c r="N577" s="28">
        <v>0.16</v>
      </c>
      <c r="O577" s="29">
        <f t="shared" si="80"/>
        <v>14.4</v>
      </c>
      <c r="P577" s="30">
        <f t="shared" si="81"/>
        <v>104.4</v>
      </c>
      <c r="Q577" s="23"/>
      <c r="R577" s="52"/>
      <c r="S577" s="53"/>
      <c r="T577" s="54">
        <f t="shared" si="85"/>
        <v>0</v>
      </c>
      <c r="U577" s="26">
        <f t="shared" si="85"/>
        <v>0</v>
      </c>
      <c r="V577" s="55">
        <f t="shared" si="84"/>
        <v>0</v>
      </c>
      <c r="W577" s="29">
        <f t="shared" si="79"/>
        <v>0</v>
      </c>
      <c r="X577" s="30">
        <f t="shared" si="82"/>
        <v>0</v>
      </c>
      <c r="Y577"/>
      <c r="Z577"/>
      <c r="AA577"/>
    </row>
    <row r="578" spans="1:27" s="51" customFormat="1" ht="18.600000000000001" hidden="1" customHeight="1" x14ac:dyDescent="0.25">
      <c r="A578" s="81" t="s">
        <v>16</v>
      </c>
      <c r="B578" s="31" t="s">
        <v>1324</v>
      </c>
      <c r="C578" s="32" t="s">
        <v>1325</v>
      </c>
      <c r="D578" s="31">
        <v>8435635307675</v>
      </c>
      <c r="E578" s="33" t="s">
        <v>1433</v>
      </c>
      <c r="F578" s="33" t="s">
        <v>1327</v>
      </c>
      <c r="G578" s="33">
        <v>1</v>
      </c>
      <c r="H578" s="84" t="s">
        <v>1434</v>
      </c>
      <c r="I578" s="23" t="s">
        <v>24</v>
      </c>
      <c r="J578" s="34">
        <v>120</v>
      </c>
      <c r="K578" s="35">
        <v>0.25</v>
      </c>
      <c r="L578" s="36">
        <f t="shared" si="77"/>
        <v>30</v>
      </c>
      <c r="M578" s="37">
        <f t="shared" si="78"/>
        <v>90</v>
      </c>
      <c r="N578" s="38">
        <v>0.16</v>
      </c>
      <c r="O578" s="39">
        <f t="shared" si="80"/>
        <v>14.4</v>
      </c>
      <c r="P578" s="40">
        <f t="shared" si="81"/>
        <v>104.4</v>
      </c>
      <c r="Q578" s="23"/>
      <c r="R578" s="56"/>
      <c r="S578" s="57"/>
      <c r="T578" s="58">
        <f t="shared" si="85"/>
        <v>0</v>
      </c>
      <c r="U578" s="36">
        <f t="shared" si="85"/>
        <v>0</v>
      </c>
      <c r="V578" s="59">
        <f t="shared" si="84"/>
        <v>0</v>
      </c>
      <c r="W578" s="39">
        <f t="shared" si="79"/>
        <v>0</v>
      </c>
      <c r="X578" s="40">
        <f t="shared" si="82"/>
        <v>0</v>
      </c>
      <c r="Y578"/>
      <c r="Z578"/>
      <c r="AA578"/>
    </row>
    <row r="579" spans="1:27" s="51" customFormat="1" ht="18.600000000000001" hidden="1" customHeight="1" x14ac:dyDescent="0.25">
      <c r="A579" s="82" t="s">
        <v>16</v>
      </c>
      <c r="B579" s="41" t="s">
        <v>1324</v>
      </c>
      <c r="C579" s="42" t="s">
        <v>1325</v>
      </c>
      <c r="D579" s="41">
        <v>8435635307682</v>
      </c>
      <c r="E579" s="43" t="s">
        <v>1435</v>
      </c>
      <c r="F579" s="43" t="s">
        <v>1327</v>
      </c>
      <c r="G579" s="43">
        <v>1</v>
      </c>
      <c r="H579" s="85" t="s">
        <v>1436</v>
      </c>
      <c r="I579" s="23" t="s">
        <v>24</v>
      </c>
      <c r="J579" s="44">
        <v>120</v>
      </c>
      <c r="K579" s="45">
        <v>0.25</v>
      </c>
      <c r="L579" s="46">
        <f t="shared" si="77"/>
        <v>30</v>
      </c>
      <c r="M579" s="47">
        <f t="shared" si="78"/>
        <v>90</v>
      </c>
      <c r="N579" s="48">
        <v>0.16</v>
      </c>
      <c r="O579" s="49">
        <f t="shared" si="80"/>
        <v>14.4</v>
      </c>
      <c r="P579" s="50">
        <f t="shared" si="81"/>
        <v>104.4</v>
      </c>
      <c r="Q579" s="23"/>
      <c r="R579" s="60"/>
      <c r="S579" s="61"/>
      <c r="T579" s="62">
        <f t="shared" si="85"/>
        <v>0</v>
      </c>
      <c r="U579" s="46">
        <f t="shared" si="85"/>
        <v>0</v>
      </c>
      <c r="V579" s="63">
        <f t="shared" si="84"/>
        <v>0</v>
      </c>
      <c r="W579" s="49">
        <f t="shared" si="79"/>
        <v>0</v>
      </c>
      <c r="X579" s="50">
        <f t="shared" si="82"/>
        <v>0</v>
      </c>
      <c r="Y579"/>
      <c r="Z579"/>
      <c r="AA579"/>
    </row>
    <row r="580" spans="1:27" s="51" customFormat="1" ht="18.600000000000001" hidden="1" customHeight="1" x14ac:dyDescent="0.25">
      <c r="A580" s="80" t="s">
        <v>16</v>
      </c>
      <c r="B580" s="20" t="s">
        <v>1324</v>
      </c>
      <c r="C580" s="21" t="s">
        <v>1325</v>
      </c>
      <c r="D580" s="20">
        <v>8435635307699</v>
      </c>
      <c r="E580" s="22" t="s">
        <v>1437</v>
      </c>
      <c r="F580" s="22" t="s">
        <v>1327</v>
      </c>
      <c r="G580" s="22">
        <v>1</v>
      </c>
      <c r="H580" s="83" t="s">
        <v>1131</v>
      </c>
      <c r="I580" s="23" t="s">
        <v>24</v>
      </c>
      <c r="J580" s="24">
        <v>120</v>
      </c>
      <c r="K580" s="25">
        <v>0.25</v>
      </c>
      <c r="L580" s="26">
        <f t="shared" si="77"/>
        <v>30</v>
      </c>
      <c r="M580" s="27">
        <f t="shared" si="78"/>
        <v>90</v>
      </c>
      <c r="N580" s="28">
        <v>0.16</v>
      </c>
      <c r="O580" s="29">
        <f t="shared" si="80"/>
        <v>14.4</v>
      </c>
      <c r="P580" s="30">
        <f t="shared" si="81"/>
        <v>104.4</v>
      </c>
      <c r="Q580" s="23"/>
      <c r="R580" s="52"/>
      <c r="S580" s="53"/>
      <c r="T580" s="54">
        <f t="shared" si="85"/>
        <v>0</v>
      </c>
      <c r="U580" s="26">
        <f t="shared" si="85"/>
        <v>0</v>
      </c>
      <c r="V580" s="55">
        <f t="shared" si="84"/>
        <v>0</v>
      </c>
      <c r="W580" s="29">
        <f t="shared" si="79"/>
        <v>0</v>
      </c>
      <c r="X580" s="30">
        <f t="shared" si="82"/>
        <v>0</v>
      </c>
      <c r="Y580"/>
      <c r="Z580"/>
      <c r="AA580"/>
    </row>
    <row r="581" spans="1:27" s="51" customFormat="1" ht="18.600000000000001" hidden="1" customHeight="1" x14ac:dyDescent="0.25">
      <c r="A581" s="81" t="s">
        <v>16</v>
      </c>
      <c r="B581" s="31" t="s">
        <v>1324</v>
      </c>
      <c r="C581" s="32" t="s">
        <v>1325</v>
      </c>
      <c r="D581" s="31">
        <v>8435635307705</v>
      </c>
      <c r="E581" s="33" t="s">
        <v>1438</v>
      </c>
      <c r="F581" s="33" t="s">
        <v>1327</v>
      </c>
      <c r="G581" s="33">
        <v>1</v>
      </c>
      <c r="H581" s="84" t="s">
        <v>1439</v>
      </c>
      <c r="I581" s="23" t="s">
        <v>24</v>
      </c>
      <c r="J581" s="34">
        <v>120</v>
      </c>
      <c r="K581" s="35">
        <v>0.25</v>
      </c>
      <c r="L581" s="36">
        <f t="shared" si="77"/>
        <v>30</v>
      </c>
      <c r="M581" s="37">
        <f t="shared" si="78"/>
        <v>90</v>
      </c>
      <c r="N581" s="38">
        <v>0.16</v>
      </c>
      <c r="O581" s="39">
        <f t="shared" si="80"/>
        <v>14.4</v>
      </c>
      <c r="P581" s="40">
        <f t="shared" si="81"/>
        <v>104.4</v>
      </c>
      <c r="Q581" s="23"/>
      <c r="R581" s="56"/>
      <c r="S581" s="57"/>
      <c r="T581" s="58">
        <f t="shared" si="85"/>
        <v>0</v>
      </c>
      <c r="U581" s="36">
        <f t="shared" si="85"/>
        <v>0</v>
      </c>
      <c r="V581" s="59">
        <f t="shared" si="84"/>
        <v>0</v>
      </c>
      <c r="W581" s="39">
        <f t="shared" si="79"/>
        <v>0</v>
      </c>
      <c r="X581" s="40">
        <f t="shared" si="82"/>
        <v>0</v>
      </c>
      <c r="Y581"/>
      <c r="Z581"/>
      <c r="AA581"/>
    </row>
    <row r="582" spans="1:27" s="51" customFormat="1" ht="18.600000000000001" hidden="1" customHeight="1" x14ac:dyDescent="0.25">
      <c r="A582" s="82" t="s">
        <v>16</v>
      </c>
      <c r="B582" s="41" t="s">
        <v>1324</v>
      </c>
      <c r="C582" s="42" t="s">
        <v>1325</v>
      </c>
      <c r="D582" s="41">
        <v>8435635307712</v>
      </c>
      <c r="E582" s="43" t="s">
        <v>1440</v>
      </c>
      <c r="F582" s="43" t="s">
        <v>1327</v>
      </c>
      <c r="G582" s="43">
        <v>1</v>
      </c>
      <c r="H582" s="85" t="s">
        <v>1441</v>
      </c>
      <c r="I582" s="23" t="s">
        <v>24</v>
      </c>
      <c r="J582" s="44">
        <v>120</v>
      </c>
      <c r="K582" s="45">
        <v>0.25</v>
      </c>
      <c r="L582" s="46">
        <f t="shared" si="77"/>
        <v>30</v>
      </c>
      <c r="M582" s="47">
        <f t="shared" si="78"/>
        <v>90</v>
      </c>
      <c r="N582" s="48">
        <v>0.16</v>
      </c>
      <c r="O582" s="49">
        <f t="shared" si="80"/>
        <v>14.4</v>
      </c>
      <c r="P582" s="50">
        <f t="shared" si="81"/>
        <v>104.4</v>
      </c>
      <c r="Q582" s="23"/>
      <c r="R582" s="60"/>
      <c r="S582" s="61"/>
      <c r="T582" s="62">
        <f t="shared" si="85"/>
        <v>0</v>
      </c>
      <c r="U582" s="46">
        <f t="shared" si="85"/>
        <v>0</v>
      </c>
      <c r="V582" s="63">
        <f t="shared" si="84"/>
        <v>0</v>
      </c>
      <c r="W582" s="49">
        <f t="shared" si="79"/>
        <v>0</v>
      </c>
      <c r="X582" s="50">
        <f t="shared" si="82"/>
        <v>0</v>
      </c>
      <c r="Y582"/>
      <c r="Z582"/>
      <c r="AA582"/>
    </row>
    <row r="583" spans="1:27" s="51" customFormat="1" ht="18.600000000000001" hidden="1" customHeight="1" x14ac:dyDescent="0.25">
      <c r="A583" s="80" t="s">
        <v>16</v>
      </c>
      <c r="B583" s="20" t="s">
        <v>1324</v>
      </c>
      <c r="C583" s="21" t="s">
        <v>1325</v>
      </c>
      <c r="D583" s="20">
        <v>8435635307729</v>
      </c>
      <c r="E583" s="22" t="s">
        <v>1442</v>
      </c>
      <c r="F583" s="22" t="s">
        <v>1327</v>
      </c>
      <c r="G583" s="22">
        <v>1</v>
      </c>
      <c r="H583" s="83" t="s">
        <v>1443</v>
      </c>
      <c r="I583" s="23" t="s">
        <v>24</v>
      </c>
      <c r="J583" s="24">
        <v>120</v>
      </c>
      <c r="K583" s="25">
        <v>0.25</v>
      </c>
      <c r="L583" s="26">
        <f t="shared" si="77"/>
        <v>30</v>
      </c>
      <c r="M583" s="27">
        <f t="shared" si="78"/>
        <v>90</v>
      </c>
      <c r="N583" s="28">
        <v>0.16</v>
      </c>
      <c r="O583" s="29">
        <f t="shared" si="80"/>
        <v>14.4</v>
      </c>
      <c r="P583" s="30">
        <f t="shared" si="81"/>
        <v>104.4</v>
      </c>
      <c r="Q583" s="23"/>
      <c r="R583" s="52"/>
      <c r="S583" s="53"/>
      <c r="T583" s="54">
        <f t="shared" si="85"/>
        <v>0</v>
      </c>
      <c r="U583" s="26">
        <f t="shared" si="85"/>
        <v>0</v>
      </c>
      <c r="V583" s="55">
        <f t="shared" si="84"/>
        <v>0</v>
      </c>
      <c r="W583" s="29">
        <f t="shared" si="79"/>
        <v>0</v>
      </c>
      <c r="X583" s="30">
        <f t="shared" si="82"/>
        <v>0</v>
      </c>
      <c r="Y583"/>
      <c r="Z583"/>
      <c r="AA583"/>
    </row>
    <row r="584" spans="1:27" s="51" customFormat="1" ht="18.600000000000001" hidden="1" customHeight="1" x14ac:dyDescent="0.25">
      <c r="A584" s="81" t="s">
        <v>16</v>
      </c>
      <c r="B584" s="31" t="s">
        <v>1324</v>
      </c>
      <c r="C584" s="32" t="s">
        <v>1325</v>
      </c>
      <c r="D584" s="31">
        <v>8435635307736</v>
      </c>
      <c r="E584" s="33" t="s">
        <v>1444</v>
      </c>
      <c r="F584" s="33" t="s">
        <v>1327</v>
      </c>
      <c r="G584" s="33">
        <v>1</v>
      </c>
      <c r="H584" s="84" t="s">
        <v>1445</v>
      </c>
      <c r="I584" s="23" t="s">
        <v>24</v>
      </c>
      <c r="J584" s="34">
        <v>120</v>
      </c>
      <c r="K584" s="35">
        <v>0.25</v>
      </c>
      <c r="L584" s="36">
        <f t="shared" si="77"/>
        <v>30</v>
      </c>
      <c r="M584" s="37">
        <f t="shared" si="78"/>
        <v>90</v>
      </c>
      <c r="N584" s="38">
        <v>0.16</v>
      </c>
      <c r="O584" s="39">
        <f t="shared" si="80"/>
        <v>14.4</v>
      </c>
      <c r="P584" s="40">
        <f t="shared" si="81"/>
        <v>104.4</v>
      </c>
      <c r="Q584" s="23"/>
      <c r="R584" s="56"/>
      <c r="S584" s="57"/>
      <c r="T584" s="58">
        <f t="shared" si="85"/>
        <v>0</v>
      </c>
      <c r="U584" s="36">
        <f t="shared" si="85"/>
        <v>0</v>
      </c>
      <c r="V584" s="59">
        <f t="shared" si="84"/>
        <v>0</v>
      </c>
      <c r="W584" s="39">
        <f t="shared" si="79"/>
        <v>0</v>
      </c>
      <c r="X584" s="40">
        <f t="shared" si="82"/>
        <v>0</v>
      </c>
      <c r="Y584"/>
      <c r="Z584"/>
      <c r="AA584"/>
    </row>
    <row r="585" spans="1:27" s="51" customFormat="1" ht="18.600000000000001" hidden="1" customHeight="1" x14ac:dyDescent="0.25">
      <c r="A585" s="82" t="s">
        <v>16</v>
      </c>
      <c r="B585" s="41" t="s">
        <v>1324</v>
      </c>
      <c r="C585" s="42" t="s">
        <v>1325</v>
      </c>
      <c r="D585" s="41">
        <v>8435635307743</v>
      </c>
      <c r="E585" s="43" t="s">
        <v>1446</v>
      </c>
      <c r="F585" s="43" t="s">
        <v>1327</v>
      </c>
      <c r="G585" s="43">
        <v>1</v>
      </c>
      <c r="H585" s="85" t="s">
        <v>153</v>
      </c>
      <c r="I585" s="23" t="s">
        <v>24</v>
      </c>
      <c r="J585" s="44">
        <v>120</v>
      </c>
      <c r="K585" s="45">
        <v>0.25</v>
      </c>
      <c r="L585" s="46">
        <f t="shared" si="77"/>
        <v>30</v>
      </c>
      <c r="M585" s="47">
        <f t="shared" si="78"/>
        <v>90</v>
      </c>
      <c r="N585" s="48">
        <v>0.16</v>
      </c>
      <c r="O585" s="49">
        <f t="shared" si="80"/>
        <v>14.4</v>
      </c>
      <c r="P585" s="50">
        <f t="shared" si="81"/>
        <v>104.4</v>
      </c>
      <c r="Q585" s="23"/>
      <c r="R585" s="60"/>
      <c r="S585" s="61"/>
      <c r="T585" s="62">
        <f t="shared" si="85"/>
        <v>0</v>
      </c>
      <c r="U585" s="46">
        <f t="shared" si="85"/>
        <v>0</v>
      </c>
      <c r="V585" s="63">
        <f t="shared" si="84"/>
        <v>0</v>
      </c>
      <c r="W585" s="49">
        <f t="shared" si="79"/>
        <v>0</v>
      </c>
      <c r="X585" s="50">
        <f t="shared" si="82"/>
        <v>0</v>
      </c>
      <c r="Y585"/>
      <c r="Z585"/>
      <c r="AA585"/>
    </row>
    <row r="586" spans="1:27" s="51" customFormat="1" ht="18.600000000000001" hidden="1" customHeight="1" x14ac:dyDescent="0.25">
      <c r="A586" s="80" t="s">
        <v>16</v>
      </c>
      <c r="B586" s="20" t="s">
        <v>1324</v>
      </c>
      <c r="C586" s="21" t="s">
        <v>1325</v>
      </c>
      <c r="D586" s="20">
        <v>8435635307750</v>
      </c>
      <c r="E586" s="22" t="s">
        <v>1447</v>
      </c>
      <c r="F586" s="22" t="s">
        <v>1327</v>
      </c>
      <c r="G586" s="22">
        <v>1</v>
      </c>
      <c r="H586" s="83" t="s">
        <v>1062</v>
      </c>
      <c r="I586" s="23" t="s">
        <v>24</v>
      </c>
      <c r="J586" s="24">
        <v>120</v>
      </c>
      <c r="K586" s="25">
        <v>0.25</v>
      </c>
      <c r="L586" s="26">
        <f t="shared" ref="L586:L649" si="86">+J586*K586</f>
        <v>30</v>
      </c>
      <c r="M586" s="27">
        <f t="shared" ref="M586:M649" si="87">+J586-L586</f>
        <v>90</v>
      </c>
      <c r="N586" s="28">
        <v>0.16</v>
      </c>
      <c r="O586" s="29">
        <f t="shared" si="80"/>
        <v>14.4</v>
      </c>
      <c r="P586" s="30">
        <f t="shared" si="81"/>
        <v>104.4</v>
      </c>
      <c r="Q586" s="23"/>
      <c r="R586" s="52"/>
      <c r="S586" s="53"/>
      <c r="T586" s="54">
        <f t="shared" si="85"/>
        <v>0</v>
      </c>
      <c r="U586" s="26">
        <f t="shared" si="85"/>
        <v>0</v>
      </c>
      <c r="V586" s="55">
        <f t="shared" si="84"/>
        <v>0</v>
      </c>
      <c r="W586" s="29">
        <f t="shared" ref="W586:W649" si="88">+V586*N586</f>
        <v>0</v>
      </c>
      <c r="X586" s="30">
        <f t="shared" si="82"/>
        <v>0</v>
      </c>
      <c r="Y586"/>
      <c r="Z586"/>
      <c r="AA586"/>
    </row>
    <row r="587" spans="1:27" s="51" customFormat="1" ht="18.600000000000001" hidden="1" customHeight="1" x14ac:dyDescent="0.25">
      <c r="A587" s="81" t="s">
        <v>16</v>
      </c>
      <c r="B587" s="31" t="s">
        <v>1324</v>
      </c>
      <c r="C587" s="32" t="s">
        <v>1325</v>
      </c>
      <c r="D587" s="31">
        <v>8435635307767</v>
      </c>
      <c r="E587" s="33" t="s">
        <v>1448</v>
      </c>
      <c r="F587" s="33" t="s">
        <v>1327</v>
      </c>
      <c r="G587" s="33">
        <v>1</v>
      </c>
      <c r="H587" s="84" t="s">
        <v>1023</v>
      </c>
      <c r="I587" s="23" t="s">
        <v>24</v>
      </c>
      <c r="J587" s="34">
        <v>120</v>
      </c>
      <c r="K587" s="35">
        <v>0.25</v>
      </c>
      <c r="L587" s="36">
        <f t="shared" si="86"/>
        <v>30</v>
      </c>
      <c r="M587" s="37">
        <f t="shared" si="87"/>
        <v>90</v>
      </c>
      <c r="N587" s="38">
        <v>0.16</v>
      </c>
      <c r="O587" s="39">
        <f t="shared" ref="O587:O650" si="89">+M587*N587</f>
        <v>14.4</v>
      </c>
      <c r="P587" s="40">
        <f t="shared" ref="P587:P650" si="90">+M587+O587</f>
        <v>104.4</v>
      </c>
      <c r="Q587" s="23"/>
      <c r="R587" s="56"/>
      <c r="S587" s="57"/>
      <c r="T587" s="58">
        <f t="shared" si="85"/>
        <v>0</v>
      </c>
      <c r="U587" s="36">
        <f t="shared" si="85"/>
        <v>0</v>
      </c>
      <c r="V587" s="59">
        <f t="shared" si="84"/>
        <v>0</v>
      </c>
      <c r="W587" s="39">
        <f t="shared" si="88"/>
        <v>0</v>
      </c>
      <c r="X587" s="40">
        <f t="shared" ref="X587:X650" si="91">+V587+W587</f>
        <v>0</v>
      </c>
      <c r="Y587"/>
      <c r="Z587"/>
      <c r="AA587"/>
    </row>
    <row r="588" spans="1:27" s="51" customFormat="1" ht="18.600000000000001" hidden="1" customHeight="1" x14ac:dyDescent="0.25">
      <c r="A588" s="82" t="s">
        <v>16</v>
      </c>
      <c r="B588" s="41" t="s">
        <v>1324</v>
      </c>
      <c r="C588" s="42" t="s">
        <v>1325</v>
      </c>
      <c r="D588" s="41">
        <v>8435635307774</v>
      </c>
      <c r="E588" s="43" t="s">
        <v>1449</v>
      </c>
      <c r="F588" s="43" t="s">
        <v>1327</v>
      </c>
      <c r="G588" s="43">
        <v>1</v>
      </c>
      <c r="H588" s="85" t="s">
        <v>1450</v>
      </c>
      <c r="I588" s="23" t="s">
        <v>24</v>
      </c>
      <c r="J588" s="44">
        <v>120</v>
      </c>
      <c r="K588" s="45">
        <v>0.25</v>
      </c>
      <c r="L588" s="46">
        <f t="shared" si="86"/>
        <v>30</v>
      </c>
      <c r="M588" s="47">
        <f t="shared" si="87"/>
        <v>90</v>
      </c>
      <c r="N588" s="48">
        <v>0.16</v>
      </c>
      <c r="O588" s="49">
        <f t="shared" si="89"/>
        <v>14.4</v>
      </c>
      <c r="P588" s="50">
        <f t="shared" si="90"/>
        <v>104.4</v>
      </c>
      <c r="Q588" s="23"/>
      <c r="R588" s="60"/>
      <c r="S588" s="61"/>
      <c r="T588" s="62">
        <f t="shared" si="85"/>
        <v>0</v>
      </c>
      <c r="U588" s="46">
        <f t="shared" si="85"/>
        <v>0</v>
      </c>
      <c r="V588" s="63">
        <f t="shared" si="84"/>
        <v>0</v>
      </c>
      <c r="W588" s="49">
        <f t="shared" si="88"/>
        <v>0</v>
      </c>
      <c r="X588" s="50">
        <f t="shared" si="91"/>
        <v>0</v>
      </c>
      <c r="Y588"/>
      <c r="Z588"/>
      <c r="AA588"/>
    </row>
    <row r="589" spans="1:27" s="51" customFormat="1" ht="18.600000000000001" hidden="1" customHeight="1" x14ac:dyDescent="0.25">
      <c r="A589" s="80" t="s">
        <v>16</v>
      </c>
      <c r="B589" s="20" t="s">
        <v>1324</v>
      </c>
      <c r="C589" s="21" t="s">
        <v>1325</v>
      </c>
      <c r="D589" s="20">
        <v>8435635307781</v>
      </c>
      <c r="E589" s="22" t="s">
        <v>1451</v>
      </c>
      <c r="F589" s="22" t="s">
        <v>1327</v>
      </c>
      <c r="G589" s="22">
        <v>1</v>
      </c>
      <c r="H589" s="83" t="s">
        <v>1452</v>
      </c>
      <c r="I589" s="23" t="s">
        <v>24</v>
      </c>
      <c r="J589" s="24">
        <v>120</v>
      </c>
      <c r="K589" s="25">
        <v>0.25</v>
      </c>
      <c r="L589" s="26">
        <f t="shared" si="86"/>
        <v>30</v>
      </c>
      <c r="M589" s="27">
        <f t="shared" si="87"/>
        <v>90</v>
      </c>
      <c r="N589" s="28">
        <v>0.16</v>
      </c>
      <c r="O589" s="29">
        <f t="shared" si="89"/>
        <v>14.4</v>
      </c>
      <c r="P589" s="30">
        <f t="shared" si="90"/>
        <v>104.4</v>
      </c>
      <c r="Q589" s="23"/>
      <c r="R589" s="52"/>
      <c r="S589" s="53"/>
      <c r="T589" s="54">
        <f t="shared" si="85"/>
        <v>0</v>
      </c>
      <c r="U589" s="26">
        <f t="shared" si="85"/>
        <v>0</v>
      </c>
      <c r="V589" s="55">
        <f t="shared" si="84"/>
        <v>0</v>
      </c>
      <c r="W589" s="29">
        <f t="shared" si="88"/>
        <v>0</v>
      </c>
      <c r="X589" s="30">
        <f t="shared" si="91"/>
        <v>0</v>
      </c>
      <c r="Y589"/>
      <c r="Z589"/>
      <c r="AA589"/>
    </row>
    <row r="590" spans="1:27" s="51" customFormat="1" ht="18.600000000000001" hidden="1" customHeight="1" x14ac:dyDescent="0.25">
      <c r="A590" s="81" t="s">
        <v>16</v>
      </c>
      <c r="B590" s="31" t="s">
        <v>1324</v>
      </c>
      <c r="C590" s="32" t="s">
        <v>1325</v>
      </c>
      <c r="D590" s="31">
        <v>8435635307798</v>
      </c>
      <c r="E590" s="33" t="s">
        <v>1453</v>
      </c>
      <c r="F590" s="33" t="s">
        <v>1327</v>
      </c>
      <c r="G590" s="33">
        <v>1</v>
      </c>
      <c r="H590" s="84" t="s">
        <v>1454</v>
      </c>
      <c r="I590" s="23" t="s">
        <v>24</v>
      </c>
      <c r="J590" s="34">
        <v>120</v>
      </c>
      <c r="K590" s="35">
        <v>0.25</v>
      </c>
      <c r="L590" s="36">
        <f t="shared" si="86"/>
        <v>30</v>
      </c>
      <c r="M590" s="37">
        <f t="shared" si="87"/>
        <v>90</v>
      </c>
      <c r="N590" s="38">
        <v>0.16</v>
      </c>
      <c r="O590" s="39">
        <f t="shared" si="89"/>
        <v>14.4</v>
      </c>
      <c r="P590" s="40">
        <f t="shared" si="90"/>
        <v>104.4</v>
      </c>
      <c r="Q590" s="23"/>
      <c r="R590" s="56"/>
      <c r="S590" s="57"/>
      <c r="T590" s="58">
        <f t="shared" si="85"/>
        <v>0</v>
      </c>
      <c r="U590" s="36">
        <f t="shared" si="85"/>
        <v>0</v>
      </c>
      <c r="V590" s="59">
        <f t="shared" si="84"/>
        <v>0</v>
      </c>
      <c r="W590" s="39">
        <f t="shared" si="88"/>
        <v>0</v>
      </c>
      <c r="X590" s="40">
        <f t="shared" si="91"/>
        <v>0</v>
      </c>
      <c r="Y590"/>
      <c r="Z590"/>
      <c r="AA590"/>
    </row>
    <row r="591" spans="1:27" s="51" customFormat="1" ht="18.600000000000001" hidden="1" customHeight="1" x14ac:dyDescent="0.25">
      <c r="A591" s="82" t="s">
        <v>16</v>
      </c>
      <c r="B591" s="41" t="s">
        <v>1324</v>
      </c>
      <c r="C591" s="42" t="s">
        <v>1325</v>
      </c>
      <c r="D591" s="41">
        <v>8435635307804</v>
      </c>
      <c r="E591" s="43" t="s">
        <v>1455</v>
      </c>
      <c r="F591" s="43" t="s">
        <v>1327</v>
      </c>
      <c r="G591" s="43">
        <v>1</v>
      </c>
      <c r="H591" s="85" t="s">
        <v>1456</v>
      </c>
      <c r="I591" s="23" t="s">
        <v>24</v>
      </c>
      <c r="J591" s="44">
        <v>120</v>
      </c>
      <c r="K591" s="45">
        <v>0.25</v>
      </c>
      <c r="L591" s="46">
        <f t="shared" si="86"/>
        <v>30</v>
      </c>
      <c r="M591" s="47">
        <f t="shared" si="87"/>
        <v>90</v>
      </c>
      <c r="N591" s="48">
        <v>0.16</v>
      </c>
      <c r="O591" s="49">
        <f t="shared" si="89"/>
        <v>14.4</v>
      </c>
      <c r="P591" s="50">
        <f t="shared" si="90"/>
        <v>104.4</v>
      </c>
      <c r="Q591" s="23"/>
      <c r="R591" s="60"/>
      <c r="S591" s="61"/>
      <c r="T591" s="62">
        <f t="shared" si="85"/>
        <v>0</v>
      </c>
      <c r="U591" s="46">
        <f t="shared" si="85"/>
        <v>0</v>
      </c>
      <c r="V591" s="63">
        <f t="shared" si="84"/>
        <v>0</v>
      </c>
      <c r="W591" s="49">
        <f t="shared" si="88"/>
        <v>0</v>
      </c>
      <c r="X591" s="50">
        <f t="shared" si="91"/>
        <v>0</v>
      </c>
      <c r="Y591"/>
      <c r="Z591"/>
      <c r="AA591"/>
    </row>
    <row r="592" spans="1:27" s="51" customFormat="1" ht="18.600000000000001" hidden="1" customHeight="1" x14ac:dyDescent="0.25">
      <c r="A592" s="80" t="s">
        <v>16</v>
      </c>
      <c r="B592" s="20" t="s">
        <v>1324</v>
      </c>
      <c r="C592" s="21" t="s">
        <v>1325</v>
      </c>
      <c r="D592" s="20">
        <v>8435635307811</v>
      </c>
      <c r="E592" s="22" t="s">
        <v>1457</v>
      </c>
      <c r="F592" s="22" t="s">
        <v>1327</v>
      </c>
      <c r="G592" s="22">
        <v>1</v>
      </c>
      <c r="H592" s="83" t="s">
        <v>1065</v>
      </c>
      <c r="I592" s="23" t="s">
        <v>24</v>
      </c>
      <c r="J592" s="24">
        <v>120</v>
      </c>
      <c r="K592" s="25">
        <v>0.25</v>
      </c>
      <c r="L592" s="26">
        <f t="shared" si="86"/>
        <v>30</v>
      </c>
      <c r="M592" s="27">
        <f t="shared" si="87"/>
        <v>90</v>
      </c>
      <c r="N592" s="28">
        <v>0.16</v>
      </c>
      <c r="O592" s="29">
        <f t="shared" si="89"/>
        <v>14.4</v>
      </c>
      <c r="P592" s="30">
        <f t="shared" si="90"/>
        <v>104.4</v>
      </c>
      <c r="Q592" s="23"/>
      <c r="R592" s="52"/>
      <c r="S592" s="53"/>
      <c r="T592" s="54">
        <f t="shared" si="85"/>
        <v>0</v>
      </c>
      <c r="U592" s="26">
        <f t="shared" si="85"/>
        <v>0</v>
      </c>
      <c r="V592" s="55">
        <f t="shared" si="84"/>
        <v>0</v>
      </c>
      <c r="W592" s="29">
        <f t="shared" si="88"/>
        <v>0</v>
      </c>
      <c r="X592" s="30">
        <f t="shared" si="91"/>
        <v>0</v>
      </c>
      <c r="Y592"/>
      <c r="Z592"/>
      <c r="AA592"/>
    </row>
    <row r="593" spans="1:27" s="51" customFormat="1" ht="18.600000000000001" hidden="1" customHeight="1" x14ac:dyDescent="0.25">
      <c r="A593" s="81" t="s">
        <v>16</v>
      </c>
      <c r="B593" s="31" t="s">
        <v>1324</v>
      </c>
      <c r="C593" s="32" t="s">
        <v>1325</v>
      </c>
      <c r="D593" s="31">
        <v>8435635307828</v>
      </c>
      <c r="E593" s="33" t="s">
        <v>1458</v>
      </c>
      <c r="F593" s="33" t="s">
        <v>1327</v>
      </c>
      <c r="G593" s="33">
        <v>1</v>
      </c>
      <c r="H593" s="84" t="s">
        <v>1459</v>
      </c>
      <c r="I593" s="23" t="s">
        <v>24</v>
      </c>
      <c r="J593" s="34">
        <v>120</v>
      </c>
      <c r="K593" s="35">
        <v>0.25</v>
      </c>
      <c r="L593" s="36">
        <f t="shared" si="86"/>
        <v>30</v>
      </c>
      <c r="M593" s="37">
        <f t="shared" si="87"/>
        <v>90</v>
      </c>
      <c r="N593" s="38">
        <v>0.16</v>
      </c>
      <c r="O593" s="39">
        <f t="shared" si="89"/>
        <v>14.4</v>
      </c>
      <c r="P593" s="40">
        <f t="shared" si="90"/>
        <v>104.4</v>
      </c>
      <c r="Q593" s="23"/>
      <c r="R593" s="56"/>
      <c r="S593" s="57"/>
      <c r="T593" s="58">
        <f t="shared" si="85"/>
        <v>0</v>
      </c>
      <c r="U593" s="36">
        <f t="shared" si="85"/>
        <v>0</v>
      </c>
      <c r="V593" s="59">
        <f t="shared" si="84"/>
        <v>0</v>
      </c>
      <c r="W593" s="39">
        <f t="shared" si="88"/>
        <v>0</v>
      </c>
      <c r="X593" s="40">
        <f t="shared" si="91"/>
        <v>0</v>
      </c>
      <c r="Y593"/>
      <c r="Z593"/>
      <c r="AA593"/>
    </row>
    <row r="594" spans="1:27" s="51" customFormat="1" ht="18.600000000000001" hidden="1" customHeight="1" x14ac:dyDescent="0.25">
      <c r="A594" s="82" t="s">
        <v>16</v>
      </c>
      <c r="B594" s="41" t="s">
        <v>1324</v>
      </c>
      <c r="C594" s="42" t="s">
        <v>1325</v>
      </c>
      <c r="D594" s="41">
        <v>8435635307835</v>
      </c>
      <c r="E594" s="43" t="s">
        <v>1460</v>
      </c>
      <c r="F594" s="43" t="s">
        <v>1327</v>
      </c>
      <c r="G594" s="43">
        <v>1</v>
      </c>
      <c r="H594" s="85" t="s">
        <v>1461</v>
      </c>
      <c r="I594" s="23" t="s">
        <v>24</v>
      </c>
      <c r="J594" s="44">
        <v>120</v>
      </c>
      <c r="K594" s="45">
        <v>0.25</v>
      </c>
      <c r="L594" s="46">
        <f t="shared" si="86"/>
        <v>30</v>
      </c>
      <c r="M594" s="47">
        <f t="shared" si="87"/>
        <v>90</v>
      </c>
      <c r="N594" s="48">
        <v>0.16</v>
      </c>
      <c r="O594" s="49">
        <f t="shared" si="89"/>
        <v>14.4</v>
      </c>
      <c r="P594" s="50">
        <f t="shared" si="90"/>
        <v>104.4</v>
      </c>
      <c r="Q594" s="23"/>
      <c r="R594" s="60"/>
      <c r="S594" s="61"/>
      <c r="T594" s="62">
        <f t="shared" si="85"/>
        <v>0</v>
      </c>
      <c r="U594" s="46">
        <f t="shared" si="85"/>
        <v>0</v>
      </c>
      <c r="V594" s="63">
        <f t="shared" si="84"/>
        <v>0</v>
      </c>
      <c r="W594" s="49">
        <f t="shared" si="88"/>
        <v>0</v>
      </c>
      <c r="X594" s="50">
        <f t="shared" si="91"/>
        <v>0</v>
      </c>
      <c r="Y594"/>
      <c r="Z594"/>
      <c r="AA594"/>
    </row>
    <row r="595" spans="1:27" s="51" customFormat="1" ht="18.600000000000001" hidden="1" customHeight="1" x14ac:dyDescent="0.25">
      <c r="A595" s="80" t="s">
        <v>16</v>
      </c>
      <c r="B595" s="20" t="s">
        <v>1324</v>
      </c>
      <c r="C595" s="21" t="s">
        <v>1325</v>
      </c>
      <c r="D595" s="20">
        <v>8435635307842</v>
      </c>
      <c r="E595" s="22" t="s">
        <v>1462</v>
      </c>
      <c r="F595" s="22" t="s">
        <v>1327</v>
      </c>
      <c r="G595" s="22">
        <v>1</v>
      </c>
      <c r="H595" s="83" t="s">
        <v>1463</v>
      </c>
      <c r="I595" s="23" t="s">
        <v>24</v>
      </c>
      <c r="J595" s="24">
        <v>120</v>
      </c>
      <c r="K595" s="25">
        <v>0.25</v>
      </c>
      <c r="L595" s="26">
        <f t="shared" si="86"/>
        <v>30</v>
      </c>
      <c r="M595" s="27">
        <f t="shared" si="87"/>
        <v>90</v>
      </c>
      <c r="N595" s="28">
        <v>0.16</v>
      </c>
      <c r="O595" s="29">
        <f t="shared" si="89"/>
        <v>14.4</v>
      </c>
      <c r="P595" s="30">
        <f t="shared" si="90"/>
        <v>104.4</v>
      </c>
      <c r="Q595" s="23"/>
      <c r="R595" s="52"/>
      <c r="S595" s="53"/>
      <c r="T595" s="54">
        <f t="shared" si="85"/>
        <v>0</v>
      </c>
      <c r="U595" s="26">
        <f t="shared" si="85"/>
        <v>0</v>
      </c>
      <c r="V595" s="55">
        <f t="shared" si="84"/>
        <v>0</v>
      </c>
      <c r="W595" s="29">
        <f t="shared" si="88"/>
        <v>0</v>
      </c>
      <c r="X595" s="30">
        <f t="shared" si="91"/>
        <v>0</v>
      </c>
      <c r="Y595"/>
      <c r="Z595"/>
      <c r="AA595"/>
    </row>
    <row r="596" spans="1:27" s="51" customFormat="1" ht="18.600000000000001" hidden="1" customHeight="1" x14ac:dyDescent="0.25">
      <c r="A596" s="81" t="s">
        <v>16</v>
      </c>
      <c r="B596" s="31" t="s">
        <v>1324</v>
      </c>
      <c r="C596" s="32" t="s">
        <v>1325</v>
      </c>
      <c r="D596" s="31">
        <v>8435635307859</v>
      </c>
      <c r="E596" s="33" t="s">
        <v>1464</v>
      </c>
      <c r="F596" s="33" t="s">
        <v>1327</v>
      </c>
      <c r="G596" s="33">
        <v>1</v>
      </c>
      <c r="H596" s="84" t="s">
        <v>1465</v>
      </c>
      <c r="I596" s="23" t="s">
        <v>24</v>
      </c>
      <c r="J596" s="34">
        <v>120</v>
      </c>
      <c r="K596" s="35">
        <v>0.25</v>
      </c>
      <c r="L596" s="36">
        <f t="shared" si="86"/>
        <v>30</v>
      </c>
      <c r="M596" s="37">
        <f t="shared" si="87"/>
        <v>90</v>
      </c>
      <c r="N596" s="38">
        <v>0.16</v>
      </c>
      <c r="O596" s="39">
        <f t="shared" si="89"/>
        <v>14.4</v>
      </c>
      <c r="P596" s="40">
        <f t="shared" si="90"/>
        <v>104.4</v>
      </c>
      <c r="Q596" s="23"/>
      <c r="R596" s="56"/>
      <c r="S596" s="57"/>
      <c r="T596" s="58">
        <f t="shared" si="85"/>
        <v>0</v>
      </c>
      <c r="U596" s="36">
        <f t="shared" si="85"/>
        <v>0</v>
      </c>
      <c r="V596" s="59">
        <f t="shared" si="84"/>
        <v>0</v>
      </c>
      <c r="W596" s="39">
        <f t="shared" si="88"/>
        <v>0</v>
      </c>
      <c r="X596" s="40">
        <f t="shared" si="91"/>
        <v>0</v>
      </c>
      <c r="Y596"/>
      <c r="Z596"/>
      <c r="AA596"/>
    </row>
    <row r="597" spans="1:27" s="51" customFormat="1" ht="18.600000000000001" hidden="1" customHeight="1" x14ac:dyDescent="0.25">
      <c r="A597" s="82" t="s">
        <v>16</v>
      </c>
      <c r="B597" s="41" t="s">
        <v>1324</v>
      </c>
      <c r="C597" s="42" t="s">
        <v>1325</v>
      </c>
      <c r="D597" s="41">
        <v>8435635307866</v>
      </c>
      <c r="E597" s="43" t="s">
        <v>1466</v>
      </c>
      <c r="F597" s="43" t="s">
        <v>1327</v>
      </c>
      <c r="G597" s="43">
        <v>1</v>
      </c>
      <c r="H597" s="85" t="s">
        <v>1467</v>
      </c>
      <c r="I597" s="23" t="s">
        <v>24</v>
      </c>
      <c r="J597" s="44">
        <v>120</v>
      </c>
      <c r="K597" s="45">
        <v>0.25</v>
      </c>
      <c r="L597" s="46">
        <f t="shared" si="86"/>
        <v>30</v>
      </c>
      <c r="M597" s="47">
        <f t="shared" si="87"/>
        <v>90</v>
      </c>
      <c r="N597" s="48">
        <v>0.16</v>
      </c>
      <c r="O597" s="49">
        <f t="shared" si="89"/>
        <v>14.4</v>
      </c>
      <c r="P597" s="50">
        <f t="shared" si="90"/>
        <v>104.4</v>
      </c>
      <c r="Q597" s="23"/>
      <c r="R597" s="60"/>
      <c r="S597" s="61"/>
      <c r="T597" s="62">
        <f t="shared" si="85"/>
        <v>0</v>
      </c>
      <c r="U597" s="46">
        <f t="shared" si="85"/>
        <v>0</v>
      </c>
      <c r="V597" s="63">
        <f t="shared" si="84"/>
        <v>0</v>
      </c>
      <c r="W597" s="49">
        <f t="shared" si="88"/>
        <v>0</v>
      </c>
      <c r="X597" s="50">
        <f t="shared" si="91"/>
        <v>0</v>
      </c>
      <c r="Y597"/>
      <c r="Z597"/>
      <c r="AA597"/>
    </row>
    <row r="598" spans="1:27" s="51" customFormat="1" ht="18.600000000000001" hidden="1" customHeight="1" x14ac:dyDescent="0.25">
      <c r="A598" s="80" t="s">
        <v>16</v>
      </c>
      <c r="B598" s="20" t="s">
        <v>1324</v>
      </c>
      <c r="C598" s="21" t="s">
        <v>1325</v>
      </c>
      <c r="D598" s="20">
        <v>8435635307873</v>
      </c>
      <c r="E598" s="22" t="s">
        <v>1468</v>
      </c>
      <c r="F598" s="22" t="s">
        <v>1327</v>
      </c>
      <c r="G598" s="22">
        <v>1</v>
      </c>
      <c r="H598" s="83" t="s">
        <v>1469</v>
      </c>
      <c r="I598" s="23" t="s">
        <v>24</v>
      </c>
      <c r="J598" s="24">
        <v>120</v>
      </c>
      <c r="K598" s="25">
        <v>0.25</v>
      </c>
      <c r="L598" s="26">
        <f t="shared" si="86"/>
        <v>30</v>
      </c>
      <c r="M598" s="27">
        <f t="shared" si="87"/>
        <v>90</v>
      </c>
      <c r="N598" s="28">
        <v>0.16</v>
      </c>
      <c r="O598" s="29">
        <f t="shared" si="89"/>
        <v>14.4</v>
      </c>
      <c r="P598" s="30">
        <f t="shared" si="90"/>
        <v>104.4</v>
      </c>
      <c r="Q598" s="23"/>
      <c r="R598" s="52"/>
      <c r="S598" s="53"/>
      <c r="T598" s="54">
        <f t="shared" si="85"/>
        <v>0</v>
      </c>
      <c r="U598" s="26">
        <f t="shared" si="85"/>
        <v>0</v>
      </c>
      <c r="V598" s="55">
        <f t="shared" si="84"/>
        <v>0</v>
      </c>
      <c r="W598" s="29">
        <f t="shared" si="88"/>
        <v>0</v>
      </c>
      <c r="X598" s="30">
        <f t="shared" si="91"/>
        <v>0</v>
      </c>
      <c r="Y598"/>
      <c r="Z598"/>
      <c r="AA598"/>
    </row>
    <row r="599" spans="1:27" s="51" customFormat="1" ht="18.600000000000001" hidden="1" customHeight="1" x14ac:dyDescent="0.25">
      <c r="A599" s="81" t="s">
        <v>16</v>
      </c>
      <c r="B599" s="31" t="s">
        <v>1324</v>
      </c>
      <c r="C599" s="32" t="s">
        <v>1325</v>
      </c>
      <c r="D599" s="31">
        <v>8435635307880</v>
      </c>
      <c r="E599" s="33" t="s">
        <v>1470</v>
      </c>
      <c r="F599" s="33" t="s">
        <v>1327</v>
      </c>
      <c r="G599" s="33">
        <v>1</v>
      </c>
      <c r="H599" s="84" t="s">
        <v>1471</v>
      </c>
      <c r="I599" s="23" t="s">
        <v>24</v>
      </c>
      <c r="J599" s="34">
        <v>120</v>
      </c>
      <c r="K599" s="35">
        <v>0.25</v>
      </c>
      <c r="L599" s="36">
        <f t="shared" si="86"/>
        <v>30</v>
      </c>
      <c r="M599" s="37">
        <f t="shared" si="87"/>
        <v>90</v>
      </c>
      <c r="N599" s="38">
        <v>0.16</v>
      </c>
      <c r="O599" s="39">
        <f t="shared" si="89"/>
        <v>14.4</v>
      </c>
      <c r="P599" s="40">
        <f t="shared" si="90"/>
        <v>104.4</v>
      </c>
      <c r="Q599" s="23"/>
      <c r="R599" s="56"/>
      <c r="S599" s="57"/>
      <c r="T599" s="58">
        <f t="shared" si="85"/>
        <v>0</v>
      </c>
      <c r="U599" s="36">
        <f t="shared" si="85"/>
        <v>0</v>
      </c>
      <c r="V599" s="59">
        <f t="shared" si="84"/>
        <v>0</v>
      </c>
      <c r="W599" s="39">
        <f t="shared" si="88"/>
        <v>0</v>
      </c>
      <c r="X599" s="40">
        <f t="shared" si="91"/>
        <v>0</v>
      </c>
      <c r="Y599"/>
      <c r="Z599"/>
      <c r="AA599"/>
    </row>
    <row r="600" spans="1:27" s="51" customFormat="1" ht="18.600000000000001" hidden="1" customHeight="1" x14ac:dyDescent="0.25">
      <c r="A600" s="82" t="s">
        <v>16</v>
      </c>
      <c r="B600" s="41" t="s">
        <v>1324</v>
      </c>
      <c r="C600" s="42" t="s">
        <v>1325</v>
      </c>
      <c r="D600" s="41">
        <v>8435635307897</v>
      </c>
      <c r="E600" s="43" t="s">
        <v>1472</v>
      </c>
      <c r="F600" s="43" t="s">
        <v>1327</v>
      </c>
      <c r="G600" s="43">
        <v>1</v>
      </c>
      <c r="H600" s="85" t="s">
        <v>1473</v>
      </c>
      <c r="I600" s="23" t="s">
        <v>24</v>
      </c>
      <c r="J600" s="44">
        <v>120</v>
      </c>
      <c r="K600" s="45">
        <v>0.25</v>
      </c>
      <c r="L600" s="46">
        <f t="shared" si="86"/>
        <v>30</v>
      </c>
      <c r="M600" s="47">
        <f t="shared" si="87"/>
        <v>90</v>
      </c>
      <c r="N600" s="48">
        <v>0.16</v>
      </c>
      <c r="O600" s="49">
        <f t="shared" si="89"/>
        <v>14.4</v>
      </c>
      <c r="P600" s="50">
        <f t="shared" si="90"/>
        <v>104.4</v>
      </c>
      <c r="Q600" s="23"/>
      <c r="R600" s="60"/>
      <c r="S600" s="61"/>
      <c r="T600" s="62">
        <f t="shared" si="85"/>
        <v>0</v>
      </c>
      <c r="U600" s="46">
        <f t="shared" si="85"/>
        <v>0</v>
      </c>
      <c r="V600" s="63">
        <f t="shared" si="84"/>
        <v>0</v>
      </c>
      <c r="W600" s="49">
        <f t="shared" si="88"/>
        <v>0</v>
      </c>
      <c r="X600" s="50">
        <f t="shared" si="91"/>
        <v>0</v>
      </c>
      <c r="Y600"/>
      <c r="Z600"/>
      <c r="AA600"/>
    </row>
    <row r="601" spans="1:27" s="51" customFormat="1" ht="18.600000000000001" hidden="1" customHeight="1" x14ac:dyDescent="0.25">
      <c r="A601" s="80" t="s">
        <v>16</v>
      </c>
      <c r="B601" s="20" t="s">
        <v>1324</v>
      </c>
      <c r="C601" s="21" t="s">
        <v>1325</v>
      </c>
      <c r="D601" s="20">
        <v>8435635307903</v>
      </c>
      <c r="E601" s="22" t="s">
        <v>1474</v>
      </c>
      <c r="F601" s="22" t="s">
        <v>1327</v>
      </c>
      <c r="G601" s="22">
        <v>1</v>
      </c>
      <c r="H601" s="83" t="s">
        <v>1475</v>
      </c>
      <c r="I601" s="23" t="s">
        <v>24</v>
      </c>
      <c r="J601" s="24">
        <v>120</v>
      </c>
      <c r="K601" s="25">
        <v>0.25</v>
      </c>
      <c r="L601" s="26">
        <f t="shared" si="86"/>
        <v>30</v>
      </c>
      <c r="M601" s="27">
        <f t="shared" si="87"/>
        <v>90</v>
      </c>
      <c r="N601" s="28">
        <v>0.16</v>
      </c>
      <c r="O601" s="29">
        <f t="shared" si="89"/>
        <v>14.4</v>
      </c>
      <c r="P601" s="30">
        <f t="shared" si="90"/>
        <v>104.4</v>
      </c>
      <c r="Q601" s="23"/>
      <c r="R601" s="52"/>
      <c r="S601" s="53"/>
      <c r="T601" s="54">
        <f t="shared" si="85"/>
        <v>0</v>
      </c>
      <c r="U601" s="26">
        <f t="shared" si="85"/>
        <v>0</v>
      </c>
      <c r="V601" s="55">
        <f t="shared" si="84"/>
        <v>0</v>
      </c>
      <c r="W601" s="29">
        <f t="shared" si="88"/>
        <v>0</v>
      </c>
      <c r="X601" s="30">
        <f t="shared" si="91"/>
        <v>0</v>
      </c>
      <c r="Y601"/>
      <c r="Z601"/>
      <c r="AA601"/>
    </row>
    <row r="602" spans="1:27" s="51" customFormat="1" ht="18.600000000000001" hidden="1" customHeight="1" x14ac:dyDescent="0.25">
      <c r="A602" s="81" t="s">
        <v>16</v>
      </c>
      <c r="B602" s="31" t="s">
        <v>1324</v>
      </c>
      <c r="C602" s="32" t="s">
        <v>1325</v>
      </c>
      <c r="D602" s="31">
        <v>8435635307910</v>
      </c>
      <c r="E602" s="33" t="s">
        <v>1476</v>
      </c>
      <c r="F602" s="33" t="s">
        <v>1327</v>
      </c>
      <c r="G602" s="33">
        <v>1</v>
      </c>
      <c r="H602" s="84" t="s">
        <v>1477</v>
      </c>
      <c r="I602" s="23" t="s">
        <v>24</v>
      </c>
      <c r="J602" s="34">
        <v>120</v>
      </c>
      <c r="K602" s="35">
        <v>0.25</v>
      </c>
      <c r="L602" s="36">
        <f t="shared" si="86"/>
        <v>30</v>
      </c>
      <c r="M602" s="37">
        <f t="shared" si="87"/>
        <v>90</v>
      </c>
      <c r="N602" s="38">
        <v>0.16</v>
      </c>
      <c r="O602" s="39">
        <f t="shared" si="89"/>
        <v>14.4</v>
      </c>
      <c r="P602" s="40">
        <f t="shared" si="90"/>
        <v>104.4</v>
      </c>
      <c r="Q602" s="23"/>
      <c r="R602" s="56"/>
      <c r="S602" s="57"/>
      <c r="T602" s="58">
        <f t="shared" si="85"/>
        <v>0</v>
      </c>
      <c r="U602" s="36">
        <f t="shared" si="85"/>
        <v>0</v>
      </c>
      <c r="V602" s="59">
        <f t="shared" ref="V602:V665" si="92">+T602-U602</f>
        <v>0</v>
      </c>
      <c r="W602" s="39">
        <f t="shared" si="88"/>
        <v>0</v>
      </c>
      <c r="X602" s="40">
        <f t="shared" si="91"/>
        <v>0</v>
      </c>
      <c r="Y602"/>
      <c r="Z602"/>
      <c r="AA602"/>
    </row>
    <row r="603" spans="1:27" s="51" customFormat="1" ht="18.600000000000001" hidden="1" customHeight="1" x14ac:dyDescent="0.25">
      <c r="A603" s="82" t="s">
        <v>16</v>
      </c>
      <c r="B603" s="41" t="s">
        <v>1324</v>
      </c>
      <c r="C603" s="42" t="s">
        <v>1325</v>
      </c>
      <c r="D603" s="41">
        <v>8435635307927</v>
      </c>
      <c r="E603" s="43" t="s">
        <v>1478</v>
      </c>
      <c r="F603" s="43" t="s">
        <v>1327</v>
      </c>
      <c r="G603" s="43">
        <v>1</v>
      </c>
      <c r="H603" s="85" t="s">
        <v>1479</v>
      </c>
      <c r="I603" s="23" t="s">
        <v>24</v>
      </c>
      <c r="J603" s="44">
        <v>120</v>
      </c>
      <c r="K603" s="45">
        <v>0.25</v>
      </c>
      <c r="L603" s="46">
        <f t="shared" si="86"/>
        <v>30</v>
      </c>
      <c r="M603" s="47">
        <f t="shared" si="87"/>
        <v>90</v>
      </c>
      <c r="N603" s="48">
        <v>0.16</v>
      </c>
      <c r="O603" s="49">
        <f t="shared" si="89"/>
        <v>14.4</v>
      </c>
      <c r="P603" s="50">
        <f t="shared" si="90"/>
        <v>104.4</v>
      </c>
      <c r="Q603" s="23"/>
      <c r="R603" s="60"/>
      <c r="S603" s="61"/>
      <c r="T603" s="62">
        <f t="shared" si="85"/>
        <v>0</v>
      </c>
      <c r="U603" s="46">
        <f t="shared" si="85"/>
        <v>0</v>
      </c>
      <c r="V603" s="63">
        <f t="shared" si="92"/>
        <v>0</v>
      </c>
      <c r="W603" s="49">
        <f t="shared" si="88"/>
        <v>0</v>
      </c>
      <c r="X603" s="50">
        <f t="shared" si="91"/>
        <v>0</v>
      </c>
      <c r="Y603"/>
      <c r="Z603"/>
      <c r="AA603"/>
    </row>
    <row r="604" spans="1:27" s="51" customFormat="1" ht="18.600000000000001" hidden="1" customHeight="1" x14ac:dyDescent="0.25">
      <c r="A604" s="80" t="s">
        <v>16</v>
      </c>
      <c r="B604" s="20" t="s">
        <v>1324</v>
      </c>
      <c r="C604" s="21" t="s">
        <v>1325</v>
      </c>
      <c r="D604" s="20">
        <v>8435635307934</v>
      </c>
      <c r="E604" s="22" t="s">
        <v>1480</v>
      </c>
      <c r="F604" s="22" t="s">
        <v>1327</v>
      </c>
      <c r="G604" s="22">
        <v>1</v>
      </c>
      <c r="H604" s="83" t="s">
        <v>1481</v>
      </c>
      <c r="I604" s="23" t="s">
        <v>24</v>
      </c>
      <c r="J604" s="24">
        <v>120</v>
      </c>
      <c r="K604" s="25">
        <v>0.25</v>
      </c>
      <c r="L604" s="26">
        <f t="shared" si="86"/>
        <v>30</v>
      </c>
      <c r="M604" s="27">
        <f t="shared" si="87"/>
        <v>90</v>
      </c>
      <c r="N604" s="28">
        <v>0.16</v>
      </c>
      <c r="O604" s="29">
        <f t="shared" si="89"/>
        <v>14.4</v>
      </c>
      <c r="P604" s="30">
        <f t="shared" si="90"/>
        <v>104.4</v>
      </c>
      <c r="Q604" s="23"/>
      <c r="R604" s="52"/>
      <c r="S604" s="53"/>
      <c r="T604" s="54">
        <f t="shared" si="85"/>
        <v>0</v>
      </c>
      <c r="U604" s="26">
        <f t="shared" si="85"/>
        <v>0</v>
      </c>
      <c r="V604" s="55">
        <f t="shared" si="92"/>
        <v>0</v>
      </c>
      <c r="W604" s="29">
        <f t="shared" si="88"/>
        <v>0</v>
      </c>
      <c r="X604" s="30">
        <f t="shared" si="91"/>
        <v>0</v>
      </c>
      <c r="Y604"/>
      <c r="Z604"/>
      <c r="AA604"/>
    </row>
    <row r="605" spans="1:27" s="51" customFormat="1" ht="18.600000000000001" hidden="1" customHeight="1" x14ac:dyDescent="0.25">
      <c r="A605" s="81" t="s">
        <v>16</v>
      </c>
      <c r="B605" s="31" t="s">
        <v>1324</v>
      </c>
      <c r="C605" s="32" t="s">
        <v>1325</v>
      </c>
      <c r="D605" s="31">
        <v>8435635307941</v>
      </c>
      <c r="E605" s="33" t="s">
        <v>1482</v>
      </c>
      <c r="F605" s="33" t="s">
        <v>1327</v>
      </c>
      <c r="G605" s="33">
        <v>1</v>
      </c>
      <c r="H605" s="84" t="s">
        <v>1483</v>
      </c>
      <c r="I605" s="23" t="s">
        <v>24</v>
      </c>
      <c r="J605" s="34">
        <v>120</v>
      </c>
      <c r="K605" s="35">
        <v>0.25</v>
      </c>
      <c r="L605" s="36">
        <f t="shared" si="86"/>
        <v>30</v>
      </c>
      <c r="M605" s="37">
        <f t="shared" si="87"/>
        <v>90</v>
      </c>
      <c r="N605" s="38">
        <v>0.16</v>
      </c>
      <c r="O605" s="39">
        <f t="shared" si="89"/>
        <v>14.4</v>
      </c>
      <c r="P605" s="40">
        <f t="shared" si="90"/>
        <v>104.4</v>
      </c>
      <c r="Q605" s="23"/>
      <c r="R605" s="56"/>
      <c r="S605" s="57"/>
      <c r="T605" s="58">
        <f t="shared" si="85"/>
        <v>0</v>
      </c>
      <c r="U605" s="36">
        <f t="shared" si="85"/>
        <v>0</v>
      </c>
      <c r="V605" s="59">
        <f t="shared" si="92"/>
        <v>0</v>
      </c>
      <c r="W605" s="39">
        <f t="shared" si="88"/>
        <v>0</v>
      </c>
      <c r="X605" s="40">
        <f t="shared" si="91"/>
        <v>0</v>
      </c>
      <c r="Y605"/>
      <c r="Z605"/>
      <c r="AA605"/>
    </row>
    <row r="606" spans="1:27" s="51" customFormat="1" ht="18.600000000000001" hidden="1" customHeight="1" x14ac:dyDescent="0.25">
      <c r="A606" s="82" t="s">
        <v>16</v>
      </c>
      <c r="B606" s="41" t="s">
        <v>1324</v>
      </c>
      <c r="C606" s="42" t="s">
        <v>1325</v>
      </c>
      <c r="D606" s="41">
        <v>8435635307958</v>
      </c>
      <c r="E606" s="43" t="s">
        <v>1484</v>
      </c>
      <c r="F606" s="43" t="s">
        <v>1327</v>
      </c>
      <c r="G606" s="43">
        <v>1</v>
      </c>
      <c r="H606" s="85" t="s">
        <v>1485</v>
      </c>
      <c r="I606" s="23" t="s">
        <v>24</v>
      </c>
      <c r="J606" s="44">
        <v>120</v>
      </c>
      <c r="K606" s="45">
        <v>0.25</v>
      </c>
      <c r="L606" s="46">
        <f t="shared" si="86"/>
        <v>30</v>
      </c>
      <c r="M606" s="47">
        <f t="shared" si="87"/>
        <v>90</v>
      </c>
      <c r="N606" s="48">
        <v>0.16</v>
      </c>
      <c r="O606" s="49">
        <f t="shared" si="89"/>
        <v>14.4</v>
      </c>
      <c r="P606" s="50">
        <f t="shared" si="90"/>
        <v>104.4</v>
      </c>
      <c r="Q606" s="23"/>
      <c r="R606" s="60"/>
      <c r="S606" s="61"/>
      <c r="T606" s="62">
        <f t="shared" ref="T606:U653" si="93">+S606*J606</f>
        <v>0</v>
      </c>
      <c r="U606" s="46">
        <f t="shared" si="93"/>
        <v>0</v>
      </c>
      <c r="V606" s="63">
        <f t="shared" si="92"/>
        <v>0</v>
      </c>
      <c r="W606" s="49">
        <f t="shared" si="88"/>
        <v>0</v>
      </c>
      <c r="X606" s="50">
        <f t="shared" si="91"/>
        <v>0</v>
      </c>
      <c r="Y606"/>
      <c r="Z606"/>
      <c r="AA606"/>
    </row>
    <row r="607" spans="1:27" s="51" customFormat="1" ht="18.600000000000001" hidden="1" customHeight="1" x14ac:dyDescent="0.25">
      <c r="A607" s="80" t="s">
        <v>16</v>
      </c>
      <c r="B607" s="20" t="s">
        <v>1324</v>
      </c>
      <c r="C607" s="21" t="s">
        <v>1325</v>
      </c>
      <c r="D607" s="20">
        <v>8435635307965</v>
      </c>
      <c r="E607" s="22" t="s">
        <v>1486</v>
      </c>
      <c r="F607" s="22" t="s">
        <v>1327</v>
      </c>
      <c r="G607" s="22">
        <v>1</v>
      </c>
      <c r="H607" s="83" t="s">
        <v>1487</v>
      </c>
      <c r="I607" s="23" t="s">
        <v>24</v>
      </c>
      <c r="J607" s="24">
        <v>120</v>
      </c>
      <c r="K607" s="25">
        <v>0.25</v>
      </c>
      <c r="L607" s="26">
        <f t="shared" si="86"/>
        <v>30</v>
      </c>
      <c r="M607" s="27">
        <f t="shared" si="87"/>
        <v>90</v>
      </c>
      <c r="N607" s="28">
        <v>0.16</v>
      </c>
      <c r="O607" s="29">
        <f t="shared" si="89"/>
        <v>14.4</v>
      </c>
      <c r="P607" s="30">
        <f t="shared" si="90"/>
        <v>104.4</v>
      </c>
      <c r="Q607" s="23"/>
      <c r="R607" s="52"/>
      <c r="S607" s="53"/>
      <c r="T607" s="54">
        <f t="shared" si="93"/>
        <v>0</v>
      </c>
      <c r="U607" s="26">
        <f t="shared" si="93"/>
        <v>0</v>
      </c>
      <c r="V607" s="55">
        <f t="shared" si="92"/>
        <v>0</v>
      </c>
      <c r="W607" s="29">
        <f t="shared" si="88"/>
        <v>0</v>
      </c>
      <c r="X607" s="30">
        <f t="shared" si="91"/>
        <v>0</v>
      </c>
      <c r="Y607"/>
      <c r="Z607"/>
      <c r="AA607"/>
    </row>
    <row r="608" spans="1:27" s="51" customFormat="1" ht="18.600000000000001" hidden="1" customHeight="1" x14ac:dyDescent="0.25">
      <c r="A608" s="81" t="s">
        <v>16</v>
      </c>
      <c r="B608" s="31" t="s">
        <v>1324</v>
      </c>
      <c r="C608" s="32" t="s">
        <v>1325</v>
      </c>
      <c r="D608" s="31">
        <v>8435635307972</v>
      </c>
      <c r="E608" s="33" t="s">
        <v>1488</v>
      </c>
      <c r="F608" s="33" t="s">
        <v>1327</v>
      </c>
      <c r="G608" s="33">
        <v>1</v>
      </c>
      <c r="H608" s="84" t="s">
        <v>1489</v>
      </c>
      <c r="I608" s="23" t="s">
        <v>24</v>
      </c>
      <c r="J608" s="34">
        <v>120</v>
      </c>
      <c r="K608" s="35">
        <v>0.25</v>
      </c>
      <c r="L608" s="36">
        <f t="shared" si="86"/>
        <v>30</v>
      </c>
      <c r="M608" s="37">
        <f t="shared" si="87"/>
        <v>90</v>
      </c>
      <c r="N608" s="38">
        <v>0.16</v>
      </c>
      <c r="O608" s="39">
        <f t="shared" si="89"/>
        <v>14.4</v>
      </c>
      <c r="P608" s="40">
        <f t="shared" si="90"/>
        <v>104.4</v>
      </c>
      <c r="Q608" s="23"/>
      <c r="R608" s="56"/>
      <c r="S608" s="57"/>
      <c r="T608" s="58">
        <f t="shared" si="93"/>
        <v>0</v>
      </c>
      <c r="U608" s="36">
        <f t="shared" si="93"/>
        <v>0</v>
      </c>
      <c r="V608" s="59">
        <f t="shared" si="92"/>
        <v>0</v>
      </c>
      <c r="W608" s="39">
        <f t="shared" si="88"/>
        <v>0</v>
      </c>
      <c r="X608" s="40">
        <f t="shared" si="91"/>
        <v>0</v>
      </c>
      <c r="Y608"/>
      <c r="Z608"/>
      <c r="AA608"/>
    </row>
    <row r="609" spans="1:27" s="51" customFormat="1" ht="18.600000000000001" hidden="1" customHeight="1" x14ac:dyDescent="0.25">
      <c r="A609" s="82" t="s">
        <v>16</v>
      </c>
      <c r="B609" s="41" t="s">
        <v>1324</v>
      </c>
      <c r="C609" s="42" t="s">
        <v>1325</v>
      </c>
      <c r="D609" s="41">
        <v>8435635307989</v>
      </c>
      <c r="E609" s="43" t="s">
        <v>1490</v>
      </c>
      <c r="F609" s="43" t="s">
        <v>1327</v>
      </c>
      <c r="G609" s="43">
        <v>1</v>
      </c>
      <c r="H609" s="85" t="s">
        <v>1491</v>
      </c>
      <c r="I609" s="23" t="s">
        <v>24</v>
      </c>
      <c r="J609" s="44">
        <v>120</v>
      </c>
      <c r="K609" s="45">
        <v>0.25</v>
      </c>
      <c r="L609" s="46">
        <f t="shared" si="86"/>
        <v>30</v>
      </c>
      <c r="M609" s="47">
        <f t="shared" si="87"/>
        <v>90</v>
      </c>
      <c r="N609" s="48">
        <v>0.16</v>
      </c>
      <c r="O609" s="49">
        <f t="shared" si="89"/>
        <v>14.4</v>
      </c>
      <c r="P609" s="50">
        <f t="shared" si="90"/>
        <v>104.4</v>
      </c>
      <c r="Q609" s="23"/>
      <c r="R609" s="60"/>
      <c r="S609" s="61"/>
      <c r="T609" s="62">
        <f t="shared" si="93"/>
        <v>0</v>
      </c>
      <c r="U609" s="46">
        <f t="shared" si="93"/>
        <v>0</v>
      </c>
      <c r="V609" s="63">
        <f t="shared" si="92"/>
        <v>0</v>
      </c>
      <c r="W609" s="49">
        <f t="shared" si="88"/>
        <v>0</v>
      </c>
      <c r="X609" s="50">
        <f t="shared" si="91"/>
        <v>0</v>
      </c>
      <c r="Y609"/>
      <c r="Z609"/>
      <c r="AA609"/>
    </row>
    <row r="610" spans="1:27" s="51" customFormat="1" ht="18.600000000000001" hidden="1" customHeight="1" x14ac:dyDescent="0.25">
      <c r="A610" s="80" t="s">
        <v>16</v>
      </c>
      <c r="B610" s="20" t="s">
        <v>1324</v>
      </c>
      <c r="C610" s="21" t="s">
        <v>1325</v>
      </c>
      <c r="D610" s="20">
        <v>8435635307996</v>
      </c>
      <c r="E610" s="22" t="s">
        <v>1492</v>
      </c>
      <c r="F610" s="22" t="s">
        <v>1327</v>
      </c>
      <c r="G610" s="22">
        <v>1</v>
      </c>
      <c r="H610" s="83" t="s">
        <v>1493</v>
      </c>
      <c r="I610" s="23" t="s">
        <v>24</v>
      </c>
      <c r="J610" s="24">
        <v>120</v>
      </c>
      <c r="K610" s="25">
        <v>0.25</v>
      </c>
      <c r="L610" s="26">
        <f t="shared" si="86"/>
        <v>30</v>
      </c>
      <c r="M610" s="27">
        <f t="shared" si="87"/>
        <v>90</v>
      </c>
      <c r="N610" s="28">
        <v>0.16</v>
      </c>
      <c r="O610" s="29">
        <f t="shared" si="89"/>
        <v>14.4</v>
      </c>
      <c r="P610" s="30">
        <f t="shared" si="90"/>
        <v>104.4</v>
      </c>
      <c r="Q610" s="23"/>
      <c r="R610" s="52"/>
      <c r="S610" s="53"/>
      <c r="T610" s="54">
        <f t="shared" si="93"/>
        <v>0</v>
      </c>
      <c r="U610" s="26">
        <f t="shared" si="93"/>
        <v>0</v>
      </c>
      <c r="V610" s="55">
        <f t="shared" si="92"/>
        <v>0</v>
      </c>
      <c r="W610" s="29">
        <f t="shared" si="88"/>
        <v>0</v>
      </c>
      <c r="X610" s="30">
        <f t="shared" si="91"/>
        <v>0</v>
      </c>
      <c r="Y610"/>
      <c r="Z610"/>
      <c r="AA610"/>
    </row>
    <row r="611" spans="1:27" s="51" customFormat="1" ht="18.600000000000001" hidden="1" customHeight="1" x14ac:dyDescent="0.25">
      <c r="A611" s="81" t="s">
        <v>16</v>
      </c>
      <c r="B611" s="31" t="s">
        <v>1324</v>
      </c>
      <c r="C611" s="32" t="s">
        <v>1325</v>
      </c>
      <c r="D611" s="31">
        <v>8435635308009</v>
      </c>
      <c r="E611" s="33" t="s">
        <v>1494</v>
      </c>
      <c r="F611" s="33" t="s">
        <v>1327</v>
      </c>
      <c r="G611" s="33">
        <v>1</v>
      </c>
      <c r="H611" s="84" t="s">
        <v>1031</v>
      </c>
      <c r="I611" s="23" t="s">
        <v>24</v>
      </c>
      <c r="J611" s="34">
        <v>120</v>
      </c>
      <c r="K611" s="35">
        <v>0.25</v>
      </c>
      <c r="L611" s="36">
        <f t="shared" si="86"/>
        <v>30</v>
      </c>
      <c r="M611" s="37">
        <f t="shared" si="87"/>
        <v>90</v>
      </c>
      <c r="N611" s="38">
        <v>0.16</v>
      </c>
      <c r="O611" s="39">
        <f t="shared" si="89"/>
        <v>14.4</v>
      </c>
      <c r="P611" s="40">
        <f t="shared" si="90"/>
        <v>104.4</v>
      </c>
      <c r="Q611" s="23"/>
      <c r="R611" s="56"/>
      <c r="S611" s="57"/>
      <c r="T611" s="58">
        <f t="shared" si="93"/>
        <v>0</v>
      </c>
      <c r="U611" s="36">
        <f t="shared" si="93"/>
        <v>0</v>
      </c>
      <c r="V611" s="59">
        <f t="shared" si="92"/>
        <v>0</v>
      </c>
      <c r="W611" s="39">
        <f t="shared" si="88"/>
        <v>0</v>
      </c>
      <c r="X611" s="40">
        <f t="shared" si="91"/>
        <v>0</v>
      </c>
      <c r="Y611"/>
      <c r="Z611"/>
      <c r="AA611"/>
    </row>
    <row r="612" spans="1:27" s="51" customFormat="1" ht="18.600000000000001" hidden="1" customHeight="1" x14ac:dyDescent="0.25">
      <c r="A612" s="82" t="s">
        <v>16</v>
      </c>
      <c r="B612" s="41" t="s">
        <v>1324</v>
      </c>
      <c r="C612" s="42" t="s">
        <v>1325</v>
      </c>
      <c r="D612" s="41">
        <v>8435635308016</v>
      </c>
      <c r="E612" s="43" t="s">
        <v>1495</v>
      </c>
      <c r="F612" s="43" t="s">
        <v>1327</v>
      </c>
      <c r="G612" s="43">
        <v>1</v>
      </c>
      <c r="H612" s="85" t="s">
        <v>1094</v>
      </c>
      <c r="I612" s="23" t="s">
        <v>24</v>
      </c>
      <c r="J612" s="44">
        <v>120</v>
      </c>
      <c r="K612" s="45">
        <v>0.25</v>
      </c>
      <c r="L612" s="46">
        <f t="shared" si="86"/>
        <v>30</v>
      </c>
      <c r="M612" s="47">
        <f t="shared" si="87"/>
        <v>90</v>
      </c>
      <c r="N612" s="48">
        <v>0.16</v>
      </c>
      <c r="O612" s="49">
        <f t="shared" si="89"/>
        <v>14.4</v>
      </c>
      <c r="P612" s="50">
        <f t="shared" si="90"/>
        <v>104.4</v>
      </c>
      <c r="Q612" s="23"/>
      <c r="R612" s="60"/>
      <c r="S612" s="61"/>
      <c r="T612" s="62">
        <f t="shared" si="93"/>
        <v>0</v>
      </c>
      <c r="U612" s="46">
        <f t="shared" si="93"/>
        <v>0</v>
      </c>
      <c r="V612" s="63">
        <f t="shared" si="92"/>
        <v>0</v>
      </c>
      <c r="W612" s="49">
        <f t="shared" si="88"/>
        <v>0</v>
      </c>
      <c r="X612" s="50">
        <f t="shared" si="91"/>
        <v>0</v>
      </c>
      <c r="Y612"/>
      <c r="Z612"/>
      <c r="AA612"/>
    </row>
    <row r="613" spans="1:27" s="51" customFormat="1" ht="18.600000000000001" hidden="1" customHeight="1" x14ac:dyDescent="0.25">
      <c r="A613" s="80" t="s">
        <v>16</v>
      </c>
      <c r="B613" s="20" t="s">
        <v>1324</v>
      </c>
      <c r="C613" s="21" t="s">
        <v>1325</v>
      </c>
      <c r="D613" s="20">
        <v>8435635308023</v>
      </c>
      <c r="E613" s="22" t="s">
        <v>1496</v>
      </c>
      <c r="F613" s="22" t="s">
        <v>1327</v>
      </c>
      <c r="G613" s="22">
        <v>1</v>
      </c>
      <c r="H613" s="83" t="s">
        <v>1497</v>
      </c>
      <c r="I613" s="23" t="s">
        <v>24</v>
      </c>
      <c r="J613" s="24">
        <v>120</v>
      </c>
      <c r="K613" s="25">
        <v>0.25</v>
      </c>
      <c r="L613" s="26">
        <f t="shared" si="86"/>
        <v>30</v>
      </c>
      <c r="M613" s="27">
        <f t="shared" si="87"/>
        <v>90</v>
      </c>
      <c r="N613" s="28">
        <v>0.16</v>
      </c>
      <c r="O613" s="29">
        <f t="shared" si="89"/>
        <v>14.4</v>
      </c>
      <c r="P613" s="30">
        <f t="shared" si="90"/>
        <v>104.4</v>
      </c>
      <c r="Q613" s="23"/>
      <c r="R613" s="52"/>
      <c r="S613" s="53"/>
      <c r="T613" s="54">
        <f t="shared" si="93"/>
        <v>0</v>
      </c>
      <c r="U613" s="26">
        <f t="shared" si="93"/>
        <v>0</v>
      </c>
      <c r="V613" s="55">
        <f t="shared" si="92"/>
        <v>0</v>
      </c>
      <c r="W613" s="29">
        <f t="shared" si="88"/>
        <v>0</v>
      </c>
      <c r="X613" s="30">
        <f t="shared" si="91"/>
        <v>0</v>
      </c>
      <c r="Y613"/>
      <c r="Z613"/>
      <c r="AA613"/>
    </row>
    <row r="614" spans="1:27" s="51" customFormat="1" ht="18.600000000000001" hidden="1" customHeight="1" x14ac:dyDescent="0.25">
      <c r="A614" s="81" t="s">
        <v>16</v>
      </c>
      <c r="B614" s="31" t="s">
        <v>1324</v>
      </c>
      <c r="C614" s="32" t="s">
        <v>1325</v>
      </c>
      <c r="D614" s="31">
        <v>8435635308030</v>
      </c>
      <c r="E614" s="33" t="s">
        <v>1498</v>
      </c>
      <c r="F614" s="33" t="s">
        <v>1327</v>
      </c>
      <c r="G614" s="33">
        <v>1</v>
      </c>
      <c r="H614" s="84" t="s">
        <v>1090</v>
      </c>
      <c r="I614" s="23" t="s">
        <v>24</v>
      </c>
      <c r="J614" s="34">
        <v>120</v>
      </c>
      <c r="K614" s="35">
        <v>0.25</v>
      </c>
      <c r="L614" s="36">
        <f t="shared" si="86"/>
        <v>30</v>
      </c>
      <c r="M614" s="37">
        <f t="shared" si="87"/>
        <v>90</v>
      </c>
      <c r="N614" s="38">
        <v>0.16</v>
      </c>
      <c r="O614" s="39">
        <f t="shared" si="89"/>
        <v>14.4</v>
      </c>
      <c r="P614" s="40">
        <f t="shared" si="90"/>
        <v>104.4</v>
      </c>
      <c r="Q614" s="23"/>
      <c r="R614" s="56"/>
      <c r="S614" s="57"/>
      <c r="T614" s="58">
        <f t="shared" si="93"/>
        <v>0</v>
      </c>
      <c r="U614" s="36">
        <f t="shared" si="93"/>
        <v>0</v>
      </c>
      <c r="V614" s="59">
        <f t="shared" si="92"/>
        <v>0</v>
      </c>
      <c r="W614" s="39">
        <f t="shared" si="88"/>
        <v>0</v>
      </c>
      <c r="X614" s="40">
        <f t="shared" si="91"/>
        <v>0</v>
      </c>
      <c r="Y614"/>
      <c r="Z614"/>
      <c r="AA614"/>
    </row>
    <row r="615" spans="1:27" s="51" customFormat="1" ht="18.600000000000001" hidden="1" customHeight="1" x14ac:dyDescent="0.25">
      <c r="A615" s="82" t="s">
        <v>16</v>
      </c>
      <c r="B615" s="41" t="s">
        <v>1324</v>
      </c>
      <c r="C615" s="42" t="s">
        <v>1325</v>
      </c>
      <c r="D615" s="41">
        <v>8435635308047</v>
      </c>
      <c r="E615" s="43" t="s">
        <v>1499</v>
      </c>
      <c r="F615" s="43" t="s">
        <v>1327</v>
      </c>
      <c r="G615" s="43">
        <v>1</v>
      </c>
      <c r="H615" s="85" t="s">
        <v>1500</v>
      </c>
      <c r="I615" s="23" t="s">
        <v>24</v>
      </c>
      <c r="J615" s="44">
        <v>120</v>
      </c>
      <c r="K615" s="45">
        <v>0.25</v>
      </c>
      <c r="L615" s="46">
        <f t="shared" si="86"/>
        <v>30</v>
      </c>
      <c r="M615" s="47">
        <f t="shared" si="87"/>
        <v>90</v>
      </c>
      <c r="N615" s="48">
        <v>0.16</v>
      </c>
      <c r="O615" s="49">
        <f t="shared" si="89"/>
        <v>14.4</v>
      </c>
      <c r="P615" s="50">
        <f t="shared" si="90"/>
        <v>104.4</v>
      </c>
      <c r="Q615" s="23"/>
      <c r="R615" s="60"/>
      <c r="S615" s="61"/>
      <c r="T615" s="62">
        <f t="shared" si="93"/>
        <v>0</v>
      </c>
      <c r="U615" s="46">
        <f t="shared" si="93"/>
        <v>0</v>
      </c>
      <c r="V615" s="63">
        <f t="shared" si="92"/>
        <v>0</v>
      </c>
      <c r="W615" s="49">
        <f t="shared" si="88"/>
        <v>0</v>
      </c>
      <c r="X615" s="50">
        <f t="shared" si="91"/>
        <v>0</v>
      </c>
      <c r="Y615"/>
      <c r="Z615"/>
      <c r="AA615"/>
    </row>
    <row r="616" spans="1:27" s="51" customFormat="1" ht="18.600000000000001" hidden="1" customHeight="1" x14ac:dyDescent="0.25">
      <c r="A616" s="80" t="s">
        <v>16</v>
      </c>
      <c r="B616" s="20" t="s">
        <v>1324</v>
      </c>
      <c r="C616" s="21" t="s">
        <v>1325</v>
      </c>
      <c r="D616" s="20">
        <v>8435635308054</v>
      </c>
      <c r="E616" s="22" t="s">
        <v>1501</v>
      </c>
      <c r="F616" s="22" t="s">
        <v>1327</v>
      </c>
      <c r="G616" s="22">
        <v>1</v>
      </c>
      <c r="H616" s="83" t="s">
        <v>1502</v>
      </c>
      <c r="I616" s="23" t="s">
        <v>24</v>
      </c>
      <c r="J616" s="24">
        <v>120</v>
      </c>
      <c r="K616" s="25">
        <v>0.25</v>
      </c>
      <c r="L616" s="26">
        <f t="shared" si="86"/>
        <v>30</v>
      </c>
      <c r="M616" s="27">
        <f t="shared" si="87"/>
        <v>90</v>
      </c>
      <c r="N616" s="28">
        <v>0.16</v>
      </c>
      <c r="O616" s="29">
        <f t="shared" si="89"/>
        <v>14.4</v>
      </c>
      <c r="P616" s="30">
        <f t="shared" si="90"/>
        <v>104.4</v>
      </c>
      <c r="Q616" s="23"/>
      <c r="R616" s="52"/>
      <c r="S616" s="53"/>
      <c r="T616" s="54">
        <f t="shared" si="93"/>
        <v>0</v>
      </c>
      <c r="U616" s="26">
        <f t="shared" si="93"/>
        <v>0</v>
      </c>
      <c r="V616" s="55">
        <f t="shared" si="92"/>
        <v>0</v>
      </c>
      <c r="W616" s="29">
        <f t="shared" si="88"/>
        <v>0</v>
      </c>
      <c r="X616" s="30">
        <f t="shared" si="91"/>
        <v>0</v>
      </c>
      <c r="Y616"/>
      <c r="Z616"/>
      <c r="AA616"/>
    </row>
    <row r="617" spans="1:27" s="51" customFormat="1" ht="18.600000000000001" hidden="1" customHeight="1" x14ac:dyDescent="0.25">
      <c r="A617" s="81" t="s">
        <v>16</v>
      </c>
      <c r="B617" s="31" t="s">
        <v>1324</v>
      </c>
      <c r="C617" s="32" t="s">
        <v>1325</v>
      </c>
      <c r="D617" s="31">
        <v>8435635308061</v>
      </c>
      <c r="E617" s="33" t="s">
        <v>1503</v>
      </c>
      <c r="F617" s="33" t="s">
        <v>1327</v>
      </c>
      <c r="G617" s="33">
        <v>1</v>
      </c>
      <c r="H617" s="84" t="s">
        <v>1504</v>
      </c>
      <c r="I617" s="23" t="s">
        <v>24</v>
      </c>
      <c r="J617" s="34">
        <v>120</v>
      </c>
      <c r="K617" s="35">
        <v>0.25</v>
      </c>
      <c r="L617" s="36">
        <f t="shared" si="86"/>
        <v>30</v>
      </c>
      <c r="M617" s="37">
        <f t="shared" si="87"/>
        <v>90</v>
      </c>
      <c r="N617" s="38">
        <v>0.16</v>
      </c>
      <c r="O617" s="39">
        <f t="shared" si="89"/>
        <v>14.4</v>
      </c>
      <c r="P617" s="40">
        <f t="shared" si="90"/>
        <v>104.4</v>
      </c>
      <c r="Q617" s="23"/>
      <c r="R617" s="56"/>
      <c r="S617" s="57"/>
      <c r="T617" s="58">
        <f t="shared" si="93"/>
        <v>0</v>
      </c>
      <c r="U617" s="36">
        <f t="shared" si="93"/>
        <v>0</v>
      </c>
      <c r="V617" s="59">
        <f t="shared" si="92"/>
        <v>0</v>
      </c>
      <c r="W617" s="39">
        <f t="shared" si="88"/>
        <v>0</v>
      </c>
      <c r="X617" s="40">
        <f t="shared" si="91"/>
        <v>0</v>
      </c>
      <c r="Y617"/>
      <c r="Z617"/>
      <c r="AA617"/>
    </row>
    <row r="618" spans="1:27" s="51" customFormat="1" ht="18.600000000000001" hidden="1" customHeight="1" x14ac:dyDescent="0.25">
      <c r="A618" s="82" t="s">
        <v>16</v>
      </c>
      <c r="B618" s="41" t="s">
        <v>1324</v>
      </c>
      <c r="C618" s="42" t="s">
        <v>1325</v>
      </c>
      <c r="D618" s="41">
        <v>8435635308078</v>
      </c>
      <c r="E618" s="43" t="s">
        <v>1505</v>
      </c>
      <c r="F618" s="43" t="s">
        <v>1327</v>
      </c>
      <c r="G618" s="43">
        <v>1</v>
      </c>
      <c r="H618" s="85" t="s">
        <v>1088</v>
      </c>
      <c r="I618" s="23" t="s">
        <v>24</v>
      </c>
      <c r="J618" s="44">
        <v>120</v>
      </c>
      <c r="K618" s="45">
        <v>0.25</v>
      </c>
      <c r="L618" s="46">
        <f t="shared" si="86"/>
        <v>30</v>
      </c>
      <c r="M618" s="47">
        <f t="shared" si="87"/>
        <v>90</v>
      </c>
      <c r="N618" s="48">
        <v>0.16</v>
      </c>
      <c r="O618" s="49">
        <f t="shared" si="89"/>
        <v>14.4</v>
      </c>
      <c r="P618" s="50">
        <f t="shared" si="90"/>
        <v>104.4</v>
      </c>
      <c r="Q618" s="23"/>
      <c r="R618" s="60"/>
      <c r="S618" s="61"/>
      <c r="T618" s="62">
        <f t="shared" si="93"/>
        <v>0</v>
      </c>
      <c r="U618" s="46">
        <f t="shared" si="93"/>
        <v>0</v>
      </c>
      <c r="V618" s="63">
        <f t="shared" si="92"/>
        <v>0</v>
      </c>
      <c r="W618" s="49">
        <f t="shared" si="88"/>
        <v>0</v>
      </c>
      <c r="X618" s="50">
        <f t="shared" si="91"/>
        <v>0</v>
      </c>
      <c r="Y618"/>
      <c r="Z618"/>
      <c r="AA618"/>
    </row>
    <row r="619" spans="1:27" s="51" customFormat="1" ht="18.600000000000001" hidden="1" customHeight="1" x14ac:dyDescent="0.25">
      <c r="A619" s="80" t="s">
        <v>16</v>
      </c>
      <c r="B619" s="20" t="s">
        <v>1324</v>
      </c>
      <c r="C619" s="21" t="s">
        <v>1325</v>
      </c>
      <c r="D619" s="20">
        <v>8435635308085</v>
      </c>
      <c r="E619" s="22" t="s">
        <v>1506</v>
      </c>
      <c r="F619" s="22" t="s">
        <v>1327</v>
      </c>
      <c r="G619" s="22">
        <v>1</v>
      </c>
      <c r="H619" s="83" t="s">
        <v>1507</v>
      </c>
      <c r="I619" s="23" t="s">
        <v>24</v>
      </c>
      <c r="J619" s="24">
        <v>120</v>
      </c>
      <c r="K619" s="25">
        <v>0.25</v>
      </c>
      <c r="L619" s="26">
        <f t="shared" si="86"/>
        <v>30</v>
      </c>
      <c r="M619" s="27">
        <f t="shared" si="87"/>
        <v>90</v>
      </c>
      <c r="N619" s="28">
        <v>0.16</v>
      </c>
      <c r="O619" s="29">
        <f t="shared" si="89"/>
        <v>14.4</v>
      </c>
      <c r="P619" s="30">
        <f t="shared" si="90"/>
        <v>104.4</v>
      </c>
      <c r="Q619" s="23"/>
      <c r="R619" s="52"/>
      <c r="S619" s="53"/>
      <c r="T619" s="54">
        <f t="shared" si="93"/>
        <v>0</v>
      </c>
      <c r="U619" s="26">
        <f t="shared" si="93"/>
        <v>0</v>
      </c>
      <c r="V619" s="55">
        <f t="shared" si="92"/>
        <v>0</v>
      </c>
      <c r="W619" s="29">
        <f t="shared" si="88"/>
        <v>0</v>
      </c>
      <c r="X619" s="30">
        <f t="shared" si="91"/>
        <v>0</v>
      </c>
      <c r="Y619"/>
      <c r="Z619"/>
      <c r="AA619"/>
    </row>
    <row r="620" spans="1:27" s="51" customFormat="1" ht="18.600000000000001" hidden="1" customHeight="1" x14ac:dyDescent="0.25">
      <c r="A620" s="81" t="s">
        <v>16</v>
      </c>
      <c r="B620" s="31" t="s">
        <v>1324</v>
      </c>
      <c r="C620" s="32" t="s">
        <v>1325</v>
      </c>
      <c r="D620" s="31">
        <v>8435635308092</v>
      </c>
      <c r="E620" s="33" t="s">
        <v>1508</v>
      </c>
      <c r="F620" s="33" t="s">
        <v>1327</v>
      </c>
      <c r="G620" s="33">
        <v>1</v>
      </c>
      <c r="H620" s="84" t="s">
        <v>1509</v>
      </c>
      <c r="I620" s="23" t="s">
        <v>24</v>
      </c>
      <c r="J620" s="34">
        <v>120</v>
      </c>
      <c r="K620" s="35">
        <v>0.25</v>
      </c>
      <c r="L620" s="36">
        <f t="shared" si="86"/>
        <v>30</v>
      </c>
      <c r="M620" s="37">
        <f t="shared" si="87"/>
        <v>90</v>
      </c>
      <c r="N620" s="38">
        <v>0.16</v>
      </c>
      <c r="O620" s="39">
        <f t="shared" si="89"/>
        <v>14.4</v>
      </c>
      <c r="P620" s="40">
        <f t="shared" si="90"/>
        <v>104.4</v>
      </c>
      <c r="Q620" s="23"/>
      <c r="R620" s="56"/>
      <c r="S620" s="57"/>
      <c r="T620" s="58">
        <f t="shared" si="93"/>
        <v>0</v>
      </c>
      <c r="U620" s="36">
        <f t="shared" si="93"/>
        <v>0</v>
      </c>
      <c r="V620" s="59">
        <f t="shared" si="92"/>
        <v>0</v>
      </c>
      <c r="W620" s="39">
        <f t="shared" si="88"/>
        <v>0</v>
      </c>
      <c r="X620" s="40">
        <f t="shared" si="91"/>
        <v>0</v>
      </c>
      <c r="Y620"/>
      <c r="Z620"/>
      <c r="AA620"/>
    </row>
    <row r="621" spans="1:27" s="51" customFormat="1" ht="18.600000000000001" hidden="1" customHeight="1" x14ac:dyDescent="0.25">
      <c r="A621" s="82" t="s">
        <v>16</v>
      </c>
      <c r="B621" s="41" t="s">
        <v>1324</v>
      </c>
      <c r="C621" s="42" t="s">
        <v>1325</v>
      </c>
      <c r="D621" s="41">
        <v>8435635308108</v>
      </c>
      <c r="E621" s="43" t="s">
        <v>1510</v>
      </c>
      <c r="F621" s="43" t="s">
        <v>1327</v>
      </c>
      <c r="G621" s="43">
        <v>1</v>
      </c>
      <c r="H621" s="85" t="s">
        <v>1511</v>
      </c>
      <c r="I621" s="23" t="s">
        <v>24</v>
      </c>
      <c r="J621" s="44">
        <v>120</v>
      </c>
      <c r="K621" s="45">
        <v>0.25</v>
      </c>
      <c r="L621" s="46">
        <f t="shared" si="86"/>
        <v>30</v>
      </c>
      <c r="M621" s="47">
        <f t="shared" si="87"/>
        <v>90</v>
      </c>
      <c r="N621" s="48">
        <v>0.16</v>
      </c>
      <c r="O621" s="49">
        <f t="shared" si="89"/>
        <v>14.4</v>
      </c>
      <c r="P621" s="50">
        <f t="shared" si="90"/>
        <v>104.4</v>
      </c>
      <c r="Q621" s="23"/>
      <c r="R621" s="60"/>
      <c r="S621" s="61"/>
      <c r="T621" s="62">
        <f t="shared" si="93"/>
        <v>0</v>
      </c>
      <c r="U621" s="46">
        <f t="shared" si="93"/>
        <v>0</v>
      </c>
      <c r="V621" s="63">
        <f t="shared" si="92"/>
        <v>0</v>
      </c>
      <c r="W621" s="49">
        <f t="shared" si="88"/>
        <v>0</v>
      </c>
      <c r="X621" s="50">
        <f t="shared" si="91"/>
        <v>0</v>
      </c>
      <c r="Y621"/>
      <c r="Z621"/>
      <c r="AA621"/>
    </row>
    <row r="622" spans="1:27" s="51" customFormat="1" ht="18.600000000000001" hidden="1" customHeight="1" x14ac:dyDescent="0.25">
      <c r="A622" s="80" t="s">
        <v>16</v>
      </c>
      <c r="B622" s="20" t="s">
        <v>1324</v>
      </c>
      <c r="C622" s="21" t="s">
        <v>1325</v>
      </c>
      <c r="D622" s="20">
        <v>8435635308115</v>
      </c>
      <c r="E622" s="22" t="s">
        <v>1512</v>
      </c>
      <c r="F622" s="22" t="s">
        <v>1327</v>
      </c>
      <c r="G622" s="22">
        <v>1</v>
      </c>
      <c r="H622" s="83" t="s">
        <v>1513</v>
      </c>
      <c r="I622" s="23" t="s">
        <v>24</v>
      </c>
      <c r="J622" s="24">
        <v>120</v>
      </c>
      <c r="K622" s="25">
        <v>0.25</v>
      </c>
      <c r="L622" s="26">
        <f t="shared" si="86"/>
        <v>30</v>
      </c>
      <c r="M622" s="27">
        <f t="shared" si="87"/>
        <v>90</v>
      </c>
      <c r="N622" s="28">
        <v>0.16</v>
      </c>
      <c r="O622" s="29">
        <f t="shared" si="89"/>
        <v>14.4</v>
      </c>
      <c r="P622" s="30">
        <f t="shared" si="90"/>
        <v>104.4</v>
      </c>
      <c r="Q622" s="23"/>
      <c r="R622" s="52"/>
      <c r="S622" s="53"/>
      <c r="T622" s="54">
        <f t="shared" si="93"/>
        <v>0</v>
      </c>
      <c r="U622" s="26">
        <f t="shared" si="93"/>
        <v>0</v>
      </c>
      <c r="V622" s="55">
        <f t="shared" si="92"/>
        <v>0</v>
      </c>
      <c r="W622" s="29">
        <f t="shared" si="88"/>
        <v>0</v>
      </c>
      <c r="X622" s="30">
        <f t="shared" si="91"/>
        <v>0</v>
      </c>
      <c r="Y622"/>
      <c r="Z622"/>
      <c r="AA622"/>
    </row>
    <row r="623" spans="1:27" s="51" customFormat="1" ht="18.600000000000001" hidden="1" customHeight="1" x14ac:dyDescent="0.25">
      <c r="A623" s="81" t="s">
        <v>16</v>
      </c>
      <c r="B623" s="31" t="s">
        <v>1324</v>
      </c>
      <c r="C623" s="32" t="s">
        <v>1325</v>
      </c>
      <c r="D623" s="31">
        <v>8435635308122</v>
      </c>
      <c r="E623" s="33" t="s">
        <v>1514</v>
      </c>
      <c r="F623" s="33" t="s">
        <v>1327</v>
      </c>
      <c r="G623" s="33">
        <v>1</v>
      </c>
      <c r="H623" s="84" t="s">
        <v>1515</v>
      </c>
      <c r="I623" s="23" t="s">
        <v>24</v>
      </c>
      <c r="J623" s="34">
        <v>120</v>
      </c>
      <c r="K623" s="35">
        <v>0.25</v>
      </c>
      <c r="L623" s="36">
        <f t="shared" si="86"/>
        <v>30</v>
      </c>
      <c r="M623" s="37">
        <f t="shared" si="87"/>
        <v>90</v>
      </c>
      <c r="N623" s="38">
        <v>0.16</v>
      </c>
      <c r="O623" s="39">
        <f t="shared" si="89"/>
        <v>14.4</v>
      </c>
      <c r="P623" s="40">
        <f t="shared" si="90"/>
        <v>104.4</v>
      </c>
      <c r="Q623" s="23"/>
      <c r="R623" s="56"/>
      <c r="S623" s="57"/>
      <c r="T623" s="58">
        <f t="shared" si="93"/>
        <v>0</v>
      </c>
      <c r="U623" s="36">
        <f t="shared" si="93"/>
        <v>0</v>
      </c>
      <c r="V623" s="59">
        <f t="shared" si="92"/>
        <v>0</v>
      </c>
      <c r="W623" s="39">
        <f t="shared" si="88"/>
        <v>0</v>
      </c>
      <c r="X623" s="40">
        <f t="shared" si="91"/>
        <v>0</v>
      </c>
      <c r="Y623"/>
      <c r="Z623"/>
      <c r="AA623"/>
    </row>
    <row r="624" spans="1:27" s="51" customFormat="1" ht="18.600000000000001" hidden="1" customHeight="1" x14ac:dyDescent="0.25">
      <c r="A624" s="82" t="s">
        <v>16</v>
      </c>
      <c r="B624" s="41" t="s">
        <v>1324</v>
      </c>
      <c r="C624" s="42" t="s">
        <v>1325</v>
      </c>
      <c r="D624" s="41">
        <v>8435635308139</v>
      </c>
      <c r="E624" s="43" t="s">
        <v>1516</v>
      </c>
      <c r="F624" s="43" t="s">
        <v>1327</v>
      </c>
      <c r="G624" s="43">
        <v>1</v>
      </c>
      <c r="H624" s="85" t="s">
        <v>1517</v>
      </c>
      <c r="I624" s="23" t="s">
        <v>24</v>
      </c>
      <c r="J624" s="44">
        <v>120</v>
      </c>
      <c r="K624" s="45">
        <v>0.25</v>
      </c>
      <c r="L624" s="46">
        <f t="shared" si="86"/>
        <v>30</v>
      </c>
      <c r="M624" s="47">
        <f t="shared" si="87"/>
        <v>90</v>
      </c>
      <c r="N624" s="48">
        <v>0.16</v>
      </c>
      <c r="O624" s="49">
        <f t="shared" si="89"/>
        <v>14.4</v>
      </c>
      <c r="P624" s="50">
        <f t="shared" si="90"/>
        <v>104.4</v>
      </c>
      <c r="Q624" s="23"/>
      <c r="R624" s="60"/>
      <c r="S624" s="61"/>
      <c r="T624" s="62">
        <f t="shared" si="93"/>
        <v>0</v>
      </c>
      <c r="U624" s="46">
        <f t="shared" si="93"/>
        <v>0</v>
      </c>
      <c r="V624" s="63">
        <f t="shared" si="92"/>
        <v>0</v>
      </c>
      <c r="W624" s="49">
        <f t="shared" si="88"/>
        <v>0</v>
      </c>
      <c r="X624" s="50">
        <f t="shared" si="91"/>
        <v>0</v>
      </c>
      <c r="Y624"/>
      <c r="Z624"/>
      <c r="AA624"/>
    </row>
    <row r="625" spans="1:27" s="51" customFormat="1" ht="18.600000000000001" hidden="1" customHeight="1" x14ac:dyDescent="0.25">
      <c r="A625" s="80" t="s">
        <v>16</v>
      </c>
      <c r="B625" s="20" t="s">
        <v>1324</v>
      </c>
      <c r="C625" s="21" t="s">
        <v>1325</v>
      </c>
      <c r="D625" s="20">
        <v>8435635308146</v>
      </c>
      <c r="E625" s="22" t="s">
        <v>1518</v>
      </c>
      <c r="F625" s="22" t="s">
        <v>1327</v>
      </c>
      <c r="G625" s="22">
        <v>1</v>
      </c>
      <c r="H625" s="83" t="s">
        <v>1519</v>
      </c>
      <c r="I625" s="23" t="s">
        <v>24</v>
      </c>
      <c r="J625" s="24">
        <v>120</v>
      </c>
      <c r="K625" s="25">
        <v>0.25</v>
      </c>
      <c r="L625" s="26">
        <f t="shared" si="86"/>
        <v>30</v>
      </c>
      <c r="M625" s="27">
        <f t="shared" si="87"/>
        <v>90</v>
      </c>
      <c r="N625" s="28">
        <v>0.16</v>
      </c>
      <c r="O625" s="29">
        <f t="shared" si="89"/>
        <v>14.4</v>
      </c>
      <c r="P625" s="30">
        <f t="shared" si="90"/>
        <v>104.4</v>
      </c>
      <c r="Q625" s="23"/>
      <c r="R625" s="52"/>
      <c r="S625" s="53"/>
      <c r="T625" s="54">
        <f t="shared" si="93"/>
        <v>0</v>
      </c>
      <c r="U625" s="26">
        <f t="shared" si="93"/>
        <v>0</v>
      </c>
      <c r="V625" s="55">
        <f t="shared" si="92"/>
        <v>0</v>
      </c>
      <c r="W625" s="29">
        <f t="shared" si="88"/>
        <v>0</v>
      </c>
      <c r="X625" s="30">
        <f t="shared" si="91"/>
        <v>0</v>
      </c>
      <c r="Y625"/>
      <c r="Z625"/>
      <c r="AA625"/>
    </row>
    <row r="626" spans="1:27" s="51" customFormat="1" ht="18.600000000000001" hidden="1" customHeight="1" x14ac:dyDescent="0.25">
      <c r="A626" s="81" t="s">
        <v>16</v>
      </c>
      <c r="B626" s="31" t="s">
        <v>1324</v>
      </c>
      <c r="C626" s="32" t="s">
        <v>1325</v>
      </c>
      <c r="D626" s="31">
        <v>8435635308153</v>
      </c>
      <c r="E626" s="33" t="s">
        <v>1520</v>
      </c>
      <c r="F626" s="33" t="s">
        <v>1327</v>
      </c>
      <c r="G626" s="33">
        <v>1</v>
      </c>
      <c r="H626" s="84" t="s">
        <v>1521</v>
      </c>
      <c r="I626" s="23" t="s">
        <v>24</v>
      </c>
      <c r="J626" s="34">
        <v>120</v>
      </c>
      <c r="K626" s="35">
        <v>0.25</v>
      </c>
      <c r="L626" s="36">
        <f t="shared" si="86"/>
        <v>30</v>
      </c>
      <c r="M626" s="37">
        <f t="shared" si="87"/>
        <v>90</v>
      </c>
      <c r="N626" s="38">
        <v>0.16</v>
      </c>
      <c r="O626" s="39">
        <f t="shared" si="89"/>
        <v>14.4</v>
      </c>
      <c r="P626" s="40">
        <f t="shared" si="90"/>
        <v>104.4</v>
      </c>
      <c r="Q626" s="23"/>
      <c r="R626" s="56"/>
      <c r="S626" s="57"/>
      <c r="T626" s="58">
        <f t="shared" si="93"/>
        <v>0</v>
      </c>
      <c r="U626" s="36">
        <f t="shared" si="93"/>
        <v>0</v>
      </c>
      <c r="V626" s="59">
        <f t="shared" si="92"/>
        <v>0</v>
      </c>
      <c r="W626" s="39">
        <f t="shared" si="88"/>
        <v>0</v>
      </c>
      <c r="X626" s="40">
        <f t="shared" si="91"/>
        <v>0</v>
      </c>
      <c r="Y626"/>
      <c r="Z626"/>
      <c r="AA626"/>
    </row>
    <row r="627" spans="1:27" s="51" customFormat="1" ht="18.600000000000001" hidden="1" customHeight="1" x14ac:dyDescent="0.25">
      <c r="A627" s="82" t="s">
        <v>16</v>
      </c>
      <c r="B627" s="41" t="s">
        <v>1324</v>
      </c>
      <c r="C627" s="42" t="s">
        <v>1325</v>
      </c>
      <c r="D627" s="41">
        <v>8435635308160</v>
      </c>
      <c r="E627" s="43" t="s">
        <v>1522</v>
      </c>
      <c r="F627" s="43" t="s">
        <v>1327</v>
      </c>
      <c r="G627" s="43">
        <v>1</v>
      </c>
      <c r="H627" s="85" t="s">
        <v>1523</v>
      </c>
      <c r="I627" s="23" t="s">
        <v>24</v>
      </c>
      <c r="J627" s="44">
        <v>120</v>
      </c>
      <c r="K627" s="45">
        <v>0.25</v>
      </c>
      <c r="L627" s="46">
        <f t="shared" si="86"/>
        <v>30</v>
      </c>
      <c r="M627" s="47">
        <f t="shared" si="87"/>
        <v>90</v>
      </c>
      <c r="N627" s="48">
        <v>0.16</v>
      </c>
      <c r="O627" s="49">
        <f t="shared" si="89"/>
        <v>14.4</v>
      </c>
      <c r="P627" s="50">
        <f t="shared" si="90"/>
        <v>104.4</v>
      </c>
      <c r="Q627" s="23"/>
      <c r="R627" s="60"/>
      <c r="S627" s="61"/>
      <c r="T627" s="62">
        <f t="shared" si="93"/>
        <v>0</v>
      </c>
      <c r="U627" s="46">
        <f t="shared" si="93"/>
        <v>0</v>
      </c>
      <c r="V627" s="63">
        <f t="shared" si="92"/>
        <v>0</v>
      </c>
      <c r="W627" s="49">
        <f t="shared" si="88"/>
        <v>0</v>
      </c>
      <c r="X627" s="50">
        <f t="shared" si="91"/>
        <v>0</v>
      </c>
      <c r="Y627"/>
      <c r="Z627"/>
      <c r="AA627"/>
    </row>
    <row r="628" spans="1:27" s="51" customFormat="1" ht="18.600000000000001" hidden="1" customHeight="1" x14ac:dyDescent="0.25">
      <c r="A628" s="80" t="s">
        <v>16</v>
      </c>
      <c r="B628" s="20" t="s">
        <v>1324</v>
      </c>
      <c r="C628" s="21" t="s">
        <v>1325</v>
      </c>
      <c r="D628" s="20">
        <v>8435635308177</v>
      </c>
      <c r="E628" s="22" t="s">
        <v>1524</v>
      </c>
      <c r="F628" s="22" t="s">
        <v>1327</v>
      </c>
      <c r="G628" s="22">
        <v>1</v>
      </c>
      <c r="H628" s="83" t="s">
        <v>1525</v>
      </c>
      <c r="I628" s="23" t="s">
        <v>24</v>
      </c>
      <c r="J628" s="24">
        <v>120</v>
      </c>
      <c r="K628" s="25">
        <v>0.25</v>
      </c>
      <c r="L628" s="26">
        <f t="shared" si="86"/>
        <v>30</v>
      </c>
      <c r="M628" s="27">
        <f t="shared" si="87"/>
        <v>90</v>
      </c>
      <c r="N628" s="28">
        <v>0.16</v>
      </c>
      <c r="O628" s="29">
        <f t="shared" si="89"/>
        <v>14.4</v>
      </c>
      <c r="P628" s="30">
        <f t="shared" si="90"/>
        <v>104.4</v>
      </c>
      <c r="Q628" s="23"/>
      <c r="R628" s="52"/>
      <c r="S628" s="53"/>
      <c r="T628" s="54">
        <f t="shared" si="93"/>
        <v>0</v>
      </c>
      <c r="U628" s="26">
        <f t="shared" si="93"/>
        <v>0</v>
      </c>
      <c r="V628" s="55">
        <f t="shared" si="92"/>
        <v>0</v>
      </c>
      <c r="W628" s="29">
        <f t="shared" si="88"/>
        <v>0</v>
      </c>
      <c r="X628" s="30">
        <f t="shared" si="91"/>
        <v>0</v>
      </c>
      <c r="Y628"/>
      <c r="Z628"/>
      <c r="AA628"/>
    </row>
    <row r="629" spans="1:27" s="51" customFormat="1" ht="18.600000000000001" hidden="1" customHeight="1" x14ac:dyDescent="0.25">
      <c r="A629" s="81" t="s">
        <v>16</v>
      </c>
      <c r="B629" s="31" t="s">
        <v>1324</v>
      </c>
      <c r="C629" s="32" t="s">
        <v>1325</v>
      </c>
      <c r="D629" s="31">
        <v>8435635308184</v>
      </c>
      <c r="E629" s="33" t="s">
        <v>1526</v>
      </c>
      <c r="F629" s="33" t="s">
        <v>1327</v>
      </c>
      <c r="G629" s="33">
        <v>1</v>
      </c>
      <c r="H629" s="84" t="s">
        <v>1527</v>
      </c>
      <c r="I629" s="23" t="s">
        <v>24</v>
      </c>
      <c r="J629" s="34">
        <v>120</v>
      </c>
      <c r="K629" s="35">
        <v>0.25</v>
      </c>
      <c r="L629" s="36">
        <f t="shared" si="86"/>
        <v>30</v>
      </c>
      <c r="M629" s="37">
        <f t="shared" si="87"/>
        <v>90</v>
      </c>
      <c r="N629" s="38">
        <v>0.16</v>
      </c>
      <c r="O629" s="39">
        <f t="shared" si="89"/>
        <v>14.4</v>
      </c>
      <c r="P629" s="40">
        <f t="shared" si="90"/>
        <v>104.4</v>
      </c>
      <c r="Q629" s="23"/>
      <c r="R629" s="56"/>
      <c r="S629" s="57"/>
      <c r="T629" s="58">
        <f t="shared" si="93"/>
        <v>0</v>
      </c>
      <c r="U629" s="36">
        <f t="shared" si="93"/>
        <v>0</v>
      </c>
      <c r="V629" s="59">
        <f t="shared" si="92"/>
        <v>0</v>
      </c>
      <c r="W629" s="39">
        <f t="shared" si="88"/>
        <v>0</v>
      </c>
      <c r="X629" s="40">
        <f t="shared" si="91"/>
        <v>0</v>
      </c>
      <c r="Y629"/>
      <c r="Z629"/>
      <c r="AA629"/>
    </row>
    <row r="630" spans="1:27" s="51" customFormat="1" ht="18.600000000000001" hidden="1" customHeight="1" x14ac:dyDescent="0.25">
      <c r="A630" s="82" t="s">
        <v>16</v>
      </c>
      <c r="B630" s="41" t="s">
        <v>1324</v>
      </c>
      <c r="C630" s="42" t="s">
        <v>1325</v>
      </c>
      <c r="D630" s="41">
        <v>8435635308191</v>
      </c>
      <c r="E630" s="43" t="s">
        <v>1528</v>
      </c>
      <c r="F630" s="43" t="s">
        <v>1327</v>
      </c>
      <c r="G630" s="43">
        <v>1</v>
      </c>
      <c r="H630" s="85" t="s">
        <v>1529</v>
      </c>
      <c r="I630" s="23" t="s">
        <v>24</v>
      </c>
      <c r="J630" s="44">
        <v>120</v>
      </c>
      <c r="K630" s="45">
        <v>0.25</v>
      </c>
      <c r="L630" s="46">
        <f t="shared" si="86"/>
        <v>30</v>
      </c>
      <c r="M630" s="47">
        <f t="shared" si="87"/>
        <v>90</v>
      </c>
      <c r="N630" s="48">
        <v>0.16</v>
      </c>
      <c r="O630" s="49">
        <f t="shared" si="89"/>
        <v>14.4</v>
      </c>
      <c r="P630" s="50">
        <f t="shared" si="90"/>
        <v>104.4</v>
      </c>
      <c r="Q630" s="23"/>
      <c r="R630" s="60"/>
      <c r="S630" s="61"/>
      <c r="T630" s="62">
        <f t="shared" si="93"/>
        <v>0</v>
      </c>
      <c r="U630" s="46">
        <f t="shared" si="93"/>
        <v>0</v>
      </c>
      <c r="V630" s="63">
        <f t="shared" si="92"/>
        <v>0</v>
      </c>
      <c r="W630" s="49">
        <f t="shared" si="88"/>
        <v>0</v>
      </c>
      <c r="X630" s="50">
        <f t="shared" si="91"/>
        <v>0</v>
      </c>
      <c r="Y630"/>
      <c r="Z630"/>
      <c r="AA630"/>
    </row>
    <row r="631" spans="1:27" s="51" customFormat="1" ht="18.600000000000001" hidden="1" customHeight="1" x14ac:dyDescent="0.25">
      <c r="A631" s="80" t="s">
        <v>16</v>
      </c>
      <c r="B631" s="20" t="s">
        <v>1324</v>
      </c>
      <c r="C631" s="21" t="s">
        <v>1325</v>
      </c>
      <c r="D631" s="20">
        <v>8435635308207</v>
      </c>
      <c r="E631" s="22" t="s">
        <v>1530</v>
      </c>
      <c r="F631" s="22" t="s">
        <v>1327</v>
      </c>
      <c r="G631" s="22">
        <v>1</v>
      </c>
      <c r="H631" s="83" t="s">
        <v>1531</v>
      </c>
      <c r="I631" s="23" t="s">
        <v>24</v>
      </c>
      <c r="J631" s="24">
        <v>120</v>
      </c>
      <c r="K631" s="25">
        <v>0.25</v>
      </c>
      <c r="L631" s="26">
        <f t="shared" si="86"/>
        <v>30</v>
      </c>
      <c r="M631" s="27">
        <f t="shared" si="87"/>
        <v>90</v>
      </c>
      <c r="N631" s="28">
        <v>0.16</v>
      </c>
      <c r="O631" s="29">
        <f t="shared" si="89"/>
        <v>14.4</v>
      </c>
      <c r="P631" s="30">
        <f t="shared" si="90"/>
        <v>104.4</v>
      </c>
      <c r="Q631" s="23"/>
      <c r="R631" s="52"/>
      <c r="S631" s="53"/>
      <c r="T631" s="54">
        <f t="shared" si="93"/>
        <v>0</v>
      </c>
      <c r="U631" s="26">
        <f t="shared" si="93"/>
        <v>0</v>
      </c>
      <c r="V631" s="55">
        <f t="shared" si="92"/>
        <v>0</v>
      </c>
      <c r="W631" s="29">
        <f t="shared" si="88"/>
        <v>0</v>
      </c>
      <c r="X631" s="30">
        <f t="shared" si="91"/>
        <v>0</v>
      </c>
      <c r="Y631"/>
      <c r="Z631"/>
      <c r="AA631"/>
    </row>
    <row r="632" spans="1:27" s="51" customFormat="1" ht="18.600000000000001" hidden="1" customHeight="1" x14ac:dyDescent="0.25">
      <c r="A632" s="81" t="s">
        <v>16</v>
      </c>
      <c r="B632" s="31" t="s">
        <v>1324</v>
      </c>
      <c r="C632" s="32" t="s">
        <v>1325</v>
      </c>
      <c r="D632" s="31">
        <v>8435635308214</v>
      </c>
      <c r="E632" s="33" t="s">
        <v>1532</v>
      </c>
      <c r="F632" s="33" t="s">
        <v>1327</v>
      </c>
      <c r="G632" s="33">
        <v>1</v>
      </c>
      <c r="H632" s="84" t="s">
        <v>1533</v>
      </c>
      <c r="I632" s="23" t="s">
        <v>24</v>
      </c>
      <c r="J632" s="34">
        <v>120</v>
      </c>
      <c r="K632" s="35">
        <v>0.25</v>
      </c>
      <c r="L632" s="36">
        <f t="shared" si="86"/>
        <v>30</v>
      </c>
      <c r="M632" s="37">
        <f t="shared" si="87"/>
        <v>90</v>
      </c>
      <c r="N632" s="38">
        <v>0.16</v>
      </c>
      <c r="O632" s="39">
        <f t="shared" si="89"/>
        <v>14.4</v>
      </c>
      <c r="P632" s="40">
        <f t="shared" si="90"/>
        <v>104.4</v>
      </c>
      <c r="Q632" s="23"/>
      <c r="R632" s="56"/>
      <c r="S632" s="57"/>
      <c r="T632" s="58">
        <f t="shared" si="93"/>
        <v>0</v>
      </c>
      <c r="U632" s="36">
        <f t="shared" si="93"/>
        <v>0</v>
      </c>
      <c r="V632" s="59">
        <f t="shared" si="92"/>
        <v>0</v>
      </c>
      <c r="W632" s="39">
        <f t="shared" si="88"/>
        <v>0</v>
      </c>
      <c r="X632" s="40">
        <f t="shared" si="91"/>
        <v>0</v>
      </c>
      <c r="Y632"/>
      <c r="Z632"/>
      <c r="AA632"/>
    </row>
    <row r="633" spans="1:27" s="51" customFormat="1" ht="18.600000000000001" hidden="1" customHeight="1" x14ac:dyDescent="0.25">
      <c r="A633" s="82" t="s">
        <v>16</v>
      </c>
      <c r="B633" s="41" t="s">
        <v>1324</v>
      </c>
      <c r="C633" s="42" t="s">
        <v>1325</v>
      </c>
      <c r="D633" s="41">
        <v>8435635308221</v>
      </c>
      <c r="E633" s="43" t="s">
        <v>1534</v>
      </c>
      <c r="F633" s="43" t="s">
        <v>1327</v>
      </c>
      <c r="G633" s="43">
        <v>1</v>
      </c>
      <c r="H633" s="85" t="s">
        <v>1535</v>
      </c>
      <c r="I633" s="23" t="s">
        <v>24</v>
      </c>
      <c r="J633" s="44">
        <v>120</v>
      </c>
      <c r="K633" s="45">
        <v>0.25</v>
      </c>
      <c r="L633" s="46">
        <f t="shared" si="86"/>
        <v>30</v>
      </c>
      <c r="M633" s="47">
        <f t="shared" si="87"/>
        <v>90</v>
      </c>
      <c r="N633" s="48">
        <v>0.16</v>
      </c>
      <c r="O633" s="49">
        <f t="shared" si="89"/>
        <v>14.4</v>
      </c>
      <c r="P633" s="50">
        <f t="shared" si="90"/>
        <v>104.4</v>
      </c>
      <c r="Q633" s="23"/>
      <c r="R633" s="60"/>
      <c r="S633" s="61"/>
      <c r="T633" s="62">
        <f t="shared" si="93"/>
        <v>0</v>
      </c>
      <c r="U633" s="46">
        <f t="shared" si="93"/>
        <v>0</v>
      </c>
      <c r="V633" s="63">
        <f t="shared" si="92"/>
        <v>0</v>
      </c>
      <c r="W633" s="49">
        <f t="shared" si="88"/>
        <v>0</v>
      </c>
      <c r="X633" s="50">
        <f t="shared" si="91"/>
        <v>0</v>
      </c>
      <c r="Y633"/>
      <c r="Z633"/>
      <c r="AA633"/>
    </row>
    <row r="634" spans="1:27" s="51" customFormat="1" ht="18.600000000000001" hidden="1" customHeight="1" x14ac:dyDescent="0.25">
      <c r="A634" s="80" t="s">
        <v>16</v>
      </c>
      <c r="B634" s="20" t="s">
        <v>1324</v>
      </c>
      <c r="C634" s="21" t="s">
        <v>1325</v>
      </c>
      <c r="D634" s="20">
        <v>8435635308238</v>
      </c>
      <c r="E634" s="22" t="s">
        <v>1536</v>
      </c>
      <c r="F634" s="22" t="s">
        <v>1327</v>
      </c>
      <c r="G634" s="22">
        <v>1</v>
      </c>
      <c r="H634" s="83" t="s">
        <v>1537</v>
      </c>
      <c r="I634" s="23" t="s">
        <v>24</v>
      </c>
      <c r="J634" s="24">
        <v>120</v>
      </c>
      <c r="K634" s="25">
        <v>0.25</v>
      </c>
      <c r="L634" s="26">
        <f t="shared" si="86"/>
        <v>30</v>
      </c>
      <c r="M634" s="27">
        <f t="shared" si="87"/>
        <v>90</v>
      </c>
      <c r="N634" s="28">
        <v>0.16</v>
      </c>
      <c r="O634" s="29">
        <f t="shared" si="89"/>
        <v>14.4</v>
      </c>
      <c r="P634" s="30">
        <f t="shared" si="90"/>
        <v>104.4</v>
      </c>
      <c r="Q634" s="23"/>
      <c r="R634" s="52"/>
      <c r="S634" s="53"/>
      <c r="T634" s="54">
        <f t="shared" si="93"/>
        <v>0</v>
      </c>
      <c r="U634" s="26">
        <f t="shared" si="93"/>
        <v>0</v>
      </c>
      <c r="V634" s="55">
        <f t="shared" si="92"/>
        <v>0</v>
      </c>
      <c r="W634" s="29">
        <f t="shared" si="88"/>
        <v>0</v>
      </c>
      <c r="X634" s="30">
        <f t="shared" si="91"/>
        <v>0</v>
      </c>
      <c r="Y634"/>
      <c r="Z634"/>
      <c r="AA634"/>
    </row>
    <row r="635" spans="1:27" s="51" customFormat="1" ht="18.600000000000001" hidden="1" customHeight="1" x14ac:dyDescent="0.25">
      <c r="A635" s="81" t="s">
        <v>16</v>
      </c>
      <c r="B635" s="31" t="s">
        <v>1324</v>
      </c>
      <c r="C635" s="32" t="s">
        <v>1325</v>
      </c>
      <c r="D635" s="31">
        <v>8435635308245</v>
      </c>
      <c r="E635" s="33" t="s">
        <v>1538</v>
      </c>
      <c r="F635" s="33" t="s">
        <v>1327</v>
      </c>
      <c r="G635" s="33">
        <v>1</v>
      </c>
      <c r="H635" s="84" t="s">
        <v>1539</v>
      </c>
      <c r="I635" s="23" t="s">
        <v>24</v>
      </c>
      <c r="J635" s="34">
        <v>120</v>
      </c>
      <c r="K635" s="35">
        <v>0.25</v>
      </c>
      <c r="L635" s="36">
        <f t="shared" si="86"/>
        <v>30</v>
      </c>
      <c r="M635" s="37">
        <f t="shared" si="87"/>
        <v>90</v>
      </c>
      <c r="N635" s="38">
        <v>0.16</v>
      </c>
      <c r="O635" s="39">
        <f t="shared" si="89"/>
        <v>14.4</v>
      </c>
      <c r="P635" s="40">
        <f t="shared" si="90"/>
        <v>104.4</v>
      </c>
      <c r="Q635" s="23"/>
      <c r="R635" s="56"/>
      <c r="S635" s="57"/>
      <c r="T635" s="58">
        <f t="shared" si="93"/>
        <v>0</v>
      </c>
      <c r="U635" s="36">
        <f t="shared" si="93"/>
        <v>0</v>
      </c>
      <c r="V635" s="59">
        <f t="shared" si="92"/>
        <v>0</v>
      </c>
      <c r="W635" s="39">
        <f t="shared" si="88"/>
        <v>0</v>
      </c>
      <c r="X635" s="40">
        <f t="shared" si="91"/>
        <v>0</v>
      </c>
      <c r="Y635"/>
      <c r="Z635"/>
      <c r="AA635"/>
    </row>
    <row r="636" spans="1:27" s="51" customFormat="1" ht="18.600000000000001" hidden="1" customHeight="1" x14ac:dyDescent="0.25">
      <c r="A636" s="82" t="s">
        <v>16</v>
      </c>
      <c r="B636" s="41" t="s">
        <v>1324</v>
      </c>
      <c r="C636" s="42" t="s">
        <v>1325</v>
      </c>
      <c r="D636" s="41">
        <v>8435635308252</v>
      </c>
      <c r="E636" s="43" t="s">
        <v>1540</v>
      </c>
      <c r="F636" s="43" t="s">
        <v>1327</v>
      </c>
      <c r="G636" s="43">
        <v>1</v>
      </c>
      <c r="H636" s="85" t="s">
        <v>1541</v>
      </c>
      <c r="I636" s="23" t="s">
        <v>24</v>
      </c>
      <c r="J636" s="44">
        <v>120</v>
      </c>
      <c r="K636" s="45">
        <v>0.25</v>
      </c>
      <c r="L636" s="46">
        <f t="shared" si="86"/>
        <v>30</v>
      </c>
      <c r="M636" s="47">
        <f t="shared" si="87"/>
        <v>90</v>
      </c>
      <c r="N636" s="48">
        <v>0.16</v>
      </c>
      <c r="O636" s="49">
        <f t="shared" si="89"/>
        <v>14.4</v>
      </c>
      <c r="P636" s="50">
        <f t="shared" si="90"/>
        <v>104.4</v>
      </c>
      <c r="Q636" s="23"/>
      <c r="R636" s="60"/>
      <c r="S636" s="61"/>
      <c r="T636" s="62">
        <f t="shared" si="93"/>
        <v>0</v>
      </c>
      <c r="U636" s="46">
        <f t="shared" si="93"/>
        <v>0</v>
      </c>
      <c r="V636" s="63">
        <f t="shared" si="92"/>
        <v>0</v>
      </c>
      <c r="W636" s="49">
        <f t="shared" si="88"/>
        <v>0</v>
      </c>
      <c r="X636" s="50">
        <f t="shared" si="91"/>
        <v>0</v>
      </c>
      <c r="Y636"/>
      <c r="Z636"/>
      <c r="AA636"/>
    </row>
    <row r="637" spans="1:27" s="51" customFormat="1" ht="18.600000000000001" hidden="1" customHeight="1" x14ac:dyDescent="0.25">
      <c r="A637" s="80" t="s">
        <v>16</v>
      </c>
      <c r="B637" s="20" t="s">
        <v>1324</v>
      </c>
      <c r="C637" s="21" t="s">
        <v>1325</v>
      </c>
      <c r="D637" s="20">
        <v>8435635308269</v>
      </c>
      <c r="E637" s="22" t="s">
        <v>1542</v>
      </c>
      <c r="F637" s="22" t="s">
        <v>1327</v>
      </c>
      <c r="G637" s="22">
        <v>1</v>
      </c>
      <c r="H637" s="83" t="s">
        <v>1543</v>
      </c>
      <c r="I637" s="23" t="s">
        <v>24</v>
      </c>
      <c r="J637" s="24">
        <v>120</v>
      </c>
      <c r="K637" s="25">
        <v>0.25</v>
      </c>
      <c r="L637" s="26">
        <f t="shared" si="86"/>
        <v>30</v>
      </c>
      <c r="M637" s="27">
        <f t="shared" si="87"/>
        <v>90</v>
      </c>
      <c r="N637" s="28">
        <v>0.16</v>
      </c>
      <c r="O637" s="29">
        <f t="shared" si="89"/>
        <v>14.4</v>
      </c>
      <c r="P637" s="30">
        <f t="shared" si="90"/>
        <v>104.4</v>
      </c>
      <c r="Q637" s="23"/>
      <c r="R637" s="52"/>
      <c r="S637" s="53"/>
      <c r="T637" s="54">
        <f t="shared" si="93"/>
        <v>0</v>
      </c>
      <c r="U637" s="26">
        <f t="shared" si="93"/>
        <v>0</v>
      </c>
      <c r="V637" s="55">
        <f t="shared" si="92"/>
        <v>0</v>
      </c>
      <c r="W637" s="29">
        <f t="shared" si="88"/>
        <v>0</v>
      </c>
      <c r="X637" s="30">
        <f t="shared" si="91"/>
        <v>0</v>
      </c>
      <c r="Y637"/>
      <c r="Z637"/>
      <c r="AA637"/>
    </row>
    <row r="638" spans="1:27" s="51" customFormat="1" ht="18.600000000000001" hidden="1" customHeight="1" x14ac:dyDescent="0.25">
      <c r="A638" s="81" t="s">
        <v>16</v>
      </c>
      <c r="B638" s="31" t="s">
        <v>1324</v>
      </c>
      <c r="C638" s="32" t="s">
        <v>1325</v>
      </c>
      <c r="D638" s="31">
        <v>8435635308276</v>
      </c>
      <c r="E638" s="33" t="s">
        <v>1544</v>
      </c>
      <c r="F638" s="33" t="s">
        <v>1327</v>
      </c>
      <c r="G638" s="33">
        <v>1</v>
      </c>
      <c r="H638" s="84" t="s">
        <v>1545</v>
      </c>
      <c r="I638" s="23" t="s">
        <v>24</v>
      </c>
      <c r="J638" s="34">
        <v>120</v>
      </c>
      <c r="K638" s="35">
        <v>0.25</v>
      </c>
      <c r="L638" s="36">
        <f t="shared" si="86"/>
        <v>30</v>
      </c>
      <c r="M638" s="37">
        <f t="shared" si="87"/>
        <v>90</v>
      </c>
      <c r="N638" s="38">
        <v>0.16</v>
      </c>
      <c r="O638" s="39">
        <f t="shared" si="89"/>
        <v>14.4</v>
      </c>
      <c r="P638" s="40">
        <f t="shared" si="90"/>
        <v>104.4</v>
      </c>
      <c r="Q638" s="23"/>
      <c r="R638" s="56"/>
      <c r="S638" s="57"/>
      <c r="T638" s="58">
        <f t="shared" si="93"/>
        <v>0</v>
      </c>
      <c r="U638" s="36">
        <f t="shared" si="93"/>
        <v>0</v>
      </c>
      <c r="V638" s="59">
        <f t="shared" si="92"/>
        <v>0</v>
      </c>
      <c r="W638" s="39">
        <f t="shared" si="88"/>
        <v>0</v>
      </c>
      <c r="X638" s="40">
        <f t="shared" si="91"/>
        <v>0</v>
      </c>
      <c r="Y638"/>
      <c r="Z638"/>
      <c r="AA638"/>
    </row>
    <row r="639" spans="1:27" s="51" customFormat="1" ht="18.600000000000001" hidden="1" customHeight="1" x14ac:dyDescent="0.25">
      <c r="A639" s="82" t="s">
        <v>16</v>
      </c>
      <c r="B639" s="41" t="s">
        <v>1324</v>
      </c>
      <c r="C639" s="42" t="s">
        <v>1325</v>
      </c>
      <c r="D639" s="41">
        <v>8435635308283</v>
      </c>
      <c r="E639" s="43" t="s">
        <v>1546</v>
      </c>
      <c r="F639" s="43" t="s">
        <v>1327</v>
      </c>
      <c r="G639" s="43">
        <v>1</v>
      </c>
      <c r="H639" s="85" t="s">
        <v>1547</v>
      </c>
      <c r="I639" s="23" t="s">
        <v>24</v>
      </c>
      <c r="J639" s="44">
        <v>120</v>
      </c>
      <c r="K639" s="45">
        <v>0.25</v>
      </c>
      <c r="L639" s="46">
        <f t="shared" si="86"/>
        <v>30</v>
      </c>
      <c r="M639" s="47">
        <f t="shared" si="87"/>
        <v>90</v>
      </c>
      <c r="N639" s="48">
        <v>0.16</v>
      </c>
      <c r="O639" s="49">
        <f t="shared" si="89"/>
        <v>14.4</v>
      </c>
      <c r="P639" s="50">
        <f t="shared" si="90"/>
        <v>104.4</v>
      </c>
      <c r="Q639" s="23"/>
      <c r="R639" s="60"/>
      <c r="S639" s="61"/>
      <c r="T639" s="62">
        <f t="shared" si="93"/>
        <v>0</v>
      </c>
      <c r="U639" s="46">
        <f t="shared" si="93"/>
        <v>0</v>
      </c>
      <c r="V639" s="63">
        <f t="shared" si="92"/>
        <v>0</v>
      </c>
      <c r="W639" s="49">
        <f t="shared" si="88"/>
        <v>0</v>
      </c>
      <c r="X639" s="50">
        <f t="shared" si="91"/>
        <v>0</v>
      </c>
      <c r="Y639"/>
      <c r="Z639"/>
      <c r="AA639"/>
    </row>
    <row r="640" spans="1:27" s="51" customFormat="1" ht="18.600000000000001" hidden="1" customHeight="1" x14ac:dyDescent="0.25">
      <c r="A640" s="80" t="s">
        <v>16</v>
      </c>
      <c r="B640" s="20" t="s">
        <v>1324</v>
      </c>
      <c r="C640" s="21" t="s">
        <v>1325</v>
      </c>
      <c r="D640" s="20">
        <v>8435635308290</v>
      </c>
      <c r="E640" s="22" t="s">
        <v>1548</v>
      </c>
      <c r="F640" s="22" t="s">
        <v>1327</v>
      </c>
      <c r="G640" s="22">
        <v>1</v>
      </c>
      <c r="H640" s="83" t="s">
        <v>1549</v>
      </c>
      <c r="I640" s="23" t="s">
        <v>24</v>
      </c>
      <c r="J640" s="24">
        <v>120</v>
      </c>
      <c r="K640" s="25">
        <v>0.25</v>
      </c>
      <c r="L640" s="26">
        <f t="shared" si="86"/>
        <v>30</v>
      </c>
      <c r="M640" s="27">
        <f t="shared" si="87"/>
        <v>90</v>
      </c>
      <c r="N640" s="28">
        <v>0.16</v>
      </c>
      <c r="O640" s="29">
        <f t="shared" si="89"/>
        <v>14.4</v>
      </c>
      <c r="P640" s="30">
        <f t="shared" si="90"/>
        <v>104.4</v>
      </c>
      <c r="Q640" s="23"/>
      <c r="R640" s="52"/>
      <c r="S640" s="53"/>
      <c r="T640" s="54">
        <f t="shared" si="93"/>
        <v>0</v>
      </c>
      <c r="U640" s="26">
        <f t="shared" si="93"/>
        <v>0</v>
      </c>
      <c r="V640" s="55">
        <f t="shared" si="92"/>
        <v>0</v>
      </c>
      <c r="W640" s="29">
        <f t="shared" si="88"/>
        <v>0</v>
      </c>
      <c r="X640" s="30">
        <f t="shared" si="91"/>
        <v>0</v>
      </c>
      <c r="Y640"/>
      <c r="Z640"/>
      <c r="AA640"/>
    </row>
    <row r="641" spans="1:27" s="51" customFormat="1" ht="18.600000000000001" hidden="1" customHeight="1" x14ac:dyDescent="0.25">
      <c r="A641" s="81" t="s">
        <v>16</v>
      </c>
      <c r="B641" s="31" t="s">
        <v>1324</v>
      </c>
      <c r="C641" s="32" t="s">
        <v>1325</v>
      </c>
      <c r="D641" s="31">
        <v>8435635308306</v>
      </c>
      <c r="E641" s="33" t="s">
        <v>1550</v>
      </c>
      <c r="F641" s="33" t="s">
        <v>1327</v>
      </c>
      <c r="G641" s="33">
        <v>1</v>
      </c>
      <c r="H641" s="84" t="s">
        <v>1551</v>
      </c>
      <c r="I641" s="23" t="s">
        <v>24</v>
      </c>
      <c r="J641" s="34">
        <v>120</v>
      </c>
      <c r="K641" s="35">
        <v>0.25</v>
      </c>
      <c r="L641" s="36">
        <f t="shared" si="86"/>
        <v>30</v>
      </c>
      <c r="M641" s="37">
        <f t="shared" si="87"/>
        <v>90</v>
      </c>
      <c r="N641" s="38">
        <v>0.16</v>
      </c>
      <c r="O641" s="39">
        <f t="shared" si="89"/>
        <v>14.4</v>
      </c>
      <c r="P641" s="40">
        <f t="shared" si="90"/>
        <v>104.4</v>
      </c>
      <c r="Q641" s="23"/>
      <c r="R641" s="56"/>
      <c r="S641" s="57"/>
      <c r="T641" s="58">
        <f t="shared" si="93"/>
        <v>0</v>
      </c>
      <c r="U641" s="36">
        <f t="shared" si="93"/>
        <v>0</v>
      </c>
      <c r="V641" s="59">
        <f t="shared" si="92"/>
        <v>0</v>
      </c>
      <c r="W641" s="39">
        <f t="shared" si="88"/>
        <v>0</v>
      </c>
      <c r="X641" s="40">
        <f t="shared" si="91"/>
        <v>0</v>
      </c>
      <c r="Y641"/>
      <c r="Z641"/>
      <c r="AA641"/>
    </row>
    <row r="642" spans="1:27" s="51" customFormat="1" ht="18.600000000000001" hidden="1" customHeight="1" x14ac:dyDescent="0.25">
      <c r="A642" s="82" t="s">
        <v>16</v>
      </c>
      <c r="B642" s="41" t="s">
        <v>1324</v>
      </c>
      <c r="C642" s="42" t="s">
        <v>1325</v>
      </c>
      <c r="D642" s="41">
        <v>8435635308313</v>
      </c>
      <c r="E642" s="43" t="s">
        <v>1552</v>
      </c>
      <c r="F642" s="43" t="s">
        <v>1327</v>
      </c>
      <c r="G642" s="43">
        <v>1</v>
      </c>
      <c r="H642" s="85" t="s">
        <v>1553</v>
      </c>
      <c r="I642" s="23" t="s">
        <v>24</v>
      </c>
      <c r="J642" s="44">
        <v>120</v>
      </c>
      <c r="K642" s="45">
        <v>0.25</v>
      </c>
      <c r="L642" s="46">
        <f t="shared" si="86"/>
        <v>30</v>
      </c>
      <c r="M642" s="47">
        <f t="shared" si="87"/>
        <v>90</v>
      </c>
      <c r="N642" s="48">
        <v>0.16</v>
      </c>
      <c r="O642" s="49">
        <f t="shared" si="89"/>
        <v>14.4</v>
      </c>
      <c r="P642" s="50">
        <f t="shared" si="90"/>
        <v>104.4</v>
      </c>
      <c r="Q642" s="23"/>
      <c r="R642" s="60"/>
      <c r="S642" s="61"/>
      <c r="T642" s="62">
        <f t="shared" si="93"/>
        <v>0</v>
      </c>
      <c r="U642" s="46">
        <f t="shared" si="93"/>
        <v>0</v>
      </c>
      <c r="V642" s="63">
        <f t="shared" si="92"/>
        <v>0</v>
      </c>
      <c r="W642" s="49">
        <f t="shared" si="88"/>
        <v>0</v>
      </c>
      <c r="X642" s="50">
        <f t="shared" si="91"/>
        <v>0</v>
      </c>
      <c r="Y642"/>
      <c r="Z642"/>
      <c r="AA642"/>
    </row>
    <row r="643" spans="1:27" s="51" customFormat="1" ht="18.600000000000001" hidden="1" customHeight="1" x14ac:dyDescent="0.25">
      <c r="A643" s="80" t="s">
        <v>16</v>
      </c>
      <c r="B643" s="20" t="s">
        <v>1324</v>
      </c>
      <c r="C643" s="21" t="s">
        <v>1325</v>
      </c>
      <c r="D643" s="20">
        <v>8435635308320</v>
      </c>
      <c r="E643" s="22" t="s">
        <v>1554</v>
      </c>
      <c r="F643" s="22" t="s">
        <v>1327</v>
      </c>
      <c r="G643" s="22">
        <v>1</v>
      </c>
      <c r="H643" s="83" t="s">
        <v>1555</v>
      </c>
      <c r="I643" s="23" t="s">
        <v>24</v>
      </c>
      <c r="J643" s="24">
        <v>120</v>
      </c>
      <c r="K643" s="25">
        <v>0.25</v>
      </c>
      <c r="L643" s="26">
        <f t="shared" si="86"/>
        <v>30</v>
      </c>
      <c r="M643" s="27">
        <f t="shared" si="87"/>
        <v>90</v>
      </c>
      <c r="N643" s="28">
        <v>0.16</v>
      </c>
      <c r="O643" s="29">
        <f t="shared" si="89"/>
        <v>14.4</v>
      </c>
      <c r="P643" s="30">
        <f t="shared" si="90"/>
        <v>104.4</v>
      </c>
      <c r="Q643" s="23"/>
      <c r="R643" s="52"/>
      <c r="S643" s="53"/>
      <c r="T643" s="54">
        <f t="shared" si="93"/>
        <v>0</v>
      </c>
      <c r="U643" s="26">
        <f t="shared" si="93"/>
        <v>0</v>
      </c>
      <c r="V643" s="55">
        <f t="shared" si="92"/>
        <v>0</v>
      </c>
      <c r="W643" s="29">
        <f t="shared" si="88"/>
        <v>0</v>
      </c>
      <c r="X643" s="30">
        <f t="shared" si="91"/>
        <v>0</v>
      </c>
      <c r="Y643"/>
      <c r="Z643"/>
      <c r="AA643"/>
    </row>
    <row r="644" spans="1:27" s="51" customFormat="1" ht="18.600000000000001" hidden="1" customHeight="1" x14ac:dyDescent="0.25">
      <c r="A644" s="81" t="s">
        <v>16</v>
      </c>
      <c r="B644" s="31" t="s">
        <v>1556</v>
      </c>
      <c r="C644" s="32" t="s">
        <v>1325</v>
      </c>
      <c r="D644" s="31">
        <v>8435635306807</v>
      </c>
      <c r="E644" s="33" t="s">
        <v>1557</v>
      </c>
      <c r="F644" s="33" t="s">
        <v>1327</v>
      </c>
      <c r="G644" s="33">
        <v>8</v>
      </c>
      <c r="H644" s="84" t="s">
        <v>1558</v>
      </c>
      <c r="I644" s="23" t="s">
        <v>24</v>
      </c>
      <c r="J644" s="34">
        <v>930</v>
      </c>
      <c r="K644" s="35">
        <v>0.25</v>
      </c>
      <c r="L644" s="36">
        <f t="shared" si="86"/>
        <v>232.5</v>
      </c>
      <c r="M644" s="37">
        <f t="shared" si="87"/>
        <v>697.5</v>
      </c>
      <c r="N644" s="38">
        <v>0.16</v>
      </c>
      <c r="O644" s="39">
        <f t="shared" si="89"/>
        <v>111.60000000000001</v>
      </c>
      <c r="P644" s="40">
        <f t="shared" si="90"/>
        <v>809.1</v>
      </c>
      <c r="Q644" s="23"/>
      <c r="R644" s="56"/>
      <c r="S644" s="57"/>
      <c r="T644" s="58">
        <f t="shared" si="93"/>
        <v>0</v>
      </c>
      <c r="U644" s="36">
        <f t="shared" si="93"/>
        <v>0</v>
      </c>
      <c r="V644" s="59">
        <f t="shared" si="92"/>
        <v>0</v>
      </c>
      <c r="W644" s="39">
        <f t="shared" si="88"/>
        <v>0</v>
      </c>
      <c r="X644" s="40">
        <f t="shared" si="91"/>
        <v>0</v>
      </c>
      <c r="Y644"/>
      <c r="Z644"/>
      <c r="AA644"/>
    </row>
    <row r="645" spans="1:27" s="51" customFormat="1" ht="18.600000000000001" hidden="1" customHeight="1" x14ac:dyDescent="0.25">
      <c r="A645" s="82" t="s">
        <v>16</v>
      </c>
      <c r="B645" s="41" t="s">
        <v>1556</v>
      </c>
      <c r="C645" s="42" t="s">
        <v>1325</v>
      </c>
      <c r="D645" s="41">
        <v>8435635306814</v>
      </c>
      <c r="E645" s="43" t="s">
        <v>1559</v>
      </c>
      <c r="F645" s="43" t="s">
        <v>1327</v>
      </c>
      <c r="G645" s="43">
        <v>8</v>
      </c>
      <c r="H645" s="85" t="s">
        <v>1560</v>
      </c>
      <c r="I645" s="23" t="s">
        <v>24</v>
      </c>
      <c r="J645" s="44">
        <v>930</v>
      </c>
      <c r="K645" s="45">
        <v>0.25</v>
      </c>
      <c r="L645" s="46">
        <f t="shared" si="86"/>
        <v>232.5</v>
      </c>
      <c r="M645" s="47">
        <f t="shared" si="87"/>
        <v>697.5</v>
      </c>
      <c r="N645" s="48">
        <v>0.16</v>
      </c>
      <c r="O645" s="49">
        <f t="shared" si="89"/>
        <v>111.60000000000001</v>
      </c>
      <c r="P645" s="50">
        <f t="shared" si="90"/>
        <v>809.1</v>
      </c>
      <c r="Q645" s="23"/>
      <c r="R645" s="60"/>
      <c r="S645" s="61"/>
      <c r="T645" s="62">
        <f t="shared" si="93"/>
        <v>0</v>
      </c>
      <c r="U645" s="46">
        <f t="shared" si="93"/>
        <v>0</v>
      </c>
      <c r="V645" s="63">
        <f t="shared" si="92"/>
        <v>0</v>
      </c>
      <c r="W645" s="49">
        <f t="shared" si="88"/>
        <v>0</v>
      </c>
      <c r="X645" s="50">
        <f t="shared" si="91"/>
        <v>0</v>
      </c>
      <c r="Y645"/>
      <c r="Z645"/>
      <c r="AA645"/>
    </row>
    <row r="646" spans="1:27" s="51" customFormat="1" ht="18.600000000000001" hidden="1" customHeight="1" x14ac:dyDescent="0.25">
      <c r="A646" s="80" t="s">
        <v>16</v>
      </c>
      <c r="B646" s="20" t="s">
        <v>1556</v>
      </c>
      <c r="C646" s="21" t="s">
        <v>1325</v>
      </c>
      <c r="D646" s="20">
        <v>8435635306821</v>
      </c>
      <c r="E646" s="22" t="s">
        <v>1561</v>
      </c>
      <c r="F646" s="22" t="s">
        <v>1327</v>
      </c>
      <c r="G646" s="22">
        <v>8</v>
      </c>
      <c r="H646" s="83" t="s">
        <v>1562</v>
      </c>
      <c r="I646" s="23" t="s">
        <v>24</v>
      </c>
      <c r="J646" s="24">
        <v>930</v>
      </c>
      <c r="K646" s="25">
        <v>0.25</v>
      </c>
      <c r="L646" s="26">
        <f t="shared" si="86"/>
        <v>232.5</v>
      </c>
      <c r="M646" s="27">
        <f t="shared" si="87"/>
        <v>697.5</v>
      </c>
      <c r="N646" s="28">
        <v>0.16</v>
      </c>
      <c r="O646" s="29">
        <f t="shared" si="89"/>
        <v>111.60000000000001</v>
      </c>
      <c r="P646" s="30">
        <f t="shared" si="90"/>
        <v>809.1</v>
      </c>
      <c r="Q646" s="23"/>
      <c r="R646" s="52"/>
      <c r="S646" s="53"/>
      <c r="T646" s="54">
        <f t="shared" si="93"/>
        <v>0</v>
      </c>
      <c r="U646" s="26">
        <f t="shared" si="93"/>
        <v>0</v>
      </c>
      <c r="V646" s="55">
        <f t="shared" si="92"/>
        <v>0</v>
      </c>
      <c r="W646" s="29">
        <f t="shared" si="88"/>
        <v>0</v>
      </c>
      <c r="X646" s="30">
        <f t="shared" si="91"/>
        <v>0</v>
      </c>
      <c r="Y646"/>
      <c r="Z646"/>
      <c r="AA646"/>
    </row>
    <row r="647" spans="1:27" s="51" customFormat="1" ht="18.600000000000001" hidden="1" customHeight="1" x14ac:dyDescent="0.25">
      <c r="A647" s="81" t="s">
        <v>16</v>
      </c>
      <c r="B647" s="31" t="s">
        <v>1556</v>
      </c>
      <c r="C647" s="32" t="s">
        <v>1325</v>
      </c>
      <c r="D647" s="31">
        <v>8435635306838</v>
      </c>
      <c r="E647" s="33" t="s">
        <v>1563</v>
      </c>
      <c r="F647" s="33" t="s">
        <v>1327</v>
      </c>
      <c r="G647" s="33">
        <v>8</v>
      </c>
      <c r="H647" s="84" t="s">
        <v>1564</v>
      </c>
      <c r="I647" s="23" t="s">
        <v>24</v>
      </c>
      <c r="J647" s="34">
        <v>930</v>
      </c>
      <c r="K647" s="35">
        <v>0.25</v>
      </c>
      <c r="L647" s="36">
        <f t="shared" si="86"/>
        <v>232.5</v>
      </c>
      <c r="M647" s="37">
        <f t="shared" si="87"/>
        <v>697.5</v>
      </c>
      <c r="N647" s="38">
        <v>0.16</v>
      </c>
      <c r="O647" s="39">
        <f t="shared" si="89"/>
        <v>111.60000000000001</v>
      </c>
      <c r="P647" s="40">
        <f t="shared" si="90"/>
        <v>809.1</v>
      </c>
      <c r="Q647" s="23"/>
      <c r="R647" s="56"/>
      <c r="S647" s="57"/>
      <c r="T647" s="58">
        <f t="shared" si="93"/>
        <v>0</v>
      </c>
      <c r="U647" s="36">
        <f t="shared" si="93"/>
        <v>0</v>
      </c>
      <c r="V647" s="59">
        <f t="shared" si="92"/>
        <v>0</v>
      </c>
      <c r="W647" s="39">
        <f t="shared" si="88"/>
        <v>0</v>
      </c>
      <c r="X647" s="40">
        <f t="shared" si="91"/>
        <v>0</v>
      </c>
      <c r="Y647"/>
      <c r="Z647"/>
      <c r="AA647"/>
    </row>
    <row r="648" spans="1:27" s="51" customFormat="1" ht="18.600000000000001" hidden="1" customHeight="1" x14ac:dyDescent="0.25">
      <c r="A648" s="82" t="s">
        <v>16</v>
      </c>
      <c r="B648" s="41" t="s">
        <v>1556</v>
      </c>
      <c r="C648" s="42" t="s">
        <v>1325</v>
      </c>
      <c r="D648" s="41">
        <v>8435635306845</v>
      </c>
      <c r="E648" s="43" t="s">
        <v>1565</v>
      </c>
      <c r="F648" s="43" t="s">
        <v>1327</v>
      </c>
      <c r="G648" s="43">
        <v>8</v>
      </c>
      <c r="H648" s="85" t="s">
        <v>1566</v>
      </c>
      <c r="I648" s="23" t="s">
        <v>24</v>
      </c>
      <c r="J648" s="44">
        <v>930</v>
      </c>
      <c r="K648" s="45">
        <v>0.25</v>
      </c>
      <c r="L648" s="46">
        <f t="shared" si="86"/>
        <v>232.5</v>
      </c>
      <c r="M648" s="47">
        <f t="shared" si="87"/>
        <v>697.5</v>
      </c>
      <c r="N648" s="48">
        <v>0.16</v>
      </c>
      <c r="O648" s="49">
        <f t="shared" si="89"/>
        <v>111.60000000000001</v>
      </c>
      <c r="P648" s="50">
        <f t="shared" si="90"/>
        <v>809.1</v>
      </c>
      <c r="Q648" s="23"/>
      <c r="R648" s="60"/>
      <c r="S648" s="61"/>
      <c r="T648" s="62">
        <f t="shared" si="93"/>
        <v>0</v>
      </c>
      <c r="U648" s="46">
        <f t="shared" si="93"/>
        <v>0</v>
      </c>
      <c r="V648" s="63">
        <f t="shared" si="92"/>
        <v>0</v>
      </c>
      <c r="W648" s="49">
        <f t="shared" si="88"/>
        <v>0</v>
      </c>
      <c r="X648" s="50">
        <f t="shared" si="91"/>
        <v>0</v>
      </c>
      <c r="Y648"/>
      <c r="Z648"/>
      <c r="AA648"/>
    </row>
    <row r="649" spans="1:27" s="51" customFormat="1" ht="18.600000000000001" hidden="1" customHeight="1" x14ac:dyDescent="0.25">
      <c r="A649" s="80" t="s">
        <v>16</v>
      </c>
      <c r="B649" s="20" t="s">
        <v>1556</v>
      </c>
      <c r="C649" s="21" t="s">
        <v>1325</v>
      </c>
      <c r="D649" s="20">
        <v>8435635306852</v>
      </c>
      <c r="E649" s="22" t="s">
        <v>1567</v>
      </c>
      <c r="F649" s="22" t="s">
        <v>1327</v>
      </c>
      <c r="G649" s="22">
        <v>8</v>
      </c>
      <c r="H649" s="83" t="s">
        <v>1568</v>
      </c>
      <c r="I649" s="23" t="s">
        <v>24</v>
      </c>
      <c r="J649" s="24">
        <v>930</v>
      </c>
      <c r="K649" s="25">
        <v>0.25</v>
      </c>
      <c r="L649" s="26">
        <f t="shared" si="86"/>
        <v>232.5</v>
      </c>
      <c r="M649" s="27">
        <f t="shared" si="87"/>
        <v>697.5</v>
      </c>
      <c r="N649" s="28">
        <v>0.16</v>
      </c>
      <c r="O649" s="29">
        <f t="shared" si="89"/>
        <v>111.60000000000001</v>
      </c>
      <c r="P649" s="30">
        <f t="shared" si="90"/>
        <v>809.1</v>
      </c>
      <c r="Q649" s="23"/>
      <c r="R649" s="52"/>
      <c r="S649" s="53"/>
      <c r="T649" s="54">
        <f t="shared" si="93"/>
        <v>0</v>
      </c>
      <c r="U649" s="26">
        <f t="shared" si="93"/>
        <v>0</v>
      </c>
      <c r="V649" s="55">
        <f t="shared" si="92"/>
        <v>0</v>
      </c>
      <c r="W649" s="29">
        <f t="shared" si="88"/>
        <v>0</v>
      </c>
      <c r="X649" s="30">
        <f t="shared" si="91"/>
        <v>0</v>
      </c>
      <c r="Y649"/>
      <c r="Z649"/>
      <c r="AA649"/>
    </row>
    <row r="650" spans="1:27" s="51" customFormat="1" ht="18.600000000000001" hidden="1" customHeight="1" x14ac:dyDescent="0.25">
      <c r="A650" s="81" t="s">
        <v>16</v>
      </c>
      <c r="B650" s="31" t="s">
        <v>1556</v>
      </c>
      <c r="C650" s="32" t="s">
        <v>1325</v>
      </c>
      <c r="D650" s="31">
        <v>8435635306869</v>
      </c>
      <c r="E650" s="33" t="s">
        <v>1569</v>
      </c>
      <c r="F650" s="33" t="s">
        <v>1327</v>
      </c>
      <c r="G650" s="33">
        <v>8</v>
      </c>
      <c r="H650" s="84" t="s">
        <v>1570</v>
      </c>
      <c r="I650" s="23" t="s">
        <v>24</v>
      </c>
      <c r="J650" s="34">
        <v>930</v>
      </c>
      <c r="K650" s="35">
        <v>0.25</v>
      </c>
      <c r="L650" s="36">
        <f t="shared" ref="L650:L713" si="94">+J650*K650</f>
        <v>232.5</v>
      </c>
      <c r="M650" s="37">
        <f t="shared" ref="M650:M713" si="95">+J650-L650</f>
        <v>697.5</v>
      </c>
      <c r="N650" s="38">
        <v>0.16</v>
      </c>
      <c r="O650" s="39">
        <f t="shared" si="89"/>
        <v>111.60000000000001</v>
      </c>
      <c r="P650" s="40">
        <f t="shared" si="90"/>
        <v>809.1</v>
      </c>
      <c r="Q650" s="23"/>
      <c r="R650" s="56"/>
      <c r="S650" s="57"/>
      <c r="T650" s="58">
        <f t="shared" si="93"/>
        <v>0</v>
      </c>
      <c r="U650" s="36">
        <f t="shared" si="93"/>
        <v>0</v>
      </c>
      <c r="V650" s="59">
        <f t="shared" si="92"/>
        <v>0</v>
      </c>
      <c r="W650" s="39">
        <f t="shared" ref="W650:W713" si="96">+V650*N650</f>
        <v>0</v>
      </c>
      <c r="X650" s="40">
        <f t="shared" si="91"/>
        <v>0</v>
      </c>
      <c r="Y650"/>
      <c r="Z650"/>
      <c r="AA650"/>
    </row>
    <row r="651" spans="1:27" s="51" customFormat="1" ht="18.600000000000001" hidden="1" customHeight="1" x14ac:dyDescent="0.25">
      <c r="A651" s="82" t="s">
        <v>16</v>
      </c>
      <c r="B651" s="41" t="s">
        <v>1556</v>
      </c>
      <c r="C651" s="42" t="s">
        <v>1325</v>
      </c>
      <c r="D651" s="41">
        <v>8435635306876</v>
      </c>
      <c r="E651" s="43" t="s">
        <v>1571</v>
      </c>
      <c r="F651" s="43" t="s">
        <v>1327</v>
      </c>
      <c r="G651" s="43">
        <v>8</v>
      </c>
      <c r="H651" s="85" t="s">
        <v>1572</v>
      </c>
      <c r="I651" s="23" t="s">
        <v>24</v>
      </c>
      <c r="J651" s="44">
        <v>930</v>
      </c>
      <c r="K651" s="45">
        <v>0.25</v>
      </c>
      <c r="L651" s="46">
        <f t="shared" si="94"/>
        <v>232.5</v>
      </c>
      <c r="M651" s="47">
        <f t="shared" si="95"/>
        <v>697.5</v>
      </c>
      <c r="N651" s="48">
        <v>0.16</v>
      </c>
      <c r="O651" s="49">
        <f t="shared" ref="O651:O714" si="97">+M651*N651</f>
        <v>111.60000000000001</v>
      </c>
      <c r="P651" s="50">
        <f t="shared" ref="P651:P714" si="98">+M651+O651</f>
        <v>809.1</v>
      </c>
      <c r="Q651" s="23"/>
      <c r="R651" s="60"/>
      <c r="S651" s="61"/>
      <c r="T651" s="62">
        <f t="shared" si="93"/>
        <v>0</v>
      </c>
      <c r="U651" s="46">
        <f t="shared" si="93"/>
        <v>0</v>
      </c>
      <c r="V651" s="63">
        <f t="shared" si="92"/>
        <v>0</v>
      </c>
      <c r="W651" s="49">
        <f t="shared" si="96"/>
        <v>0</v>
      </c>
      <c r="X651" s="50">
        <f t="shared" ref="X651:X714" si="99">+V651+W651</f>
        <v>0</v>
      </c>
      <c r="Y651"/>
      <c r="Z651"/>
      <c r="AA651"/>
    </row>
    <row r="652" spans="1:27" s="51" customFormat="1" ht="18.600000000000001" hidden="1" customHeight="1" x14ac:dyDescent="0.25">
      <c r="A652" s="80" t="s">
        <v>16</v>
      </c>
      <c r="B652" s="20" t="s">
        <v>1556</v>
      </c>
      <c r="C652" s="21" t="s">
        <v>1325</v>
      </c>
      <c r="D652" s="20">
        <v>8435635306883</v>
      </c>
      <c r="E652" s="22" t="s">
        <v>1573</v>
      </c>
      <c r="F652" s="22" t="s">
        <v>1327</v>
      </c>
      <c r="G652" s="22">
        <v>8</v>
      </c>
      <c r="H652" s="83" t="s">
        <v>1574</v>
      </c>
      <c r="I652" s="23" t="s">
        <v>24</v>
      </c>
      <c r="J652" s="24">
        <v>930</v>
      </c>
      <c r="K652" s="25">
        <v>0.25</v>
      </c>
      <c r="L652" s="26">
        <f t="shared" si="94"/>
        <v>232.5</v>
      </c>
      <c r="M652" s="27">
        <f t="shared" si="95"/>
        <v>697.5</v>
      </c>
      <c r="N652" s="28">
        <v>0.16</v>
      </c>
      <c r="O652" s="29">
        <f t="shared" si="97"/>
        <v>111.60000000000001</v>
      </c>
      <c r="P652" s="30">
        <f t="shared" si="98"/>
        <v>809.1</v>
      </c>
      <c r="Q652" s="23"/>
      <c r="R652" s="52"/>
      <c r="S652" s="53"/>
      <c r="T652" s="54">
        <f t="shared" si="93"/>
        <v>0</v>
      </c>
      <c r="U652" s="26">
        <f t="shared" si="93"/>
        <v>0</v>
      </c>
      <c r="V652" s="55">
        <f t="shared" si="92"/>
        <v>0</v>
      </c>
      <c r="W652" s="29">
        <f t="shared" si="96"/>
        <v>0</v>
      </c>
      <c r="X652" s="30">
        <f t="shared" si="99"/>
        <v>0</v>
      </c>
      <c r="Y652"/>
      <c r="Z652"/>
      <c r="AA652"/>
    </row>
    <row r="653" spans="1:27" s="51" customFormat="1" ht="18.600000000000001" hidden="1" customHeight="1" x14ac:dyDescent="0.25">
      <c r="A653" s="81" t="s">
        <v>16</v>
      </c>
      <c r="B653" s="31" t="s">
        <v>1556</v>
      </c>
      <c r="C653" s="32" t="s">
        <v>1325</v>
      </c>
      <c r="D653" s="31">
        <v>8435635306890</v>
      </c>
      <c r="E653" s="33" t="s">
        <v>1575</v>
      </c>
      <c r="F653" s="33" t="s">
        <v>1327</v>
      </c>
      <c r="G653" s="33">
        <v>8</v>
      </c>
      <c r="H653" s="84" t="s">
        <v>1576</v>
      </c>
      <c r="I653" s="23" t="s">
        <v>24</v>
      </c>
      <c r="J653" s="34">
        <v>930</v>
      </c>
      <c r="K653" s="35">
        <v>0.25</v>
      </c>
      <c r="L653" s="36">
        <f t="shared" si="94"/>
        <v>232.5</v>
      </c>
      <c r="M653" s="37">
        <f t="shared" si="95"/>
        <v>697.5</v>
      </c>
      <c r="N653" s="38">
        <v>0.16</v>
      </c>
      <c r="O653" s="39">
        <f t="shared" si="97"/>
        <v>111.60000000000001</v>
      </c>
      <c r="P653" s="40">
        <f t="shared" si="98"/>
        <v>809.1</v>
      </c>
      <c r="Q653" s="23"/>
      <c r="R653" s="56"/>
      <c r="S653" s="57"/>
      <c r="T653" s="58">
        <f t="shared" si="93"/>
        <v>0</v>
      </c>
      <c r="U653" s="36">
        <f t="shared" si="93"/>
        <v>0</v>
      </c>
      <c r="V653" s="59">
        <f t="shared" si="92"/>
        <v>0</v>
      </c>
      <c r="W653" s="39">
        <f t="shared" si="96"/>
        <v>0</v>
      </c>
      <c r="X653" s="40">
        <f t="shared" si="99"/>
        <v>0</v>
      </c>
      <c r="Y653"/>
      <c r="Z653"/>
      <c r="AA653"/>
    </row>
    <row r="654" spans="1:27" s="51" customFormat="1" ht="18.600000000000001" hidden="1" customHeight="1" x14ac:dyDescent="0.25">
      <c r="A654" s="82" t="s">
        <v>16</v>
      </c>
      <c r="B654" s="41" t="s">
        <v>1556</v>
      </c>
      <c r="C654" s="42" t="s">
        <v>1325</v>
      </c>
      <c r="D654" s="41">
        <v>8435635306906</v>
      </c>
      <c r="E654" s="43" t="s">
        <v>1577</v>
      </c>
      <c r="F654" s="43" t="s">
        <v>1327</v>
      </c>
      <c r="G654" s="43">
        <v>8</v>
      </c>
      <c r="H654" s="85" t="s">
        <v>1578</v>
      </c>
      <c r="I654" s="23" t="s">
        <v>24</v>
      </c>
      <c r="J654" s="44">
        <v>930</v>
      </c>
      <c r="K654" s="45">
        <v>0.25</v>
      </c>
      <c r="L654" s="46">
        <f t="shared" si="94"/>
        <v>232.5</v>
      </c>
      <c r="M654" s="47">
        <f t="shared" si="95"/>
        <v>697.5</v>
      </c>
      <c r="N654" s="48">
        <v>0.16</v>
      </c>
      <c r="O654" s="49">
        <f t="shared" si="97"/>
        <v>111.60000000000001</v>
      </c>
      <c r="P654" s="50">
        <f t="shared" si="98"/>
        <v>809.1</v>
      </c>
      <c r="Q654" s="23"/>
      <c r="R654" s="60"/>
      <c r="S654" s="61"/>
      <c r="T654" s="62">
        <f t="shared" ref="T654:U669" si="100">+S654*J654</f>
        <v>0</v>
      </c>
      <c r="U654" s="46">
        <f t="shared" si="100"/>
        <v>0</v>
      </c>
      <c r="V654" s="63">
        <f t="shared" si="92"/>
        <v>0</v>
      </c>
      <c r="W654" s="49">
        <f t="shared" si="96"/>
        <v>0</v>
      </c>
      <c r="X654" s="50">
        <f t="shared" si="99"/>
        <v>0</v>
      </c>
      <c r="Y654"/>
      <c r="Z654"/>
      <c r="AA654"/>
    </row>
    <row r="655" spans="1:27" s="51" customFormat="1" ht="18.600000000000001" hidden="1" customHeight="1" x14ac:dyDescent="0.25">
      <c r="A655" s="80" t="s">
        <v>16</v>
      </c>
      <c r="B655" s="20" t="s">
        <v>1556</v>
      </c>
      <c r="C655" s="21" t="s">
        <v>1325</v>
      </c>
      <c r="D655" s="20">
        <v>8435635306913</v>
      </c>
      <c r="E655" s="22" t="s">
        <v>1579</v>
      </c>
      <c r="F655" s="22" t="s">
        <v>1327</v>
      </c>
      <c r="G655" s="22">
        <v>8</v>
      </c>
      <c r="H655" s="83" t="s">
        <v>1580</v>
      </c>
      <c r="I655" s="23" t="s">
        <v>24</v>
      </c>
      <c r="J655" s="24">
        <v>930</v>
      </c>
      <c r="K655" s="25">
        <v>0.25</v>
      </c>
      <c r="L655" s="26">
        <f t="shared" si="94"/>
        <v>232.5</v>
      </c>
      <c r="M655" s="27">
        <f t="shared" si="95"/>
        <v>697.5</v>
      </c>
      <c r="N655" s="28">
        <v>0.16</v>
      </c>
      <c r="O655" s="29">
        <f t="shared" si="97"/>
        <v>111.60000000000001</v>
      </c>
      <c r="P655" s="30">
        <f t="shared" si="98"/>
        <v>809.1</v>
      </c>
      <c r="Q655" s="23"/>
      <c r="R655" s="52"/>
      <c r="S655" s="53"/>
      <c r="T655" s="54">
        <f t="shared" si="100"/>
        <v>0</v>
      </c>
      <c r="U655" s="26">
        <f t="shared" si="100"/>
        <v>0</v>
      </c>
      <c r="V655" s="55">
        <f t="shared" si="92"/>
        <v>0</v>
      </c>
      <c r="W655" s="29">
        <f t="shared" si="96"/>
        <v>0</v>
      </c>
      <c r="X655" s="30">
        <f t="shared" si="99"/>
        <v>0</v>
      </c>
      <c r="Y655"/>
      <c r="Z655"/>
      <c r="AA655"/>
    </row>
    <row r="656" spans="1:27" s="51" customFormat="1" ht="18.600000000000001" hidden="1" customHeight="1" x14ac:dyDescent="0.25">
      <c r="A656" s="81" t="s">
        <v>16</v>
      </c>
      <c r="B656" s="31" t="s">
        <v>1556</v>
      </c>
      <c r="C656" s="32" t="s">
        <v>1325</v>
      </c>
      <c r="D656" s="31">
        <v>8435635306920</v>
      </c>
      <c r="E656" s="33" t="s">
        <v>1581</v>
      </c>
      <c r="F656" s="33" t="s">
        <v>1327</v>
      </c>
      <c r="G656" s="33">
        <v>8</v>
      </c>
      <c r="H656" s="84" t="s">
        <v>1582</v>
      </c>
      <c r="I656" s="23" t="s">
        <v>24</v>
      </c>
      <c r="J656" s="34">
        <v>930</v>
      </c>
      <c r="K656" s="35">
        <v>0.25</v>
      </c>
      <c r="L656" s="36">
        <f t="shared" si="94"/>
        <v>232.5</v>
      </c>
      <c r="M656" s="37">
        <f t="shared" si="95"/>
        <v>697.5</v>
      </c>
      <c r="N656" s="38">
        <v>0.16</v>
      </c>
      <c r="O656" s="39">
        <f t="shared" si="97"/>
        <v>111.60000000000001</v>
      </c>
      <c r="P656" s="40">
        <f t="shared" si="98"/>
        <v>809.1</v>
      </c>
      <c r="Q656" s="23"/>
      <c r="R656" s="56"/>
      <c r="S656" s="57"/>
      <c r="T656" s="58">
        <f t="shared" si="100"/>
        <v>0</v>
      </c>
      <c r="U656" s="36">
        <f t="shared" si="100"/>
        <v>0</v>
      </c>
      <c r="V656" s="59">
        <f t="shared" si="92"/>
        <v>0</v>
      </c>
      <c r="W656" s="39">
        <f t="shared" si="96"/>
        <v>0</v>
      </c>
      <c r="X656" s="40">
        <f t="shared" si="99"/>
        <v>0</v>
      </c>
      <c r="Y656"/>
      <c r="Z656"/>
      <c r="AA656"/>
    </row>
    <row r="657" spans="1:27" s="51" customFormat="1" ht="18.600000000000001" hidden="1" customHeight="1" x14ac:dyDescent="0.25">
      <c r="A657" s="82" t="s">
        <v>16</v>
      </c>
      <c r="B657" s="41" t="s">
        <v>1556</v>
      </c>
      <c r="C657" s="42" t="s">
        <v>1325</v>
      </c>
      <c r="D657" s="41">
        <v>8435635306937</v>
      </c>
      <c r="E657" s="43" t="s">
        <v>1583</v>
      </c>
      <c r="F657" s="43" t="s">
        <v>1327</v>
      </c>
      <c r="G657" s="43">
        <v>8</v>
      </c>
      <c r="H657" s="85" t="s">
        <v>1584</v>
      </c>
      <c r="I657" s="23" t="s">
        <v>24</v>
      </c>
      <c r="J657" s="44">
        <v>930</v>
      </c>
      <c r="K657" s="45">
        <v>0.25</v>
      </c>
      <c r="L657" s="46">
        <f t="shared" si="94"/>
        <v>232.5</v>
      </c>
      <c r="M657" s="47">
        <f t="shared" si="95"/>
        <v>697.5</v>
      </c>
      <c r="N657" s="48">
        <v>0.16</v>
      </c>
      <c r="O657" s="49">
        <f t="shared" si="97"/>
        <v>111.60000000000001</v>
      </c>
      <c r="P657" s="50">
        <f t="shared" si="98"/>
        <v>809.1</v>
      </c>
      <c r="Q657" s="23"/>
      <c r="R657" s="60"/>
      <c r="S657" s="61"/>
      <c r="T657" s="62">
        <f t="shared" si="100"/>
        <v>0</v>
      </c>
      <c r="U657" s="46">
        <f t="shared" si="100"/>
        <v>0</v>
      </c>
      <c r="V657" s="63">
        <f t="shared" si="92"/>
        <v>0</v>
      </c>
      <c r="W657" s="49">
        <f t="shared" si="96"/>
        <v>0</v>
      </c>
      <c r="X657" s="50">
        <f t="shared" si="99"/>
        <v>0</v>
      </c>
      <c r="Y657"/>
      <c r="Z657"/>
      <c r="AA657"/>
    </row>
    <row r="658" spans="1:27" s="51" customFormat="1" ht="18.600000000000001" hidden="1" customHeight="1" x14ac:dyDescent="0.25">
      <c r="A658" s="80" t="s">
        <v>16</v>
      </c>
      <c r="B658" s="20" t="s">
        <v>1556</v>
      </c>
      <c r="C658" s="21" t="s">
        <v>1325</v>
      </c>
      <c r="D658" s="20">
        <v>8435635306944</v>
      </c>
      <c r="E658" s="22" t="s">
        <v>1585</v>
      </c>
      <c r="F658" s="22" t="s">
        <v>1327</v>
      </c>
      <c r="G658" s="22">
        <v>8</v>
      </c>
      <c r="H658" s="83" t="s">
        <v>1586</v>
      </c>
      <c r="I658" s="23" t="s">
        <v>24</v>
      </c>
      <c r="J658" s="24">
        <v>930</v>
      </c>
      <c r="K658" s="25">
        <v>0.25</v>
      </c>
      <c r="L658" s="26">
        <f t="shared" si="94"/>
        <v>232.5</v>
      </c>
      <c r="M658" s="27">
        <f t="shared" si="95"/>
        <v>697.5</v>
      </c>
      <c r="N658" s="28">
        <v>0.16</v>
      </c>
      <c r="O658" s="29">
        <f t="shared" si="97"/>
        <v>111.60000000000001</v>
      </c>
      <c r="P658" s="30">
        <f t="shared" si="98"/>
        <v>809.1</v>
      </c>
      <c r="Q658" s="23"/>
      <c r="R658" s="52"/>
      <c r="S658" s="53"/>
      <c r="T658" s="54">
        <f t="shared" si="100"/>
        <v>0</v>
      </c>
      <c r="U658" s="26">
        <f t="shared" si="100"/>
        <v>0</v>
      </c>
      <c r="V658" s="55">
        <f t="shared" si="92"/>
        <v>0</v>
      </c>
      <c r="W658" s="29">
        <f t="shared" si="96"/>
        <v>0</v>
      </c>
      <c r="X658" s="30">
        <f t="shared" si="99"/>
        <v>0</v>
      </c>
      <c r="Y658"/>
      <c r="Z658"/>
      <c r="AA658"/>
    </row>
    <row r="659" spans="1:27" s="51" customFormat="1" ht="18.600000000000001" hidden="1" customHeight="1" x14ac:dyDescent="0.25">
      <c r="A659" s="81" t="s">
        <v>16</v>
      </c>
      <c r="B659" s="31" t="s">
        <v>1556</v>
      </c>
      <c r="C659" s="32" t="s">
        <v>1325</v>
      </c>
      <c r="D659" s="31">
        <v>8435635306951</v>
      </c>
      <c r="E659" s="33" t="s">
        <v>1587</v>
      </c>
      <c r="F659" s="33" t="s">
        <v>1327</v>
      </c>
      <c r="G659" s="33">
        <v>8</v>
      </c>
      <c r="H659" s="84" t="s">
        <v>1588</v>
      </c>
      <c r="I659" s="23" t="s">
        <v>24</v>
      </c>
      <c r="J659" s="34">
        <v>930</v>
      </c>
      <c r="K659" s="35">
        <v>0.25</v>
      </c>
      <c r="L659" s="36">
        <f t="shared" si="94"/>
        <v>232.5</v>
      </c>
      <c r="M659" s="37">
        <f t="shared" si="95"/>
        <v>697.5</v>
      </c>
      <c r="N659" s="38">
        <v>0.16</v>
      </c>
      <c r="O659" s="39">
        <f t="shared" si="97"/>
        <v>111.60000000000001</v>
      </c>
      <c r="P659" s="40">
        <f t="shared" si="98"/>
        <v>809.1</v>
      </c>
      <c r="Q659" s="23"/>
      <c r="R659" s="56"/>
      <c r="S659" s="57"/>
      <c r="T659" s="58">
        <f t="shared" si="100"/>
        <v>0</v>
      </c>
      <c r="U659" s="36">
        <f t="shared" si="100"/>
        <v>0</v>
      </c>
      <c r="V659" s="59">
        <f t="shared" si="92"/>
        <v>0</v>
      </c>
      <c r="W659" s="39">
        <f t="shared" si="96"/>
        <v>0</v>
      </c>
      <c r="X659" s="40">
        <f t="shared" si="99"/>
        <v>0</v>
      </c>
      <c r="Y659"/>
      <c r="Z659"/>
      <c r="AA659"/>
    </row>
    <row r="660" spans="1:27" s="51" customFormat="1" ht="18.600000000000001" hidden="1" customHeight="1" x14ac:dyDescent="0.25">
      <c r="A660" s="82" t="s">
        <v>16</v>
      </c>
      <c r="B660" s="41" t="s">
        <v>1556</v>
      </c>
      <c r="C660" s="42" t="s">
        <v>1325</v>
      </c>
      <c r="D660" s="41">
        <v>8435635306968</v>
      </c>
      <c r="E660" s="43" t="s">
        <v>1589</v>
      </c>
      <c r="F660" s="43" t="s">
        <v>1327</v>
      </c>
      <c r="G660" s="43">
        <v>64</v>
      </c>
      <c r="H660" s="85" t="s">
        <v>1590</v>
      </c>
      <c r="I660" s="23" t="s">
        <v>24</v>
      </c>
      <c r="J660" s="44">
        <v>7600</v>
      </c>
      <c r="K660" s="45">
        <v>0.25</v>
      </c>
      <c r="L660" s="46">
        <f t="shared" si="94"/>
        <v>1900</v>
      </c>
      <c r="M660" s="47">
        <f t="shared" si="95"/>
        <v>5700</v>
      </c>
      <c r="N660" s="48">
        <v>0.16</v>
      </c>
      <c r="O660" s="49">
        <f t="shared" si="97"/>
        <v>912</v>
      </c>
      <c r="P660" s="50">
        <f t="shared" si="98"/>
        <v>6612</v>
      </c>
      <c r="Q660" s="23"/>
      <c r="R660" s="60"/>
      <c r="S660" s="61"/>
      <c r="T660" s="62">
        <f t="shared" si="100"/>
        <v>0</v>
      </c>
      <c r="U660" s="46">
        <f t="shared" si="100"/>
        <v>0</v>
      </c>
      <c r="V660" s="63">
        <f t="shared" si="92"/>
        <v>0</v>
      </c>
      <c r="W660" s="49">
        <f t="shared" si="96"/>
        <v>0</v>
      </c>
      <c r="X660" s="50">
        <f t="shared" si="99"/>
        <v>0</v>
      </c>
      <c r="Y660"/>
      <c r="Z660"/>
      <c r="AA660"/>
    </row>
    <row r="661" spans="1:27" s="51" customFormat="1" ht="18.600000000000001" hidden="1" customHeight="1" x14ac:dyDescent="0.25">
      <c r="A661" s="80" t="s">
        <v>16</v>
      </c>
      <c r="B661" s="20" t="s">
        <v>1556</v>
      </c>
      <c r="C661" s="21" t="s">
        <v>1325</v>
      </c>
      <c r="D661" s="20">
        <v>8435635306975</v>
      </c>
      <c r="E661" s="22" t="s">
        <v>1591</v>
      </c>
      <c r="F661" s="22" t="s">
        <v>1327</v>
      </c>
      <c r="G661" s="22">
        <v>64</v>
      </c>
      <c r="H661" s="83" t="s">
        <v>1592</v>
      </c>
      <c r="I661" s="23" t="s">
        <v>24</v>
      </c>
      <c r="J661" s="24">
        <v>7600</v>
      </c>
      <c r="K661" s="25">
        <v>0.25</v>
      </c>
      <c r="L661" s="26">
        <f t="shared" si="94"/>
        <v>1900</v>
      </c>
      <c r="M661" s="27">
        <f t="shared" si="95"/>
        <v>5700</v>
      </c>
      <c r="N661" s="28">
        <v>0.16</v>
      </c>
      <c r="O661" s="29">
        <f t="shared" si="97"/>
        <v>912</v>
      </c>
      <c r="P661" s="30">
        <f t="shared" si="98"/>
        <v>6612</v>
      </c>
      <c r="Q661" s="23"/>
      <c r="R661" s="52"/>
      <c r="S661" s="53"/>
      <c r="T661" s="54">
        <f t="shared" si="100"/>
        <v>0</v>
      </c>
      <c r="U661" s="26">
        <f t="shared" si="100"/>
        <v>0</v>
      </c>
      <c r="V661" s="55">
        <f t="shared" si="92"/>
        <v>0</v>
      </c>
      <c r="W661" s="29">
        <f t="shared" si="96"/>
        <v>0</v>
      </c>
      <c r="X661" s="30">
        <f t="shared" si="99"/>
        <v>0</v>
      </c>
      <c r="Y661"/>
      <c r="Z661"/>
      <c r="AA661"/>
    </row>
    <row r="662" spans="1:27" s="51" customFormat="1" ht="18.600000000000001" hidden="1" customHeight="1" x14ac:dyDescent="0.25">
      <c r="A662" s="81" t="s">
        <v>16</v>
      </c>
      <c r="B662" s="31" t="s">
        <v>1593</v>
      </c>
      <c r="C662" s="32" t="s">
        <v>1593</v>
      </c>
      <c r="D662" s="31">
        <v>8435635304759</v>
      </c>
      <c r="E662" s="33" t="s">
        <v>1594</v>
      </c>
      <c r="F662" s="33" t="s">
        <v>1595</v>
      </c>
      <c r="G662" s="33" t="s">
        <v>1596</v>
      </c>
      <c r="H662" s="84" t="s">
        <v>1597</v>
      </c>
      <c r="I662" s="23" t="s">
        <v>24</v>
      </c>
      <c r="J662" s="34">
        <v>250</v>
      </c>
      <c r="K662" s="35">
        <v>0.25</v>
      </c>
      <c r="L662" s="36">
        <f t="shared" si="94"/>
        <v>62.5</v>
      </c>
      <c r="M662" s="37">
        <f t="shared" si="95"/>
        <v>187.5</v>
      </c>
      <c r="N662" s="38">
        <v>0.16</v>
      </c>
      <c r="O662" s="39">
        <f t="shared" si="97"/>
        <v>30</v>
      </c>
      <c r="P662" s="40">
        <f t="shared" si="98"/>
        <v>217.5</v>
      </c>
      <c r="Q662" s="23"/>
      <c r="R662" s="56"/>
      <c r="S662" s="57"/>
      <c r="T662" s="58">
        <f t="shared" si="100"/>
        <v>0</v>
      </c>
      <c r="U662" s="36">
        <f t="shared" si="100"/>
        <v>0</v>
      </c>
      <c r="V662" s="59">
        <f t="shared" si="92"/>
        <v>0</v>
      </c>
      <c r="W662" s="39">
        <f t="shared" si="96"/>
        <v>0</v>
      </c>
      <c r="X662" s="40">
        <f t="shared" si="99"/>
        <v>0</v>
      </c>
      <c r="Y662"/>
      <c r="Z662"/>
      <c r="AA662"/>
    </row>
    <row r="663" spans="1:27" s="51" customFormat="1" ht="18.600000000000001" hidden="1" customHeight="1" x14ac:dyDescent="0.25">
      <c r="A663" s="82" t="s">
        <v>16</v>
      </c>
      <c r="B663" s="41" t="s">
        <v>1593</v>
      </c>
      <c r="C663" s="42" t="s">
        <v>1593</v>
      </c>
      <c r="D663" s="41">
        <v>7426974774083</v>
      </c>
      <c r="E663" s="43" t="s">
        <v>1598</v>
      </c>
      <c r="F663" s="43" t="s">
        <v>1595</v>
      </c>
      <c r="G663" s="43" t="s">
        <v>1599</v>
      </c>
      <c r="H663" s="85" t="s">
        <v>1600</v>
      </c>
      <c r="I663" s="23" t="s">
        <v>24</v>
      </c>
      <c r="J663" s="44">
        <v>150</v>
      </c>
      <c r="K663" s="45">
        <v>0.25</v>
      </c>
      <c r="L663" s="46">
        <f t="shared" si="94"/>
        <v>37.5</v>
      </c>
      <c r="M663" s="47">
        <f t="shared" si="95"/>
        <v>112.5</v>
      </c>
      <c r="N663" s="48">
        <v>0.16</v>
      </c>
      <c r="O663" s="49">
        <f t="shared" si="97"/>
        <v>18</v>
      </c>
      <c r="P663" s="50">
        <f t="shared" si="98"/>
        <v>130.5</v>
      </c>
      <c r="Q663" s="23"/>
      <c r="R663" s="60"/>
      <c r="S663" s="61"/>
      <c r="T663" s="62">
        <f t="shared" si="100"/>
        <v>0</v>
      </c>
      <c r="U663" s="46">
        <f t="shared" si="100"/>
        <v>0</v>
      </c>
      <c r="V663" s="63">
        <f t="shared" si="92"/>
        <v>0</v>
      </c>
      <c r="W663" s="49">
        <f t="shared" si="96"/>
        <v>0</v>
      </c>
      <c r="X663" s="50">
        <f t="shared" si="99"/>
        <v>0</v>
      </c>
      <c r="Y663"/>
      <c r="Z663"/>
      <c r="AA663"/>
    </row>
    <row r="664" spans="1:27" s="51" customFormat="1" ht="18.600000000000001" hidden="1" customHeight="1" x14ac:dyDescent="0.25">
      <c r="A664" s="80" t="s">
        <v>16</v>
      </c>
      <c r="B664" s="20" t="s">
        <v>1593</v>
      </c>
      <c r="C664" s="21" t="s">
        <v>1593</v>
      </c>
      <c r="D664" s="20" t="s">
        <v>1601</v>
      </c>
      <c r="E664" s="22" t="s">
        <v>1602</v>
      </c>
      <c r="F664" s="22" t="s">
        <v>1595</v>
      </c>
      <c r="G664" s="22" t="s">
        <v>1599</v>
      </c>
      <c r="H664" s="83" t="s">
        <v>1603</v>
      </c>
      <c r="I664" s="23" t="s">
        <v>24</v>
      </c>
      <c r="J664" s="24">
        <v>150</v>
      </c>
      <c r="K664" s="25">
        <v>0.25</v>
      </c>
      <c r="L664" s="26">
        <f t="shared" si="94"/>
        <v>37.5</v>
      </c>
      <c r="M664" s="27">
        <f t="shared" si="95"/>
        <v>112.5</v>
      </c>
      <c r="N664" s="28">
        <v>0.16</v>
      </c>
      <c r="O664" s="29">
        <f t="shared" si="97"/>
        <v>18</v>
      </c>
      <c r="P664" s="30">
        <f t="shared" si="98"/>
        <v>130.5</v>
      </c>
      <c r="Q664" s="23"/>
      <c r="R664" s="52"/>
      <c r="S664" s="53"/>
      <c r="T664" s="54">
        <f t="shared" si="100"/>
        <v>0</v>
      </c>
      <c r="U664" s="26">
        <f t="shared" si="100"/>
        <v>0</v>
      </c>
      <c r="V664" s="55">
        <f t="shared" si="92"/>
        <v>0</v>
      </c>
      <c r="W664" s="29">
        <f t="shared" si="96"/>
        <v>0</v>
      </c>
      <c r="X664" s="30">
        <f t="shared" si="99"/>
        <v>0</v>
      </c>
      <c r="Y664"/>
      <c r="Z664"/>
      <c r="AA664"/>
    </row>
    <row r="665" spans="1:27" s="51" customFormat="1" ht="18.600000000000001" hidden="1" customHeight="1" x14ac:dyDescent="0.25">
      <c r="A665" s="81" t="s">
        <v>16</v>
      </c>
      <c r="B665" s="31" t="s">
        <v>1593</v>
      </c>
      <c r="C665" s="32" t="s">
        <v>1593</v>
      </c>
      <c r="D665" s="31" t="s">
        <v>1604</v>
      </c>
      <c r="E665" s="33" t="s">
        <v>1605</v>
      </c>
      <c r="F665" s="33" t="s">
        <v>1595</v>
      </c>
      <c r="G665" s="33" t="s">
        <v>1606</v>
      </c>
      <c r="H665" s="84" t="s">
        <v>1607</v>
      </c>
      <c r="I665" s="23" t="s">
        <v>24</v>
      </c>
      <c r="J665" s="34">
        <v>150</v>
      </c>
      <c r="K665" s="35">
        <v>0.25</v>
      </c>
      <c r="L665" s="36">
        <f t="shared" si="94"/>
        <v>37.5</v>
      </c>
      <c r="M665" s="37">
        <f t="shared" si="95"/>
        <v>112.5</v>
      </c>
      <c r="N665" s="38">
        <v>0.16</v>
      </c>
      <c r="O665" s="39">
        <f t="shared" si="97"/>
        <v>18</v>
      </c>
      <c r="P665" s="40">
        <f t="shared" si="98"/>
        <v>130.5</v>
      </c>
      <c r="Q665" s="23"/>
      <c r="R665" s="56"/>
      <c r="S665" s="57"/>
      <c r="T665" s="58">
        <f t="shared" si="100"/>
        <v>0</v>
      </c>
      <c r="U665" s="36">
        <f t="shared" si="100"/>
        <v>0</v>
      </c>
      <c r="V665" s="59">
        <f t="shared" si="92"/>
        <v>0</v>
      </c>
      <c r="W665" s="39">
        <f t="shared" si="96"/>
        <v>0</v>
      </c>
      <c r="X665" s="40">
        <f t="shared" si="99"/>
        <v>0</v>
      </c>
      <c r="Y665"/>
      <c r="Z665"/>
      <c r="AA665"/>
    </row>
    <row r="666" spans="1:27" s="51" customFormat="1" ht="18.600000000000001" hidden="1" customHeight="1" x14ac:dyDescent="0.25">
      <c r="A666" s="82" t="s">
        <v>16</v>
      </c>
      <c r="B666" s="41" t="s">
        <v>1593</v>
      </c>
      <c r="C666" s="42" t="s">
        <v>1593</v>
      </c>
      <c r="D666" s="41">
        <v>8435635305671</v>
      </c>
      <c r="E666" s="43" t="s">
        <v>1608</v>
      </c>
      <c r="F666" s="43" t="s">
        <v>1595</v>
      </c>
      <c r="G666" s="43" t="s">
        <v>22</v>
      </c>
      <c r="H666" s="85" t="s">
        <v>1609</v>
      </c>
      <c r="I666" s="23" t="s">
        <v>24</v>
      </c>
      <c r="J666" s="44">
        <v>500</v>
      </c>
      <c r="K666" s="45">
        <v>0.25</v>
      </c>
      <c r="L666" s="46">
        <f t="shared" si="94"/>
        <v>125</v>
      </c>
      <c r="M666" s="47">
        <f t="shared" si="95"/>
        <v>375</v>
      </c>
      <c r="N666" s="48">
        <v>0.16</v>
      </c>
      <c r="O666" s="49">
        <f t="shared" si="97"/>
        <v>60</v>
      </c>
      <c r="P666" s="50">
        <f t="shared" si="98"/>
        <v>435</v>
      </c>
      <c r="Q666" s="23"/>
      <c r="R666" s="60"/>
      <c r="S666" s="61"/>
      <c r="T666" s="62">
        <f t="shared" si="100"/>
        <v>0</v>
      </c>
      <c r="U666" s="46">
        <f t="shared" si="100"/>
        <v>0</v>
      </c>
      <c r="V666" s="63">
        <f t="shared" ref="V666:V729" si="101">+T666-U666</f>
        <v>0</v>
      </c>
      <c r="W666" s="49">
        <f t="shared" si="96"/>
        <v>0</v>
      </c>
      <c r="X666" s="50">
        <f t="shared" si="99"/>
        <v>0</v>
      </c>
      <c r="Y666"/>
      <c r="Z666"/>
      <c r="AA666"/>
    </row>
    <row r="667" spans="1:27" s="51" customFormat="1" ht="18.600000000000001" hidden="1" customHeight="1" x14ac:dyDescent="0.25">
      <c r="A667" s="80" t="s">
        <v>16</v>
      </c>
      <c r="B667" s="20" t="s">
        <v>1593</v>
      </c>
      <c r="C667" s="21" t="s">
        <v>1593</v>
      </c>
      <c r="D667" s="20">
        <v>8435635305688</v>
      </c>
      <c r="E667" s="22" t="s">
        <v>1610</v>
      </c>
      <c r="F667" s="22" t="s">
        <v>1595</v>
      </c>
      <c r="G667" s="22" t="s">
        <v>22</v>
      </c>
      <c r="H667" s="83" t="s">
        <v>1611</v>
      </c>
      <c r="I667" s="23" t="s">
        <v>24</v>
      </c>
      <c r="J667" s="24">
        <v>350</v>
      </c>
      <c r="K667" s="25">
        <v>0.25</v>
      </c>
      <c r="L667" s="26">
        <f t="shared" si="94"/>
        <v>87.5</v>
      </c>
      <c r="M667" s="27">
        <f t="shared" si="95"/>
        <v>262.5</v>
      </c>
      <c r="N667" s="28">
        <v>0.16</v>
      </c>
      <c r="O667" s="29">
        <f t="shared" si="97"/>
        <v>42</v>
      </c>
      <c r="P667" s="30">
        <f t="shared" si="98"/>
        <v>304.5</v>
      </c>
      <c r="Q667" s="23"/>
      <c r="R667" s="52"/>
      <c r="S667" s="53"/>
      <c r="T667" s="54">
        <f t="shared" si="100"/>
        <v>0</v>
      </c>
      <c r="U667" s="26">
        <f t="shared" si="100"/>
        <v>0</v>
      </c>
      <c r="V667" s="55">
        <f t="shared" si="101"/>
        <v>0</v>
      </c>
      <c r="W667" s="29">
        <f t="shared" si="96"/>
        <v>0</v>
      </c>
      <c r="X667" s="30">
        <f t="shared" si="99"/>
        <v>0</v>
      </c>
      <c r="Y667"/>
      <c r="Z667"/>
      <c r="AA667"/>
    </row>
    <row r="668" spans="1:27" s="51" customFormat="1" ht="18.600000000000001" hidden="1" customHeight="1" x14ac:dyDescent="0.25">
      <c r="A668" s="81" t="s">
        <v>16</v>
      </c>
      <c r="B668" s="31" t="s">
        <v>1593</v>
      </c>
      <c r="C668" s="32" t="s">
        <v>1593</v>
      </c>
      <c r="D668" s="31">
        <v>8435635306388</v>
      </c>
      <c r="E668" s="33" t="s">
        <v>1612</v>
      </c>
      <c r="F668" s="33" t="s">
        <v>1595</v>
      </c>
      <c r="G668" s="33" t="s">
        <v>22</v>
      </c>
      <c r="H668" s="84" t="s">
        <v>1613</v>
      </c>
      <c r="I668" s="23" t="s">
        <v>24</v>
      </c>
      <c r="J668" s="34">
        <v>110</v>
      </c>
      <c r="K668" s="35">
        <v>0.25</v>
      </c>
      <c r="L668" s="36">
        <f t="shared" si="94"/>
        <v>27.5</v>
      </c>
      <c r="M668" s="37">
        <f t="shared" si="95"/>
        <v>82.5</v>
      </c>
      <c r="N668" s="38">
        <v>0.16</v>
      </c>
      <c r="O668" s="39">
        <f t="shared" si="97"/>
        <v>13.200000000000001</v>
      </c>
      <c r="P668" s="40">
        <f t="shared" si="98"/>
        <v>95.7</v>
      </c>
      <c r="Q668" s="23"/>
      <c r="R668" s="56"/>
      <c r="S668" s="57"/>
      <c r="T668" s="58">
        <f t="shared" si="100"/>
        <v>0</v>
      </c>
      <c r="U668" s="36">
        <f t="shared" si="100"/>
        <v>0</v>
      </c>
      <c r="V668" s="59">
        <f t="shared" si="101"/>
        <v>0</v>
      </c>
      <c r="W668" s="39">
        <f t="shared" si="96"/>
        <v>0</v>
      </c>
      <c r="X668" s="40">
        <f t="shared" si="99"/>
        <v>0</v>
      </c>
      <c r="Y668"/>
      <c r="Z668"/>
      <c r="AA668"/>
    </row>
    <row r="669" spans="1:27" s="51" customFormat="1" ht="18.600000000000001" hidden="1" customHeight="1" x14ac:dyDescent="0.25">
      <c r="A669" s="82" t="s">
        <v>16</v>
      </c>
      <c r="B669" s="41" t="s">
        <v>1593</v>
      </c>
      <c r="C669" s="42" t="s">
        <v>1593</v>
      </c>
      <c r="D669" s="41">
        <v>489434897453</v>
      </c>
      <c r="E669" s="43" t="s">
        <v>1614</v>
      </c>
      <c r="F669" s="43" t="s">
        <v>1595</v>
      </c>
      <c r="G669" s="43" t="s">
        <v>22</v>
      </c>
      <c r="H669" s="85" t="s">
        <v>1615</v>
      </c>
      <c r="I669" s="23" t="s">
        <v>24</v>
      </c>
      <c r="J669" s="44">
        <v>110</v>
      </c>
      <c r="K669" s="45">
        <v>0.25</v>
      </c>
      <c r="L669" s="46">
        <f t="shared" si="94"/>
        <v>27.5</v>
      </c>
      <c r="M669" s="47">
        <f t="shared" si="95"/>
        <v>82.5</v>
      </c>
      <c r="N669" s="48">
        <v>0.16</v>
      </c>
      <c r="O669" s="49">
        <f t="shared" si="97"/>
        <v>13.200000000000001</v>
      </c>
      <c r="P669" s="50">
        <f t="shared" si="98"/>
        <v>95.7</v>
      </c>
      <c r="Q669" s="23"/>
      <c r="R669" s="60"/>
      <c r="S669" s="61"/>
      <c r="T669" s="62">
        <f t="shared" si="100"/>
        <v>0</v>
      </c>
      <c r="U669" s="46">
        <f t="shared" si="100"/>
        <v>0</v>
      </c>
      <c r="V669" s="63">
        <f t="shared" si="101"/>
        <v>0</v>
      </c>
      <c r="W669" s="49">
        <f t="shared" si="96"/>
        <v>0</v>
      </c>
      <c r="X669" s="50">
        <f t="shared" si="99"/>
        <v>0</v>
      </c>
      <c r="Y669"/>
      <c r="Z669"/>
      <c r="AA669"/>
    </row>
    <row r="670" spans="1:27" s="51" customFormat="1" ht="18.600000000000001" hidden="1" customHeight="1" x14ac:dyDescent="0.25">
      <c r="A670" s="80" t="s">
        <v>16</v>
      </c>
      <c r="B670" s="20" t="s">
        <v>1593</v>
      </c>
      <c r="C670" s="21" t="s">
        <v>1593</v>
      </c>
      <c r="D670" s="20" t="s">
        <v>1616</v>
      </c>
      <c r="E670" s="22" t="s">
        <v>1617</v>
      </c>
      <c r="F670" s="22" t="s">
        <v>1595</v>
      </c>
      <c r="G670" s="22" t="s">
        <v>1618</v>
      </c>
      <c r="H670" s="83" t="s">
        <v>1619</v>
      </c>
      <c r="I670" s="23" t="s">
        <v>24</v>
      </c>
      <c r="J670" s="24">
        <v>90</v>
      </c>
      <c r="K670" s="25">
        <v>0.25</v>
      </c>
      <c r="L670" s="26">
        <f t="shared" si="94"/>
        <v>22.5</v>
      </c>
      <c r="M670" s="27">
        <f t="shared" si="95"/>
        <v>67.5</v>
      </c>
      <c r="N670" s="28">
        <v>0.16</v>
      </c>
      <c r="O670" s="29">
        <f t="shared" si="97"/>
        <v>10.8</v>
      </c>
      <c r="P670" s="30">
        <f t="shared" si="98"/>
        <v>78.3</v>
      </c>
      <c r="Q670" s="23"/>
      <c r="R670" s="52"/>
      <c r="S670" s="53"/>
      <c r="T670" s="54">
        <f t="shared" ref="T670:U685" si="102">+S670*J670</f>
        <v>0</v>
      </c>
      <c r="U670" s="26">
        <f t="shared" si="102"/>
        <v>0</v>
      </c>
      <c r="V670" s="55">
        <f t="shared" si="101"/>
        <v>0</v>
      </c>
      <c r="W670" s="29">
        <f t="shared" si="96"/>
        <v>0</v>
      </c>
      <c r="X670" s="30">
        <f t="shared" si="99"/>
        <v>0</v>
      </c>
      <c r="Y670"/>
      <c r="Z670"/>
      <c r="AA670"/>
    </row>
    <row r="671" spans="1:27" s="51" customFormat="1" ht="18.600000000000001" hidden="1" customHeight="1" x14ac:dyDescent="0.25">
      <c r="A671" s="81" t="s">
        <v>16</v>
      </c>
      <c r="B671" s="31" t="s">
        <v>1593</v>
      </c>
      <c r="C671" s="32" t="s">
        <v>1593</v>
      </c>
      <c r="D671" s="31" t="s">
        <v>1620</v>
      </c>
      <c r="E671" s="33" t="s">
        <v>1621</v>
      </c>
      <c r="F671" s="33" t="s">
        <v>1595</v>
      </c>
      <c r="G671" s="33" t="s">
        <v>1622</v>
      </c>
      <c r="H671" s="84" t="s">
        <v>1623</v>
      </c>
      <c r="I671" s="23" t="s">
        <v>24</v>
      </c>
      <c r="J671" s="34">
        <v>280</v>
      </c>
      <c r="K671" s="35">
        <v>0.25</v>
      </c>
      <c r="L671" s="36">
        <f t="shared" si="94"/>
        <v>70</v>
      </c>
      <c r="M671" s="37">
        <f t="shared" si="95"/>
        <v>210</v>
      </c>
      <c r="N671" s="38">
        <v>0.16</v>
      </c>
      <c r="O671" s="39">
        <f t="shared" si="97"/>
        <v>33.6</v>
      </c>
      <c r="P671" s="40">
        <f t="shared" si="98"/>
        <v>243.6</v>
      </c>
      <c r="Q671" s="23"/>
      <c r="R671" s="56"/>
      <c r="S671" s="57"/>
      <c r="T671" s="58">
        <f t="shared" si="102"/>
        <v>0</v>
      </c>
      <c r="U671" s="36">
        <f t="shared" si="102"/>
        <v>0</v>
      </c>
      <c r="V671" s="59">
        <f t="shared" si="101"/>
        <v>0</v>
      </c>
      <c r="W671" s="39">
        <f t="shared" si="96"/>
        <v>0</v>
      </c>
      <c r="X671" s="40">
        <f t="shared" si="99"/>
        <v>0</v>
      </c>
      <c r="Y671"/>
      <c r="Z671"/>
      <c r="AA671"/>
    </row>
    <row r="672" spans="1:27" s="51" customFormat="1" ht="18.600000000000001" hidden="1" customHeight="1" x14ac:dyDescent="0.25">
      <c r="A672" s="82" t="s">
        <v>16</v>
      </c>
      <c r="B672" s="41" t="s">
        <v>1593</v>
      </c>
      <c r="C672" s="42" t="s">
        <v>1593</v>
      </c>
      <c r="D672" s="41" t="s">
        <v>1624</v>
      </c>
      <c r="E672" s="43" t="s">
        <v>1625</v>
      </c>
      <c r="F672" s="43" t="s">
        <v>1595</v>
      </c>
      <c r="G672" s="43" t="s">
        <v>22</v>
      </c>
      <c r="H672" s="85" t="s">
        <v>1626</v>
      </c>
      <c r="I672" s="23" t="s">
        <v>24</v>
      </c>
      <c r="J672" s="44">
        <v>60</v>
      </c>
      <c r="K672" s="45">
        <v>0.25</v>
      </c>
      <c r="L672" s="46">
        <f t="shared" si="94"/>
        <v>15</v>
      </c>
      <c r="M672" s="47">
        <f t="shared" si="95"/>
        <v>45</v>
      </c>
      <c r="N672" s="48">
        <v>0.16</v>
      </c>
      <c r="O672" s="49">
        <f t="shared" si="97"/>
        <v>7.2</v>
      </c>
      <c r="P672" s="50">
        <f t="shared" si="98"/>
        <v>52.2</v>
      </c>
      <c r="Q672" s="23"/>
      <c r="R672" s="60"/>
      <c r="S672" s="61"/>
      <c r="T672" s="62">
        <f t="shared" si="102"/>
        <v>0</v>
      </c>
      <c r="U672" s="46">
        <f t="shared" si="102"/>
        <v>0</v>
      </c>
      <c r="V672" s="63">
        <f t="shared" si="101"/>
        <v>0</v>
      </c>
      <c r="W672" s="49">
        <f t="shared" si="96"/>
        <v>0</v>
      </c>
      <c r="X672" s="50">
        <f t="shared" si="99"/>
        <v>0</v>
      </c>
      <c r="Y672"/>
      <c r="Z672"/>
      <c r="AA672"/>
    </row>
    <row r="673" spans="1:27" s="51" customFormat="1" ht="18.600000000000001" hidden="1" customHeight="1" x14ac:dyDescent="0.25">
      <c r="A673" s="80" t="s">
        <v>16</v>
      </c>
      <c r="B673" s="20" t="s">
        <v>1593</v>
      </c>
      <c r="C673" s="21" t="s">
        <v>1593</v>
      </c>
      <c r="D673" s="20" t="s">
        <v>1627</v>
      </c>
      <c r="E673" s="22" t="s">
        <v>1628</v>
      </c>
      <c r="F673" s="22" t="s">
        <v>1595</v>
      </c>
      <c r="G673" s="22" t="s">
        <v>1629</v>
      </c>
      <c r="H673" s="83" t="s">
        <v>1630</v>
      </c>
      <c r="I673" s="23" t="s">
        <v>24</v>
      </c>
      <c r="J673" s="24">
        <v>290</v>
      </c>
      <c r="K673" s="25">
        <v>0.25</v>
      </c>
      <c r="L673" s="26">
        <f t="shared" si="94"/>
        <v>72.5</v>
      </c>
      <c r="M673" s="27">
        <f t="shared" si="95"/>
        <v>217.5</v>
      </c>
      <c r="N673" s="28">
        <v>0.16</v>
      </c>
      <c r="O673" s="29">
        <f t="shared" si="97"/>
        <v>34.800000000000004</v>
      </c>
      <c r="P673" s="30">
        <f t="shared" si="98"/>
        <v>252.3</v>
      </c>
      <c r="Q673" s="23"/>
      <c r="R673" s="52"/>
      <c r="S673" s="53"/>
      <c r="T673" s="54">
        <f t="shared" si="102"/>
        <v>0</v>
      </c>
      <c r="U673" s="26">
        <f t="shared" si="102"/>
        <v>0</v>
      </c>
      <c r="V673" s="55">
        <f t="shared" si="101"/>
        <v>0</v>
      </c>
      <c r="W673" s="29">
        <f t="shared" si="96"/>
        <v>0</v>
      </c>
      <c r="X673" s="30">
        <f t="shared" si="99"/>
        <v>0</v>
      </c>
      <c r="Y673"/>
      <c r="Z673"/>
      <c r="AA673"/>
    </row>
    <row r="674" spans="1:27" s="51" customFormat="1" ht="18.600000000000001" hidden="1" customHeight="1" x14ac:dyDescent="0.25">
      <c r="A674" s="81" t="s">
        <v>16</v>
      </c>
      <c r="B674" s="31" t="s">
        <v>1593</v>
      </c>
      <c r="C674" s="32" t="s">
        <v>1593</v>
      </c>
      <c r="D674" s="31">
        <v>7427047969238</v>
      </c>
      <c r="E674" s="33" t="s">
        <v>1631</v>
      </c>
      <c r="F674" s="33" t="s">
        <v>1595</v>
      </c>
      <c r="G674" s="33" t="s">
        <v>1599</v>
      </c>
      <c r="H674" s="84" t="s">
        <v>1632</v>
      </c>
      <c r="I674" s="23" t="s">
        <v>24</v>
      </c>
      <c r="J674" s="34">
        <v>200</v>
      </c>
      <c r="K674" s="35">
        <v>0.25</v>
      </c>
      <c r="L674" s="36">
        <f t="shared" si="94"/>
        <v>50</v>
      </c>
      <c r="M674" s="37">
        <f t="shared" si="95"/>
        <v>150</v>
      </c>
      <c r="N674" s="38">
        <v>0.16</v>
      </c>
      <c r="O674" s="39">
        <f t="shared" si="97"/>
        <v>24</v>
      </c>
      <c r="P674" s="40">
        <f t="shared" si="98"/>
        <v>174</v>
      </c>
      <c r="Q674" s="23"/>
      <c r="R674" s="56"/>
      <c r="S674" s="57"/>
      <c r="T674" s="58">
        <f t="shared" si="102"/>
        <v>0</v>
      </c>
      <c r="U674" s="36">
        <f t="shared" si="102"/>
        <v>0</v>
      </c>
      <c r="V674" s="59">
        <f t="shared" si="101"/>
        <v>0</v>
      </c>
      <c r="W674" s="39">
        <f t="shared" si="96"/>
        <v>0</v>
      </c>
      <c r="X674" s="40">
        <f t="shared" si="99"/>
        <v>0</v>
      </c>
      <c r="Y674"/>
      <c r="Z674"/>
      <c r="AA674"/>
    </row>
    <row r="675" spans="1:27" s="51" customFormat="1" ht="18.600000000000001" hidden="1" customHeight="1" x14ac:dyDescent="0.25">
      <c r="A675" s="82" t="s">
        <v>16</v>
      </c>
      <c r="B675" s="41" t="s">
        <v>1593</v>
      </c>
      <c r="C675" s="42" t="s">
        <v>1593</v>
      </c>
      <c r="D675" s="41">
        <v>8435635304735</v>
      </c>
      <c r="E675" s="43" t="s">
        <v>1633</v>
      </c>
      <c r="F675" s="43" t="s">
        <v>1595</v>
      </c>
      <c r="G675" s="43" t="s">
        <v>1599</v>
      </c>
      <c r="H675" s="85" t="s">
        <v>1634</v>
      </c>
      <c r="I675" s="23" t="s">
        <v>24</v>
      </c>
      <c r="J675" s="44">
        <v>200</v>
      </c>
      <c r="K675" s="45">
        <v>0.25</v>
      </c>
      <c r="L675" s="46">
        <f t="shared" si="94"/>
        <v>50</v>
      </c>
      <c r="M675" s="47">
        <f t="shared" si="95"/>
        <v>150</v>
      </c>
      <c r="N675" s="48">
        <v>0.16</v>
      </c>
      <c r="O675" s="49">
        <f t="shared" si="97"/>
        <v>24</v>
      </c>
      <c r="P675" s="50">
        <f t="shared" si="98"/>
        <v>174</v>
      </c>
      <c r="Q675" s="23"/>
      <c r="R675" s="60"/>
      <c r="S675" s="61"/>
      <c r="T675" s="62">
        <f t="shared" si="102"/>
        <v>0</v>
      </c>
      <c r="U675" s="46">
        <f t="shared" si="102"/>
        <v>0</v>
      </c>
      <c r="V675" s="63">
        <f t="shared" si="101"/>
        <v>0</v>
      </c>
      <c r="W675" s="49">
        <f t="shared" si="96"/>
        <v>0</v>
      </c>
      <c r="X675" s="50">
        <f t="shared" si="99"/>
        <v>0</v>
      </c>
      <c r="Y675"/>
      <c r="Z675"/>
      <c r="AA675"/>
    </row>
    <row r="676" spans="1:27" s="51" customFormat="1" ht="18.600000000000001" hidden="1" customHeight="1" x14ac:dyDescent="0.25">
      <c r="A676" s="80" t="s">
        <v>16</v>
      </c>
      <c r="B676" s="20" t="s">
        <v>1593</v>
      </c>
      <c r="C676" s="21" t="s">
        <v>1593</v>
      </c>
      <c r="D676" s="20">
        <v>8435635304742</v>
      </c>
      <c r="E676" s="22" t="s">
        <v>1635</v>
      </c>
      <c r="F676" s="22" t="s">
        <v>1595</v>
      </c>
      <c r="G676" s="22" t="s">
        <v>1599</v>
      </c>
      <c r="H676" s="83" t="s">
        <v>1636</v>
      </c>
      <c r="I676" s="23" t="s">
        <v>24</v>
      </c>
      <c r="J676" s="24">
        <v>200</v>
      </c>
      <c r="K676" s="25">
        <v>0.25</v>
      </c>
      <c r="L676" s="26">
        <f t="shared" si="94"/>
        <v>50</v>
      </c>
      <c r="M676" s="27">
        <f t="shared" si="95"/>
        <v>150</v>
      </c>
      <c r="N676" s="28">
        <v>0.16</v>
      </c>
      <c r="O676" s="29">
        <f t="shared" si="97"/>
        <v>24</v>
      </c>
      <c r="P676" s="30">
        <f t="shared" si="98"/>
        <v>174</v>
      </c>
      <c r="Q676" s="23"/>
      <c r="R676" s="52"/>
      <c r="S676" s="53"/>
      <c r="T676" s="54">
        <f t="shared" si="102"/>
        <v>0</v>
      </c>
      <c r="U676" s="26">
        <f t="shared" si="102"/>
        <v>0</v>
      </c>
      <c r="V676" s="55">
        <f t="shared" si="101"/>
        <v>0</v>
      </c>
      <c r="W676" s="29">
        <f t="shared" si="96"/>
        <v>0</v>
      </c>
      <c r="X676" s="30">
        <f t="shared" si="99"/>
        <v>0</v>
      </c>
      <c r="Y676"/>
      <c r="Z676"/>
      <c r="AA676"/>
    </row>
    <row r="677" spans="1:27" s="51" customFormat="1" ht="18.600000000000001" hidden="1" customHeight="1" x14ac:dyDescent="0.25">
      <c r="A677" s="81" t="s">
        <v>16</v>
      </c>
      <c r="B677" s="31" t="s">
        <v>1637</v>
      </c>
      <c r="C677" s="32" t="s">
        <v>1637</v>
      </c>
      <c r="D677" s="31" t="s">
        <v>1638</v>
      </c>
      <c r="E677" s="33" t="s">
        <v>1639</v>
      </c>
      <c r="F677" s="33" t="s">
        <v>1640</v>
      </c>
      <c r="G677" s="33" t="s">
        <v>1599</v>
      </c>
      <c r="H677" s="84" t="s">
        <v>1641</v>
      </c>
      <c r="I677" s="23" t="s">
        <v>24</v>
      </c>
      <c r="J677" s="34">
        <v>200</v>
      </c>
      <c r="K677" s="35">
        <v>0.25</v>
      </c>
      <c r="L677" s="36">
        <f t="shared" si="94"/>
        <v>50</v>
      </c>
      <c r="M677" s="37">
        <f t="shared" si="95"/>
        <v>150</v>
      </c>
      <c r="N677" s="38">
        <v>0.16</v>
      </c>
      <c r="O677" s="39">
        <f t="shared" si="97"/>
        <v>24</v>
      </c>
      <c r="P677" s="40">
        <f t="shared" si="98"/>
        <v>174</v>
      </c>
      <c r="Q677" s="23"/>
      <c r="R677" s="56"/>
      <c r="S677" s="57"/>
      <c r="T677" s="58">
        <f t="shared" si="102"/>
        <v>0</v>
      </c>
      <c r="U677" s="36">
        <f t="shared" si="102"/>
        <v>0</v>
      </c>
      <c r="V677" s="59">
        <f t="shared" si="101"/>
        <v>0</v>
      </c>
      <c r="W677" s="39">
        <f t="shared" si="96"/>
        <v>0</v>
      </c>
      <c r="X677" s="40">
        <f t="shared" si="99"/>
        <v>0</v>
      </c>
      <c r="Y677"/>
      <c r="Z677"/>
      <c r="AA677"/>
    </row>
    <row r="678" spans="1:27" s="51" customFormat="1" ht="18.600000000000001" hidden="1" customHeight="1" x14ac:dyDescent="0.25">
      <c r="A678" s="82" t="s">
        <v>16</v>
      </c>
      <c r="B678" s="41" t="s">
        <v>1637</v>
      </c>
      <c r="C678" s="42" t="s">
        <v>1637</v>
      </c>
      <c r="D678" s="41" t="s">
        <v>1642</v>
      </c>
      <c r="E678" s="43" t="s">
        <v>1643</v>
      </c>
      <c r="F678" s="43" t="s">
        <v>1640</v>
      </c>
      <c r="G678" s="43" t="s">
        <v>1599</v>
      </c>
      <c r="H678" s="85" t="s">
        <v>1644</v>
      </c>
      <c r="I678" s="23" t="s">
        <v>24</v>
      </c>
      <c r="J678" s="44">
        <v>200</v>
      </c>
      <c r="K678" s="45">
        <v>0.25</v>
      </c>
      <c r="L678" s="46">
        <f t="shared" si="94"/>
        <v>50</v>
      </c>
      <c r="M678" s="47">
        <f t="shared" si="95"/>
        <v>150</v>
      </c>
      <c r="N678" s="48">
        <v>0.16</v>
      </c>
      <c r="O678" s="49">
        <f t="shared" si="97"/>
        <v>24</v>
      </c>
      <c r="P678" s="50">
        <f t="shared" si="98"/>
        <v>174</v>
      </c>
      <c r="Q678" s="23"/>
      <c r="R678" s="60"/>
      <c r="S678" s="61"/>
      <c r="T678" s="62">
        <f t="shared" si="102"/>
        <v>0</v>
      </c>
      <c r="U678" s="46">
        <f t="shared" si="102"/>
        <v>0</v>
      </c>
      <c r="V678" s="63">
        <f t="shared" si="101"/>
        <v>0</v>
      </c>
      <c r="W678" s="49">
        <f t="shared" si="96"/>
        <v>0</v>
      </c>
      <c r="X678" s="50">
        <f t="shared" si="99"/>
        <v>0</v>
      </c>
      <c r="Y678"/>
      <c r="Z678"/>
      <c r="AA678"/>
    </row>
    <row r="679" spans="1:27" s="51" customFormat="1" ht="18.600000000000001" hidden="1" customHeight="1" x14ac:dyDescent="0.25">
      <c r="A679" s="80" t="s">
        <v>16</v>
      </c>
      <c r="B679" s="20" t="s">
        <v>1637</v>
      </c>
      <c r="C679" s="21" t="s">
        <v>1637</v>
      </c>
      <c r="D679" s="20" t="s">
        <v>1645</v>
      </c>
      <c r="E679" s="22" t="s">
        <v>1646</v>
      </c>
      <c r="F679" s="22" t="s">
        <v>1640</v>
      </c>
      <c r="G679" s="22" t="s">
        <v>1599</v>
      </c>
      <c r="H679" s="83" t="s">
        <v>1647</v>
      </c>
      <c r="I679" s="23" t="s">
        <v>24</v>
      </c>
      <c r="J679" s="24">
        <v>200</v>
      </c>
      <c r="K679" s="25">
        <v>0.25</v>
      </c>
      <c r="L679" s="26">
        <f t="shared" si="94"/>
        <v>50</v>
      </c>
      <c r="M679" s="27">
        <f t="shared" si="95"/>
        <v>150</v>
      </c>
      <c r="N679" s="28">
        <v>0.16</v>
      </c>
      <c r="O679" s="29">
        <f t="shared" si="97"/>
        <v>24</v>
      </c>
      <c r="P679" s="30">
        <f t="shared" si="98"/>
        <v>174</v>
      </c>
      <c r="Q679" s="23"/>
      <c r="R679" s="52"/>
      <c r="S679" s="53"/>
      <c r="T679" s="54">
        <f t="shared" si="102"/>
        <v>0</v>
      </c>
      <c r="U679" s="26">
        <f t="shared" si="102"/>
        <v>0</v>
      </c>
      <c r="V679" s="55">
        <f t="shared" si="101"/>
        <v>0</v>
      </c>
      <c r="W679" s="29">
        <f t="shared" si="96"/>
        <v>0</v>
      </c>
      <c r="X679" s="30">
        <f t="shared" si="99"/>
        <v>0</v>
      </c>
      <c r="Y679"/>
      <c r="Z679"/>
      <c r="AA679"/>
    </row>
    <row r="680" spans="1:27" s="51" customFormat="1" ht="18.600000000000001" hidden="1" customHeight="1" x14ac:dyDescent="0.25">
      <c r="A680" s="81" t="s">
        <v>16</v>
      </c>
      <c r="B680" s="31" t="s">
        <v>1637</v>
      </c>
      <c r="C680" s="32" t="s">
        <v>1637</v>
      </c>
      <c r="D680" s="31">
        <v>7427047969207</v>
      </c>
      <c r="E680" s="33" t="s">
        <v>1648</v>
      </c>
      <c r="F680" s="33" t="s">
        <v>1640</v>
      </c>
      <c r="G680" s="33" t="s">
        <v>1599</v>
      </c>
      <c r="H680" s="84" t="s">
        <v>1649</v>
      </c>
      <c r="I680" s="23" t="s">
        <v>24</v>
      </c>
      <c r="J680" s="34">
        <v>200</v>
      </c>
      <c r="K680" s="35">
        <v>0.25</v>
      </c>
      <c r="L680" s="36">
        <f t="shared" si="94"/>
        <v>50</v>
      </c>
      <c r="M680" s="37">
        <f t="shared" si="95"/>
        <v>150</v>
      </c>
      <c r="N680" s="38">
        <v>0.16</v>
      </c>
      <c r="O680" s="39">
        <f t="shared" si="97"/>
        <v>24</v>
      </c>
      <c r="P680" s="40">
        <f t="shared" si="98"/>
        <v>174</v>
      </c>
      <c r="Q680" s="23"/>
      <c r="R680" s="56"/>
      <c r="S680" s="57"/>
      <c r="T680" s="58">
        <f t="shared" si="102"/>
        <v>0</v>
      </c>
      <c r="U680" s="36">
        <f t="shared" si="102"/>
        <v>0</v>
      </c>
      <c r="V680" s="59">
        <f t="shared" si="101"/>
        <v>0</v>
      </c>
      <c r="W680" s="39">
        <f t="shared" si="96"/>
        <v>0</v>
      </c>
      <c r="X680" s="40">
        <f t="shared" si="99"/>
        <v>0</v>
      </c>
      <c r="Y680"/>
      <c r="Z680"/>
      <c r="AA680"/>
    </row>
    <row r="681" spans="1:27" s="51" customFormat="1" ht="18.600000000000001" hidden="1" customHeight="1" x14ac:dyDescent="0.25">
      <c r="A681" s="82" t="s">
        <v>16</v>
      </c>
      <c r="B681" s="41" t="s">
        <v>1637</v>
      </c>
      <c r="C681" s="42" t="s">
        <v>1637</v>
      </c>
      <c r="D681" s="41">
        <v>7427047969221</v>
      </c>
      <c r="E681" s="43" t="s">
        <v>1650</v>
      </c>
      <c r="F681" s="43" t="s">
        <v>1640</v>
      </c>
      <c r="G681" s="43" t="s">
        <v>1599</v>
      </c>
      <c r="H681" s="85" t="s">
        <v>1651</v>
      </c>
      <c r="I681" s="23" t="s">
        <v>24</v>
      </c>
      <c r="J681" s="44">
        <v>200</v>
      </c>
      <c r="K681" s="45">
        <v>0.25</v>
      </c>
      <c r="L681" s="46">
        <f t="shared" si="94"/>
        <v>50</v>
      </c>
      <c r="M681" s="47">
        <f t="shared" si="95"/>
        <v>150</v>
      </c>
      <c r="N681" s="48">
        <v>0.16</v>
      </c>
      <c r="O681" s="49">
        <f t="shared" si="97"/>
        <v>24</v>
      </c>
      <c r="P681" s="50">
        <f t="shared" si="98"/>
        <v>174</v>
      </c>
      <c r="Q681" s="23"/>
      <c r="R681" s="60"/>
      <c r="S681" s="61"/>
      <c r="T681" s="62">
        <f t="shared" si="102"/>
        <v>0</v>
      </c>
      <c r="U681" s="46">
        <f t="shared" si="102"/>
        <v>0</v>
      </c>
      <c r="V681" s="63">
        <f t="shared" si="101"/>
        <v>0</v>
      </c>
      <c r="W681" s="49">
        <f t="shared" si="96"/>
        <v>0</v>
      </c>
      <c r="X681" s="50">
        <f t="shared" si="99"/>
        <v>0</v>
      </c>
      <c r="Y681"/>
      <c r="Z681"/>
      <c r="AA681"/>
    </row>
    <row r="682" spans="1:27" s="51" customFormat="1" ht="18.600000000000001" hidden="1" customHeight="1" x14ac:dyDescent="0.25">
      <c r="A682" s="80" t="s">
        <v>16</v>
      </c>
      <c r="B682" s="20" t="s">
        <v>1637</v>
      </c>
      <c r="C682" s="21" t="s">
        <v>1637</v>
      </c>
      <c r="D682" s="20">
        <v>7427047969214</v>
      </c>
      <c r="E682" s="22" t="s">
        <v>1652</v>
      </c>
      <c r="F682" s="22" t="s">
        <v>1640</v>
      </c>
      <c r="G682" s="22" t="s">
        <v>1599</v>
      </c>
      <c r="H682" s="83" t="s">
        <v>1653</v>
      </c>
      <c r="I682" s="23" t="s">
        <v>24</v>
      </c>
      <c r="J682" s="24">
        <v>200</v>
      </c>
      <c r="K682" s="25">
        <v>0.25</v>
      </c>
      <c r="L682" s="26">
        <f t="shared" si="94"/>
        <v>50</v>
      </c>
      <c r="M682" s="27">
        <f t="shared" si="95"/>
        <v>150</v>
      </c>
      <c r="N682" s="28">
        <v>0.16</v>
      </c>
      <c r="O682" s="29">
        <f t="shared" si="97"/>
        <v>24</v>
      </c>
      <c r="P682" s="30">
        <f t="shared" si="98"/>
        <v>174</v>
      </c>
      <c r="Q682" s="23"/>
      <c r="R682" s="52"/>
      <c r="S682" s="53"/>
      <c r="T682" s="54">
        <f t="shared" si="102"/>
        <v>0</v>
      </c>
      <c r="U682" s="26">
        <f t="shared" si="102"/>
        <v>0</v>
      </c>
      <c r="V682" s="55">
        <f t="shared" si="101"/>
        <v>0</v>
      </c>
      <c r="W682" s="29">
        <f t="shared" si="96"/>
        <v>0</v>
      </c>
      <c r="X682" s="30">
        <f t="shared" si="99"/>
        <v>0</v>
      </c>
      <c r="Y682"/>
      <c r="Z682"/>
      <c r="AA682"/>
    </row>
    <row r="683" spans="1:27" s="51" customFormat="1" ht="18.600000000000001" hidden="1" customHeight="1" x14ac:dyDescent="0.25">
      <c r="A683" s="81" t="s">
        <v>16</v>
      </c>
      <c r="B683" s="31" t="s">
        <v>1637</v>
      </c>
      <c r="C683" s="32" t="s">
        <v>1637</v>
      </c>
      <c r="D683" s="31">
        <v>8435635304377</v>
      </c>
      <c r="E683" s="33" t="s">
        <v>1654</v>
      </c>
      <c r="F683" s="33" t="s">
        <v>1640</v>
      </c>
      <c r="G683" s="33" t="s">
        <v>1599</v>
      </c>
      <c r="H683" s="84" t="s">
        <v>1655</v>
      </c>
      <c r="I683" s="23" t="s">
        <v>24</v>
      </c>
      <c r="J683" s="34">
        <v>200</v>
      </c>
      <c r="K683" s="35">
        <v>0.25</v>
      </c>
      <c r="L683" s="36">
        <f t="shared" si="94"/>
        <v>50</v>
      </c>
      <c r="M683" s="37">
        <f t="shared" si="95"/>
        <v>150</v>
      </c>
      <c r="N683" s="38">
        <v>0.16</v>
      </c>
      <c r="O683" s="39">
        <f t="shared" si="97"/>
        <v>24</v>
      </c>
      <c r="P683" s="40">
        <f t="shared" si="98"/>
        <v>174</v>
      </c>
      <c r="Q683" s="23"/>
      <c r="R683" s="56"/>
      <c r="S683" s="57"/>
      <c r="T683" s="58">
        <f t="shared" si="102"/>
        <v>0</v>
      </c>
      <c r="U683" s="36">
        <f t="shared" si="102"/>
        <v>0</v>
      </c>
      <c r="V683" s="59">
        <f t="shared" si="101"/>
        <v>0</v>
      </c>
      <c r="W683" s="39">
        <f t="shared" si="96"/>
        <v>0</v>
      </c>
      <c r="X683" s="40">
        <f t="shared" si="99"/>
        <v>0</v>
      </c>
      <c r="Y683"/>
      <c r="Z683"/>
      <c r="AA683"/>
    </row>
    <row r="684" spans="1:27" s="51" customFormat="1" ht="18.600000000000001" hidden="1" customHeight="1" x14ac:dyDescent="0.25">
      <c r="A684" s="82" t="s">
        <v>16</v>
      </c>
      <c r="B684" s="41" t="s">
        <v>1637</v>
      </c>
      <c r="C684" s="42" t="s">
        <v>1637</v>
      </c>
      <c r="D684" s="41">
        <v>8435635304384</v>
      </c>
      <c r="E684" s="43" t="s">
        <v>1656</v>
      </c>
      <c r="F684" s="43" t="s">
        <v>1640</v>
      </c>
      <c r="G684" s="43" t="s">
        <v>1599</v>
      </c>
      <c r="H684" s="85" t="s">
        <v>1657</v>
      </c>
      <c r="I684" s="23" t="s">
        <v>24</v>
      </c>
      <c r="J684" s="44">
        <v>200</v>
      </c>
      <c r="K684" s="45">
        <v>0.25</v>
      </c>
      <c r="L684" s="46">
        <f t="shared" si="94"/>
        <v>50</v>
      </c>
      <c r="M684" s="47">
        <f t="shared" si="95"/>
        <v>150</v>
      </c>
      <c r="N684" s="48">
        <v>0.16</v>
      </c>
      <c r="O684" s="49">
        <f t="shared" si="97"/>
        <v>24</v>
      </c>
      <c r="P684" s="50">
        <f t="shared" si="98"/>
        <v>174</v>
      </c>
      <c r="Q684" s="23"/>
      <c r="R684" s="60"/>
      <c r="S684" s="61"/>
      <c r="T684" s="62">
        <f t="shared" si="102"/>
        <v>0</v>
      </c>
      <c r="U684" s="46">
        <f t="shared" si="102"/>
        <v>0</v>
      </c>
      <c r="V684" s="63">
        <f t="shared" si="101"/>
        <v>0</v>
      </c>
      <c r="W684" s="49">
        <f t="shared" si="96"/>
        <v>0</v>
      </c>
      <c r="X684" s="50">
        <f t="shared" si="99"/>
        <v>0</v>
      </c>
      <c r="Y684"/>
      <c r="Z684"/>
      <c r="AA684"/>
    </row>
    <row r="685" spans="1:27" s="51" customFormat="1" ht="18.600000000000001" hidden="1" customHeight="1" x14ac:dyDescent="0.25">
      <c r="A685" s="80" t="s">
        <v>16</v>
      </c>
      <c r="B685" s="20" t="s">
        <v>1637</v>
      </c>
      <c r="C685" s="21" t="s">
        <v>1637</v>
      </c>
      <c r="D685" s="20">
        <v>8435635304391</v>
      </c>
      <c r="E685" s="22" t="s">
        <v>1658</v>
      </c>
      <c r="F685" s="22" t="s">
        <v>1640</v>
      </c>
      <c r="G685" s="22" t="s">
        <v>1599</v>
      </c>
      <c r="H685" s="83" t="s">
        <v>1659</v>
      </c>
      <c r="I685" s="23" t="s">
        <v>24</v>
      </c>
      <c r="J685" s="24">
        <v>200</v>
      </c>
      <c r="K685" s="25">
        <v>0.25</v>
      </c>
      <c r="L685" s="26">
        <f t="shared" si="94"/>
        <v>50</v>
      </c>
      <c r="M685" s="27">
        <f t="shared" si="95"/>
        <v>150</v>
      </c>
      <c r="N685" s="28">
        <v>0.16</v>
      </c>
      <c r="O685" s="29">
        <f t="shared" si="97"/>
        <v>24</v>
      </c>
      <c r="P685" s="30">
        <f t="shared" si="98"/>
        <v>174</v>
      </c>
      <c r="Q685" s="23"/>
      <c r="R685" s="52"/>
      <c r="S685" s="53"/>
      <c r="T685" s="54">
        <f t="shared" si="102"/>
        <v>0</v>
      </c>
      <c r="U685" s="26">
        <f t="shared" si="102"/>
        <v>0</v>
      </c>
      <c r="V685" s="55">
        <f t="shared" si="101"/>
        <v>0</v>
      </c>
      <c r="W685" s="29">
        <f t="shared" si="96"/>
        <v>0</v>
      </c>
      <c r="X685" s="30">
        <f t="shared" si="99"/>
        <v>0</v>
      </c>
      <c r="Y685"/>
      <c r="Z685"/>
      <c r="AA685"/>
    </row>
    <row r="686" spans="1:27" s="51" customFormat="1" ht="18.600000000000001" hidden="1" customHeight="1" x14ac:dyDescent="0.25">
      <c r="A686" s="81" t="s">
        <v>16</v>
      </c>
      <c r="B686" s="31" t="s">
        <v>1660</v>
      </c>
      <c r="C686" s="32" t="s">
        <v>1660</v>
      </c>
      <c r="D686" s="31" t="s">
        <v>1661</v>
      </c>
      <c r="E686" s="33" t="s">
        <v>1662</v>
      </c>
      <c r="F686" s="33" t="s">
        <v>1663</v>
      </c>
      <c r="G686" s="33" t="s">
        <v>22</v>
      </c>
      <c r="H686" s="84" t="s">
        <v>1664</v>
      </c>
      <c r="I686" s="23" t="s">
        <v>24</v>
      </c>
      <c r="J686" s="34">
        <v>430</v>
      </c>
      <c r="K686" s="35">
        <v>0.25</v>
      </c>
      <c r="L686" s="36">
        <f t="shared" si="94"/>
        <v>107.5</v>
      </c>
      <c r="M686" s="37">
        <f t="shared" si="95"/>
        <v>322.5</v>
      </c>
      <c r="N686" s="38">
        <v>0.16</v>
      </c>
      <c r="O686" s="39">
        <f t="shared" si="97"/>
        <v>51.6</v>
      </c>
      <c r="P686" s="40">
        <f t="shared" si="98"/>
        <v>374.1</v>
      </c>
      <c r="Q686" s="23"/>
      <c r="R686" s="56"/>
      <c r="S686" s="57"/>
      <c r="T686" s="58">
        <f t="shared" ref="T686:U701" si="103">+S686*J686</f>
        <v>0</v>
      </c>
      <c r="U686" s="36">
        <f t="shared" si="103"/>
        <v>0</v>
      </c>
      <c r="V686" s="59">
        <f t="shared" si="101"/>
        <v>0</v>
      </c>
      <c r="W686" s="39">
        <f t="shared" si="96"/>
        <v>0</v>
      </c>
      <c r="X686" s="40">
        <f t="shared" si="99"/>
        <v>0</v>
      </c>
      <c r="Y686"/>
      <c r="Z686"/>
      <c r="AA686"/>
    </row>
    <row r="687" spans="1:27" s="51" customFormat="1" ht="18.600000000000001" hidden="1" customHeight="1" x14ac:dyDescent="0.25">
      <c r="A687" s="82" t="s">
        <v>16</v>
      </c>
      <c r="B687" s="41" t="s">
        <v>1660</v>
      </c>
      <c r="C687" s="42" t="s">
        <v>1660</v>
      </c>
      <c r="D687" s="41" t="s">
        <v>1665</v>
      </c>
      <c r="E687" s="43" t="s">
        <v>1666</v>
      </c>
      <c r="F687" s="43" t="s">
        <v>1663</v>
      </c>
      <c r="G687" s="43" t="s">
        <v>22</v>
      </c>
      <c r="H687" s="85" t="s">
        <v>1667</v>
      </c>
      <c r="I687" s="23" t="s">
        <v>24</v>
      </c>
      <c r="J687" s="44">
        <v>520</v>
      </c>
      <c r="K687" s="45">
        <v>0.25</v>
      </c>
      <c r="L687" s="46">
        <f t="shared" si="94"/>
        <v>130</v>
      </c>
      <c r="M687" s="47">
        <f t="shared" si="95"/>
        <v>390</v>
      </c>
      <c r="N687" s="48">
        <v>0.16</v>
      </c>
      <c r="O687" s="49">
        <f t="shared" si="97"/>
        <v>62.4</v>
      </c>
      <c r="P687" s="50">
        <f t="shared" si="98"/>
        <v>452.4</v>
      </c>
      <c r="Q687" s="23"/>
      <c r="R687" s="60"/>
      <c r="S687" s="61"/>
      <c r="T687" s="62">
        <f t="shared" si="103"/>
        <v>0</v>
      </c>
      <c r="U687" s="46">
        <f t="shared" si="103"/>
        <v>0</v>
      </c>
      <c r="V687" s="63">
        <f t="shared" si="101"/>
        <v>0</v>
      </c>
      <c r="W687" s="49">
        <f t="shared" si="96"/>
        <v>0</v>
      </c>
      <c r="X687" s="50">
        <f t="shared" si="99"/>
        <v>0</v>
      </c>
      <c r="Y687"/>
      <c r="Z687"/>
      <c r="AA687"/>
    </row>
    <row r="688" spans="1:27" s="51" customFormat="1" ht="18.600000000000001" hidden="1" customHeight="1" x14ac:dyDescent="0.25">
      <c r="A688" s="80" t="s">
        <v>16</v>
      </c>
      <c r="B688" s="20" t="s">
        <v>1660</v>
      </c>
      <c r="C688" s="21" t="s">
        <v>1660</v>
      </c>
      <c r="D688" s="20" t="s">
        <v>1668</v>
      </c>
      <c r="E688" s="22" t="s">
        <v>1669</v>
      </c>
      <c r="F688" s="22" t="s">
        <v>1663</v>
      </c>
      <c r="G688" s="22" t="s">
        <v>743</v>
      </c>
      <c r="H688" s="83" t="s">
        <v>1670</v>
      </c>
      <c r="I688" s="23" t="s">
        <v>24</v>
      </c>
      <c r="J688" s="24">
        <v>1950</v>
      </c>
      <c r="K688" s="25">
        <v>0.25</v>
      </c>
      <c r="L688" s="26">
        <f t="shared" si="94"/>
        <v>487.5</v>
      </c>
      <c r="M688" s="27">
        <f t="shared" si="95"/>
        <v>1462.5</v>
      </c>
      <c r="N688" s="28">
        <v>0.16</v>
      </c>
      <c r="O688" s="29">
        <f t="shared" si="97"/>
        <v>234</v>
      </c>
      <c r="P688" s="30">
        <f t="shared" si="98"/>
        <v>1696.5</v>
      </c>
      <c r="Q688" s="23"/>
      <c r="R688" s="52"/>
      <c r="S688" s="53"/>
      <c r="T688" s="54">
        <f t="shared" si="103"/>
        <v>0</v>
      </c>
      <c r="U688" s="26">
        <f t="shared" si="103"/>
        <v>0</v>
      </c>
      <c r="V688" s="55">
        <f t="shared" si="101"/>
        <v>0</v>
      </c>
      <c r="W688" s="29">
        <f t="shared" si="96"/>
        <v>0</v>
      </c>
      <c r="X688" s="30">
        <f t="shared" si="99"/>
        <v>0</v>
      </c>
      <c r="Y688"/>
      <c r="Z688"/>
      <c r="AA688"/>
    </row>
    <row r="689" spans="1:27" s="51" customFormat="1" ht="18.600000000000001" hidden="1" customHeight="1" x14ac:dyDescent="0.25">
      <c r="A689" s="81" t="s">
        <v>16</v>
      </c>
      <c r="B689" s="31" t="s">
        <v>1660</v>
      </c>
      <c r="C689" s="32" t="s">
        <v>1660</v>
      </c>
      <c r="D689" s="31" t="s">
        <v>1671</v>
      </c>
      <c r="E689" s="33" t="s">
        <v>1672</v>
      </c>
      <c r="F689" s="33" t="s">
        <v>1663</v>
      </c>
      <c r="G689" s="33" t="s">
        <v>743</v>
      </c>
      <c r="H689" s="84" t="s">
        <v>1673</v>
      </c>
      <c r="I689" s="23" t="s">
        <v>24</v>
      </c>
      <c r="J689" s="34">
        <v>2100</v>
      </c>
      <c r="K689" s="35">
        <v>0.25</v>
      </c>
      <c r="L689" s="36">
        <f t="shared" si="94"/>
        <v>525</v>
      </c>
      <c r="M689" s="37">
        <f t="shared" si="95"/>
        <v>1575</v>
      </c>
      <c r="N689" s="38">
        <v>0.16</v>
      </c>
      <c r="O689" s="39">
        <f t="shared" si="97"/>
        <v>252</v>
      </c>
      <c r="P689" s="40">
        <f t="shared" si="98"/>
        <v>1827</v>
      </c>
      <c r="Q689" s="23"/>
      <c r="R689" s="56"/>
      <c r="S689" s="57"/>
      <c r="T689" s="58">
        <f t="shared" si="103"/>
        <v>0</v>
      </c>
      <c r="U689" s="36">
        <f t="shared" si="103"/>
        <v>0</v>
      </c>
      <c r="V689" s="59">
        <f t="shared" si="101"/>
        <v>0</v>
      </c>
      <c r="W689" s="39">
        <f t="shared" si="96"/>
        <v>0</v>
      </c>
      <c r="X689" s="40">
        <f t="shared" si="99"/>
        <v>0</v>
      </c>
      <c r="Y689"/>
      <c r="Z689"/>
      <c r="AA689"/>
    </row>
    <row r="690" spans="1:27" s="51" customFormat="1" ht="18.600000000000001" hidden="1" customHeight="1" x14ac:dyDescent="0.25">
      <c r="A690" s="82" t="s">
        <v>16</v>
      </c>
      <c r="B690" s="41" t="s">
        <v>1660</v>
      </c>
      <c r="C690" s="42" t="s">
        <v>1660</v>
      </c>
      <c r="D690" s="41" t="s">
        <v>1674</v>
      </c>
      <c r="E690" s="43" t="s">
        <v>1675</v>
      </c>
      <c r="F690" s="43" t="s">
        <v>1663</v>
      </c>
      <c r="G690" s="43" t="s">
        <v>821</v>
      </c>
      <c r="H690" s="85" t="s">
        <v>1676</v>
      </c>
      <c r="I690" s="23" t="s">
        <v>24</v>
      </c>
      <c r="J690" s="44">
        <v>850</v>
      </c>
      <c r="K690" s="45">
        <v>0.25</v>
      </c>
      <c r="L690" s="46">
        <f t="shared" si="94"/>
        <v>212.5</v>
      </c>
      <c r="M690" s="47">
        <f t="shared" si="95"/>
        <v>637.5</v>
      </c>
      <c r="N690" s="48">
        <v>0.16</v>
      </c>
      <c r="O690" s="49">
        <f t="shared" si="97"/>
        <v>102</v>
      </c>
      <c r="P690" s="50">
        <f t="shared" si="98"/>
        <v>739.5</v>
      </c>
      <c r="Q690" s="23"/>
      <c r="R690" s="60"/>
      <c r="S690" s="61"/>
      <c r="T690" s="62">
        <f t="shared" si="103"/>
        <v>0</v>
      </c>
      <c r="U690" s="46">
        <f t="shared" si="103"/>
        <v>0</v>
      </c>
      <c r="V690" s="63">
        <f t="shared" si="101"/>
        <v>0</v>
      </c>
      <c r="W690" s="49">
        <f t="shared" si="96"/>
        <v>0</v>
      </c>
      <c r="X690" s="50">
        <f t="shared" si="99"/>
        <v>0</v>
      </c>
      <c r="Y690"/>
      <c r="Z690"/>
      <c r="AA690"/>
    </row>
    <row r="691" spans="1:27" s="51" customFormat="1" ht="18.600000000000001" hidden="1" customHeight="1" x14ac:dyDescent="0.25">
      <c r="A691" s="80" t="s">
        <v>16</v>
      </c>
      <c r="B691" s="20" t="s">
        <v>1660</v>
      </c>
      <c r="C691" s="21" t="s">
        <v>1660</v>
      </c>
      <c r="D691" s="20" t="s">
        <v>1677</v>
      </c>
      <c r="E691" s="22" t="s">
        <v>1678</v>
      </c>
      <c r="F691" s="22" t="s">
        <v>1663</v>
      </c>
      <c r="G691" s="22" t="s">
        <v>821</v>
      </c>
      <c r="H691" s="83" t="s">
        <v>1679</v>
      </c>
      <c r="I691" s="23" t="s">
        <v>24</v>
      </c>
      <c r="J691" s="24">
        <v>950</v>
      </c>
      <c r="K691" s="25">
        <v>0.25</v>
      </c>
      <c r="L691" s="26">
        <f t="shared" si="94"/>
        <v>237.5</v>
      </c>
      <c r="M691" s="27">
        <f t="shared" si="95"/>
        <v>712.5</v>
      </c>
      <c r="N691" s="28">
        <v>0.16</v>
      </c>
      <c r="O691" s="29">
        <f t="shared" si="97"/>
        <v>114</v>
      </c>
      <c r="P691" s="30">
        <f t="shared" si="98"/>
        <v>826.5</v>
      </c>
      <c r="Q691" s="23"/>
      <c r="R691" s="52"/>
      <c r="S691" s="53"/>
      <c r="T691" s="54">
        <f t="shared" si="103"/>
        <v>0</v>
      </c>
      <c r="U691" s="26">
        <f t="shared" si="103"/>
        <v>0</v>
      </c>
      <c r="V691" s="55">
        <f t="shared" si="101"/>
        <v>0</v>
      </c>
      <c r="W691" s="29">
        <f t="shared" si="96"/>
        <v>0</v>
      </c>
      <c r="X691" s="30">
        <f t="shared" si="99"/>
        <v>0</v>
      </c>
      <c r="Y691"/>
      <c r="Z691"/>
      <c r="AA691"/>
    </row>
    <row r="692" spans="1:27" s="51" customFormat="1" ht="18.600000000000001" hidden="1" customHeight="1" x14ac:dyDescent="0.25">
      <c r="A692" s="81" t="s">
        <v>16</v>
      </c>
      <c r="B692" s="31" t="s">
        <v>1660</v>
      </c>
      <c r="C692" s="32" t="s">
        <v>1660</v>
      </c>
      <c r="D692" s="31" t="s">
        <v>1680</v>
      </c>
      <c r="E692" s="33" t="s">
        <v>1681</v>
      </c>
      <c r="F692" s="33" t="s">
        <v>1663</v>
      </c>
      <c r="G692" s="33" t="s">
        <v>821</v>
      </c>
      <c r="H692" s="84" t="s">
        <v>1682</v>
      </c>
      <c r="I692" s="23" t="s">
        <v>24</v>
      </c>
      <c r="J692" s="34">
        <v>950</v>
      </c>
      <c r="K692" s="35">
        <v>0.25</v>
      </c>
      <c r="L692" s="36">
        <f t="shared" si="94"/>
        <v>237.5</v>
      </c>
      <c r="M692" s="37">
        <f t="shared" si="95"/>
        <v>712.5</v>
      </c>
      <c r="N692" s="38">
        <v>0.16</v>
      </c>
      <c r="O692" s="39">
        <f t="shared" si="97"/>
        <v>114</v>
      </c>
      <c r="P692" s="40">
        <f t="shared" si="98"/>
        <v>826.5</v>
      </c>
      <c r="Q692" s="23"/>
      <c r="R692" s="56"/>
      <c r="S692" s="57"/>
      <c r="T692" s="58">
        <f t="shared" si="103"/>
        <v>0</v>
      </c>
      <c r="U692" s="36">
        <f t="shared" si="103"/>
        <v>0</v>
      </c>
      <c r="V692" s="59">
        <f t="shared" si="101"/>
        <v>0</v>
      </c>
      <c r="W692" s="39">
        <f t="shared" si="96"/>
        <v>0</v>
      </c>
      <c r="X692" s="40">
        <f t="shared" si="99"/>
        <v>0</v>
      </c>
      <c r="Y692"/>
      <c r="Z692"/>
      <c r="AA692"/>
    </row>
    <row r="693" spans="1:27" s="51" customFormat="1" ht="18.600000000000001" hidden="1" customHeight="1" x14ac:dyDescent="0.25">
      <c r="A693" s="82" t="s">
        <v>16</v>
      </c>
      <c r="B693" s="41" t="s">
        <v>1660</v>
      </c>
      <c r="C693" s="42" t="s">
        <v>1660</v>
      </c>
      <c r="D693" s="41" t="s">
        <v>1683</v>
      </c>
      <c r="E693" s="43" t="s">
        <v>1684</v>
      </c>
      <c r="F693" s="43" t="s">
        <v>1663</v>
      </c>
      <c r="G693" s="43" t="s">
        <v>821</v>
      </c>
      <c r="H693" s="85" t="s">
        <v>1685</v>
      </c>
      <c r="I693" s="23" t="s">
        <v>24</v>
      </c>
      <c r="J693" s="44">
        <v>1070</v>
      </c>
      <c r="K693" s="45">
        <v>0.25</v>
      </c>
      <c r="L693" s="46">
        <f t="shared" si="94"/>
        <v>267.5</v>
      </c>
      <c r="M693" s="47">
        <f t="shared" si="95"/>
        <v>802.5</v>
      </c>
      <c r="N693" s="48">
        <v>0.16</v>
      </c>
      <c r="O693" s="49">
        <f t="shared" si="97"/>
        <v>128.4</v>
      </c>
      <c r="P693" s="50">
        <f t="shared" si="98"/>
        <v>930.9</v>
      </c>
      <c r="Q693" s="23"/>
      <c r="R693" s="60"/>
      <c r="S693" s="61"/>
      <c r="T693" s="62">
        <f t="shared" si="103"/>
        <v>0</v>
      </c>
      <c r="U693" s="46">
        <f t="shared" si="103"/>
        <v>0</v>
      </c>
      <c r="V693" s="63">
        <f t="shared" si="101"/>
        <v>0</v>
      </c>
      <c r="W693" s="49">
        <f t="shared" si="96"/>
        <v>0</v>
      </c>
      <c r="X693" s="50">
        <f t="shared" si="99"/>
        <v>0</v>
      </c>
      <c r="Y693"/>
      <c r="Z693"/>
      <c r="AA693"/>
    </row>
    <row r="694" spans="1:27" s="51" customFormat="1" ht="18.600000000000001" hidden="1" customHeight="1" x14ac:dyDescent="0.25">
      <c r="A694" s="80" t="s">
        <v>16</v>
      </c>
      <c r="B694" s="20" t="s">
        <v>1660</v>
      </c>
      <c r="C694" s="21" t="s">
        <v>1660</v>
      </c>
      <c r="D694" s="20">
        <v>8435635303844</v>
      </c>
      <c r="E694" s="22" t="s">
        <v>1686</v>
      </c>
      <c r="F694" s="22" t="s">
        <v>1663</v>
      </c>
      <c r="G694" s="22">
        <v>1</v>
      </c>
      <c r="H694" s="83" t="s">
        <v>1687</v>
      </c>
      <c r="I694" s="23" t="s">
        <v>24</v>
      </c>
      <c r="J694" s="24">
        <v>400</v>
      </c>
      <c r="K694" s="25">
        <v>0.25</v>
      </c>
      <c r="L694" s="26">
        <f t="shared" si="94"/>
        <v>100</v>
      </c>
      <c r="M694" s="27">
        <f t="shared" si="95"/>
        <v>300</v>
      </c>
      <c r="N694" s="28">
        <v>0.16</v>
      </c>
      <c r="O694" s="29">
        <f t="shared" si="97"/>
        <v>48</v>
      </c>
      <c r="P694" s="30">
        <f t="shared" si="98"/>
        <v>348</v>
      </c>
      <c r="Q694" s="23"/>
      <c r="R694" s="52"/>
      <c r="S694" s="53"/>
      <c r="T694" s="54">
        <f t="shared" si="103"/>
        <v>0</v>
      </c>
      <c r="U694" s="26">
        <f t="shared" si="103"/>
        <v>0</v>
      </c>
      <c r="V694" s="55">
        <f t="shared" si="101"/>
        <v>0</v>
      </c>
      <c r="W694" s="29">
        <f t="shared" si="96"/>
        <v>0</v>
      </c>
      <c r="X694" s="30">
        <f t="shared" si="99"/>
        <v>0</v>
      </c>
      <c r="Y694"/>
      <c r="Z694"/>
      <c r="AA694"/>
    </row>
    <row r="695" spans="1:27" s="51" customFormat="1" ht="18.600000000000001" hidden="1" customHeight="1" x14ac:dyDescent="0.25">
      <c r="A695" s="81" t="s">
        <v>16</v>
      </c>
      <c r="B695" s="31" t="s">
        <v>1660</v>
      </c>
      <c r="C695" s="32" t="s">
        <v>1660</v>
      </c>
      <c r="D695" s="31">
        <v>8435635303851</v>
      </c>
      <c r="E695" s="33" t="s">
        <v>1688</v>
      </c>
      <c r="F695" s="33" t="s">
        <v>1663</v>
      </c>
      <c r="G695" s="33">
        <v>1</v>
      </c>
      <c r="H695" s="84" t="s">
        <v>1689</v>
      </c>
      <c r="I695" s="23" t="s">
        <v>24</v>
      </c>
      <c r="J695" s="34">
        <v>470</v>
      </c>
      <c r="K695" s="35">
        <v>0.25</v>
      </c>
      <c r="L695" s="36">
        <f t="shared" si="94"/>
        <v>117.5</v>
      </c>
      <c r="M695" s="37">
        <f t="shared" si="95"/>
        <v>352.5</v>
      </c>
      <c r="N695" s="38">
        <v>0.16</v>
      </c>
      <c r="O695" s="39">
        <f t="shared" si="97"/>
        <v>56.4</v>
      </c>
      <c r="P695" s="40">
        <f t="shared" si="98"/>
        <v>408.9</v>
      </c>
      <c r="Q695" s="23"/>
      <c r="R695" s="56"/>
      <c r="S695" s="57"/>
      <c r="T695" s="58">
        <f t="shared" si="103"/>
        <v>0</v>
      </c>
      <c r="U695" s="36">
        <f t="shared" si="103"/>
        <v>0</v>
      </c>
      <c r="V695" s="59">
        <f t="shared" si="101"/>
        <v>0</v>
      </c>
      <c r="W695" s="39">
        <f t="shared" si="96"/>
        <v>0</v>
      </c>
      <c r="X695" s="40">
        <f t="shared" si="99"/>
        <v>0</v>
      </c>
      <c r="Y695"/>
      <c r="Z695"/>
      <c r="AA695"/>
    </row>
    <row r="696" spans="1:27" s="51" customFormat="1" ht="18.600000000000001" hidden="1" customHeight="1" x14ac:dyDescent="0.25">
      <c r="A696" s="82" t="s">
        <v>16</v>
      </c>
      <c r="B696" s="41" t="s">
        <v>1660</v>
      </c>
      <c r="C696" s="42" t="s">
        <v>1660</v>
      </c>
      <c r="D696" s="41">
        <v>8435635303868</v>
      </c>
      <c r="E696" s="43" t="s">
        <v>1690</v>
      </c>
      <c r="F696" s="43" t="s">
        <v>1663</v>
      </c>
      <c r="G696" s="43">
        <v>1</v>
      </c>
      <c r="H696" s="85" t="s">
        <v>1691</v>
      </c>
      <c r="I696" s="23" t="s">
        <v>24</v>
      </c>
      <c r="J696" s="44">
        <v>500</v>
      </c>
      <c r="K696" s="45">
        <v>0.25</v>
      </c>
      <c r="L696" s="46">
        <f t="shared" si="94"/>
        <v>125</v>
      </c>
      <c r="M696" s="47">
        <f t="shared" si="95"/>
        <v>375</v>
      </c>
      <c r="N696" s="48">
        <v>0.16</v>
      </c>
      <c r="O696" s="49">
        <f t="shared" si="97"/>
        <v>60</v>
      </c>
      <c r="P696" s="50">
        <f t="shared" si="98"/>
        <v>435</v>
      </c>
      <c r="Q696" s="23"/>
      <c r="R696" s="60"/>
      <c r="S696" s="61"/>
      <c r="T696" s="62">
        <f t="shared" si="103"/>
        <v>0</v>
      </c>
      <c r="U696" s="46">
        <f t="shared" si="103"/>
        <v>0</v>
      </c>
      <c r="V696" s="63">
        <f t="shared" si="101"/>
        <v>0</v>
      </c>
      <c r="W696" s="49">
        <f t="shared" si="96"/>
        <v>0</v>
      </c>
      <c r="X696" s="50">
        <f t="shared" si="99"/>
        <v>0</v>
      </c>
      <c r="Y696"/>
      <c r="Z696"/>
      <c r="AA696"/>
    </row>
    <row r="697" spans="1:27" s="51" customFormat="1" ht="18.600000000000001" hidden="1" customHeight="1" x14ac:dyDescent="0.25">
      <c r="A697" s="80" t="s">
        <v>16</v>
      </c>
      <c r="B697" s="20" t="s">
        <v>1660</v>
      </c>
      <c r="C697" s="21" t="s">
        <v>1660</v>
      </c>
      <c r="D697" s="20">
        <v>8435635303875</v>
      </c>
      <c r="E697" s="22" t="s">
        <v>1692</v>
      </c>
      <c r="F697" s="22" t="s">
        <v>1663</v>
      </c>
      <c r="G697" s="22">
        <v>1</v>
      </c>
      <c r="H697" s="83" t="s">
        <v>1693</v>
      </c>
      <c r="I697" s="23" t="s">
        <v>24</v>
      </c>
      <c r="J697" s="24">
        <v>680</v>
      </c>
      <c r="K697" s="25">
        <v>0.25</v>
      </c>
      <c r="L697" s="26">
        <f t="shared" si="94"/>
        <v>170</v>
      </c>
      <c r="M697" s="27">
        <f t="shared" si="95"/>
        <v>510</v>
      </c>
      <c r="N697" s="28">
        <v>0.16</v>
      </c>
      <c r="O697" s="29">
        <f t="shared" si="97"/>
        <v>81.600000000000009</v>
      </c>
      <c r="P697" s="30">
        <f t="shared" si="98"/>
        <v>591.6</v>
      </c>
      <c r="Q697" s="23"/>
      <c r="R697" s="52"/>
      <c r="S697" s="53"/>
      <c r="T697" s="54">
        <f t="shared" si="103"/>
        <v>0</v>
      </c>
      <c r="U697" s="26">
        <f t="shared" si="103"/>
        <v>0</v>
      </c>
      <c r="V697" s="55">
        <f t="shared" si="101"/>
        <v>0</v>
      </c>
      <c r="W697" s="29">
        <f t="shared" si="96"/>
        <v>0</v>
      </c>
      <c r="X697" s="30">
        <f t="shared" si="99"/>
        <v>0</v>
      </c>
      <c r="Y697"/>
      <c r="Z697"/>
      <c r="AA697"/>
    </row>
    <row r="698" spans="1:27" s="51" customFormat="1" ht="18.600000000000001" hidden="1" customHeight="1" x14ac:dyDescent="0.25">
      <c r="A698" s="81" t="s">
        <v>16</v>
      </c>
      <c r="B698" s="31" t="s">
        <v>1660</v>
      </c>
      <c r="C698" s="32" t="s">
        <v>1660</v>
      </c>
      <c r="D698" s="31">
        <v>8435635303882</v>
      </c>
      <c r="E698" s="33" t="s">
        <v>1694</v>
      </c>
      <c r="F698" s="33" t="s">
        <v>1663</v>
      </c>
      <c r="G698" s="33">
        <v>1</v>
      </c>
      <c r="H698" s="84" t="s">
        <v>1695</v>
      </c>
      <c r="I698" s="23" t="s">
        <v>24</v>
      </c>
      <c r="J698" s="34">
        <v>400</v>
      </c>
      <c r="K698" s="35">
        <v>0.25</v>
      </c>
      <c r="L698" s="36">
        <f t="shared" si="94"/>
        <v>100</v>
      </c>
      <c r="M698" s="37">
        <f t="shared" si="95"/>
        <v>300</v>
      </c>
      <c r="N698" s="38">
        <v>0.16</v>
      </c>
      <c r="O698" s="39">
        <f t="shared" si="97"/>
        <v>48</v>
      </c>
      <c r="P698" s="40">
        <f t="shared" si="98"/>
        <v>348</v>
      </c>
      <c r="Q698" s="23"/>
      <c r="R698" s="56"/>
      <c r="S698" s="57"/>
      <c r="T698" s="58">
        <f t="shared" si="103"/>
        <v>0</v>
      </c>
      <c r="U698" s="36">
        <f t="shared" si="103"/>
        <v>0</v>
      </c>
      <c r="V698" s="59">
        <f t="shared" si="101"/>
        <v>0</v>
      </c>
      <c r="W698" s="39">
        <f t="shared" si="96"/>
        <v>0</v>
      </c>
      <c r="X698" s="40">
        <f t="shared" si="99"/>
        <v>0</v>
      </c>
      <c r="Y698"/>
      <c r="Z698"/>
      <c r="AA698"/>
    </row>
    <row r="699" spans="1:27" s="51" customFormat="1" ht="18.600000000000001" hidden="1" customHeight="1" x14ac:dyDescent="0.25">
      <c r="A699" s="82" t="s">
        <v>16</v>
      </c>
      <c r="B699" s="41" t="s">
        <v>1660</v>
      </c>
      <c r="C699" s="42" t="s">
        <v>1660</v>
      </c>
      <c r="D699" s="41">
        <v>8435635303899</v>
      </c>
      <c r="E699" s="43" t="s">
        <v>1696</v>
      </c>
      <c r="F699" s="43" t="s">
        <v>1663</v>
      </c>
      <c r="G699" s="43">
        <v>1</v>
      </c>
      <c r="H699" s="85" t="s">
        <v>1697</v>
      </c>
      <c r="I699" s="23" t="s">
        <v>24</v>
      </c>
      <c r="J699" s="44">
        <v>490</v>
      </c>
      <c r="K699" s="45">
        <v>0.25</v>
      </c>
      <c r="L699" s="46">
        <f t="shared" si="94"/>
        <v>122.5</v>
      </c>
      <c r="M699" s="47">
        <f t="shared" si="95"/>
        <v>367.5</v>
      </c>
      <c r="N699" s="48">
        <v>0.16</v>
      </c>
      <c r="O699" s="49">
        <f t="shared" si="97"/>
        <v>58.800000000000004</v>
      </c>
      <c r="P699" s="50">
        <f t="shared" si="98"/>
        <v>426.3</v>
      </c>
      <c r="Q699" s="23"/>
      <c r="R699" s="60"/>
      <c r="S699" s="61"/>
      <c r="T699" s="62">
        <f t="shared" si="103"/>
        <v>0</v>
      </c>
      <c r="U699" s="46">
        <f t="shared" si="103"/>
        <v>0</v>
      </c>
      <c r="V699" s="63">
        <f t="shared" si="101"/>
        <v>0</v>
      </c>
      <c r="W699" s="49">
        <f t="shared" si="96"/>
        <v>0</v>
      </c>
      <c r="X699" s="50">
        <f t="shared" si="99"/>
        <v>0</v>
      </c>
      <c r="Y699"/>
      <c r="Z699"/>
      <c r="AA699"/>
    </row>
    <row r="700" spans="1:27" s="51" customFormat="1" ht="18.600000000000001" hidden="1" customHeight="1" x14ac:dyDescent="0.25">
      <c r="A700" s="80" t="s">
        <v>16</v>
      </c>
      <c r="B700" s="20" t="s">
        <v>1660</v>
      </c>
      <c r="C700" s="21" t="s">
        <v>1660</v>
      </c>
      <c r="D700" s="20">
        <v>8435635303905</v>
      </c>
      <c r="E700" s="22" t="s">
        <v>1698</v>
      </c>
      <c r="F700" s="22" t="s">
        <v>1663</v>
      </c>
      <c r="G700" s="22">
        <v>1</v>
      </c>
      <c r="H700" s="83" t="s">
        <v>1699</v>
      </c>
      <c r="I700" s="23" t="s">
        <v>24</v>
      </c>
      <c r="J700" s="24">
        <v>490</v>
      </c>
      <c r="K700" s="25">
        <v>0.25</v>
      </c>
      <c r="L700" s="26">
        <f t="shared" si="94"/>
        <v>122.5</v>
      </c>
      <c r="M700" s="27">
        <f t="shared" si="95"/>
        <v>367.5</v>
      </c>
      <c r="N700" s="28">
        <v>0.16</v>
      </c>
      <c r="O700" s="29">
        <f t="shared" si="97"/>
        <v>58.800000000000004</v>
      </c>
      <c r="P700" s="30">
        <f t="shared" si="98"/>
        <v>426.3</v>
      </c>
      <c r="Q700" s="23"/>
      <c r="R700" s="52"/>
      <c r="S700" s="53"/>
      <c r="T700" s="54">
        <f t="shared" si="103"/>
        <v>0</v>
      </c>
      <c r="U700" s="26">
        <f t="shared" si="103"/>
        <v>0</v>
      </c>
      <c r="V700" s="55">
        <f t="shared" si="101"/>
        <v>0</v>
      </c>
      <c r="W700" s="29">
        <f t="shared" si="96"/>
        <v>0</v>
      </c>
      <c r="X700" s="30">
        <f t="shared" si="99"/>
        <v>0</v>
      </c>
      <c r="Y700"/>
      <c r="Z700"/>
      <c r="AA700"/>
    </row>
    <row r="701" spans="1:27" s="51" customFormat="1" ht="18.600000000000001" hidden="1" customHeight="1" x14ac:dyDescent="0.25">
      <c r="A701" s="81" t="s">
        <v>16</v>
      </c>
      <c r="B701" s="31" t="s">
        <v>1660</v>
      </c>
      <c r="C701" s="32" t="s">
        <v>1660</v>
      </c>
      <c r="D701" s="31">
        <v>8435635303912</v>
      </c>
      <c r="E701" s="33" t="s">
        <v>1700</v>
      </c>
      <c r="F701" s="33" t="s">
        <v>1663</v>
      </c>
      <c r="G701" s="33">
        <v>1</v>
      </c>
      <c r="H701" s="84" t="s">
        <v>1701</v>
      </c>
      <c r="I701" s="23" t="s">
        <v>24</v>
      </c>
      <c r="J701" s="34">
        <v>720</v>
      </c>
      <c r="K701" s="35">
        <v>0.25</v>
      </c>
      <c r="L701" s="36">
        <f t="shared" si="94"/>
        <v>180</v>
      </c>
      <c r="M701" s="37">
        <f t="shared" si="95"/>
        <v>540</v>
      </c>
      <c r="N701" s="38">
        <v>0.16</v>
      </c>
      <c r="O701" s="39">
        <f t="shared" si="97"/>
        <v>86.4</v>
      </c>
      <c r="P701" s="40">
        <f t="shared" si="98"/>
        <v>626.4</v>
      </c>
      <c r="Q701" s="23"/>
      <c r="R701" s="56"/>
      <c r="S701" s="57"/>
      <c r="T701" s="58">
        <f t="shared" si="103"/>
        <v>0</v>
      </c>
      <c r="U701" s="36">
        <f t="shared" si="103"/>
        <v>0</v>
      </c>
      <c r="V701" s="59">
        <f t="shared" si="101"/>
        <v>0</v>
      </c>
      <c r="W701" s="39">
        <f t="shared" si="96"/>
        <v>0</v>
      </c>
      <c r="X701" s="40">
        <f t="shared" si="99"/>
        <v>0</v>
      </c>
      <c r="Y701"/>
      <c r="Z701"/>
      <c r="AA701"/>
    </row>
    <row r="702" spans="1:27" s="51" customFormat="1" ht="18.600000000000001" hidden="1" customHeight="1" x14ac:dyDescent="0.25">
      <c r="A702" s="82" t="s">
        <v>16</v>
      </c>
      <c r="B702" s="41" t="s">
        <v>1702</v>
      </c>
      <c r="C702" s="42" t="s">
        <v>1703</v>
      </c>
      <c r="D702" s="41">
        <v>8423153061452</v>
      </c>
      <c r="E702" s="43" t="s">
        <v>1704</v>
      </c>
      <c r="F702" s="43" t="s">
        <v>1705</v>
      </c>
      <c r="G702" s="43" t="s">
        <v>1706</v>
      </c>
      <c r="H702" s="85" t="s">
        <v>1707</v>
      </c>
      <c r="I702" s="23" t="s">
        <v>24</v>
      </c>
      <c r="J702" s="44">
        <v>110</v>
      </c>
      <c r="K702" s="45">
        <v>0.25</v>
      </c>
      <c r="L702" s="46">
        <f t="shared" si="94"/>
        <v>27.5</v>
      </c>
      <c r="M702" s="47">
        <f t="shared" si="95"/>
        <v>82.5</v>
      </c>
      <c r="N702" s="48">
        <v>0.16</v>
      </c>
      <c r="O702" s="49">
        <f t="shared" si="97"/>
        <v>13.200000000000001</v>
      </c>
      <c r="P702" s="50">
        <f t="shared" si="98"/>
        <v>95.7</v>
      </c>
      <c r="Q702" s="23"/>
      <c r="R702" s="60"/>
      <c r="S702" s="61"/>
      <c r="T702" s="62">
        <f t="shared" ref="T702:U717" si="104">+S702*J702</f>
        <v>0</v>
      </c>
      <c r="U702" s="46">
        <f t="shared" si="104"/>
        <v>0</v>
      </c>
      <c r="V702" s="63">
        <f t="shared" si="101"/>
        <v>0</v>
      </c>
      <c r="W702" s="49">
        <f t="shared" si="96"/>
        <v>0</v>
      </c>
      <c r="X702" s="50">
        <f t="shared" si="99"/>
        <v>0</v>
      </c>
      <c r="Y702"/>
      <c r="Z702"/>
      <c r="AA702"/>
    </row>
    <row r="703" spans="1:27" s="51" customFormat="1" ht="18.600000000000001" hidden="1" customHeight="1" x14ac:dyDescent="0.25">
      <c r="A703" s="80" t="s">
        <v>16</v>
      </c>
      <c r="B703" s="20" t="s">
        <v>1702</v>
      </c>
      <c r="C703" s="21" t="s">
        <v>1703</v>
      </c>
      <c r="D703" s="20">
        <v>7427047969054</v>
      </c>
      <c r="E703" s="22" t="s">
        <v>1708</v>
      </c>
      <c r="F703" s="22" t="s">
        <v>1705</v>
      </c>
      <c r="G703" s="22" t="s">
        <v>1599</v>
      </c>
      <c r="H703" s="83" t="s">
        <v>1709</v>
      </c>
      <c r="I703" s="23" t="s">
        <v>24</v>
      </c>
      <c r="J703" s="24">
        <v>120</v>
      </c>
      <c r="K703" s="25">
        <v>0.25</v>
      </c>
      <c r="L703" s="26">
        <f t="shared" si="94"/>
        <v>30</v>
      </c>
      <c r="M703" s="27">
        <f t="shared" si="95"/>
        <v>90</v>
      </c>
      <c r="N703" s="28">
        <v>0.16</v>
      </c>
      <c r="O703" s="29">
        <f t="shared" si="97"/>
        <v>14.4</v>
      </c>
      <c r="P703" s="30">
        <f t="shared" si="98"/>
        <v>104.4</v>
      </c>
      <c r="Q703" s="23"/>
      <c r="R703" s="52"/>
      <c r="S703" s="53"/>
      <c r="T703" s="54">
        <f t="shared" si="104"/>
        <v>0</v>
      </c>
      <c r="U703" s="26">
        <f t="shared" si="104"/>
        <v>0</v>
      </c>
      <c r="V703" s="55">
        <f t="shared" si="101"/>
        <v>0</v>
      </c>
      <c r="W703" s="29">
        <f t="shared" si="96"/>
        <v>0</v>
      </c>
      <c r="X703" s="30">
        <f t="shared" si="99"/>
        <v>0</v>
      </c>
      <c r="Y703"/>
      <c r="Z703"/>
      <c r="AA703"/>
    </row>
    <row r="704" spans="1:27" s="51" customFormat="1" ht="18.600000000000001" hidden="1" customHeight="1" x14ac:dyDescent="0.25">
      <c r="A704" s="81" t="s">
        <v>16</v>
      </c>
      <c r="B704" s="31" t="s">
        <v>1702</v>
      </c>
      <c r="C704" s="32" t="s">
        <v>1703</v>
      </c>
      <c r="D704" s="31" t="s">
        <v>1710</v>
      </c>
      <c r="E704" s="33" t="s">
        <v>1711</v>
      </c>
      <c r="F704" s="33" t="s">
        <v>1705</v>
      </c>
      <c r="G704" s="33" t="s">
        <v>1712</v>
      </c>
      <c r="H704" s="84" t="s">
        <v>1713</v>
      </c>
      <c r="I704" s="23" t="s">
        <v>24</v>
      </c>
      <c r="J704" s="34">
        <v>180</v>
      </c>
      <c r="K704" s="35">
        <v>0.25</v>
      </c>
      <c r="L704" s="36">
        <f t="shared" si="94"/>
        <v>45</v>
      </c>
      <c r="M704" s="37">
        <f t="shared" si="95"/>
        <v>135</v>
      </c>
      <c r="N704" s="38">
        <v>0.16</v>
      </c>
      <c r="O704" s="39">
        <f t="shared" si="97"/>
        <v>21.6</v>
      </c>
      <c r="P704" s="40">
        <f t="shared" si="98"/>
        <v>156.6</v>
      </c>
      <c r="Q704" s="23"/>
      <c r="R704" s="56"/>
      <c r="S704" s="57"/>
      <c r="T704" s="58">
        <f t="shared" si="104"/>
        <v>0</v>
      </c>
      <c r="U704" s="36">
        <f t="shared" si="104"/>
        <v>0</v>
      </c>
      <c r="V704" s="59">
        <f t="shared" si="101"/>
        <v>0</v>
      </c>
      <c r="W704" s="39">
        <f t="shared" si="96"/>
        <v>0</v>
      </c>
      <c r="X704" s="40">
        <f t="shared" si="99"/>
        <v>0</v>
      </c>
      <c r="Y704"/>
      <c r="Z704"/>
      <c r="AA704"/>
    </row>
    <row r="705" spans="1:27" s="51" customFormat="1" ht="18.600000000000001" hidden="1" customHeight="1" x14ac:dyDescent="0.25">
      <c r="A705" s="82" t="s">
        <v>16</v>
      </c>
      <c r="B705" s="41" t="s">
        <v>1702</v>
      </c>
      <c r="C705" s="42" t="s">
        <v>1703</v>
      </c>
      <c r="D705" s="41" t="s">
        <v>1714</v>
      </c>
      <c r="E705" s="43" t="s">
        <v>1715</v>
      </c>
      <c r="F705" s="43" t="s">
        <v>1705</v>
      </c>
      <c r="G705" s="43" t="s">
        <v>1716</v>
      </c>
      <c r="H705" s="85" t="s">
        <v>1717</v>
      </c>
      <c r="I705" s="23" t="s">
        <v>24</v>
      </c>
      <c r="J705" s="44">
        <v>250</v>
      </c>
      <c r="K705" s="45">
        <v>0.25</v>
      </c>
      <c r="L705" s="46">
        <f t="shared" si="94"/>
        <v>62.5</v>
      </c>
      <c r="M705" s="47">
        <f t="shared" si="95"/>
        <v>187.5</v>
      </c>
      <c r="N705" s="48">
        <v>0.16</v>
      </c>
      <c r="O705" s="49">
        <f t="shared" si="97"/>
        <v>30</v>
      </c>
      <c r="P705" s="50">
        <f t="shared" si="98"/>
        <v>217.5</v>
      </c>
      <c r="Q705" s="23"/>
      <c r="R705" s="60"/>
      <c r="S705" s="61"/>
      <c r="T705" s="62">
        <f t="shared" si="104"/>
        <v>0</v>
      </c>
      <c r="U705" s="46">
        <f t="shared" si="104"/>
        <v>0</v>
      </c>
      <c r="V705" s="63">
        <f t="shared" si="101"/>
        <v>0</v>
      </c>
      <c r="W705" s="49">
        <f t="shared" si="96"/>
        <v>0</v>
      </c>
      <c r="X705" s="50">
        <f t="shared" si="99"/>
        <v>0</v>
      </c>
      <c r="Y705"/>
      <c r="Z705"/>
      <c r="AA705"/>
    </row>
    <row r="706" spans="1:27" s="51" customFormat="1" ht="18.600000000000001" hidden="1" customHeight="1" x14ac:dyDescent="0.25">
      <c r="A706" s="80" t="s">
        <v>16</v>
      </c>
      <c r="B706" s="20" t="s">
        <v>1702</v>
      </c>
      <c r="C706" s="21" t="s">
        <v>1703</v>
      </c>
      <c r="D706" s="20" t="s">
        <v>1718</v>
      </c>
      <c r="E706" s="22" t="s">
        <v>1719</v>
      </c>
      <c r="F706" s="22" t="s">
        <v>1705</v>
      </c>
      <c r="G706" s="22" t="s">
        <v>1716</v>
      </c>
      <c r="H706" s="83" t="s">
        <v>1720</v>
      </c>
      <c r="I706" s="23" t="s">
        <v>24</v>
      </c>
      <c r="J706" s="24">
        <v>250</v>
      </c>
      <c r="K706" s="25">
        <v>0.25</v>
      </c>
      <c r="L706" s="26">
        <f t="shared" si="94"/>
        <v>62.5</v>
      </c>
      <c r="M706" s="27">
        <f t="shared" si="95"/>
        <v>187.5</v>
      </c>
      <c r="N706" s="28">
        <v>0.16</v>
      </c>
      <c r="O706" s="29">
        <f t="shared" si="97"/>
        <v>30</v>
      </c>
      <c r="P706" s="30">
        <f t="shared" si="98"/>
        <v>217.5</v>
      </c>
      <c r="Q706" s="23"/>
      <c r="R706" s="52"/>
      <c r="S706" s="53"/>
      <c r="T706" s="54">
        <f t="shared" si="104"/>
        <v>0</v>
      </c>
      <c r="U706" s="26">
        <f t="shared" si="104"/>
        <v>0</v>
      </c>
      <c r="V706" s="55">
        <f t="shared" si="101"/>
        <v>0</v>
      </c>
      <c r="W706" s="29">
        <f t="shared" si="96"/>
        <v>0</v>
      </c>
      <c r="X706" s="30">
        <f t="shared" si="99"/>
        <v>0</v>
      </c>
      <c r="Y706"/>
      <c r="Z706"/>
      <c r="AA706"/>
    </row>
    <row r="707" spans="1:27" s="51" customFormat="1" ht="18.600000000000001" hidden="1" customHeight="1" x14ac:dyDescent="0.25">
      <c r="A707" s="81" t="s">
        <v>16</v>
      </c>
      <c r="B707" s="31" t="s">
        <v>1702</v>
      </c>
      <c r="C707" s="32" t="s">
        <v>1703</v>
      </c>
      <c r="D707" s="31" t="s">
        <v>1721</v>
      </c>
      <c r="E707" s="33" t="s">
        <v>1722</v>
      </c>
      <c r="F707" s="33" t="s">
        <v>1705</v>
      </c>
      <c r="G707" s="33" t="s">
        <v>1716</v>
      </c>
      <c r="H707" s="84" t="s">
        <v>1723</v>
      </c>
      <c r="I707" s="23" t="s">
        <v>24</v>
      </c>
      <c r="J707" s="34">
        <v>250</v>
      </c>
      <c r="K707" s="35">
        <v>0.25</v>
      </c>
      <c r="L707" s="36">
        <f t="shared" si="94"/>
        <v>62.5</v>
      </c>
      <c r="M707" s="37">
        <f t="shared" si="95"/>
        <v>187.5</v>
      </c>
      <c r="N707" s="38">
        <v>0.16</v>
      </c>
      <c r="O707" s="39">
        <f t="shared" si="97"/>
        <v>30</v>
      </c>
      <c r="P707" s="40">
        <f t="shared" si="98"/>
        <v>217.5</v>
      </c>
      <c r="Q707" s="23"/>
      <c r="R707" s="56"/>
      <c r="S707" s="57"/>
      <c r="T707" s="58">
        <f t="shared" si="104"/>
        <v>0</v>
      </c>
      <c r="U707" s="36">
        <f t="shared" si="104"/>
        <v>0</v>
      </c>
      <c r="V707" s="59">
        <f t="shared" si="101"/>
        <v>0</v>
      </c>
      <c r="W707" s="39">
        <f t="shared" si="96"/>
        <v>0</v>
      </c>
      <c r="X707" s="40">
        <f t="shared" si="99"/>
        <v>0</v>
      </c>
      <c r="Y707"/>
      <c r="Z707"/>
      <c r="AA707"/>
    </row>
    <row r="708" spans="1:27" s="51" customFormat="1" ht="18.600000000000001" hidden="1" customHeight="1" x14ac:dyDescent="0.25">
      <c r="A708" s="82" t="s">
        <v>16</v>
      </c>
      <c r="B708" s="41" t="s">
        <v>1702</v>
      </c>
      <c r="C708" s="42" t="s">
        <v>1703</v>
      </c>
      <c r="D708" s="41" t="s">
        <v>1724</v>
      </c>
      <c r="E708" s="43" t="s">
        <v>1725</v>
      </c>
      <c r="F708" s="43" t="s">
        <v>1705</v>
      </c>
      <c r="G708" s="43" t="s">
        <v>1716</v>
      </c>
      <c r="H708" s="85" t="s">
        <v>1726</v>
      </c>
      <c r="I708" s="23" t="s">
        <v>24</v>
      </c>
      <c r="J708" s="44">
        <v>250</v>
      </c>
      <c r="K708" s="45">
        <v>0.25</v>
      </c>
      <c r="L708" s="46">
        <f t="shared" si="94"/>
        <v>62.5</v>
      </c>
      <c r="M708" s="47">
        <f t="shared" si="95"/>
        <v>187.5</v>
      </c>
      <c r="N708" s="48">
        <v>0.16</v>
      </c>
      <c r="O708" s="49">
        <f t="shared" si="97"/>
        <v>30</v>
      </c>
      <c r="P708" s="50">
        <f t="shared" si="98"/>
        <v>217.5</v>
      </c>
      <c r="Q708" s="23"/>
      <c r="R708" s="60"/>
      <c r="S708" s="61"/>
      <c r="T708" s="62">
        <f t="shared" si="104"/>
        <v>0</v>
      </c>
      <c r="U708" s="46">
        <f t="shared" si="104"/>
        <v>0</v>
      </c>
      <c r="V708" s="63">
        <f t="shared" si="101"/>
        <v>0</v>
      </c>
      <c r="W708" s="49">
        <f t="shared" si="96"/>
        <v>0</v>
      </c>
      <c r="X708" s="50">
        <f t="shared" si="99"/>
        <v>0</v>
      </c>
      <c r="Y708"/>
      <c r="Z708"/>
      <c r="AA708"/>
    </row>
    <row r="709" spans="1:27" s="51" customFormat="1" ht="18.600000000000001" hidden="1" customHeight="1" x14ac:dyDescent="0.25">
      <c r="A709" s="80" t="s">
        <v>16</v>
      </c>
      <c r="B709" s="20" t="s">
        <v>1702</v>
      </c>
      <c r="C709" s="21" t="s">
        <v>1703</v>
      </c>
      <c r="D709" s="20" t="s">
        <v>1727</v>
      </c>
      <c r="E709" s="22" t="s">
        <v>1728</v>
      </c>
      <c r="F709" s="22" t="s">
        <v>1705</v>
      </c>
      <c r="G709" s="22" t="s">
        <v>1716</v>
      </c>
      <c r="H709" s="83" t="s">
        <v>1729</v>
      </c>
      <c r="I709" s="23" t="s">
        <v>24</v>
      </c>
      <c r="J709" s="24">
        <v>250</v>
      </c>
      <c r="K709" s="25">
        <v>0.25</v>
      </c>
      <c r="L709" s="26">
        <f t="shared" si="94"/>
        <v>62.5</v>
      </c>
      <c r="M709" s="27">
        <f t="shared" si="95"/>
        <v>187.5</v>
      </c>
      <c r="N709" s="28">
        <v>0.16</v>
      </c>
      <c r="O709" s="29">
        <f t="shared" si="97"/>
        <v>30</v>
      </c>
      <c r="P709" s="30">
        <f t="shared" si="98"/>
        <v>217.5</v>
      </c>
      <c r="Q709" s="23"/>
      <c r="R709" s="52"/>
      <c r="S709" s="53"/>
      <c r="T709" s="54">
        <f t="shared" si="104"/>
        <v>0</v>
      </c>
      <c r="U709" s="26">
        <f t="shared" si="104"/>
        <v>0</v>
      </c>
      <c r="V709" s="55">
        <f t="shared" si="101"/>
        <v>0</v>
      </c>
      <c r="W709" s="29">
        <f t="shared" si="96"/>
        <v>0</v>
      </c>
      <c r="X709" s="30">
        <f t="shared" si="99"/>
        <v>0</v>
      </c>
      <c r="Y709"/>
      <c r="Z709"/>
      <c r="AA709"/>
    </row>
    <row r="710" spans="1:27" s="51" customFormat="1" ht="18.600000000000001" hidden="1" customHeight="1" x14ac:dyDescent="0.25">
      <c r="A710" s="81" t="s">
        <v>16</v>
      </c>
      <c r="B710" s="31" t="s">
        <v>1702</v>
      </c>
      <c r="C710" s="32" t="s">
        <v>1703</v>
      </c>
      <c r="D710" s="31" t="s">
        <v>1730</v>
      </c>
      <c r="E710" s="33" t="s">
        <v>1731</v>
      </c>
      <c r="F710" s="33" t="s">
        <v>1705</v>
      </c>
      <c r="G710" s="33" t="s">
        <v>1716</v>
      </c>
      <c r="H710" s="84" t="s">
        <v>1732</v>
      </c>
      <c r="I710" s="23" t="s">
        <v>24</v>
      </c>
      <c r="J710" s="34">
        <v>250</v>
      </c>
      <c r="K710" s="35">
        <v>0.25</v>
      </c>
      <c r="L710" s="36">
        <f t="shared" si="94"/>
        <v>62.5</v>
      </c>
      <c r="M710" s="37">
        <f t="shared" si="95"/>
        <v>187.5</v>
      </c>
      <c r="N710" s="38">
        <v>0.16</v>
      </c>
      <c r="O710" s="39">
        <f t="shared" si="97"/>
        <v>30</v>
      </c>
      <c r="P710" s="40">
        <f t="shared" si="98"/>
        <v>217.5</v>
      </c>
      <c r="Q710" s="23"/>
      <c r="R710" s="56"/>
      <c r="S710" s="57"/>
      <c r="T710" s="58">
        <f t="shared" si="104"/>
        <v>0</v>
      </c>
      <c r="U710" s="36">
        <f t="shared" si="104"/>
        <v>0</v>
      </c>
      <c r="V710" s="59">
        <f t="shared" si="101"/>
        <v>0</v>
      </c>
      <c r="W710" s="39">
        <f t="shared" si="96"/>
        <v>0</v>
      </c>
      <c r="X710" s="40">
        <f t="shared" si="99"/>
        <v>0</v>
      </c>
      <c r="Y710"/>
      <c r="Z710"/>
      <c r="AA710"/>
    </row>
    <row r="711" spans="1:27" s="51" customFormat="1" ht="18.600000000000001" hidden="1" customHeight="1" x14ac:dyDescent="0.25">
      <c r="A711" s="82" t="s">
        <v>16</v>
      </c>
      <c r="B711" s="41" t="s">
        <v>1702</v>
      </c>
      <c r="C711" s="42" t="s">
        <v>1703</v>
      </c>
      <c r="D711" s="41" t="s">
        <v>1733</v>
      </c>
      <c r="E711" s="43" t="s">
        <v>1734</v>
      </c>
      <c r="F711" s="43" t="s">
        <v>1705</v>
      </c>
      <c r="G711" s="43" t="s">
        <v>1716</v>
      </c>
      <c r="H711" s="85" t="s">
        <v>1735</v>
      </c>
      <c r="I711" s="23" t="s">
        <v>24</v>
      </c>
      <c r="J711" s="44">
        <v>250</v>
      </c>
      <c r="K711" s="45">
        <v>0.25</v>
      </c>
      <c r="L711" s="46">
        <f t="shared" si="94"/>
        <v>62.5</v>
      </c>
      <c r="M711" s="47">
        <f t="shared" si="95"/>
        <v>187.5</v>
      </c>
      <c r="N711" s="48">
        <v>0.16</v>
      </c>
      <c r="O711" s="49">
        <f t="shared" si="97"/>
        <v>30</v>
      </c>
      <c r="P711" s="50">
        <f t="shared" si="98"/>
        <v>217.5</v>
      </c>
      <c r="Q711" s="23"/>
      <c r="R711" s="60"/>
      <c r="S711" s="61"/>
      <c r="T711" s="62">
        <f t="shared" si="104"/>
        <v>0</v>
      </c>
      <c r="U711" s="46">
        <f t="shared" si="104"/>
        <v>0</v>
      </c>
      <c r="V711" s="63">
        <f t="shared" si="101"/>
        <v>0</v>
      </c>
      <c r="W711" s="49">
        <f t="shared" si="96"/>
        <v>0</v>
      </c>
      <c r="X711" s="50">
        <f t="shared" si="99"/>
        <v>0</v>
      </c>
      <c r="Y711"/>
      <c r="Z711"/>
      <c r="AA711"/>
    </row>
    <row r="712" spans="1:27" s="51" customFormat="1" ht="18.600000000000001" hidden="1" customHeight="1" x14ac:dyDescent="0.25">
      <c r="A712" s="80" t="s">
        <v>16</v>
      </c>
      <c r="B712" s="20" t="s">
        <v>1702</v>
      </c>
      <c r="C712" s="21" t="s">
        <v>1703</v>
      </c>
      <c r="D712" s="20" t="s">
        <v>1736</v>
      </c>
      <c r="E712" s="22" t="s">
        <v>1737</v>
      </c>
      <c r="F712" s="22" t="s">
        <v>1705</v>
      </c>
      <c r="G712" s="22" t="s">
        <v>1716</v>
      </c>
      <c r="H712" s="83" t="s">
        <v>1738</v>
      </c>
      <c r="I712" s="23" t="s">
        <v>24</v>
      </c>
      <c r="J712" s="24">
        <v>280</v>
      </c>
      <c r="K712" s="25">
        <v>0.25</v>
      </c>
      <c r="L712" s="26">
        <f t="shared" si="94"/>
        <v>70</v>
      </c>
      <c r="M712" s="27">
        <f t="shared" si="95"/>
        <v>210</v>
      </c>
      <c r="N712" s="28">
        <v>0.16</v>
      </c>
      <c r="O712" s="29">
        <f t="shared" si="97"/>
        <v>33.6</v>
      </c>
      <c r="P712" s="30">
        <f t="shared" si="98"/>
        <v>243.6</v>
      </c>
      <c r="Q712" s="23"/>
      <c r="R712" s="52"/>
      <c r="S712" s="53"/>
      <c r="T712" s="54">
        <f t="shared" si="104"/>
        <v>0</v>
      </c>
      <c r="U712" s="26">
        <f t="shared" si="104"/>
        <v>0</v>
      </c>
      <c r="V712" s="55">
        <f t="shared" si="101"/>
        <v>0</v>
      </c>
      <c r="W712" s="29">
        <f t="shared" si="96"/>
        <v>0</v>
      </c>
      <c r="X712" s="30">
        <f t="shared" si="99"/>
        <v>0</v>
      </c>
      <c r="Y712"/>
      <c r="Z712"/>
      <c r="AA712"/>
    </row>
    <row r="713" spans="1:27" s="51" customFormat="1" ht="18.600000000000001" hidden="1" customHeight="1" x14ac:dyDescent="0.25">
      <c r="A713" s="81" t="s">
        <v>16</v>
      </c>
      <c r="B713" s="31" t="s">
        <v>1702</v>
      </c>
      <c r="C713" s="32" t="s">
        <v>1703</v>
      </c>
      <c r="D713" s="31" t="s">
        <v>1739</v>
      </c>
      <c r="E713" s="33" t="s">
        <v>1740</v>
      </c>
      <c r="F713" s="33" t="s">
        <v>1705</v>
      </c>
      <c r="G713" s="33" t="s">
        <v>1716</v>
      </c>
      <c r="H713" s="84" t="s">
        <v>1741</v>
      </c>
      <c r="I713" s="23" t="s">
        <v>24</v>
      </c>
      <c r="J713" s="34">
        <v>250</v>
      </c>
      <c r="K713" s="35">
        <v>0.25</v>
      </c>
      <c r="L713" s="36">
        <f t="shared" si="94"/>
        <v>62.5</v>
      </c>
      <c r="M713" s="37">
        <f t="shared" si="95"/>
        <v>187.5</v>
      </c>
      <c r="N713" s="38">
        <v>0.16</v>
      </c>
      <c r="O713" s="39">
        <f t="shared" si="97"/>
        <v>30</v>
      </c>
      <c r="P713" s="40">
        <f t="shared" si="98"/>
        <v>217.5</v>
      </c>
      <c r="Q713" s="23"/>
      <c r="R713" s="56"/>
      <c r="S713" s="57"/>
      <c r="T713" s="58">
        <f t="shared" si="104"/>
        <v>0</v>
      </c>
      <c r="U713" s="36">
        <f t="shared" si="104"/>
        <v>0</v>
      </c>
      <c r="V713" s="59">
        <f t="shared" si="101"/>
        <v>0</v>
      </c>
      <c r="W713" s="39">
        <f t="shared" si="96"/>
        <v>0</v>
      </c>
      <c r="X713" s="40">
        <f t="shared" si="99"/>
        <v>0</v>
      </c>
      <c r="Y713"/>
      <c r="Z713"/>
      <c r="AA713"/>
    </row>
    <row r="714" spans="1:27" s="51" customFormat="1" ht="18.600000000000001" hidden="1" customHeight="1" x14ac:dyDescent="0.25">
      <c r="A714" s="82" t="s">
        <v>16</v>
      </c>
      <c r="B714" s="41" t="s">
        <v>1702</v>
      </c>
      <c r="C714" s="42" t="s">
        <v>1703</v>
      </c>
      <c r="D714" s="41">
        <v>8435635305893</v>
      </c>
      <c r="E714" s="43" t="s">
        <v>1742</v>
      </c>
      <c r="F714" s="43" t="s">
        <v>1705</v>
      </c>
      <c r="G714" s="43" t="s">
        <v>1743</v>
      </c>
      <c r="H714" s="85" t="s">
        <v>1744</v>
      </c>
      <c r="I714" s="23" t="s">
        <v>24</v>
      </c>
      <c r="J714" s="44">
        <v>250</v>
      </c>
      <c r="K714" s="45">
        <v>0.25</v>
      </c>
      <c r="L714" s="46">
        <f t="shared" ref="L714:L777" si="105">+J714*K714</f>
        <v>62.5</v>
      </c>
      <c r="M714" s="47">
        <f t="shared" ref="M714:M777" si="106">+J714-L714</f>
        <v>187.5</v>
      </c>
      <c r="N714" s="48">
        <v>0.16</v>
      </c>
      <c r="O714" s="49">
        <f t="shared" si="97"/>
        <v>30</v>
      </c>
      <c r="P714" s="50">
        <f t="shared" si="98"/>
        <v>217.5</v>
      </c>
      <c r="Q714" s="23"/>
      <c r="R714" s="60"/>
      <c r="S714" s="61"/>
      <c r="T714" s="62">
        <f t="shared" si="104"/>
        <v>0</v>
      </c>
      <c r="U714" s="46">
        <f t="shared" si="104"/>
        <v>0</v>
      </c>
      <c r="V714" s="63">
        <f t="shared" si="101"/>
        <v>0</v>
      </c>
      <c r="W714" s="49">
        <f t="shared" ref="W714:W777" si="107">+V714*N714</f>
        <v>0</v>
      </c>
      <c r="X714" s="50">
        <f t="shared" si="99"/>
        <v>0</v>
      </c>
      <c r="Y714"/>
      <c r="Z714"/>
      <c r="AA714"/>
    </row>
    <row r="715" spans="1:27" s="51" customFormat="1" ht="18.600000000000001" hidden="1" customHeight="1" x14ac:dyDescent="0.25">
      <c r="A715" s="80" t="s">
        <v>16</v>
      </c>
      <c r="B715" s="20" t="s">
        <v>1702</v>
      </c>
      <c r="C715" s="21" t="s">
        <v>1703</v>
      </c>
      <c r="D715" s="20">
        <v>8435635305909</v>
      </c>
      <c r="E715" s="22" t="s">
        <v>1745</v>
      </c>
      <c r="F715" s="22" t="s">
        <v>1705</v>
      </c>
      <c r="G715" s="22" t="s">
        <v>1746</v>
      </c>
      <c r="H715" s="83" t="s">
        <v>1747</v>
      </c>
      <c r="I715" s="23" t="s">
        <v>24</v>
      </c>
      <c r="J715" s="24">
        <v>250</v>
      </c>
      <c r="K715" s="25">
        <v>0.25</v>
      </c>
      <c r="L715" s="26">
        <f t="shared" si="105"/>
        <v>62.5</v>
      </c>
      <c r="M715" s="27">
        <f t="shared" si="106"/>
        <v>187.5</v>
      </c>
      <c r="N715" s="28">
        <v>0.16</v>
      </c>
      <c r="O715" s="29">
        <f t="shared" ref="O715:O778" si="108">+M715*N715</f>
        <v>30</v>
      </c>
      <c r="P715" s="30">
        <f t="shared" ref="P715:P778" si="109">+M715+O715</f>
        <v>217.5</v>
      </c>
      <c r="Q715" s="23"/>
      <c r="R715" s="52"/>
      <c r="S715" s="53"/>
      <c r="T715" s="54">
        <f t="shared" si="104"/>
        <v>0</v>
      </c>
      <c r="U715" s="26">
        <f t="shared" si="104"/>
        <v>0</v>
      </c>
      <c r="V715" s="55">
        <f t="shared" si="101"/>
        <v>0</v>
      </c>
      <c r="W715" s="29">
        <f t="shared" si="107"/>
        <v>0</v>
      </c>
      <c r="X715" s="30">
        <f t="shared" ref="X715:X778" si="110">+V715+W715</f>
        <v>0</v>
      </c>
      <c r="Y715"/>
      <c r="Z715"/>
      <c r="AA715"/>
    </row>
    <row r="716" spans="1:27" s="51" customFormat="1" ht="18.600000000000001" hidden="1" customHeight="1" x14ac:dyDescent="0.25">
      <c r="A716" s="81" t="s">
        <v>16</v>
      </c>
      <c r="B716" s="31" t="s">
        <v>1702</v>
      </c>
      <c r="C716" s="32" t="s">
        <v>1703</v>
      </c>
      <c r="D716" s="31">
        <v>8435635305916</v>
      </c>
      <c r="E716" s="33" t="s">
        <v>1748</v>
      </c>
      <c r="F716" s="33" t="s">
        <v>1705</v>
      </c>
      <c r="G716" s="33" t="s">
        <v>1749</v>
      </c>
      <c r="H716" s="84" t="s">
        <v>1750</v>
      </c>
      <c r="I716" s="23" t="s">
        <v>24</v>
      </c>
      <c r="J716" s="34">
        <v>250</v>
      </c>
      <c r="K716" s="35">
        <v>0.25</v>
      </c>
      <c r="L716" s="36">
        <f t="shared" si="105"/>
        <v>62.5</v>
      </c>
      <c r="M716" s="37">
        <f t="shared" si="106"/>
        <v>187.5</v>
      </c>
      <c r="N716" s="38">
        <v>0.16</v>
      </c>
      <c r="O716" s="39">
        <f t="shared" si="108"/>
        <v>30</v>
      </c>
      <c r="P716" s="40">
        <f t="shared" si="109"/>
        <v>217.5</v>
      </c>
      <c r="Q716" s="23"/>
      <c r="R716" s="56"/>
      <c r="S716" s="57"/>
      <c r="T716" s="58">
        <f t="shared" si="104"/>
        <v>0</v>
      </c>
      <c r="U716" s="36">
        <f t="shared" si="104"/>
        <v>0</v>
      </c>
      <c r="V716" s="59">
        <f t="shared" si="101"/>
        <v>0</v>
      </c>
      <c r="W716" s="39">
        <f t="shared" si="107"/>
        <v>0</v>
      </c>
      <c r="X716" s="40">
        <f t="shared" si="110"/>
        <v>0</v>
      </c>
      <c r="Y716"/>
      <c r="Z716"/>
      <c r="AA716"/>
    </row>
    <row r="717" spans="1:27" s="51" customFormat="1" ht="18.600000000000001" hidden="1" customHeight="1" x14ac:dyDescent="0.25">
      <c r="A717" s="82" t="s">
        <v>16</v>
      </c>
      <c r="B717" s="41" t="s">
        <v>1702</v>
      </c>
      <c r="C717" s="42" t="s">
        <v>1703</v>
      </c>
      <c r="D717" s="41">
        <v>8435635306487</v>
      </c>
      <c r="E717" s="43" t="s">
        <v>1751</v>
      </c>
      <c r="F717" s="43" t="s">
        <v>1705</v>
      </c>
      <c r="G717" s="43" t="s">
        <v>1752</v>
      </c>
      <c r="H717" s="85" t="s">
        <v>1753</v>
      </c>
      <c r="I717" s="23" t="s">
        <v>24</v>
      </c>
      <c r="J717" s="44">
        <v>280</v>
      </c>
      <c r="K717" s="45">
        <v>0.25</v>
      </c>
      <c r="L717" s="46">
        <f t="shared" si="105"/>
        <v>70</v>
      </c>
      <c r="M717" s="47">
        <f t="shared" si="106"/>
        <v>210</v>
      </c>
      <c r="N717" s="48">
        <v>0.16</v>
      </c>
      <c r="O717" s="49">
        <f t="shared" si="108"/>
        <v>33.6</v>
      </c>
      <c r="P717" s="50">
        <f t="shared" si="109"/>
        <v>243.6</v>
      </c>
      <c r="Q717" s="23"/>
      <c r="R717" s="60"/>
      <c r="S717" s="61"/>
      <c r="T717" s="62">
        <f t="shared" si="104"/>
        <v>0</v>
      </c>
      <c r="U717" s="46">
        <f t="shared" si="104"/>
        <v>0</v>
      </c>
      <c r="V717" s="63">
        <f t="shared" si="101"/>
        <v>0</v>
      </c>
      <c r="W717" s="49">
        <f t="shared" si="107"/>
        <v>0</v>
      </c>
      <c r="X717" s="50">
        <f t="shared" si="110"/>
        <v>0</v>
      </c>
      <c r="Y717"/>
      <c r="Z717"/>
      <c r="AA717"/>
    </row>
    <row r="718" spans="1:27" s="51" customFormat="1" ht="18.600000000000001" hidden="1" customHeight="1" x14ac:dyDescent="0.25">
      <c r="A718" s="80" t="s">
        <v>16</v>
      </c>
      <c r="B718" s="20" t="s">
        <v>1702</v>
      </c>
      <c r="C718" s="21" t="s">
        <v>1703</v>
      </c>
      <c r="D718" s="20">
        <v>8435635306456</v>
      </c>
      <c r="E718" s="22" t="s">
        <v>1754</v>
      </c>
      <c r="F718" s="22" t="s">
        <v>1705</v>
      </c>
      <c r="G718" s="22" t="s">
        <v>1755</v>
      </c>
      <c r="H718" s="83" t="s">
        <v>1756</v>
      </c>
      <c r="I718" s="23" t="s">
        <v>24</v>
      </c>
      <c r="J718" s="24">
        <v>250</v>
      </c>
      <c r="K718" s="25">
        <v>0.25</v>
      </c>
      <c r="L718" s="26">
        <f t="shared" si="105"/>
        <v>62.5</v>
      </c>
      <c r="M718" s="27">
        <f t="shared" si="106"/>
        <v>187.5</v>
      </c>
      <c r="N718" s="28">
        <v>0.16</v>
      </c>
      <c r="O718" s="29">
        <f t="shared" si="108"/>
        <v>30</v>
      </c>
      <c r="P718" s="30">
        <f t="shared" si="109"/>
        <v>217.5</v>
      </c>
      <c r="Q718" s="23"/>
      <c r="R718" s="52"/>
      <c r="S718" s="53"/>
      <c r="T718" s="54">
        <f t="shared" ref="T718:U737" si="111">+S718*J718</f>
        <v>0</v>
      </c>
      <c r="U718" s="26">
        <f t="shared" si="111"/>
        <v>0</v>
      </c>
      <c r="V718" s="55">
        <f t="shared" si="101"/>
        <v>0</v>
      </c>
      <c r="W718" s="29">
        <f t="shared" si="107"/>
        <v>0</v>
      </c>
      <c r="X718" s="30">
        <f t="shared" si="110"/>
        <v>0</v>
      </c>
      <c r="Y718"/>
      <c r="Z718"/>
      <c r="AA718"/>
    </row>
    <row r="719" spans="1:27" s="51" customFormat="1" ht="18.600000000000001" hidden="1" customHeight="1" x14ac:dyDescent="0.25">
      <c r="A719" s="81" t="s">
        <v>16</v>
      </c>
      <c r="B719" s="31" t="s">
        <v>1702</v>
      </c>
      <c r="C719" s="32" t="s">
        <v>1703</v>
      </c>
      <c r="D719" s="31">
        <v>8435635306463</v>
      </c>
      <c r="E719" s="33" t="s">
        <v>1757</v>
      </c>
      <c r="F719" s="33" t="s">
        <v>1705</v>
      </c>
      <c r="G719" s="33" t="s">
        <v>1758</v>
      </c>
      <c r="H719" s="84" t="s">
        <v>1759</v>
      </c>
      <c r="I719" s="23" t="s">
        <v>24</v>
      </c>
      <c r="J719" s="34">
        <v>250</v>
      </c>
      <c r="K719" s="35">
        <v>0.25</v>
      </c>
      <c r="L719" s="36">
        <f t="shared" si="105"/>
        <v>62.5</v>
      </c>
      <c r="M719" s="37">
        <f t="shared" si="106"/>
        <v>187.5</v>
      </c>
      <c r="N719" s="38">
        <v>0.16</v>
      </c>
      <c r="O719" s="39">
        <f t="shared" si="108"/>
        <v>30</v>
      </c>
      <c r="P719" s="40">
        <f t="shared" si="109"/>
        <v>217.5</v>
      </c>
      <c r="Q719" s="23"/>
      <c r="R719" s="56"/>
      <c r="S719" s="57"/>
      <c r="T719" s="58">
        <f t="shared" si="111"/>
        <v>0</v>
      </c>
      <c r="U719" s="36">
        <f t="shared" si="111"/>
        <v>0</v>
      </c>
      <c r="V719" s="59">
        <f t="shared" si="101"/>
        <v>0</v>
      </c>
      <c r="W719" s="39">
        <f t="shared" si="107"/>
        <v>0</v>
      </c>
      <c r="X719" s="40">
        <f t="shared" si="110"/>
        <v>0</v>
      </c>
      <c r="Y719"/>
      <c r="Z719"/>
      <c r="AA719"/>
    </row>
    <row r="720" spans="1:27" s="51" customFormat="1" ht="18.600000000000001" hidden="1" customHeight="1" x14ac:dyDescent="0.25">
      <c r="A720" s="82" t="s">
        <v>16</v>
      </c>
      <c r="B720" s="41" t="s">
        <v>1702</v>
      </c>
      <c r="C720" s="42" t="s">
        <v>1703</v>
      </c>
      <c r="D720" s="41">
        <v>8435635306470</v>
      </c>
      <c r="E720" s="43" t="s">
        <v>1760</v>
      </c>
      <c r="F720" s="43" t="s">
        <v>1705</v>
      </c>
      <c r="G720" s="43" t="s">
        <v>1761</v>
      </c>
      <c r="H720" s="85" t="s">
        <v>1762</v>
      </c>
      <c r="I720" s="23" t="s">
        <v>24</v>
      </c>
      <c r="J720" s="44">
        <v>250</v>
      </c>
      <c r="K720" s="45">
        <v>0.25</v>
      </c>
      <c r="L720" s="46">
        <f t="shared" si="105"/>
        <v>62.5</v>
      </c>
      <c r="M720" s="47">
        <f t="shared" si="106"/>
        <v>187.5</v>
      </c>
      <c r="N720" s="48">
        <v>0.16</v>
      </c>
      <c r="O720" s="49">
        <f t="shared" si="108"/>
        <v>30</v>
      </c>
      <c r="P720" s="50">
        <f t="shared" si="109"/>
        <v>217.5</v>
      </c>
      <c r="Q720" s="23"/>
      <c r="R720" s="60"/>
      <c r="S720" s="61"/>
      <c r="T720" s="62">
        <f t="shared" si="111"/>
        <v>0</v>
      </c>
      <c r="U720" s="46">
        <f t="shared" si="111"/>
        <v>0</v>
      </c>
      <c r="V720" s="63">
        <f t="shared" si="101"/>
        <v>0</v>
      </c>
      <c r="W720" s="49">
        <f t="shared" si="107"/>
        <v>0</v>
      </c>
      <c r="X720" s="50">
        <f t="shared" si="110"/>
        <v>0</v>
      </c>
      <c r="Y720"/>
      <c r="Z720"/>
      <c r="AA720"/>
    </row>
    <row r="721" spans="1:27" s="51" customFormat="1" ht="18.600000000000001" hidden="1" customHeight="1" x14ac:dyDescent="0.25">
      <c r="A721" s="80" t="s">
        <v>16</v>
      </c>
      <c r="B721" s="20" t="s">
        <v>1702</v>
      </c>
      <c r="C721" s="21" t="s">
        <v>1703</v>
      </c>
      <c r="D721" s="20">
        <v>8435635309044</v>
      </c>
      <c r="E721" s="22" t="s">
        <v>1763</v>
      </c>
      <c r="F721" s="22" t="s">
        <v>1705</v>
      </c>
      <c r="G721" s="22" t="s">
        <v>1764</v>
      </c>
      <c r="H721" s="83" t="s">
        <v>1765</v>
      </c>
      <c r="I721" s="23" t="s">
        <v>24</v>
      </c>
      <c r="J721" s="24">
        <v>530</v>
      </c>
      <c r="K721" s="25">
        <v>0.25</v>
      </c>
      <c r="L721" s="26">
        <f t="shared" si="105"/>
        <v>132.5</v>
      </c>
      <c r="M721" s="27">
        <f t="shared" si="106"/>
        <v>397.5</v>
      </c>
      <c r="N721" s="28">
        <v>0.16</v>
      </c>
      <c r="O721" s="29">
        <f t="shared" si="108"/>
        <v>63.6</v>
      </c>
      <c r="P721" s="30">
        <f t="shared" si="109"/>
        <v>461.1</v>
      </c>
      <c r="Q721" s="23"/>
      <c r="R721" s="52"/>
      <c r="S721" s="53"/>
      <c r="T721" s="54">
        <f t="shared" si="111"/>
        <v>0</v>
      </c>
      <c r="U721" s="26">
        <f t="shared" si="111"/>
        <v>0</v>
      </c>
      <c r="V721" s="55">
        <f t="shared" si="101"/>
        <v>0</v>
      </c>
      <c r="W721" s="29">
        <f t="shared" si="107"/>
        <v>0</v>
      </c>
      <c r="X721" s="30">
        <f t="shared" si="110"/>
        <v>0</v>
      </c>
      <c r="Y721"/>
      <c r="Z721"/>
      <c r="AA721"/>
    </row>
    <row r="722" spans="1:27" s="51" customFormat="1" ht="18.600000000000001" hidden="1" customHeight="1" x14ac:dyDescent="0.25">
      <c r="A722" s="81" t="s">
        <v>16</v>
      </c>
      <c r="B722" s="31" t="s">
        <v>1702</v>
      </c>
      <c r="C722" s="32" t="s">
        <v>1703</v>
      </c>
      <c r="D722" s="31">
        <v>8435635309051</v>
      </c>
      <c r="E722" s="33" t="s">
        <v>1766</v>
      </c>
      <c r="F722" s="33" t="s">
        <v>1705</v>
      </c>
      <c r="G722" s="33" t="s">
        <v>1764</v>
      </c>
      <c r="H722" s="84" t="s">
        <v>1767</v>
      </c>
      <c r="I722" s="23" t="s">
        <v>24</v>
      </c>
      <c r="J722" s="34">
        <v>530</v>
      </c>
      <c r="K722" s="35">
        <v>0.25</v>
      </c>
      <c r="L722" s="36">
        <f t="shared" si="105"/>
        <v>132.5</v>
      </c>
      <c r="M722" s="37">
        <f t="shared" si="106"/>
        <v>397.5</v>
      </c>
      <c r="N722" s="38">
        <v>0.16</v>
      </c>
      <c r="O722" s="39">
        <f t="shared" si="108"/>
        <v>63.6</v>
      </c>
      <c r="P722" s="40">
        <f t="shared" si="109"/>
        <v>461.1</v>
      </c>
      <c r="Q722" s="23"/>
      <c r="R722" s="56"/>
      <c r="S722" s="57"/>
      <c r="T722" s="58">
        <f t="shared" si="111"/>
        <v>0</v>
      </c>
      <c r="U722" s="36">
        <f t="shared" si="111"/>
        <v>0</v>
      </c>
      <c r="V722" s="59">
        <f t="shared" si="101"/>
        <v>0</v>
      </c>
      <c r="W722" s="39">
        <f t="shared" si="107"/>
        <v>0</v>
      </c>
      <c r="X722" s="40">
        <f t="shared" si="110"/>
        <v>0</v>
      </c>
      <c r="Y722"/>
      <c r="Z722"/>
      <c r="AA722"/>
    </row>
    <row r="723" spans="1:27" s="51" customFormat="1" ht="18.600000000000001" hidden="1" customHeight="1" x14ac:dyDescent="0.25">
      <c r="A723" s="82" t="s">
        <v>16</v>
      </c>
      <c r="B723" s="41" t="s">
        <v>1702</v>
      </c>
      <c r="C723" s="42" t="s">
        <v>1703</v>
      </c>
      <c r="D723" s="41">
        <v>8435635309068</v>
      </c>
      <c r="E723" s="43" t="s">
        <v>1768</v>
      </c>
      <c r="F723" s="43" t="s">
        <v>1705</v>
      </c>
      <c r="G723" s="43" t="s">
        <v>1764</v>
      </c>
      <c r="H723" s="85" t="s">
        <v>1769</v>
      </c>
      <c r="I723" s="23" t="s">
        <v>24</v>
      </c>
      <c r="J723" s="44">
        <v>530</v>
      </c>
      <c r="K723" s="45">
        <v>0.25</v>
      </c>
      <c r="L723" s="46">
        <f t="shared" si="105"/>
        <v>132.5</v>
      </c>
      <c r="M723" s="47">
        <f t="shared" si="106"/>
        <v>397.5</v>
      </c>
      <c r="N723" s="48">
        <v>0.16</v>
      </c>
      <c r="O723" s="49">
        <f t="shared" si="108"/>
        <v>63.6</v>
      </c>
      <c r="P723" s="50">
        <f t="shared" si="109"/>
        <v>461.1</v>
      </c>
      <c r="Q723" s="23"/>
      <c r="R723" s="60"/>
      <c r="S723" s="61"/>
      <c r="T723" s="62">
        <f t="shared" si="111"/>
        <v>0</v>
      </c>
      <c r="U723" s="46">
        <f t="shared" si="111"/>
        <v>0</v>
      </c>
      <c r="V723" s="63">
        <f t="shared" si="101"/>
        <v>0</v>
      </c>
      <c r="W723" s="49">
        <f t="shared" si="107"/>
        <v>0</v>
      </c>
      <c r="X723" s="50">
        <f t="shared" si="110"/>
        <v>0</v>
      </c>
      <c r="Y723"/>
      <c r="Z723"/>
      <c r="AA723"/>
    </row>
    <row r="724" spans="1:27" s="51" customFormat="1" ht="18.600000000000001" hidden="1" customHeight="1" x14ac:dyDescent="0.25">
      <c r="A724" s="80" t="s">
        <v>16</v>
      </c>
      <c r="B724" s="20" t="s">
        <v>1702</v>
      </c>
      <c r="C724" s="21" t="s">
        <v>1703</v>
      </c>
      <c r="D724" s="20">
        <v>8435635309075</v>
      </c>
      <c r="E724" s="22" t="s">
        <v>1770</v>
      </c>
      <c r="F724" s="22" t="s">
        <v>1705</v>
      </c>
      <c r="G724" s="22" t="s">
        <v>1764</v>
      </c>
      <c r="H724" s="83" t="s">
        <v>1771</v>
      </c>
      <c r="I724" s="23" t="s">
        <v>24</v>
      </c>
      <c r="J724" s="24">
        <v>530</v>
      </c>
      <c r="K724" s="25">
        <v>0.25</v>
      </c>
      <c r="L724" s="26">
        <f t="shared" si="105"/>
        <v>132.5</v>
      </c>
      <c r="M724" s="27">
        <f t="shared" si="106"/>
        <v>397.5</v>
      </c>
      <c r="N724" s="28">
        <v>0.16</v>
      </c>
      <c r="O724" s="29">
        <f t="shared" si="108"/>
        <v>63.6</v>
      </c>
      <c r="P724" s="30">
        <f t="shared" si="109"/>
        <v>461.1</v>
      </c>
      <c r="Q724" s="23"/>
      <c r="R724" s="52"/>
      <c r="S724" s="53"/>
      <c r="T724" s="54">
        <f t="shared" si="111"/>
        <v>0</v>
      </c>
      <c r="U724" s="26">
        <f t="shared" si="111"/>
        <v>0</v>
      </c>
      <c r="V724" s="55">
        <f t="shared" si="101"/>
        <v>0</v>
      </c>
      <c r="W724" s="29">
        <f t="shared" si="107"/>
        <v>0</v>
      </c>
      <c r="X724" s="30">
        <f t="shared" si="110"/>
        <v>0</v>
      </c>
      <c r="Y724"/>
      <c r="Z724"/>
      <c r="AA724"/>
    </row>
    <row r="725" spans="1:27" s="51" customFormat="1" ht="18.600000000000001" hidden="1" customHeight="1" x14ac:dyDescent="0.25">
      <c r="A725" s="81" t="s">
        <v>16</v>
      </c>
      <c r="B725" s="31" t="s">
        <v>1702</v>
      </c>
      <c r="C725" s="32" t="s">
        <v>1703</v>
      </c>
      <c r="D725" s="31">
        <v>8435635309082</v>
      </c>
      <c r="E725" s="33" t="s">
        <v>1772</v>
      </c>
      <c r="F725" s="33" t="s">
        <v>1705</v>
      </c>
      <c r="G725" s="33" t="s">
        <v>1764</v>
      </c>
      <c r="H725" s="84" t="s">
        <v>1773</v>
      </c>
      <c r="I725" s="23" t="s">
        <v>24</v>
      </c>
      <c r="J725" s="34">
        <v>530</v>
      </c>
      <c r="K725" s="35">
        <v>0.25</v>
      </c>
      <c r="L725" s="36">
        <f t="shared" si="105"/>
        <v>132.5</v>
      </c>
      <c r="M725" s="37">
        <f t="shared" si="106"/>
        <v>397.5</v>
      </c>
      <c r="N725" s="38">
        <v>0.16</v>
      </c>
      <c r="O725" s="39">
        <f t="shared" si="108"/>
        <v>63.6</v>
      </c>
      <c r="P725" s="40">
        <f t="shared" si="109"/>
        <v>461.1</v>
      </c>
      <c r="Q725" s="23"/>
      <c r="R725" s="56"/>
      <c r="S725" s="57"/>
      <c r="T725" s="58">
        <f t="shared" si="111"/>
        <v>0</v>
      </c>
      <c r="U725" s="36">
        <f t="shared" si="111"/>
        <v>0</v>
      </c>
      <c r="V725" s="59">
        <f t="shared" si="101"/>
        <v>0</v>
      </c>
      <c r="W725" s="39">
        <f t="shared" si="107"/>
        <v>0</v>
      </c>
      <c r="X725" s="40">
        <f t="shared" si="110"/>
        <v>0</v>
      </c>
      <c r="Y725"/>
      <c r="Z725"/>
      <c r="AA725"/>
    </row>
    <row r="726" spans="1:27" s="51" customFormat="1" ht="18.600000000000001" hidden="1" customHeight="1" x14ac:dyDescent="0.25">
      <c r="A726" s="82" t="s">
        <v>16</v>
      </c>
      <c r="B726" s="41" t="s">
        <v>1702</v>
      </c>
      <c r="C726" s="42" t="s">
        <v>1703</v>
      </c>
      <c r="D726" s="41">
        <v>8435635309099</v>
      </c>
      <c r="E726" s="43" t="s">
        <v>1774</v>
      </c>
      <c r="F726" s="43" t="s">
        <v>1705</v>
      </c>
      <c r="G726" s="43" t="s">
        <v>1764</v>
      </c>
      <c r="H726" s="85" t="s">
        <v>1775</v>
      </c>
      <c r="I726" s="23" t="s">
        <v>24</v>
      </c>
      <c r="J726" s="44">
        <v>530</v>
      </c>
      <c r="K726" s="45">
        <v>0.25</v>
      </c>
      <c r="L726" s="46">
        <f t="shared" si="105"/>
        <v>132.5</v>
      </c>
      <c r="M726" s="47">
        <f t="shared" si="106"/>
        <v>397.5</v>
      </c>
      <c r="N726" s="48">
        <v>0.16</v>
      </c>
      <c r="O726" s="49">
        <f t="shared" si="108"/>
        <v>63.6</v>
      </c>
      <c r="P726" s="50">
        <f t="shared" si="109"/>
        <v>461.1</v>
      </c>
      <c r="Q726" s="23"/>
      <c r="R726" s="60"/>
      <c r="S726" s="61"/>
      <c r="T726" s="62">
        <f t="shared" si="111"/>
        <v>0</v>
      </c>
      <c r="U726" s="46">
        <f t="shared" si="111"/>
        <v>0</v>
      </c>
      <c r="V726" s="63">
        <f t="shared" si="101"/>
        <v>0</v>
      </c>
      <c r="W726" s="49">
        <f t="shared" si="107"/>
        <v>0</v>
      </c>
      <c r="X726" s="50">
        <f t="shared" si="110"/>
        <v>0</v>
      </c>
      <c r="Y726"/>
      <c r="Z726"/>
      <c r="AA726"/>
    </row>
    <row r="727" spans="1:27" s="51" customFormat="1" ht="18.600000000000001" hidden="1" customHeight="1" x14ac:dyDescent="0.25">
      <c r="A727" s="80" t="s">
        <v>16</v>
      </c>
      <c r="B727" s="20" t="s">
        <v>1702</v>
      </c>
      <c r="C727" s="21" t="s">
        <v>1703</v>
      </c>
      <c r="D727" s="20" t="s">
        <v>1776</v>
      </c>
      <c r="E727" s="22" t="s">
        <v>1777</v>
      </c>
      <c r="F727" s="22" t="s">
        <v>1705</v>
      </c>
      <c r="G727" s="22" t="s">
        <v>1778</v>
      </c>
      <c r="H727" s="83" t="s">
        <v>1779</v>
      </c>
      <c r="I727" s="23" t="s">
        <v>24</v>
      </c>
      <c r="J727" s="24">
        <v>1700</v>
      </c>
      <c r="K727" s="25">
        <v>0.25</v>
      </c>
      <c r="L727" s="26">
        <f t="shared" si="105"/>
        <v>425</v>
      </c>
      <c r="M727" s="27">
        <f t="shared" si="106"/>
        <v>1275</v>
      </c>
      <c r="N727" s="28">
        <v>0.16</v>
      </c>
      <c r="O727" s="29">
        <f t="shared" si="108"/>
        <v>204</v>
      </c>
      <c r="P727" s="30">
        <f t="shared" si="109"/>
        <v>1479</v>
      </c>
      <c r="Q727" s="23"/>
      <c r="R727" s="52"/>
      <c r="S727" s="53"/>
      <c r="T727" s="54">
        <f t="shared" si="111"/>
        <v>0</v>
      </c>
      <c r="U727" s="26">
        <f t="shared" si="111"/>
        <v>0</v>
      </c>
      <c r="V727" s="55">
        <f t="shared" si="101"/>
        <v>0</v>
      </c>
      <c r="W727" s="29">
        <f t="shared" si="107"/>
        <v>0</v>
      </c>
      <c r="X727" s="30">
        <f t="shared" si="110"/>
        <v>0</v>
      </c>
      <c r="Y727"/>
      <c r="Z727"/>
      <c r="AA727"/>
    </row>
    <row r="728" spans="1:27" s="51" customFormat="1" ht="18.600000000000001" hidden="1" customHeight="1" x14ac:dyDescent="0.25">
      <c r="A728" s="81" t="s">
        <v>16</v>
      </c>
      <c r="B728" s="31" t="s">
        <v>1702</v>
      </c>
      <c r="C728" s="32" t="s">
        <v>1703</v>
      </c>
      <c r="D728" s="31" t="s">
        <v>1780</v>
      </c>
      <c r="E728" s="33" t="s">
        <v>1781</v>
      </c>
      <c r="F728" s="33" t="s">
        <v>1705</v>
      </c>
      <c r="G728" s="33" t="s">
        <v>1782</v>
      </c>
      <c r="H728" s="84" t="s">
        <v>1783</v>
      </c>
      <c r="I728" s="23" t="s">
        <v>24</v>
      </c>
      <c r="J728" s="34">
        <v>1700</v>
      </c>
      <c r="K728" s="35">
        <v>0.25</v>
      </c>
      <c r="L728" s="36">
        <f t="shared" si="105"/>
        <v>425</v>
      </c>
      <c r="M728" s="37">
        <f t="shared" si="106"/>
        <v>1275</v>
      </c>
      <c r="N728" s="38">
        <v>0.16</v>
      </c>
      <c r="O728" s="39">
        <f t="shared" si="108"/>
        <v>204</v>
      </c>
      <c r="P728" s="40">
        <f t="shared" si="109"/>
        <v>1479</v>
      </c>
      <c r="Q728" s="23"/>
      <c r="R728" s="56"/>
      <c r="S728" s="57"/>
      <c r="T728" s="58">
        <f t="shared" si="111"/>
        <v>0</v>
      </c>
      <c r="U728" s="36">
        <f t="shared" si="111"/>
        <v>0</v>
      </c>
      <c r="V728" s="59">
        <f t="shared" si="101"/>
        <v>0</v>
      </c>
      <c r="W728" s="39">
        <f t="shared" si="107"/>
        <v>0</v>
      </c>
      <c r="X728" s="40">
        <f t="shared" si="110"/>
        <v>0</v>
      </c>
      <c r="Y728"/>
      <c r="Z728"/>
      <c r="AA728"/>
    </row>
    <row r="729" spans="1:27" s="51" customFormat="1" ht="18.600000000000001" hidden="1" customHeight="1" x14ac:dyDescent="0.25">
      <c r="A729" s="82" t="s">
        <v>16</v>
      </c>
      <c r="B729" s="41" t="s">
        <v>1702</v>
      </c>
      <c r="C729" s="42" t="s">
        <v>1703</v>
      </c>
      <c r="D729" s="41" t="s">
        <v>1784</v>
      </c>
      <c r="E729" s="43" t="s">
        <v>1785</v>
      </c>
      <c r="F729" s="43" t="s">
        <v>1705</v>
      </c>
      <c r="G729" s="43" t="s">
        <v>1786</v>
      </c>
      <c r="H729" s="85" t="s">
        <v>1787</v>
      </c>
      <c r="I729" s="23" t="s">
        <v>24</v>
      </c>
      <c r="J729" s="44">
        <v>1700</v>
      </c>
      <c r="K729" s="45">
        <v>0.25</v>
      </c>
      <c r="L729" s="46">
        <f t="shared" si="105"/>
        <v>425</v>
      </c>
      <c r="M729" s="47">
        <f t="shared" si="106"/>
        <v>1275</v>
      </c>
      <c r="N729" s="48">
        <v>0.16</v>
      </c>
      <c r="O729" s="49">
        <f t="shared" si="108"/>
        <v>204</v>
      </c>
      <c r="P729" s="50">
        <f t="shared" si="109"/>
        <v>1479</v>
      </c>
      <c r="Q729" s="23"/>
      <c r="R729" s="60"/>
      <c r="S729" s="61"/>
      <c r="T729" s="62">
        <f t="shared" si="111"/>
        <v>0</v>
      </c>
      <c r="U729" s="46">
        <f t="shared" si="111"/>
        <v>0</v>
      </c>
      <c r="V729" s="63">
        <f t="shared" si="101"/>
        <v>0</v>
      </c>
      <c r="W729" s="49">
        <f t="shared" si="107"/>
        <v>0</v>
      </c>
      <c r="X729" s="50">
        <f t="shared" si="110"/>
        <v>0</v>
      </c>
      <c r="Y729"/>
      <c r="Z729"/>
      <c r="AA729"/>
    </row>
    <row r="730" spans="1:27" s="51" customFormat="1" ht="18.600000000000001" hidden="1" customHeight="1" x14ac:dyDescent="0.25">
      <c r="A730" s="80" t="s">
        <v>16</v>
      </c>
      <c r="B730" s="20" t="s">
        <v>1702</v>
      </c>
      <c r="C730" s="21" t="s">
        <v>1703</v>
      </c>
      <c r="D730" s="20" t="s">
        <v>1788</v>
      </c>
      <c r="E730" s="22" t="s">
        <v>1789</v>
      </c>
      <c r="F730" s="22" t="s">
        <v>1705</v>
      </c>
      <c r="G730" s="22" t="s">
        <v>1786</v>
      </c>
      <c r="H730" s="83" t="s">
        <v>1790</v>
      </c>
      <c r="I730" s="23" t="s">
        <v>24</v>
      </c>
      <c r="J730" s="24">
        <v>1700</v>
      </c>
      <c r="K730" s="25">
        <v>0.25</v>
      </c>
      <c r="L730" s="26">
        <f t="shared" si="105"/>
        <v>425</v>
      </c>
      <c r="M730" s="27">
        <f t="shared" si="106"/>
        <v>1275</v>
      </c>
      <c r="N730" s="28">
        <v>0.16</v>
      </c>
      <c r="O730" s="29">
        <f t="shared" si="108"/>
        <v>204</v>
      </c>
      <c r="P730" s="30">
        <f t="shared" si="109"/>
        <v>1479</v>
      </c>
      <c r="Q730" s="23"/>
      <c r="R730" s="52"/>
      <c r="S730" s="53"/>
      <c r="T730" s="54">
        <f t="shared" si="111"/>
        <v>0</v>
      </c>
      <c r="U730" s="26">
        <f t="shared" si="111"/>
        <v>0</v>
      </c>
      <c r="V730" s="55">
        <f t="shared" ref="V730:V793" si="112">+T730-U730</f>
        <v>0</v>
      </c>
      <c r="W730" s="29">
        <f t="shared" si="107"/>
        <v>0</v>
      </c>
      <c r="X730" s="30">
        <f t="shared" si="110"/>
        <v>0</v>
      </c>
      <c r="Y730"/>
      <c r="Z730"/>
      <c r="AA730"/>
    </row>
    <row r="731" spans="1:27" s="51" customFormat="1" ht="18.600000000000001" hidden="1" customHeight="1" x14ac:dyDescent="0.25">
      <c r="A731" s="81" t="s">
        <v>16</v>
      </c>
      <c r="B731" s="31" t="s">
        <v>1702</v>
      </c>
      <c r="C731" s="32" t="s">
        <v>1703</v>
      </c>
      <c r="D731" s="31">
        <v>8435635306425</v>
      </c>
      <c r="E731" s="33" t="s">
        <v>1791</v>
      </c>
      <c r="F731" s="33" t="s">
        <v>1705</v>
      </c>
      <c r="G731" s="33" t="s">
        <v>1786</v>
      </c>
      <c r="H731" s="84" t="s">
        <v>1792</v>
      </c>
      <c r="I731" s="23" t="s">
        <v>24</v>
      </c>
      <c r="J731" s="34">
        <v>1700</v>
      </c>
      <c r="K731" s="35">
        <v>0.25</v>
      </c>
      <c r="L731" s="36">
        <f t="shared" si="105"/>
        <v>425</v>
      </c>
      <c r="M731" s="37">
        <f t="shared" si="106"/>
        <v>1275</v>
      </c>
      <c r="N731" s="38">
        <v>0.16</v>
      </c>
      <c r="O731" s="39">
        <f t="shared" si="108"/>
        <v>204</v>
      </c>
      <c r="P731" s="40">
        <f t="shared" si="109"/>
        <v>1479</v>
      </c>
      <c r="Q731" s="23"/>
      <c r="R731" s="56"/>
      <c r="S731" s="57"/>
      <c r="T731" s="58">
        <f t="shared" si="111"/>
        <v>0</v>
      </c>
      <c r="U731" s="36">
        <f t="shared" si="111"/>
        <v>0</v>
      </c>
      <c r="V731" s="59">
        <f t="shared" si="112"/>
        <v>0</v>
      </c>
      <c r="W731" s="39">
        <f t="shared" si="107"/>
        <v>0</v>
      </c>
      <c r="X731" s="40">
        <f t="shared" si="110"/>
        <v>0</v>
      </c>
      <c r="Y731"/>
      <c r="Z731"/>
      <c r="AA731"/>
    </row>
    <row r="732" spans="1:27" s="51" customFormat="1" ht="18.600000000000001" hidden="1" customHeight="1" x14ac:dyDescent="0.25">
      <c r="A732" s="82" t="s">
        <v>16</v>
      </c>
      <c r="B732" s="41" t="s">
        <v>1702</v>
      </c>
      <c r="C732" s="42" t="s">
        <v>1703</v>
      </c>
      <c r="D732" s="41">
        <v>8435635306432</v>
      </c>
      <c r="E732" s="43" t="s">
        <v>1793</v>
      </c>
      <c r="F732" s="43" t="s">
        <v>1705</v>
      </c>
      <c r="G732" s="43" t="s">
        <v>1786</v>
      </c>
      <c r="H732" s="85" t="s">
        <v>1794</v>
      </c>
      <c r="I732" s="23" t="s">
        <v>24</v>
      </c>
      <c r="J732" s="44">
        <v>2000</v>
      </c>
      <c r="K732" s="45">
        <v>0.25</v>
      </c>
      <c r="L732" s="46">
        <f t="shared" si="105"/>
        <v>500</v>
      </c>
      <c r="M732" s="47">
        <f t="shared" si="106"/>
        <v>1500</v>
      </c>
      <c r="N732" s="48">
        <v>0.16</v>
      </c>
      <c r="O732" s="49">
        <f t="shared" si="108"/>
        <v>240</v>
      </c>
      <c r="P732" s="50">
        <f t="shared" si="109"/>
        <v>1740</v>
      </c>
      <c r="Q732" s="23"/>
      <c r="R732" s="60"/>
      <c r="S732" s="61"/>
      <c r="T732" s="62">
        <f t="shared" si="111"/>
        <v>0</v>
      </c>
      <c r="U732" s="46">
        <f t="shared" si="111"/>
        <v>0</v>
      </c>
      <c r="V732" s="63">
        <f t="shared" si="112"/>
        <v>0</v>
      </c>
      <c r="W732" s="49">
        <f t="shared" si="107"/>
        <v>0</v>
      </c>
      <c r="X732" s="50">
        <f t="shared" si="110"/>
        <v>0</v>
      </c>
      <c r="Y732"/>
      <c r="Z732"/>
      <c r="AA732"/>
    </row>
    <row r="733" spans="1:27" s="51" customFormat="1" ht="18.600000000000001" hidden="1" customHeight="1" x14ac:dyDescent="0.25">
      <c r="A733" s="80" t="s">
        <v>16</v>
      </c>
      <c r="B733" s="20" t="s">
        <v>1702</v>
      </c>
      <c r="C733" s="21" t="s">
        <v>1703</v>
      </c>
      <c r="D733" s="20">
        <v>8435635306562</v>
      </c>
      <c r="E733" s="22" t="s">
        <v>1795</v>
      </c>
      <c r="F733" s="22" t="s">
        <v>1705</v>
      </c>
      <c r="G733" s="22" t="s">
        <v>1786</v>
      </c>
      <c r="H733" s="83" t="s">
        <v>1796</v>
      </c>
      <c r="I733" s="23" t="s">
        <v>24</v>
      </c>
      <c r="J733" s="24">
        <v>1800</v>
      </c>
      <c r="K733" s="25">
        <v>0.25</v>
      </c>
      <c r="L733" s="26">
        <f t="shared" si="105"/>
        <v>450</v>
      </c>
      <c r="M733" s="27">
        <f t="shared" si="106"/>
        <v>1350</v>
      </c>
      <c r="N733" s="28">
        <v>0.16</v>
      </c>
      <c r="O733" s="29">
        <f t="shared" si="108"/>
        <v>216</v>
      </c>
      <c r="P733" s="30">
        <f t="shared" si="109"/>
        <v>1566</v>
      </c>
      <c r="Q733" s="23"/>
      <c r="R733" s="52"/>
      <c r="S733" s="53"/>
      <c r="T733" s="54">
        <f t="shared" si="111"/>
        <v>0</v>
      </c>
      <c r="U733" s="26">
        <f t="shared" si="111"/>
        <v>0</v>
      </c>
      <c r="V733" s="55">
        <f t="shared" si="112"/>
        <v>0</v>
      </c>
      <c r="W733" s="29">
        <f t="shared" si="107"/>
        <v>0</v>
      </c>
      <c r="X733" s="30">
        <f t="shared" si="110"/>
        <v>0</v>
      </c>
      <c r="Y733"/>
      <c r="Z733"/>
      <c r="AA733"/>
    </row>
    <row r="734" spans="1:27" s="51" customFormat="1" ht="18.600000000000001" hidden="1" customHeight="1" x14ac:dyDescent="0.25">
      <c r="A734" s="81" t="s">
        <v>16</v>
      </c>
      <c r="B734" s="31" t="s">
        <v>1702</v>
      </c>
      <c r="C734" s="32" t="s">
        <v>1703</v>
      </c>
      <c r="D734" s="31">
        <v>8435635306616</v>
      </c>
      <c r="E734" s="33" t="s">
        <v>1797</v>
      </c>
      <c r="F734" s="33" t="s">
        <v>1705</v>
      </c>
      <c r="G734" s="33" t="s">
        <v>1786</v>
      </c>
      <c r="H734" s="84" t="s">
        <v>1798</v>
      </c>
      <c r="I734" s="23" t="s">
        <v>24</v>
      </c>
      <c r="J734" s="34">
        <v>1750</v>
      </c>
      <c r="K734" s="35">
        <v>0.25</v>
      </c>
      <c r="L734" s="36">
        <f t="shared" si="105"/>
        <v>437.5</v>
      </c>
      <c r="M734" s="37">
        <f t="shared" si="106"/>
        <v>1312.5</v>
      </c>
      <c r="N734" s="38">
        <v>0.16</v>
      </c>
      <c r="O734" s="39">
        <f t="shared" si="108"/>
        <v>210</v>
      </c>
      <c r="P734" s="40">
        <f t="shared" si="109"/>
        <v>1522.5</v>
      </c>
      <c r="Q734" s="23"/>
      <c r="R734" s="56"/>
      <c r="S734" s="57"/>
      <c r="T734" s="58">
        <f t="shared" si="111"/>
        <v>0</v>
      </c>
      <c r="U734" s="36">
        <f t="shared" si="111"/>
        <v>0</v>
      </c>
      <c r="V734" s="59">
        <f t="shared" si="112"/>
        <v>0</v>
      </c>
      <c r="W734" s="39">
        <f t="shared" si="107"/>
        <v>0</v>
      </c>
      <c r="X734" s="40">
        <f t="shared" si="110"/>
        <v>0</v>
      </c>
      <c r="Y734"/>
      <c r="Z734"/>
      <c r="AA734"/>
    </row>
    <row r="735" spans="1:27" s="51" customFormat="1" ht="18.600000000000001" hidden="1" customHeight="1" x14ac:dyDescent="0.25">
      <c r="A735" s="82" t="s">
        <v>16</v>
      </c>
      <c r="B735" s="41" t="s">
        <v>1702</v>
      </c>
      <c r="C735" s="42" t="s">
        <v>1703</v>
      </c>
      <c r="D735" s="41">
        <v>8435635308399</v>
      </c>
      <c r="E735" s="43" t="s">
        <v>1799</v>
      </c>
      <c r="F735" s="43" t="s">
        <v>1705</v>
      </c>
      <c r="G735" s="43" t="s">
        <v>1800</v>
      </c>
      <c r="H735" s="85" t="s">
        <v>1801</v>
      </c>
      <c r="I735" s="23" t="s">
        <v>24</v>
      </c>
      <c r="J735" s="44">
        <v>1750</v>
      </c>
      <c r="K735" s="45">
        <v>0.25</v>
      </c>
      <c r="L735" s="46">
        <f t="shared" si="105"/>
        <v>437.5</v>
      </c>
      <c r="M735" s="47">
        <f t="shared" si="106"/>
        <v>1312.5</v>
      </c>
      <c r="N735" s="48">
        <v>0.16</v>
      </c>
      <c r="O735" s="49">
        <f t="shared" si="108"/>
        <v>210</v>
      </c>
      <c r="P735" s="50">
        <f t="shared" si="109"/>
        <v>1522.5</v>
      </c>
      <c r="Q735" s="23"/>
      <c r="R735" s="60"/>
      <c r="S735" s="61"/>
      <c r="T735" s="62">
        <f t="shared" si="111"/>
        <v>0</v>
      </c>
      <c r="U735" s="46">
        <f t="shared" si="111"/>
        <v>0</v>
      </c>
      <c r="V735" s="63">
        <f t="shared" si="112"/>
        <v>0</v>
      </c>
      <c r="W735" s="49">
        <f t="shared" si="107"/>
        <v>0</v>
      </c>
      <c r="X735" s="50">
        <f t="shared" si="110"/>
        <v>0</v>
      </c>
      <c r="Y735"/>
      <c r="Z735"/>
      <c r="AA735"/>
    </row>
    <row r="736" spans="1:27" s="51" customFormat="1" ht="18.600000000000001" hidden="1" customHeight="1" x14ac:dyDescent="0.25">
      <c r="A736" s="80" t="s">
        <v>16</v>
      </c>
      <c r="B736" s="20" t="s">
        <v>1702</v>
      </c>
      <c r="C736" s="21" t="s">
        <v>1703</v>
      </c>
      <c r="D736" s="20">
        <v>8435635309105</v>
      </c>
      <c r="E736" s="22" t="s">
        <v>1802</v>
      </c>
      <c r="F736" s="22" t="s">
        <v>1705</v>
      </c>
      <c r="G736" s="22" t="s">
        <v>1803</v>
      </c>
      <c r="H736" s="83" t="s">
        <v>1804</v>
      </c>
      <c r="I736" s="23" t="s">
        <v>24</v>
      </c>
      <c r="J736" s="24">
        <v>900</v>
      </c>
      <c r="K736" s="25">
        <v>0.25</v>
      </c>
      <c r="L736" s="26">
        <f t="shared" si="105"/>
        <v>225</v>
      </c>
      <c r="M736" s="27">
        <f t="shared" si="106"/>
        <v>675</v>
      </c>
      <c r="N736" s="28">
        <v>0.16</v>
      </c>
      <c r="O736" s="29">
        <f t="shared" si="108"/>
        <v>108</v>
      </c>
      <c r="P736" s="30">
        <f t="shared" si="109"/>
        <v>783</v>
      </c>
      <c r="Q736" s="23"/>
      <c r="R736" s="52"/>
      <c r="S736" s="53"/>
      <c r="T736" s="54">
        <f t="shared" si="111"/>
        <v>0</v>
      </c>
      <c r="U736" s="26">
        <f t="shared" si="111"/>
        <v>0</v>
      </c>
      <c r="V736" s="55">
        <f t="shared" si="112"/>
        <v>0</v>
      </c>
      <c r="W736" s="29">
        <f t="shared" si="107"/>
        <v>0</v>
      </c>
      <c r="X736" s="30">
        <f t="shared" si="110"/>
        <v>0</v>
      </c>
      <c r="Y736"/>
      <c r="Z736"/>
      <c r="AA736"/>
    </row>
    <row r="737" spans="1:27" s="51" customFormat="1" ht="18.600000000000001" hidden="1" customHeight="1" x14ac:dyDescent="0.25">
      <c r="A737" s="81" t="s">
        <v>16</v>
      </c>
      <c r="B737" s="31" t="s">
        <v>1702</v>
      </c>
      <c r="C737" s="32" t="s">
        <v>1703</v>
      </c>
      <c r="D737" s="31">
        <v>8435635309112</v>
      </c>
      <c r="E737" s="33" t="s">
        <v>1805</v>
      </c>
      <c r="F737" s="33" t="s">
        <v>1705</v>
      </c>
      <c r="G737" s="33" t="s">
        <v>1803</v>
      </c>
      <c r="H737" s="84" t="s">
        <v>1806</v>
      </c>
      <c r="I737" s="23" t="s">
        <v>24</v>
      </c>
      <c r="J737" s="34">
        <v>900</v>
      </c>
      <c r="K737" s="35">
        <v>0.25</v>
      </c>
      <c r="L737" s="36">
        <f t="shared" si="105"/>
        <v>225</v>
      </c>
      <c r="M737" s="37">
        <f t="shared" si="106"/>
        <v>675</v>
      </c>
      <c r="N737" s="38">
        <v>0.16</v>
      </c>
      <c r="O737" s="39">
        <f t="shared" si="108"/>
        <v>108</v>
      </c>
      <c r="P737" s="40">
        <f t="shared" si="109"/>
        <v>783</v>
      </c>
      <c r="Q737" s="23"/>
      <c r="R737" s="56"/>
      <c r="S737" s="57"/>
      <c r="T737" s="58">
        <f t="shared" si="111"/>
        <v>0</v>
      </c>
      <c r="U737" s="36">
        <f t="shared" si="111"/>
        <v>0</v>
      </c>
      <c r="V737" s="59">
        <f t="shared" si="112"/>
        <v>0</v>
      </c>
      <c r="W737" s="39">
        <f t="shared" si="107"/>
        <v>0</v>
      </c>
      <c r="X737" s="40">
        <f t="shared" si="110"/>
        <v>0</v>
      </c>
      <c r="Y737"/>
      <c r="Z737"/>
      <c r="AA737"/>
    </row>
    <row r="738" spans="1:27" s="51" customFormat="1" ht="18.600000000000001" hidden="1" customHeight="1" x14ac:dyDescent="0.25">
      <c r="A738" s="82" t="s">
        <v>16</v>
      </c>
      <c r="B738" s="41" t="s">
        <v>1702</v>
      </c>
      <c r="C738" s="42" t="s">
        <v>1703</v>
      </c>
      <c r="D738" s="41"/>
      <c r="E738" s="43"/>
      <c r="F738" s="43" t="s">
        <v>1705</v>
      </c>
      <c r="G738" s="43"/>
      <c r="H738" s="85" t="s">
        <v>1807</v>
      </c>
      <c r="I738" s="23" t="s">
        <v>24</v>
      </c>
      <c r="J738" s="44">
        <v>100</v>
      </c>
      <c r="K738" s="45">
        <v>0.25</v>
      </c>
      <c r="L738" s="46">
        <f t="shared" si="105"/>
        <v>25</v>
      </c>
      <c r="M738" s="47">
        <f t="shared" si="106"/>
        <v>75</v>
      </c>
      <c r="N738" s="48">
        <v>0.16</v>
      </c>
      <c r="O738" s="49">
        <f t="shared" si="108"/>
        <v>12</v>
      </c>
      <c r="P738" s="50">
        <f t="shared" si="109"/>
        <v>87</v>
      </c>
      <c r="Q738" s="23"/>
      <c r="R738" s="60"/>
      <c r="S738" s="61"/>
      <c r="T738" s="62">
        <f t="shared" ref="T738:U753" si="113">+S738*J738</f>
        <v>0</v>
      </c>
      <c r="U738" s="46">
        <f t="shared" si="113"/>
        <v>0</v>
      </c>
      <c r="V738" s="63">
        <f t="shared" si="112"/>
        <v>0</v>
      </c>
      <c r="W738" s="49">
        <f t="shared" si="107"/>
        <v>0</v>
      </c>
      <c r="X738" s="50">
        <f t="shared" si="110"/>
        <v>0</v>
      </c>
      <c r="Y738"/>
      <c r="Z738"/>
      <c r="AA738"/>
    </row>
    <row r="739" spans="1:27" s="51" customFormat="1" ht="18.600000000000001" hidden="1" customHeight="1" x14ac:dyDescent="0.25">
      <c r="A739" s="80" t="s">
        <v>16</v>
      </c>
      <c r="B739" s="20" t="s">
        <v>1702</v>
      </c>
      <c r="C739" s="21" t="s">
        <v>1808</v>
      </c>
      <c r="D739" s="20" t="s">
        <v>1809</v>
      </c>
      <c r="E739" s="22" t="s">
        <v>1810</v>
      </c>
      <c r="F739" s="22" t="s">
        <v>1640</v>
      </c>
      <c r="G739" s="22" t="s">
        <v>1811</v>
      </c>
      <c r="H739" s="83" t="s">
        <v>1812</v>
      </c>
      <c r="I739" s="23" t="s">
        <v>24</v>
      </c>
      <c r="J739" s="24">
        <v>110</v>
      </c>
      <c r="K739" s="25">
        <v>0.25</v>
      </c>
      <c r="L739" s="26">
        <f t="shared" si="105"/>
        <v>27.5</v>
      </c>
      <c r="M739" s="27">
        <f t="shared" si="106"/>
        <v>82.5</v>
      </c>
      <c r="N739" s="28">
        <v>0.16</v>
      </c>
      <c r="O739" s="29">
        <f t="shared" si="108"/>
        <v>13.200000000000001</v>
      </c>
      <c r="P739" s="30">
        <f t="shared" si="109"/>
        <v>95.7</v>
      </c>
      <c r="Q739" s="23"/>
      <c r="R739" s="52"/>
      <c r="S739" s="53"/>
      <c r="T739" s="54">
        <f t="shared" si="113"/>
        <v>0</v>
      </c>
      <c r="U739" s="26">
        <f t="shared" si="113"/>
        <v>0</v>
      </c>
      <c r="V739" s="55">
        <f t="shared" si="112"/>
        <v>0</v>
      </c>
      <c r="W739" s="29">
        <f t="shared" si="107"/>
        <v>0</v>
      </c>
      <c r="X739" s="30">
        <f t="shared" si="110"/>
        <v>0</v>
      </c>
      <c r="Y739"/>
      <c r="Z739"/>
      <c r="AA739"/>
    </row>
    <row r="740" spans="1:27" s="51" customFormat="1" ht="18.600000000000001" hidden="1" customHeight="1" x14ac:dyDescent="0.25">
      <c r="A740" s="81" t="s">
        <v>16</v>
      </c>
      <c r="B740" s="31" t="s">
        <v>1702</v>
      </c>
      <c r="C740" s="32" t="s">
        <v>1808</v>
      </c>
      <c r="D740" s="31" t="s">
        <v>1813</v>
      </c>
      <c r="E740" s="33" t="s">
        <v>1814</v>
      </c>
      <c r="F740" s="33" t="s">
        <v>1640</v>
      </c>
      <c r="G740" s="33" t="s">
        <v>1811</v>
      </c>
      <c r="H740" s="84" t="s">
        <v>1815</v>
      </c>
      <c r="I740" s="23" t="s">
        <v>24</v>
      </c>
      <c r="J740" s="34">
        <v>110</v>
      </c>
      <c r="K740" s="35">
        <v>0.25</v>
      </c>
      <c r="L740" s="36">
        <f t="shared" si="105"/>
        <v>27.5</v>
      </c>
      <c r="M740" s="37">
        <f t="shared" si="106"/>
        <v>82.5</v>
      </c>
      <c r="N740" s="38">
        <v>0.16</v>
      </c>
      <c r="O740" s="39">
        <f t="shared" si="108"/>
        <v>13.200000000000001</v>
      </c>
      <c r="P740" s="40">
        <f t="shared" si="109"/>
        <v>95.7</v>
      </c>
      <c r="Q740" s="23"/>
      <c r="R740" s="56"/>
      <c r="S740" s="57"/>
      <c r="T740" s="58">
        <f t="shared" si="113"/>
        <v>0</v>
      </c>
      <c r="U740" s="36">
        <f t="shared" si="113"/>
        <v>0</v>
      </c>
      <c r="V740" s="59">
        <f t="shared" si="112"/>
        <v>0</v>
      </c>
      <c r="W740" s="39">
        <f t="shared" si="107"/>
        <v>0</v>
      </c>
      <c r="X740" s="40">
        <f t="shared" si="110"/>
        <v>0</v>
      </c>
      <c r="Y740"/>
      <c r="Z740"/>
      <c r="AA740"/>
    </row>
    <row r="741" spans="1:27" s="51" customFormat="1" ht="18.600000000000001" hidden="1" customHeight="1" x14ac:dyDescent="0.25">
      <c r="A741" s="82" t="s">
        <v>16</v>
      </c>
      <c r="B741" s="41" t="s">
        <v>1702</v>
      </c>
      <c r="C741" s="42" t="s">
        <v>1808</v>
      </c>
      <c r="D741" s="41" t="s">
        <v>1816</v>
      </c>
      <c r="E741" s="43" t="s">
        <v>1817</v>
      </c>
      <c r="F741" s="43" t="s">
        <v>1640</v>
      </c>
      <c r="G741" s="43" t="s">
        <v>1811</v>
      </c>
      <c r="H741" s="85" t="s">
        <v>1818</v>
      </c>
      <c r="I741" s="23" t="s">
        <v>24</v>
      </c>
      <c r="J741" s="44">
        <v>110</v>
      </c>
      <c r="K741" s="45">
        <v>0.25</v>
      </c>
      <c r="L741" s="46">
        <f t="shared" si="105"/>
        <v>27.5</v>
      </c>
      <c r="M741" s="47">
        <f t="shared" si="106"/>
        <v>82.5</v>
      </c>
      <c r="N741" s="48">
        <v>0.16</v>
      </c>
      <c r="O741" s="49">
        <f t="shared" si="108"/>
        <v>13.200000000000001</v>
      </c>
      <c r="P741" s="50">
        <f t="shared" si="109"/>
        <v>95.7</v>
      </c>
      <c r="Q741" s="23"/>
      <c r="R741" s="60"/>
      <c r="S741" s="61"/>
      <c r="T741" s="62">
        <f t="shared" si="113"/>
        <v>0</v>
      </c>
      <c r="U741" s="46">
        <f t="shared" si="113"/>
        <v>0</v>
      </c>
      <c r="V741" s="63">
        <f t="shared" si="112"/>
        <v>0</v>
      </c>
      <c r="W741" s="49">
        <f t="shared" si="107"/>
        <v>0</v>
      </c>
      <c r="X741" s="50">
        <f t="shared" si="110"/>
        <v>0</v>
      </c>
      <c r="Y741"/>
      <c r="Z741"/>
      <c r="AA741"/>
    </row>
    <row r="742" spans="1:27" s="51" customFormat="1" ht="18.600000000000001" hidden="1" customHeight="1" x14ac:dyDescent="0.25">
      <c r="A742" s="80" t="s">
        <v>16</v>
      </c>
      <c r="B742" s="20" t="s">
        <v>1702</v>
      </c>
      <c r="C742" s="21" t="s">
        <v>1808</v>
      </c>
      <c r="D742" s="20" t="s">
        <v>1819</v>
      </c>
      <c r="E742" s="22" t="s">
        <v>1820</v>
      </c>
      <c r="F742" s="22" t="s">
        <v>1640</v>
      </c>
      <c r="G742" s="22" t="s">
        <v>1811</v>
      </c>
      <c r="H742" s="83" t="s">
        <v>1821</v>
      </c>
      <c r="I742" s="23" t="s">
        <v>24</v>
      </c>
      <c r="J742" s="24">
        <v>110</v>
      </c>
      <c r="K742" s="25">
        <v>0.25</v>
      </c>
      <c r="L742" s="26">
        <f t="shared" si="105"/>
        <v>27.5</v>
      </c>
      <c r="M742" s="27">
        <f t="shared" si="106"/>
        <v>82.5</v>
      </c>
      <c r="N742" s="28">
        <v>0.16</v>
      </c>
      <c r="O742" s="29">
        <f t="shared" si="108"/>
        <v>13.200000000000001</v>
      </c>
      <c r="P742" s="30">
        <f t="shared" si="109"/>
        <v>95.7</v>
      </c>
      <c r="Q742" s="23"/>
      <c r="R742" s="52"/>
      <c r="S742" s="53"/>
      <c r="T742" s="54">
        <f t="shared" si="113"/>
        <v>0</v>
      </c>
      <c r="U742" s="26">
        <f t="shared" si="113"/>
        <v>0</v>
      </c>
      <c r="V742" s="55">
        <f t="shared" si="112"/>
        <v>0</v>
      </c>
      <c r="W742" s="29">
        <f t="shared" si="107"/>
        <v>0</v>
      </c>
      <c r="X742" s="30">
        <f t="shared" si="110"/>
        <v>0</v>
      </c>
      <c r="Y742"/>
      <c r="Z742"/>
      <c r="AA742"/>
    </row>
    <row r="743" spans="1:27" s="51" customFormat="1" ht="18.600000000000001" hidden="1" customHeight="1" x14ac:dyDescent="0.25">
      <c r="A743" s="81" t="s">
        <v>16</v>
      </c>
      <c r="B743" s="31" t="s">
        <v>1702</v>
      </c>
      <c r="C743" s="32" t="s">
        <v>1808</v>
      </c>
      <c r="D743" s="31" t="s">
        <v>1822</v>
      </c>
      <c r="E743" s="33" t="s">
        <v>1823</v>
      </c>
      <c r="F743" s="33" t="s">
        <v>1640</v>
      </c>
      <c r="G743" s="33" t="s">
        <v>1811</v>
      </c>
      <c r="H743" s="84" t="s">
        <v>1824</v>
      </c>
      <c r="I743" s="23" t="s">
        <v>24</v>
      </c>
      <c r="J743" s="34">
        <v>110</v>
      </c>
      <c r="K743" s="35">
        <v>0.25</v>
      </c>
      <c r="L743" s="36">
        <f t="shared" si="105"/>
        <v>27.5</v>
      </c>
      <c r="M743" s="37">
        <f t="shared" si="106"/>
        <v>82.5</v>
      </c>
      <c r="N743" s="38">
        <v>0.16</v>
      </c>
      <c r="O743" s="39">
        <f t="shared" si="108"/>
        <v>13.200000000000001</v>
      </c>
      <c r="P743" s="40">
        <f t="shared" si="109"/>
        <v>95.7</v>
      </c>
      <c r="Q743" s="23"/>
      <c r="R743" s="56"/>
      <c r="S743" s="57"/>
      <c r="T743" s="58">
        <f t="shared" si="113"/>
        <v>0</v>
      </c>
      <c r="U743" s="36">
        <f t="shared" si="113"/>
        <v>0</v>
      </c>
      <c r="V743" s="59">
        <f t="shared" si="112"/>
        <v>0</v>
      </c>
      <c r="W743" s="39">
        <f t="shared" si="107"/>
        <v>0</v>
      </c>
      <c r="X743" s="40">
        <f t="shared" si="110"/>
        <v>0</v>
      </c>
      <c r="Y743"/>
      <c r="Z743"/>
      <c r="AA743"/>
    </row>
    <row r="744" spans="1:27" s="51" customFormat="1" ht="18.600000000000001" hidden="1" customHeight="1" x14ac:dyDescent="0.25">
      <c r="A744" s="82" t="s">
        <v>16</v>
      </c>
      <c r="B744" s="41" t="s">
        <v>1702</v>
      </c>
      <c r="C744" s="42" t="s">
        <v>1808</v>
      </c>
      <c r="D744" s="41" t="s">
        <v>1825</v>
      </c>
      <c r="E744" s="43" t="s">
        <v>1826</v>
      </c>
      <c r="F744" s="43" t="s">
        <v>1640</v>
      </c>
      <c r="G744" s="43" t="s">
        <v>1811</v>
      </c>
      <c r="H744" s="85" t="s">
        <v>1023</v>
      </c>
      <c r="I744" s="23" t="s">
        <v>24</v>
      </c>
      <c r="J744" s="44">
        <v>110</v>
      </c>
      <c r="K744" s="45">
        <v>0.25</v>
      </c>
      <c r="L744" s="46">
        <f t="shared" si="105"/>
        <v>27.5</v>
      </c>
      <c r="M744" s="47">
        <f t="shared" si="106"/>
        <v>82.5</v>
      </c>
      <c r="N744" s="48">
        <v>0.16</v>
      </c>
      <c r="O744" s="49">
        <f t="shared" si="108"/>
        <v>13.200000000000001</v>
      </c>
      <c r="P744" s="50">
        <f t="shared" si="109"/>
        <v>95.7</v>
      </c>
      <c r="Q744" s="23"/>
      <c r="R744" s="60"/>
      <c r="S744" s="61"/>
      <c r="T744" s="62">
        <f t="shared" si="113"/>
        <v>0</v>
      </c>
      <c r="U744" s="46">
        <f t="shared" si="113"/>
        <v>0</v>
      </c>
      <c r="V744" s="63">
        <f t="shared" si="112"/>
        <v>0</v>
      </c>
      <c r="W744" s="49">
        <f t="shared" si="107"/>
        <v>0</v>
      </c>
      <c r="X744" s="50">
        <f t="shared" si="110"/>
        <v>0</v>
      </c>
      <c r="Y744"/>
      <c r="Z744"/>
      <c r="AA744"/>
    </row>
    <row r="745" spans="1:27" s="51" customFormat="1" ht="18.600000000000001" hidden="1" customHeight="1" x14ac:dyDescent="0.25">
      <c r="A745" s="80" t="s">
        <v>16</v>
      </c>
      <c r="B745" s="20" t="s">
        <v>1702</v>
      </c>
      <c r="C745" s="21" t="s">
        <v>1808</v>
      </c>
      <c r="D745" s="20" t="s">
        <v>1827</v>
      </c>
      <c r="E745" s="22" t="s">
        <v>1828</v>
      </c>
      <c r="F745" s="22" t="s">
        <v>1640</v>
      </c>
      <c r="G745" s="22" t="s">
        <v>1811</v>
      </c>
      <c r="H745" s="83" t="s">
        <v>1829</v>
      </c>
      <c r="I745" s="23" t="s">
        <v>24</v>
      </c>
      <c r="J745" s="24">
        <v>110</v>
      </c>
      <c r="K745" s="25">
        <v>0.25</v>
      </c>
      <c r="L745" s="26">
        <f t="shared" si="105"/>
        <v>27.5</v>
      </c>
      <c r="M745" s="27">
        <f t="shared" si="106"/>
        <v>82.5</v>
      </c>
      <c r="N745" s="28">
        <v>0.16</v>
      </c>
      <c r="O745" s="29">
        <f t="shared" si="108"/>
        <v>13.200000000000001</v>
      </c>
      <c r="P745" s="30">
        <f t="shared" si="109"/>
        <v>95.7</v>
      </c>
      <c r="Q745" s="23"/>
      <c r="R745" s="52"/>
      <c r="S745" s="53"/>
      <c r="T745" s="54">
        <f t="shared" si="113"/>
        <v>0</v>
      </c>
      <c r="U745" s="26">
        <f t="shared" si="113"/>
        <v>0</v>
      </c>
      <c r="V745" s="55">
        <f t="shared" si="112"/>
        <v>0</v>
      </c>
      <c r="W745" s="29">
        <f t="shared" si="107"/>
        <v>0</v>
      </c>
      <c r="X745" s="30">
        <f t="shared" si="110"/>
        <v>0</v>
      </c>
      <c r="Y745"/>
      <c r="Z745"/>
      <c r="AA745"/>
    </row>
    <row r="746" spans="1:27" s="51" customFormat="1" ht="18.600000000000001" hidden="1" customHeight="1" x14ac:dyDescent="0.25">
      <c r="A746" s="81" t="s">
        <v>16</v>
      </c>
      <c r="B746" s="31" t="s">
        <v>1702</v>
      </c>
      <c r="C746" s="32" t="s">
        <v>1808</v>
      </c>
      <c r="D746" s="31" t="s">
        <v>1830</v>
      </c>
      <c r="E746" s="33" t="s">
        <v>1831</v>
      </c>
      <c r="F746" s="33" t="s">
        <v>1640</v>
      </c>
      <c r="G746" s="33" t="s">
        <v>1811</v>
      </c>
      <c r="H746" s="84" t="s">
        <v>1832</v>
      </c>
      <c r="I746" s="23" t="s">
        <v>24</v>
      </c>
      <c r="J746" s="34">
        <v>110</v>
      </c>
      <c r="K746" s="35">
        <v>0.25</v>
      </c>
      <c r="L746" s="36">
        <f t="shared" si="105"/>
        <v>27.5</v>
      </c>
      <c r="M746" s="37">
        <f t="shared" si="106"/>
        <v>82.5</v>
      </c>
      <c r="N746" s="38">
        <v>0.16</v>
      </c>
      <c r="O746" s="39">
        <f t="shared" si="108"/>
        <v>13.200000000000001</v>
      </c>
      <c r="P746" s="40">
        <f t="shared" si="109"/>
        <v>95.7</v>
      </c>
      <c r="Q746" s="23"/>
      <c r="R746" s="56"/>
      <c r="S746" s="57"/>
      <c r="T746" s="58">
        <f t="shared" si="113"/>
        <v>0</v>
      </c>
      <c r="U746" s="36">
        <f t="shared" si="113"/>
        <v>0</v>
      </c>
      <c r="V746" s="59">
        <f t="shared" si="112"/>
        <v>0</v>
      </c>
      <c r="W746" s="39">
        <f t="shared" si="107"/>
        <v>0</v>
      </c>
      <c r="X746" s="40">
        <f t="shared" si="110"/>
        <v>0</v>
      </c>
      <c r="Y746"/>
      <c r="Z746"/>
      <c r="AA746"/>
    </row>
    <row r="747" spans="1:27" s="51" customFormat="1" ht="18.600000000000001" hidden="1" customHeight="1" x14ac:dyDescent="0.25">
      <c r="A747" s="82" t="s">
        <v>16</v>
      </c>
      <c r="B747" s="41" t="s">
        <v>1702</v>
      </c>
      <c r="C747" s="42" t="s">
        <v>1808</v>
      </c>
      <c r="D747" s="41" t="s">
        <v>1833</v>
      </c>
      <c r="E747" s="43" t="s">
        <v>1834</v>
      </c>
      <c r="F747" s="43" t="s">
        <v>1640</v>
      </c>
      <c r="G747" s="43" t="s">
        <v>1811</v>
      </c>
      <c r="H747" s="85" t="s">
        <v>1835</v>
      </c>
      <c r="I747" s="23" t="s">
        <v>24</v>
      </c>
      <c r="J747" s="44">
        <v>110</v>
      </c>
      <c r="K747" s="45">
        <v>0.25</v>
      </c>
      <c r="L747" s="46">
        <f t="shared" si="105"/>
        <v>27.5</v>
      </c>
      <c r="M747" s="47">
        <f t="shared" si="106"/>
        <v>82.5</v>
      </c>
      <c r="N747" s="48">
        <v>0.16</v>
      </c>
      <c r="O747" s="49">
        <f t="shared" si="108"/>
        <v>13.200000000000001</v>
      </c>
      <c r="P747" s="50">
        <f t="shared" si="109"/>
        <v>95.7</v>
      </c>
      <c r="Q747" s="23"/>
      <c r="R747" s="60"/>
      <c r="S747" s="61"/>
      <c r="T747" s="62">
        <f t="shared" si="113"/>
        <v>0</v>
      </c>
      <c r="U747" s="46">
        <f t="shared" si="113"/>
        <v>0</v>
      </c>
      <c r="V747" s="63">
        <f t="shared" si="112"/>
        <v>0</v>
      </c>
      <c r="W747" s="49">
        <f t="shared" si="107"/>
        <v>0</v>
      </c>
      <c r="X747" s="50">
        <f t="shared" si="110"/>
        <v>0</v>
      </c>
      <c r="Y747"/>
      <c r="Z747"/>
      <c r="AA747"/>
    </row>
    <row r="748" spans="1:27" s="51" customFormat="1" ht="18.600000000000001" hidden="1" customHeight="1" x14ac:dyDescent="0.25">
      <c r="A748" s="80" t="s">
        <v>16</v>
      </c>
      <c r="B748" s="20" t="s">
        <v>1702</v>
      </c>
      <c r="C748" s="21" t="s">
        <v>1808</v>
      </c>
      <c r="D748" s="20" t="s">
        <v>1836</v>
      </c>
      <c r="E748" s="22" t="s">
        <v>1837</v>
      </c>
      <c r="F748" s="22" t="s">
        <v>1640</v>
      </c>
      <c r="G748" s="22" t="s">
        <v>1811</v>
      </c>
      <c r="H748" s="83" t="s">
        <v>669</v>
      </c>
      <c r="I748" s="23" t="s">
        <v>24</v>
      </c>
      <c r="J748" s="24">
        <v>110</v>
      </c>
      <c r="K748" s="25">
        <v>0.25</v>
      </c>
      <c r="L748" s="26">
        <f t="shared" si="105"/>
        <v>27.5</v>
      </c>
      <c r="M748" s="27">
        <f t="shared" si="106"/>
        <v>82.5</v>
      </c>
      <c r="N748" s="28">
        <v>0.16</v>
      </c>
      <c r="O748" s="29">
        <f t="shared" si="108"/>
        <v>13.200000000000001</v>
      </c>
      <c r="P748" s="30">
        <f t="shared" si="109"/>
        <v>95.7</v>
      </c>
      <c r="Q748" s="23"/>
      <c r="R748" s="52"/>
      <c r="S748" s="53"/>
      <c r="T748" s="54">
        <f t="shared" si="113"/>
        <v>0</v>
      </c>
      <c r="U748" s="26">
        <f t="shared" si="113"/>
        <v>0</v>
      </c>
      <c r="V748" s="55">
        <f t="shared" si="112"/>
        <v>0</v>
      </c>
      <c r="W748" s="29">
        <f t="shared" si="107"/>
        <v>0</v>
      </c>
      <c r="X748" s="30">
        <f t="shared" si="110"/>
        <v>0</v>
      </c>
      <c r="Y748"/>
      <c r="Z748"/>
      <c r="AA748"/>
    </row>
    <row r="749" spans="1:27" s="51" customFormat="1" ht="18.600000000000001" hidden="1" customHeight="1" x14ac:dyDescent="0.25">
      <c r="A749" s="81" t="s">
        <v>16</v>
      </c>
      <c r="B749" s="31" t="s">
        <v>1702</v>
      </c>
      <c r="C749" s="32" t="s">
        <v>1808</v>
      </c>
      <c r="D749" s="31">
        <v>8435635306500</v>
      </c>
      <c r="E749" s="33" t="s">
        <v>1838</v>
      </c>
      <c r="F749" s="33" t="s">
        <v>1640</v>
      </c>
      <c r="G749" s="33" t="s">
        <v>1839</v>
      </c>
      <c r="H749" s="84" t="s">
        <v>1840</v>
      </c>
      <c r="I749" s="23" t="s">
        <v>24</v>
      </c>
      <c r="J749" s="34">
        <v>110</v>
      </c>
      <c r="K749" s="35">
        <v>0.25</v>
      </c>
      <c r="L749" s="36">
        <f t="shared" si="105"/>
        <v>27.5</v>
      </c>
      <c r="M749" s="37">
        <f t="shared" si="106"/>
        <v>82.5</v>
      </c>
      <c r="N749" s="38">
        <v>0.16</v>
      </c>
      <c r="O749" s="39">
        <f t="shared" si="108"/>
        <v>13.200000000000001</v>
      </c>
      <c r="P749" s="40">
        <f t="shared" si="109"/>
        <v>95.7</v>
      </c>
      <c r="Q749" s="23"/>
      <c r="R749" s="56"/>
      <c r="S749" s="57"/>
      <c r="T749" s="58">
        <f t="shared" si="113"/>
        <v>0</v>
      </c>
      <c r="U749" s="36">
        <f t="shared" si="113"/>
        <v>0</v>
      </c>
      <c r="V749" s="59">
        <f t="shared" si="112"/>
        <v>0</v>
      </c>
      <c r="W749" s="39">
        <f t="shared" si="107"/>
        <v>0</v>
      </c>
      <c r="X749" s="40">
        <f t="shared" si="110"/>
        <v>0</v>
      </c>
      <c r="Y749"/>
      <c r="Z749"/>
      <c r="AA749"/>
    </row>
    <row r="750" spans="1:27" s="51" customFormat="1" ht="18.600000000000001" hidden="1" customHeight="1" x14ac:dyDescent="0.25">
      <c r="A750" s="82" t="s">
        <v>16</v>
      </c>
      <c r="B750" s="41" t="s">
        <v>1702</v>
      </c>
      <c r="C750" s="42" t="s">
        <v>1808</v>
      </c>
      <c r="D750" s="41">
        <v>8435635306517</v>
      </c>
      <c r="E750" s="43" t="s">
        <v>1841</v>
      </c>
      <c r="F750" s="43" t="s">
        <v>1640</v>
      </c>
      <c r="G750" s="43" t="s">
        <v>1842</v>
      </c>
      <c r="H750" s="85" t="s">
        <v>1843</v>
      </c>
      <c r="I750" s="23" t="s">
        <v>24</v>
      </c>
      <c r="J750" s="44">
        <v>110</v>
      </c>
      <c r="K750" s="45">
        <v>0.25</v>
      </c>
      <c r="L750" s="46">
        <f t="shared" si="105"/>
        <v>27.5</v>
      </c>
      <c r="M750" s="47">
        <f t="shared" si="106"/>
        <v>82.5</v>
      </c>
      <c r="N750" s="48">
        <v>0.16</v>
      </c>
      <c r="O750" s="49">
        <f t="shared" si="108"/>
        <v>13.200000000000001</v>
      </c>
      <c r="P750" s="50">
        <f t="shared" si="109"/>
        <v>95.7</v>
      </c>
      <c r="Q750" s="23"/>
      <c r="R750" s="60"/>
      <c r="S750" s="61"/>
      <c r="T750" s="62">
        <f t="shared" si="113"/>
        <v>0</v>
      </c>
      <c r="U750" s="46">
        <f t="shared" si="113"/>
        <v>0</v>
      </c>
      <c r="V750" s="63">
        <f t="shared" si="112"/>
        <v>0</v>
      </c>
      <c r="W750" s="49">
        <f t="shared" si="107"/>
        <v>0</v>
      </c>
      <c r="X750" s="50">
        <f t="shared" si="110"/>
        <v>0</v>
      </c>
      <c r="Y750"/>
      <c r="Z750"/>
      <c r="AA750"/>
    </row>
    <row r="751" spans="1:27" s="51" customFormat="1" ht="18.600000000000001" hidden="1" customHeight="1" x14ac:dyDescent="0.25">
      <c r="A751" s="80" t="s">
        <v>16</v>
      </c>
      <c r="B751" s="20" t="s">
        <v>1702</v>
      </c>
      <c r="C751" s="21" t="s">
        <v>1808</v>
      </c>
      <c r="D751" s="20" t="s">
        <v>1844</v>
      </c>
      <c r="E751" s="22" t="s">
        <v>1845</v>
      </c>
      <c r="F751" s="22" t="s">
        <v>1640</v>
      </c>
      <c r="G751" s="22" t="s">
        <v>1811</v>
      </c>
      <c r="H751" s="83" t="s">
        <v>1846</v>
      </c>
      <c r="I751" s="23" t="s">
        <v>24</v>
      </c>
      <c r="J751" s="24">
        <v>110</v>
      </c>
      <c r="K751" s="25">
        <v>0.25</v>
      </c>
      <c r="L751" s="26">
        <f t="shared" si="105"/>
        <v>27.5</v>
      </c>
      <c r="M751" s="27">
        <f t="shared" si="106"/>
        <v>82.5</v>
      </c>
      <c r="N751" s="28">
        <v>0.16</v>
      </c>
      <c r="O751" s="29">
        <f t="shared" si="108"/>
        <v>13.200000000000001</v>
      </c>
      <c r="P751" s="30">
        <f t="shared" si="109"/>
        <v>95.7</v>
      </c>
      <c r="Q751" s="23"/>
      <c r="R751" s="52"/>
      <c r="S751" s="53"/>
      <c r="T751" s="54">
        <f t="shared" si="113"/>
        <v>0</v>
      </c>
      <c r="U751" s="26">
        <f t="shared" si="113"/>
        <v>0</v>
      </c>
      <c r="V751" s="55">
        <f t="shared" si="112"/>
        <v>0</v>
      </c>
      <c r="W751" s="29">
        <f t="shared" si="107"/>
        <v>0</v>
      </c>
      <c r="X751" s="30">
        <f t="shared" si="110"/>
        <v>0</v>
      </c>
      <c r="Y751"/>
      <c r="Z751"/>
      <c r="AA751"/>
    </row>
    <row r="752" spans="1:27" s="51" customFormat="1" ht="18.600000000000001" hidden="1" customHeight="1" x14ac:dyDescent="0.25">
      <c r="A752" s="81" t="s">
        <v>16</v>
      </c>
      <c r="B752" s="31" t="s">
        <v>1702</v>
      </c>
      <c r="C752" s="32" t="s">
        <v>1808</v>
      </c>
      <c r="D752" s="31">
        <v>8435635303233</v>
      </c>
      <c r="E752" s="33" t="s">
        <v>1847</v>
      </c>
      <c r="F752" s="33" t="s">
        <v>1640</v>
      </c>
      <c r="G752" s="33" t="s">
        <v>1811</v>
      </c>
      <c r="H752" s="84" t="s">
        <v>1848</v>
      </c>
      <c r="I752" s="23" t="s">
        <v>24</v>
      </c>
      <c r="J752" s="34">
        <v>110</v>
      </c>
      <c r="K752" s="35">
        <v>0.25</v>
      </c>
      <c r="L752" s="36">
        <f t="shared" si="105"/>
        <v>27.5</v>
      </c>
      <c r="M752" s="37">
        <f t="shared" si="106"/>
        <v>82.5</v>
      </c>
      <c r="N752" s="38">
        <v>0.16</v>
      </c>
      <c r="O752" s="39">
        <f t="shared" si="108"/>
        <v>13.200000000000001</v>
      </c>
      <c r="P752" s="40">
        <f t="shared" si="109"/>
        <v>95.7</v>
      </c>
      <c r="Q752" s="23"/>
      <c r="R752" s="56"/>
      <c r="S752" s="57"/>
      <c r="T752" s="58">
        <f t="shared" si="113"/>
        <v>0</v>
      </c>
      <c r="U752" s="36">
        <f t="shared" si="113"/>
        <v>0</v>
      </c>
      <c r="V752" s="59">
        <f t="shared" si="112"/>
        <v>0</v>
      </c>
      <c r="W752" s="39">
        <f t="shared" si="107"/>
        <v>0</v>
      </c>
      <c r="X752" s="40">
        <f t="shared" si="110"/>
        <v>0</v>
      </c>
      <c r="Y752"/>
      <c r="Z752"/>
      <c r="AA752"/>
    </row>
    <row r="753" spans="1:27" s="51" customFormat="1" ht="18.600000000000001" hidden="1" customHeight="1" x14ac:dyDescent="0.25">
      <c r="A753" s="82" t="s">
        <v>16</v>
      </c>
      <c r="B753" s="41" t="s">
        <v>1849</v>
      </c>
      <c r="C753" s="42" t="s">
        <v>1849</v>
      </c>
      <c r="D753" s="41" t="s">
        <v>1850</v>
      </c>
      <c r="E753" s="43" t="s">
        <v>1851</v>
      </c>
      <c r="F753" s="43" t="s">
        <v>1852</v>
      </c>
      <c r="G753" s="43" t="s">
        <v>1853</v>
      </c>
      <c r="H753" s="85" t="s">
        <v>1854</v>
      </c>
      <c r="I753" s="23" t="s">
        <v>24</v>
      </c>
      <c r="J753" s="44">
        <v>1350</v>
      </c>
      <c r="K753" s="45">
        <v>0.25</v>
      </c>
      <c r="L753" s="46">
        <f t="shared" si="105"/>
        <v>337.5</v>
      </c>
      <c r="M753" s="47">
        <f t="shared" si="106"/>
        <v>1012.5</v>
      </c>
      <c r="N753" s="48">
        <v>0.16</v>
      </c>
      <c r="O753" s="49">
        <f t="shared" si="108"/>
        <v>162</v>
      </c>
      <c r="P753" s="50">
        <f t="shared" si="109"/>
        <v>1174.5</v>
      </c>
      <c r="Q753" s="23"/>
      <c r="R753" s="60"/>
      <c r="S753" s="61"/>
      <c r="T753" s="62">
        <f t="shared" si="113"/>
        <v>0</v>
      </c>
      <c r="U753" s="46">
        <f t="shared" si="113"/>
        <v>0</v>
      </c>
      <c r="V753" s="63">
        <f t="shared" si="112"/>
        <v>0</v>
      </c>
      <c r="W753" s="49">
        <f t="shared" si="107"/>
        <v>0</v>
      </c>
      <c r="X753" s="50">
        <f t="shared" si="110"/>
        <v>0</v>
      </c>
      <c r="Y753"/>
      <c r="Z753"/>
      <c r="AA753"/>
    </row>
    <row r="754" spans="1:27" s="51" customFormat="1" ht="18.600000000000001" hidden="1" customHeight="1" x14ac:dyDescent="0.25">
      <c r="A754" s="80" t="s">
        <v>16</v>
      </c>
      <c r="B754" s="20" t="s">
        <v>1849</v>
      </c>
      <c r="C754" s="21" t="s">
        <v>1849</v>
      </c>
      <c r="D754" s="20" t="s">
        <v>1855</v>
      </c>
      <c r="E754" s="22" t="s">
        <v>1856</v>
      </c>
      <c r="F754" s="22" t="s">
        <v>1852</v>
      </c>
      <c r="G754" s="22" t="s">
        <v>1857</v>
      </c>
      <c r="H754" s="83" t="s">
        <v>1858</v>
      </c>
      <c r="I754" s="23" t="s">
        <v>24</v>
      </c>
      <c r="J754" s="24">
        <v>1100</v>
      </c>
      <c r="K754" s="25">
        <v>0.25</v>
      </c>
      <c r="L754" s="26">
        <f t="shared" si="105"/>
        <v>275</v>
      </c>
      <c r="M754" s="27">
        <f t="shared" si="106"/>
        <v>825</v>
      </c>
      <c r="N754" s="28">
        <v>0.16</v>
      </c>
      <c r="O754" s="29">
        <f t="shared" si="108"/>
        <v>132</v>
      </c>
      <c r="P754" s="30">
        <f t="shared" si="109"/>
        <v>957</v>
      </c>
      <c r="Q754" s="23"/>
      <c r="R754" s="52"/>
      <c r="S754" s="53"/>
      <c r="T754" s="54">
        <f t="shared" ref="T754:U769" si="114">+S754*J754</f>
        <v>0</v>
      </c>
      <c r="U754" s="26">
        <f t="shared" si="114"/>
        <v>0</v>
      </c>
      <c r="V754" s="55">
        <f t="shared" si="112"/>
        <v>0</v>
      </c>
      <c r="W754" s="29">
        <f t="shared" si="107"/>
        <v>0</v>
      </c>
      <c r="X754" s="30">
        <f t="shared" si="110"/>
        <v>0</v>
      </c>
      <c r="Y754"/>
      <c r="Z754"/>
      <c r="AA754"/>
    </row>
    <row r="755" spans="1:27" s="51" customFormat="1" ht="18.600000000000001" hidden="1" customHeight="1" x14ac:dyDescent="0.25">
      <c r="A755" s="81" t="s">
        <v>16</v>
      </c>
      <c r="B755" s="31" t="s">
        <v>1849</v>
      </c>
      <c r="C755" s="32" t="s">
        <v>1849</v>
      </c>
      <c r="D755" s="31" t="s">
        <v>1859</v>
      </c>
      <c r="E755" s="33" t="s">
        <v>1860</v>
      </c>
      <c r="F755" s="33" t="s">
        <v>1852</v>
      </c>
      <c r="G755" s="33" t="s">
        <v>1861</v>
      </c>
      <c r="H755" s="84" t="s">
        <v>1862</v>
      </c>
      <c r="I755" s="23" t="s">
        <v>24</v>
      </c>
      <c r="J755" s="34">
        <v>1300</v>
      </c>
      <c r="K755" s="35">
        <v>0.25</v>
      </c>
      <c r="L755" s="36">
        <f t="shared" si="105"/>
        <v>325</v>
      </c>
      <c r="M755" s="37">
        <f t="shared" si="106"/>
        <v>975</v>
      </c>
      <c r="N755" s="38">
        <v>0.16</v>
      </c>
      <c r="O755" s="39">
        <f t="shared" si="108"/>
        <v>156</v>
      </c>
      <c r="P755" s="40">
        <f t="shared" si="109"/>
        <v>1131</v>
      </c>
      <c r="Q755" s="23"/>
      <c r="R755" s="56"/>
      <c r="S755" s="57"/>
      <c r="T755" s="58">
        <f t="shared" si="114"/>
        <v>0</v>
      </c>
      <c r="U755" s="36">
        <f t="shared" si="114"/>
        <v>0</v>
      </c>
      <c r="V755" s="59">
        <f t="shared" si="112"/>
        <v>0</v>
      </c>
      <c r="W755" s="39">
        <f t="shared" si="107"/>
        <v>0</v>
      </c>
      <c r="X755" s="40">
        <f t="shared" si="110"/>
        <v>0</v>
      </c>
      <c r="Y755"/>
      <c r="Z755"/>
      <c r="AA755"/>
    </row>
    <row r="756" spans="1:27" s="51" customFormat="1" ht="18.600000000000001" hidden="1" customHeight="1" x14ac:dyDescent="0.25">
      <c r="A756" s="82" t="s">
        <v>16</v>
      </c>
      <c r="B756" s="41" t="s">
        <v>1849</v>
      </c>
      <c r="C756" s="42" t="s">
        <v>1849</v>
      </c>
      <c r="D756" s="41" t="s">
        <v>1859</v>
      </c>
      <c r="E756" s="43" t="s">
        <v>1863</v>
      </c>
      <c r="F756" s="43" t="s">
        <v>1852</v>
      </c>
      <c r="G756" s="43" t="s">
        <v>1857</v>
      </c>
      <c r="H756" s="85" t="s">
        <v>1862</v>
      </c>
      <c r="I756" s="23" t="s">
        <v>24</v>
      </c>
      <c r="J756" s="44">
        <v>1300</v>
      </c>
      <c r="K756" s="45">
        <v>0.25</v>
      </c>
      <c r="L756" s="46">
        <f t="shared" si="105"/>
        <v>325</v>
      </c>
      <c r="M756" s="47">
        <f t="shared" si="106"/>
        <v>975</v>
      </c>
      <c r="N756" s="48">
        <v>0.16</v>
      </c>
      <c r="O756" s="49">
        <f t="shared" si="108"/>
        <v>156</v>
      </c>
      <c r="P756" s="50">
        <f t="shared" si="109"/>
        <v>1131</v>
      </c>
      <c r="Q756" s="23"/>
      <c r="R756" s="60"/>
      <c r="S756" s="61"/>
      <c r="T756" s="62">
        <f t="shared" si="114"/>
        <v>0</v>
      </c>
      <c r="U756" s="46">
        <f t="shared" si="114"/>
        <v>0</v>
      </c>
      <c r="V756" s="63">
        <f t="shared" si="112"/>
        <v>0</v>
      </c>
      <c r="W756" s="49">
        <f t="shared" si="107"/>
        <v>0</v>
      </c>
      <c r="X756" s="50">
        <f t="shared" si="110"/>
        <v>0</v>
      </c>
      <c r="Y756"/>
      <c r="Z756"/>
      <c r="AA756"/>
    </row>
    <row r="757" spans="1:27" s="51" customFormat="1" ht="18.600000000000001" hidden="1" customHeight="1" x14ac:dyDescent="0.25">
      <c r="A757" s="80" t="s">
        <v>16</v>
      </c>
      <c r="B757" s="20" t="s">
        <v>1849</v>
      </c>
      <c r="C757" s="21" t="s">
        <v>1849</v>
      </c>
      <c r="D757" s="20" t="s">
        <v>1864</v>
      </c>
      <c r="E757" s="22" t="s">
        <v>1865</v>
      </c>
      <c r="F757" s="22" t="s">
        <v>1852</v>
      </c>
      <c r="G757" s="22" t="s">
        <v>1866</v>
      </c>
      <c r="H757" s="83" t="s">
        <v>1867</v>
      </c>
      <c r="I757" s="23" t="s">
        <v>24</v>
      </c>
      <c r="J757" s="24">
        <v>1350</v>
      </c>
      <c r="K757" s="25">
        <v>0.25</v>
      </c>
      <c r="L757" s="26">
        <f t="shared" si="105"/>
        <v>337.5</v>
      </c>
      <c r="M757" s="27">
        <f t="shared" si="106"/>
        <v>1012.5</v>
      </c>
      <c r="N757" s="28">
        <v>0.16</v>
      </c>
      <c r="O757" s="29">
        <f t="shared" si="108"/>
        <v>162</v>
      </c>
      <c r="P757" s="30">
        <f t="shared" si="109"/>
        <v>1174.5</v>
      </c>
      <c r="Q757" s="23"/>
      <c r="R757" s="52"/>
      <c r="S757" s="53"/>
      <c r="T757" s="54">
        <f t="shared" si="114"/>
        <v>0</v>
      </c>
      <c r="U757" s="26">
        <f t="shared" si="114"/>
        <v>0</v>
      </c>
      <c r="V757" s="55">
        <f t="shared" si="112"/>
        <v>0</v>
      </c>
      <c r="W757" s="29">
        <f t="shared" si="107"/>
        <v>0</v>
      </c>
      <c r="X757" s="30">
        <f t="shared" si="110"/>
        <v>0</v>
      </c>
      <c r="Y757"/>
      <c r="Z757"/>
      <c r="AA757"/>
    </row>
    <row r="758" spans="1:27" s="51" customFormat="1" ht="18.600000000000001" hidden="1" customHeight="1" x14ac:dyDescent="0.25">
      <c r="A758" s="81" t="s">
        <v>16</v>
      </c>
      <c r="B758" s="31" t="s">
        <v>1849</v>
      </c>
      <c r="C758" s="32" t="s">
        <v>1849</v>
      </c>
      <c r="D758" s="31">
        <v>8435635304544</v>
      </c>
      <c r="E758" s="33" t="s">
        <v>1868</v>
      </c>
      <c r="F758" s="33" t="s">
        <v>1852</v>
      </c>
      <c r="G758" s="33" t="s">
        <v>1869</v>
      </c>
      <c r="H758" s="84" t="s">
        <v>1870</v>
      </c>
      <c r="I758" s="23" t="s">
        <v>24</v>
      </c>
      <c r="J758" s="34">
        <v>6000</v>
      </c>
      <c r="K758" s="35">
        <v>0.25</v>
      </c>
      <c r="L758" s="36">
        <f t="shared" si="105"/>
        <v>1500</v>
      </c>
      <c r="M758" s="37">
        <f t="shared" si="106"/>
        <v>4500</v>
      </c>
      <c r="N758" s="38">
        <v>0.16</v>
      </c>
      <c r="O758" s="39">
        <f t="shared" si="108"/>
        <v>720</v>
      </c>
      <c r="P758" s="40">
        <f t="shared" si="109"/>
        <v>5220</v>
      </c>
      <c r="Q758" s="23"/>
      <c r="R758" s="56"/>
      <c r="S758" s="57"/>
      <c r="T758" s="58">
        <f t="shared" si="114"/>
        <v>0</v>
      </c>
      <c r="U758" s="36">
        <f t="shared" si="114"/>
        <v>0</v>
      </c>
      <c r="V758" s="59">
        <f t="shared" si="112"/>
        <v>0</v>
      </c>
      <c r="W758" s="39">
        <f t="shared" si="107"/>
        <v>0</v>
      </c>
      <c r="X758" s="40">
        <f t="shared" si="110"/>
        <v>0</v>
      </c>
      <c r="Y758"/>
      <c r="Z758"/>
      <c r="AA758"/>
    </row>
    <row r="759" spans="1:27" s="51" customFormat="1" ht="18.600000000000001" hidden="1" customHeight="1" x14ac:dyDescent="0.25">
      <c r="A759" s="82" t="s">
        <v>16</v>
      </c>
      <c r="B759" s="41" t="s">
        <v>1849</v>
      </c>
      <c r="C759" s="42" t="s">
        <v>1849</v>
      </c>
      <c r="D759" s="41">
        <v>8435635304551</v>
      </c>
      <c r="E759" s="43" t="s">
        <v>1871</v>
      </c>
      <c r="F759" s="43" t="s">
        <v>1852</v>
      </c>
      <c r="G759" s="43" t="s">
        <v>1872</v>
      </c>
      <c r="H759" s="85" t="s">
        <v>1873</v>
      </c>
      <c r="I759" s="23" t="s">
        <v>24</v>
      </c>
      <c r="J759" s="44">
        <v>6000</v>
      </c>
      <c r="K759" s="45">
        <v>0.25</v>
      </c>
      <c r="L759" s="46">
        <f t="shared" si="105"/>
        <v>1500</v>
      </c>
      <c r="M759" s="47">
        <f t="shared" si="106"/>
        <v>4500</v>
      </c>
      <c r="N759" s="48">
        <v>0.16</v>
      </c>
      <c r="O759" s="49">
        <f t="shared" si="108"/>
        <v>720</v>
      </c>
      <c r="P759" s="50">
        <f t="shared" si="109"/>
        <v>5220</v>
      </c>
      <c r="Q759" s="23"/>
      <c r="R759" s="60"/>
      <c r="S759" s="61"/>
      <c r="T759" s="62">
        <f t="shared" si="114"/>
        <v>0</v>
      </c>
      <c r="U759" s="46">
        <f t="shared" si="114"/>
        <v>0</v>
      </c>
      <c r="V759" s="63">
        <f t="shared" si="112"/>
        <v>0</v>
      </c>
      <c r="W759" s="49">
        <f t="shared" si="107"/>
        <v>0</v>
      </c>
      <c r="X759" s="50">
        <f t="shared" si="110"/>
        <v>0</v>
      </c>
      <c r="Y759"/>
      <c r="Z759"/>
      <c r="AA759"/>
    </row>
    <row r="760" spans="1:27" s="51" customFormat="1" ht="18.600000000000001" hidden="1" customHeight="1" x14ac:dyDescent="0.25">
      <c r="A760" s="80" t="s">
        <v>16</v>
      </c>
      <c r="B760" s="20" t="s">
        <v>1849</v>
      </c>
      <c r="C760" s="21" t="s">
        <v>1849</v>
      </c>
      <c r="D760" s="20">
        <v>8435635304568</v>
      </c>
      <c r="E760" s="22" t="s">
        <v>1874</v>
      </c>
      <c r="F760" s="22" t="s">
        <v>1852</v>
      </c>
      <c r="G760" s="22" t="s">
        <v>1875</v>
      </c>
      <c r="H760" s="83" t="s">
        <v>1876</v>
      </c>
      <c r="I760" s="23" t="s">
        <v>24</v>
      </c>
      <c r="J760" s="24">
        <v>6000</v>
      </c>
      <c r="K760" s="25">
        <v>0.25</v>
      </c>
      <c r="L760" s="26">
        <f t="shared" si="105"/>
        <v>1500</v>
      </c>
      <c r="M760" s="27">
        <f t="shared" si="106"/>
        <v>4500</v>
      </c>
      <c r="N760" s="28">
        <v>0.16</v>
      </c>
      <c r="O760" s="29">
        <f t="shared" si="108"/>
        <v>720</v>
      </c>
      <c r="P760" s="30">
        <f t="shared" si="109"/>
        <v>5220</v>
      </c>
      <c r="Q760" s="23"/>
      <c r="R760" s="52"/>
      <c r="S760" s="53"/>
      <c r="T760" s="54">
        <f t="shared" si="114"/>
        <v>0</v>
      </c>
      <c r="U760" s="26">
        <f t="shared" si="114"/>
        <v>0</v>
      </c>
      <c r="V760" s="55">
        <f t="shared" si="112"/>
        <v>0</v>
      </c>
      <c r="W760" s="29">
        <f t="shared" si="107"/>
        <v>0</v>
      </c>
      <c r="X760" s="30">
        <f t="shared" si="110"/>
        <v>0</v>
      </c>
      <c r="Y760"/>
      <c r="Z760"/>
      <c r="AA760"/>
    </row>
    <row r="761" spans="1:27" s="51" customFormat="1" ht="18.600000000000001" hidden="1" customHeight="1" x14ac:dyDescent="0.25">
      <c r="A761" s="81" t="s">
        <v>16</v>
      </c>
      <c r="B761" s="31" t="s">
        <v>1849</v>
      </c>
      <c r="C761" s="32" t="s">
        <v>1849</v>
      </c>
      <c r="D761" s="31">
        <v>8435635304575</v>
      </c>
      <c r="E761" s="33" t="s">
        <v>1877</v>
      </c>
      <c r="F761" s="33" t="s">
        <v>1852</v>
      </c>
      <c r="G761" s="33" t="s">
        <v>1878</v>
      </c>
      <c r="H761" s="84" t="s">
        <v>1879</v>
      </c>
      <c r="I761" s="23" t="s">
        <v>24</v>
      </c>
      <c r="J761" s="34">
        <v>6000</v>
      </c>
      <c r="K761" s="35">
        <v>0.25</v>
      </c>
      <c r="L761" s="36">
        <f t="shared" si="105"/>
        <v>1500</v>
      </c>
      <c r="M761" s="37">
        <f t="shared" si="106"/>
        <v>4500</v>
      </c>
      <c r="N761" s="38">
        <v>0.16</v>
      </c>
      <c r="O761" s="39">
        <f t="shared" si="108"/>
        <v>720</v>
      </c>
      <c r="P761" s="40">
        <f t="shared" si="109"/>
        <v>5220</v>
      </c>
      <c r="Q761" s="23"/>
      <c r="R761" s="56"/>
      <c r="S761" s="57"/>
      <c r="T761" s="58">
        <f t="shared" si="114"/>
        <v>0</v>
      </c>
      <c r="U761" s="36">
        <f t="shared" si="114"/>
        <v>0</v>
      </c>
      <c r="V761" s="59">
        <f t="shared" si="112"/>
        <v>0</v>
      </c>
      <c r="W761" s="39">
        <f t="shared" si="107"/>
        <v>0</v>
      </c>
      <c r="X761" s="40">
        <f t="shared" si="110"/>
        <v>0</v>
      </c>
      <c r="Y761"/>
      <c r="Z761"/>
      <c r="AA761"/>
    </row>
    <row r="762" spans="1:27" s="51" customFormat="1" ht="18.600000000000001" hidden="1" customHeight="1" x14ac:dyDescent="0.25">
      <c r="A762" s="82" t="s">
        <v>16</v>
      </c>
      <c r="B762" s="41" t="s">
        <v>1849</v>
      </c>
      <c r="C762" s="42" t="s">
        <v>1849</v>
      </c>
      <c r="D762" s="41">
        <v>8435635304582</v>
      </c>
      <c r="E762" s="43" t="s">
        <v>1880</v>
      </c>
      <c r="F762" s="43" t="s">
        <v>1852</v>
      </c>
      <c r="G762" s="43" t="s">
        <v>1881</v>
      </c>
      <c r="H762" s="85" t="s">
        <v>1882</v>
      </c>
      <c r="I762" s="23" t="s">
        <v>24</v>
      </c>
      <c r="J762" s="44">
        <v>6000</v>
      </c>
      <c r="K762" s="45">
        <v>0.25</v>
      </c>
      <c r="L762" s="46">
        <f t="shared" si="105"/>
        <v>1500</v>
      </c>
      <c r="M762" s="47">
        <f t="shared" si="106"/>
        <v>4500</v>
      </c>
      <c r="N762" s="48">
        <v>0.16</v>
      </c>
      <c r="O762" s="49">
        <f t="shared" si="108"/>
        <v>720</v>
      </c>
      <c r="P762" s="50">
        <f t="shared" si="109"/>
        <v>5220</v>
      </c>
      <c r="Q762" s="23"/>
      <c r="R762" s="60"/>
      <c r="S762" s="61"/>
      <c r="T762" s="62">
        <f t="shared" si="114"/>
        <v>0</v>
      </c>
      <c r="U762" s="46">
        <f t="shared" si="114"/>
        <v>0</v>
      </c>
      <c r="V762" s="63">
        <f t="shared" si="112"/>
        <v>0</v>
      </c>
      <c r="W762" s="49">
        <f t="shared" si="107"/>
        <v>0</v>
      </c>
      <c r="X762" s="50">
        <f t="shared" si="110"/>
        <v>0</v>
      </c>
      <c r="Y762"/>
      <c r="Z762"/>
      <c r="AA762"/>
    </row>
    <row r="763" spans="1:27" s="51" customFormat="1" ht="18.600000000000001" hidden="1" customHeight="1" x14ac:dyDescent="0.25">
      <c r="A763" s="80" t="s">
        <v>16</v>
      </c>
      <c r="B763" s="20" t="s">
        <v>1849</v>
      </c>
      <c r="C763" s="21" t="s">
        <v>1849</v>
      </c>
      <c r="D763" s="20">
        <v>8435635304599</v>
      </c>
      <c r="E763" s="22" t="s">
        <v>1883</v>
      </c>
      <c r="F763" s="22" t="s">
        <v>1852</v>
      </c>
      <c r="G763" s="22" t="s">
        <v>1884</v>
      </c>
      <c r="H763" s="83" t="s">
        <v>1885</v>
      </c>
      <c r="I763" s="23" t="s">
        <v>24</v>
      </c>
      <c r="J763" s="24">
        <v>6000</v>
      </c>
      <c r="K763" s="25">
        <v>0.25</v>
      </c>
      <c r="L763" s="26">
        <f t="shared" si="105"/>
        <v>1500</v>
      </c>
      <c r="M763" s="27">
        <f t="shared" si="106"/>
        <v>4500</v>
      </c>
      <c r="N763" s="28">
        <v>0.16</v>
      </c>
      <c r="O763" s="29">
        <f t="shared" si="108"/>
        <v>720</v>
      </c>
      <c r="P763" s="30">
        <f t="shared" si="109"/>
        <v>5220</v>
      </c>
      <c r="Q763" s="23"/>
      <c r="R763" s="52"/>
      <c r="S763" s="53"/>
      <c r="T763" s="54">
        <f t="shared" si="114"/>
        <v>0</v>
      </c>
      <c r="U763" s="26">
        <f t="shared" si="114"/>
        <v>0</v>
      </c>
      <c r="V763" s="55">
        <f t="shared" si="112"/>
        <v>0</v>
      </c>
      <c r="W763" s="29">
        <f t="shared" si="107"/>
        <v>0</v>
      </c>
      <c r="X763" s="30">
        <f t="shared" si="110"/>
        <v>0</v>
      </c>
      <c r="Y763"/>
      <c r="Z763"/>
      <c r="AA763"/>
    </row>
    <row r="764" spans="1:27" s="51" customFormat="1" ht="18.600000000000001" hidden="1" customHeight="1" x14ac:dyDescent="0.25">
      <c r="A764" s="81" t="s">
        <v>16</v>
      </c>
      <c r="B764" s="31" t="s">
        <v>1849</v>
      </c>
      <c r="C764" s="32" t="s">
        <v>1849</v>
      </c>
      <c r="D764" s="31">
        <v>8435635306722</v>
      </c>
      <c r="E764" s="33" t="s">
        <v>1886</v>
      </c>
      <c r="F764" s="33" t="s">
        <v>1852</v>
      </c>
      <c r="G764" s="33" t="s">
        <v>1869</v>
      </c>
      <c r="H764" s="84" t="s">
        <v>1887</v>
      </c>
      <c r="I764" s="23" t="s">
        <v>24</v>
      </c>
      <c r="J764" s="34">
        <v>4500</v>
      </c>
      <c r="K764" s="35">
        <v>0.25</v>
      </c>
      <c r="L764" s="36">
        <f t="shared" si="105"/>
        <v>1125</v>
      </c>
      <c r="M764" s="37">
        <f t="shared" si="106"/>
        <v>3375</v>
      </c>
      <c r="N764" s="38">
        <v>0.16</v>
      </c>
      <c r="O764" s="39">
        <f t="shared" si="108"/>
        <v>540</v>
      </c>
      <c r="P764" s="40">
        <f t="shared" si="109"/>
        <v>3915</v>
      </c>
      <c r="Q764" s="23"/>
      <c r="R764" s="56"/>
      <c r="S764" s="57"/>
      <c r="T764" s="58">
        <f t="shared" si="114"/>
        <v>0</v>
      </c>
      <c r="U764" s="36">
        <f t="shared" si="114"/>
        <v>0</v>
      </c>
      <c r="V764" s="59">
        <f t="shared" si="112"/>
        <v>0</v>
      </c>
      <c r="W764" s="39">
        <f t="shared" si="107"/>
        <v>0</v>
      </c>
      <c r="X764" s="40">
        <f t="shared" si="110"/>
        <v>0</v>
      </c>
      <c r="Y764"/>
      <c r="Z764"/>
      <c r="AA764"/>
    </row>
    <row r="765" spans="1:27" s="51" customFormat="1" ht="18.600000000000001" hidden="1" customHeight="1" x14ac:dyDescent="0.25">
      <c r="A765" s="82" t="s">
        <v>16</v>
      </c>
      <c r="B765" s="41" t="s">
        <v>1849</v>
      </c>
      <c r="C765" s="42" t="s">
        <v>1849</v>
      </c>
      <c r="D765" s="41">
        <v>8435635306739</v>
      </c>
      <c r="E765" s="43" t="s">
        <v>1888</v>
      </c>
      <c r="F765" s="43" t="s">
        <v>1852</v>
      </c>
      <c r="G765" s="43" t="s">
        <v>1872</v>
      </c>
      <c r="H765" s="85" t="s">
        <v>1889</v>
      </c>
      <c r="I765" s="23" t="s">
        <v>24</v>
      </c>
      <c r="J765" s="44">
        <v>4500</v>
      </c>
      <c r="K765" s="45">
        <v>0.25</v>
      </c>
      <c r="L765" s="46">
        <f t="shared" si="105"/>
        <v>1125</v>
      </c>
      <c r="M765" s="47">
        <f t="shared" si="106"/>
        <v>3375</v>
      </c>
      <c r="N765" s="48">
        <v>0.16</v>
      </c>
      <c r="O765" s="49">
        <f t="shared" si="108"/>
        <v>540</v>
      </c>
      <c r="P765" s="50">
        <f t="shared" si="109"/>
        <v>3915</v>
      </c>
      <c r="Q765" s="23"/>
      <c r="R765" s="60"/>
      <c r="S765" s="61"/>
      <c r="T765" s="62">
        <f t="shared" si="114"/>
        <v>0</v>
      </c>
      <c r="U765" s="46">
        <f t="shared" si="114"/>
        <v>0</v>
      </c>
      <c r="V765" s="63">
        <f t="shared" si="112"/>
        <v>0</v>
      </c>
      <c r="W765" s="49">
        <f t="shared" si="107"/>
        <v>0</v>
      </c>
      <c r="X765" s="50">
        <f t="shared" si="110"/>
        <v>0</v>
      </c>
      <c r="Y765"/>
      <c r="Z765"/>
      <c r="AA765"/>
    </row>
    <row r="766" spans="1:27" s="51" customFormat="1" ht="18.600000000000001" hidden="1" customHeight="1" x14ac:dyDescent="0.25">
      <c r="A766" s="80" t="s">
        <v>16</v>
      </c>
      <c r="B766" s="20" t="s">
        <v>1849</v>
      </c>
      <c r="C766" s="21" t="s">
        <v>1849</v>
      </c>
      <c r="D766" s="20">
        <v>8435635306746</v>
      </c>
      <c r="E766" s="22" t="s">
        <v>1890</v>
      </c>
      <c r="F766" s="22" t="s">
        <v>1852</v>
      </c>
      <c r="G766" s="22" t="s">
        <v>1875</v>
      </c>
      <c r="H766" s="83" t="s">
        <v>1891</v>
      </c>
      <c r="I766" s="23" t="s">
        <v>24</v>
      </c>
      <c r="J766" s="24">
        <v>4500</v>
      </c>
      <c r="K766" s="25">
        <v>0.25</v>
      </c>
      <c r="L766" s="26">
        <f t="shared" si="105"/>
        <v>1125</v>
      </c>
      <c r="M766" s="27">
        <f t="shared" si="106"/>
        <v>3375</v>
      </c>
      <c r="N766" s="28">
        <v>0.16</v>
      </c>
      <c r="O766" s="29">
        <f t="shared" si="108"/>
        <v>540</v>
      </c>
      <c r="P766" s="30">
        <f t="shared" si="109"/>
        <v>3915</v>
      </c>
      <c r="Q766" s="23"/>
      <c r="R766" s="52"/>
      <c r="S766" s="53"/>
      <c r="T766" s="54">
        <f t="shared" si="114"/>
        <v>0</v>
      </c>
      <c r="U766" s="26">
        <f t="shared" si="114"/>
        <v>0</v>
      </c>
      <c r="V766" s="55">
        <f t="shared" si="112"/>
        <v>0</v>
      </c>
      <c r="W766" s="29">
        <f t="shared" si="107"/>
        <v>0</v>
      </c>
      <c r="X766" s="30">
        <f t="shared" si="110"/>
        <v>0</v>
      </c>
      <c r="Y766"/>
      <c r="Z766"/>
      <c r="AA766"/>
    </row>
    <row r="767" spans="1:27" s="51" customFormat="1" ht="18.600000000000001" hidden="1" customHeight="1" x14ac:dyDescent="0.25">
      <c r="A767" s="81" t="s">
        <v>16</v>
      </c>
      <c r="B767" s="31" t="s">
        <v>1849</v>
      </c>
      <c r="C767" s="32" t="s">
        <v>1849</v>
      </c>
      <c r="D767" s="31">
        <v>8435635306753</v>
      </c>
      <c r="E767" s="33" t="s">
        <v>1892</v>
      </c>
      <c r="F767" s="33" t="s">
        <v>1852</v>
      </c>
      <c r="G767" s="33" t="s">
        <v>1893</v>
      </c>
      <c r="H767" s="84" t="s">
        <v>1894</v>
      </c>
      <c r="I767" s="23" t="s">
        <v>24</v>
      </c>
      <c r="J767" s="34">
        <v>4500</v>
      </c>
      <c r="K767" s="35">
        <v>0.25</v>
      </c>
      <c r="L767" s="36">
        <f t="shared" si="105"/>
        <v>1125</v>
      </c>
      <c r="M767" s="37">
        <f t="shared" si="106"/>
        <v>3375</v>
      </c>
      <c r="N767" s="38">
        <v>0.16</v>
      </c>
      <c r="O767" s="39">
        <f t="shared" si="108"/>
        <v>540</v>
      </c>
      <c r="P767" s="40">
        <f t="shared" si="109"/>
        <v>3915</v>
      </c>
      <c r="Q767" s="23"/>
      <c r="R767" s="56"/>
      <c r="S767" s="57"/>
      <c r="T767" s="58">
        <f t="shared" si="114"/>
        <v>0</v>
      </c>
      <c r="U767" s="36">
        <f t="shared" si="114"/>
        <v>0</v>
      </c>
      <c r="V767" s="59">
        <f t="shared" si="112"/>
        <v>0</v>
      </c>
      <c r="W767" s="39">
        <f t="shared" si="107"/>
        <v>0</v>
      </c>
      <c r="X767" s="40">
        <f t="shared" si="110"/>
        <v>0</v>
      </c>
      <c r="Y767"/>
      <c r="Z767"/>
      <c r="AA767"/>
    </row>
    <row r="768" spans="1:27" s="51" customFormat="1" ht="18.600000000000001" hidden="1" customHeight="1" x14ac:dyDescent="0.25">
      <c r="A768" s="82" t="s">
        <v>16</v>
      </c>
      <c r="B768" s="41" t="s">
        <v>1849</v>
      </c>
      <c r="C768" s="42" t="s">
        <v>1849</v>
      </c>
      <c r="D768" s="41">
        <v>8435635306760</v>
      </c>
      <c r="E768" s="43" t="s">
        <v>1895</v>
      </c>
      <c r="F768" s="43" t="s">
        <v>1852</v>
      </c>
      <c r="G768" s="43" t="s">
        <v>1884</v>
      </c>
      <c r="H768" s="85" t="s">
        <v>1896</v>
      </c>
      <c r="I768" s="23" t="s">
        <v>24</v>
      </c>
      <c r="J768" s="44">
        <v>4500</v>
      </c>
      <c r="K768" s="45">
        <v>0.25</v>
      </c>
      <c r="L768" s="46">
        <f t="shared" si="105"/>
        <v>1125</v>
      </c>
      <c r="M768" s="47">
        <f t="shared" si="106"/>
        <v>3375</v>
      </c>
      <c r="N768" s="48">
        <v>0.16</v>
      </c>
      <c r="O768" s="49">
        <f t="shared" si="108"/>
        <v>540</v>
      </c>
      <c r="P768" s="50">
        <f t="shared" si="109"/>
        <v>3915</v>
      </c>
      <c r="Q768" s="23"/>
      <c r="R768" s="60"/>
      <c r="S768" s="61"/>
      <c r="T768" s="62">
        <f t="shared" si="114"/>
        <v>0</v>
      </c>
      <c r="U768" s="46">
        <f t="shared" si="114"/>
        <v>0</v>
      </c>
      <c r="V768" s="63">
        <f t="shared" si="112"/>
        <v>0</v>
      </c>
      <c r="W768" s="49">
        <f t="shared" si="107"/>
        <v>0</v>
      </c>
      <c r="X768" s="50">
        <f t="shared" si="110"/>
        <v>0</v>
      </c>
      <c r="Y768"/>
      <c r="Z768"/>
      <c r="AA768"/>
    </row>
    <row r="769" spans="1:27" s="51" customFormat="1" ht="18.600000000000001" hidden="1" customHeight="1" x14ac:dyDescent="0.25">
      <c r="A769" s="80" t="s">
        <v>16</v>
      </c>
      <c r="B769" s="20" t="s">
        <v>1849</v>
      </c>
      <c r="C769" s="21" t="s">
        <v>1849</v>
      </c>
      <c r="D769" s="20">
        <v>9788409529476</v>
      </c>
      <c r="E769" s="22" t="s">
        <v>1897</v>
      </c>
      <c r="F769" s="22" t="s">
        <v>1852</v>
      </c>
      <c r="G769" s="22" t="s">
        <v>1898</v>
      </c>
      <c r="H769" s="83" t="s">
        <v>1899</v>
      </c>
      <c r="I769" s="23" t="s">
        <v>24</v>
      </c>
      <c r="J769" s="24">
        <v>1050</v>
      </c>
      <c r="K769" s="25">
        <v>0.25</v>
      </c>
      <c r="L769" s="26">
        <f t="shared" si="105"/>
        <v>262.5</v>
      </c>
      <c r="M769" s="27">
        <f t="shared" si="106"/>
        <v>787.5</v>
      </c>
      <c r="N769" s="28">
        <v>0.16</v>
      </c>
      <c r="O769" s="29">
        <f t="shared" si="108"/>
        <v>126</v>
      </c>
      <c r="P769" s="30">
        <f t="shared" si="109"/>
        <v>913.5</v>
      </c>
      <c r="Q769" s="23"/>
      <c r="R769" s="52"/>
      <c r="S769" s="53"/>
      <c r="T769" s="54">
        <f t="shared" si="114"/>
        <v>0</v>
      </c>
      <c r="U769" s="26">
        <f t="shared" si="114"/>
        <v>0</v>
      </c>
      <c r="V769" s="55">
        <f t="shared" si="112"/>
        <v>0</v>
      </c>
      <c r="W769" s="29">
        <f t="shared" si="107"/>
        <v>0</v>
      </c>
      <c r="X769" s="30">
        <f t="shared" si="110"/>
        <v>0</v>
      </c>
      <c r="Y769"/>
      <c r="Z769"/>
      <c r="AA769"/>
    </row>
    <row r="770" spans="1:27" s="51" customFormat="1" ht="18.600000000000001" hidden="1" customHeight="1" x14ac:dyDescent="0.25">
      <c r="A770" s="81" t="s">
        <v>16</v>
      </c>
      <c r="B770" s="31" t="s">
        <v>1900</v>
      </c>
      <c r="C770" s="32" t="s">
        <v>1900</v>
      </c>
      <c r="D770" s="31">
        <v>8435635305336</v>
      </c>
      <c r="E770" s="33" t="s">
        <v>1901</v>
      </c>
      <c r="F770" s="33" t="s">
        <v>1852</v>
      </c>
      <c r="G770" s="33" t="s">
        <v>1902</v>
      </c>
      <c r="H770" s="84" t="s">
        <v>1903</v>
      </c>
      <c r="I770" s="23" t="s">
        <v>24</v>
      </c>
      <c r="J770" s="34">
        <v>750</v>
      </c>
      <c r="K770" s="35">
        <v>0.25</v>
      </c>
      <c r="L770" s="36">
        <f t="shared" si="105"/>
        <v>187.5</v>
      </c>
      <c r="M770" s="37">
        <f t="shared" si="106"/>
        <v>562.5</v>
      </c>
      <c r="N770" s="38">
        <v>0.16</v>
      </c>
      <c r="O770" s="39">
        <f t="shared" si="108"/>
        <v>90</v>
      </c>
      <c r="P770" s="40">
        <f t="shared" si="109"/>
        <v>652.5</v>
      </c>
      <c r="Q770" s="23"/>
      <c r="R770" s="56"/>
      <c r="S770" s="57"/>
      <c r="T770" s="58">
        <f t="shared" ref="T770:U785" si="115">+S770*J770</f>
        <v>0</v>
      </c>
      <c r="U770" s="36">
        <f t="shared" si="115"/>
        <v>0</v>
      </c>
      <c r="V770" s="59">
        <f t="shared" si="112"/>
        <v>0</v>
      </c>
      <c r="W770" s="39">
        <f t="shared" si="107"/>
        <v>0</v>
      </c>
      <c r="X770" s="40">
        <f t="shared" si="110"/>
        <v>0</v>
      </c>
      <c r="Y770"/>
      <c r="Z770"/>
      <c r="AA770"/>
    </row>
    <row r="771" spans="1:27" s="51" customFormat="1" ht="18.600000000000001" hidden="1" customHeight="1" x14ac:dyDescent="0.25">
      <c r="A771" s="82" t="s">
        <v>16</v>
      </c>
      <c r="B771" s="41" t="s">
        <v>1900</v>
      </c>
      <c r="C771" s="42" t="s">
        <v>1900</v>
      </c>
      <c r="D771" s="41" t="s">
        <v>1904</v>
      </c>
      <c r="E771" s="43" t="s">
        <v>1905</v>
      </c>
      <c r="F771" s="43" t="s">
        <v>1852</v>
      </c>
      <c r="G771" s="43" t="s">
        <v>1861</v>
      </c>
      <c r="H771" s="85" t="s">
        <v>1906</v>
      </c>
      <c r="I771" s="23" t="s">
        <v>24</v>
      </c>
      <c r="J771" s="44">
        <v>2100</v>
      </c>
      <c r="K771" s="45">
        <v>0.25</v>
      </c>
      <c r="L771" s="46">
        <f t="shared" si="105"/>
        <v>525</v>
      </c>
      <c r="M771" s="47">
        <f t="shared" si="106"/>
        <v>1575</v>
      </c>
      <c r="N771" s="48">
        <v>0.16</v>
      </c>
      <c r="O771" s="49">
        <f t="shared" si="108"/>
        <v>252</v>
      </c>
      <c r="P771" s="50">
        <f t="shared" si="109"/>
        <v>1827</v>
      </c>
      <c r="Q771" s="23"/>
      <c r="R771" s="60"/>
      <c r="S771" s="61"/>
      <c r="T771" s="62">
        <f t="shared" si="115"/>
        <v>0</v>
      </c>
      <c r="U771" s="46">
        <f t="shared" si="115"/>
        <v>0</v>
      </c>
      <c r="V771" s="63">
        <f t="shared" si="112"/>
        <v>0</v>
      </c>
      <c r="W771" s="49">
        <f t="shared" si="107"/>
        <v>0</v>
      </c>
      <c r="X771" s="50">
        <f t="shared" si="110"/>
        <v>0</v>
      </c>
      <c r="Y771"/>
      <c r="Z771"/>
      <c r="AA771"/>
    </row>
    <row r="772" spans="1:27" s="51" customFormat="1" ht="18.600000000000001" hidden="1" customHeight="1" x14ac:dyDescent="0.25">
      <c r="A772" s="80" t="s">
        <v>16</v>
      </c>
      <c r="B772" s="20" t="s">
        <v>1900</v>
      </c>
      <c r="C772" s="21" t="s">
        <v>1900</v>
      </c>
      <c r="D772" s="20" t="s">
        <v>1904</v>
      </c>
      <c r="E772" s="22" t="s">
        <v>1907</v>
      </c>
      <c r="F772" s="22" t="s">
        <v>1852</v>
      </c>
      <c r="G772" s="22" t="s">
        <v>1908</v>
      </c>
      <c r="H772" s="83" t="s">
        <v>1906</v>
      </c>
      <c r="I772" s="23" t="s">
        <v>24</v>
      </c>
      <c r="J772" s="24">
        <v>2100</v>
      </c>
      <c r="K772" s="25">
        <v>0.25</v>
      </c>
      <c r="L772" s="26">
        <f t="shared" si="105"/>
        <v>525</v>
      </c>
      <c r="M772" s="27">
        <f t="shared" si="106"/>
        <v>1575</v>
      </c>
      <c r="N772" s="28">
        <v>0.16</v>
      </c>
      <c r="O772" s="29">
        <f t="shared" si="108"/>
        <v>252</v>
      </c>
      <c r="P772" s="30">
        <f t="shared" si="109"/>
        <v>1827</v>
      </c>
      <c r="Q772" s="23"/>
      <c r="R772" s="52"/>
      <c r="S772" s="53"/>
      <c r="T772" s="54">
        <f t="shared" si="115"/>
        <v>0</v>
      </c>
      <c r="U772" s="26">
        <f t="shared" si="115"/>
        <v>0</v>
      </c>
      <c r="V772" s="55">
        <f t="shared" si="112"/>
        <v>0</v>
      </c>
      <c r="W772" s="29">
        <f t="shared" si="107"/>
        <v>0</v>
      </c>
      <c r="X772" s="30">
        <f t="shared" si="110"/>
        <v>0</v>
      </c>
      <c r="Y772"/>
      <c r="Z772"/>
      <c r="AA772"/>
    </row>
    <row r="773" spans="1:27" s="51" customFormat="1" ht="18.600000000000001" hidden="1" customHeight="1" x14ac:dyDescent="0.25">
      <c r="A773" s="81" t="s">
        <v>16</v>
      </c>
      <c r="B773" s="31" t="s">
        <v>1900</v>
      </c>
      <c r="C773" s="32" t="s">
        <v>1900</v>
      </c>
      <c r="D773" s="31" t="s">
        <v>1909</v>
      </c>
      <c r="E773" s="33" t="s">
        <v>1910</v>
      </c>
      <c r="F773" s="33" t="s">
        <v>1852</v>
      </c>
      <c r="G773" s="33" t="s">
        <v>1861</v>
      </c>
      <c r="H773" s="84" t="s">
        <v>1911</v>
      </c>
      <c r="I773" s="23" t="s">
        <v>24</v>
      </c>
      <c r="J773" s="34">
        <v>2300</v>
      </c>
      <c r="K773" s="35">
        <v>0.25</v>
      </c>
      <c r="L773" s="36">
        <f t="shared" si="105"/>
        <v>575</v>
      </c>
      <c r="M773" s="37">
        <f t="shared" si="106"/>
        <v>1725</v>
      </c>
      <c r="N773" s="38">
        <v>0.16</v>
      </c>
      <c r="O773" s="39">
        <f t="shared" si="108"/>
        <v>276</v>
      </c>
      <c r="P773" s="40">
        <f t="shared" si="109"/>
        <v>2001</v>
      </c>
      <c r="Q773" s="23"/>
      <c r="R773" s="56"/>
      <c r="S773" s="57"/>
      <c r="T773" s="58">
        <f t="shared" si="115"/>
        <v>0</v>
      </c>
      <c r="U773" s="36">
        <f t="shared" si="115"/>
        <v>0</v>
      </c>
      <c r="V773" s="59">
        <f t="shared" si="112"/>
        <v>0</v>
      </c>
      <c r="W773" s="39">
        <f t="shared" si="107"/>
        <v>0</v>
      </c>
      <c r="X773" s="40">
        <f t="shared" si="110"/>
        <v>0</v>
      </c>
      <c r="Y773"/>
      <c r="Z773"/>
      <c r="AA773"/>
    </row>
    <row r="774" spans="1:27" s="51" customFormat="1" ht="18.600000000000001" hidden="1" customHeight="1" x14ac:dyDescent="0.25">
      <c r="A774" s="82" t="s">
        <v>16</v>
      </c>
      <c r="B774" s="41" t="s">
        <v>1900</v>
      </c>
      <c r="C774" s="42" t="s">
        <v>1900</v>
      </c>
      <c r="D774" s="41" t="s">
        <v>1909</v>
      </c>
      <c r="E774" s="43" t="s">
        <v>1912</v>
      </c>
      <c r="F774" s="43" t="s">
        <v>1852</v>
      </c>
      <c r="G774" s="43" t="s">
        <v>1908</v>
      </c>
      <c r="H774" s="85" t="s">
        <v>1913</v>
      </c>
      <c r="I774" s="23" t="s">
        <v>24</v>
      </c>
      <c r="J774" s="44">
        <v>2300</v>
      </c>
      <c r="K774" s="45">
        <v>0.25</v>
      </c>
      <c r="L774" s="46">
        <f t="shared" si="105"/>
        <v>575</v>
      </c>
      <c r="M774" s="47">
        <f t="shared" si="106"/>
        <v>1725</v>
      </c>
      <c r="N774" s="48">
        <v>0.16</v>
      </c>
      <c r="O774" s="49">
        <f t="shared" si="108"/>
        <v>276</v>
      </c>
      <c r="P774" s="50">
        <f t="shared" si="109"/>
        <v>2001</v>
      </c>
      <c r="Q774" s="23"/>
      <c r="R774" s="60"/>
      <c r="S774" s="61"/>
      <c r="T774" s="62">
        <f t="shared" si="115"/>
        <v>0</v>
      </c>
      <c r="U774" s="46">
        <f t="shared" si="115"/>
        <v>0</v>
      </c>
      <c r="V774" s="63">
        <f t="shared" si="112"/>
        <v>0</v>
      </c>
      <c r="W774" s="49">
        <f t="shared" si="107"/>
        <v>0</v>
      </c>
      <c r="X774" s="50">
        <f t="shared" si="110"/>
        <v>0</v>
      </c>
      <c r="Y774"/>
      <c r="Z774"/>
      <c r="AA774"/>
    </row>
    <row r="775" spans="1:27" s="51" customFormat="1" ht="18.600000000000001" hidden="1" customHeight="1" x14ac:dyDescent="0.25">
      <c r="A775" s="80" t="s">
        <v>16</v>
      </c>
      <c r="B775" s="20" t="s">
        <v>1914</v>
      </c>
      <c r="C775" s="21" t="s">
        <v>1914</v>
      </c>
      <c r="D775" s="20" t="s">
        <v>1915</v>
      </c>
      <c r="E775" s="22" t="s">
        <v>1916</v>
      </c>
      <c r="F775" s="22" t="s">
        <v>1852</v>
      </c>
      <c r="G775" s="22" t="s">
        <v>1917</v>
      </c>
      <c r="H775" s="83" t="s">
        <v>1918</v>
      </c>
      <c r="I775" s="23" t="s">
        <v>24</v>
      </c>
      <c r="J775" s="24">
        <v>2550</v>
      </c>
      <c r="K775" s="25">
        <v>0.25</v>
      </c>
      <c r="L775" s="26">
        <f t="shared" si="105"/>
        <v>637.5</v>
      </c>
      <c r="M775" s="27">
        <f t="shared" si="106"/>
        <v>1912.5</v>
      </c>
      <c r="N775" s="28">
        <v>0.16</v>
      </c>
      <c r="O775" s="29">
        <f t="shared" si="108"/>
        <v>306</v>
      </c>
      <c r="P775" s="30">
        <f t="shared" si="109"/>
        <v>2218.5</v>
      </c>
      <c r="Q775" s="23"/>
      <c r="R775" s="52"/>
      <c r="S775" s="53"/>
      <c r="T775" s="54">
        <f t="shared" si="115"/>
        <v>0</v>
      </c>
      <c r="U775" s="26">
        <f t="shared" si="115"/>
        <v>0</v>
      </c>
      <c r="V775" s="55">
        <f t="shared" si="112"/>
        <v>0</v>
      </c>
      <c r="W775" s="29">
        <f t="shared" si="107"/>
        <v>0</v>
      </c>
      <c r="X775" s="30">
        <f t="shared" si="110"/>
        <v>0</v>
      </c>
      <c r="Y775"/>
      <c r="Z775"/>
      <c r="AA775"/>
    </row>
    <row r="776" spans="1:27" s="51" customFormat="1" ht="18.600000000000001" hidden="1" customHeight="1" x14ac:dyDescent="0.25">
      <c r="A776" s="81" t="s">
        <v>16</v>
      </c>
      <c r="B776" s="31" t="s">
        <v>1914</v>
      </c>
      <c r="C776" s="32" t="s">
        <v>1914</v>
      </c>
      <c r="D776" s="31" t="s">
        <v>1915</v>
      </c>
      <c r="E776" s="33" t="s">
        <v>1919</v>
      </c>
      <c r="F776" s="33" t="s">
        <v>1852</v>
      </c>
      <c r="G776" s="33" t="s">
        <v>1920</v>
      </c>
      <c r="H776" s="84" t="s">
        <v>1918</v>
      </c>
      <c r="I776" s="23" t="s">
        <v>24</v>
      </c>
      <c r="J776" s="34">
        <v>2550</v>
      </c>
      <c r="K776" s="35">
        <v>0.25</v>
      </c>
      <c r="L776" s="36">
        <f t="shared" si="105"/>
        <v>637.5</v>
      </c>
      <c r="M776" s="37">
        <f t="shared" si="106"/>
        <v>1912.5</v>
      </c>
      <c r="N776" s="38">
        <v>0.16</v>
      </c>
      <c r="O776" s="39">
        <f t="shared" si="108"/>
        <v>306</v>
      </c>
      <c r="P776" s="40">
        <f t="shared" si="109"/>
        <v>2218.5</v>
      </c>
      <c r="Q776" s="23"/>
      <c r="R776" s="56"/>
      <c r="S776" s="57"/>
      <c r="T776" s="58">
        <f t="shared" si="115"/>
        <v>0</v>
      </c>
      <c r="U776" s="36">
        <f t="shared" si="115"/>
        <v>0</v>
      </c>
      <c r="V776" s="59">
        <f t="shared" si="112"/>
        <v>0</v>
      </c>
      <c r="W776" s="39">
        <f t="shared" si="107"/>
        <v>0</v>
      </c>
      <c r="X776" s="40">
        <f t="shared" si="110"/>
        <v>0</v>
      </c>
      <c r="Y776"/>
      <c r="Z776"/>
      <c r="AA776"/>
    </row>
    <row r="777" spans="1:27" s="51" customFormat="1" ht="18.600000000000001" hidden="1" customHeight="1" x14ac:dyDescent="0.25">
      <c r="A777" s="82" t="s">
        <v>16</v>
      </c>
      <c r="B777" s="41" t="s">
        <v>1914</v>
      </c>
      <c r="C777" s="42" t="s">
        <v>1914</v>
      </c>
      <c r="D777" s="41" t="s">
        <v>1921</v>
      </c>
      <c r="E777" s="43" t="s">
        <v>1922</v>
      </c>
      <c r="F777" s="43" t="s">
        <v>1852</v>
      </c>
      <c r="G777" s="43" t="s">
        <v>1866</v>
      </c>
      <c r="H777" s="85" t="s">
        <v>1923</v>
      </c>
      <c r="I777" s="23" t="s">
        <v>24</v>
      </c>
      <c r="J777" s="44">
        <v>1200</v>
      </c>
      <c r="K777" s="45">
        <v>0.25</v>
      </c>
      <c r="L777" s="46">
        <f t="shared" si="105"/>
        <v>300</v>
      </c>
      <c r="M777" s="47">
        <f t="shared" si="106"/>
        <v>900</v>
      </c>
      <c r="N777" s="48">
        <v>0.16</v>
      </c>
      <c r="O777" s="49">
        <f t="shared" si="108"/>
        <v>144</v>
      </c>
      <c r="P777" s="50">
        <f t="shared" si="109"/>
        <v>1044</v>
      </c>
      <c r="Q777" s="23"/>
      <c r="R777" s="60"/>
      <c r="S777" s="61"/>
      <c r="T777" s="62">
        <f t="shared" si="115"/>
        <v>0</v>
      </c>
      <c r="U777" s="46">
        <f t="shared" si="115"/>
        <v>0</v>
      </c>
      <c r="V777" s="63">
        <f t="shared" si="112"/>
        <v>0</v>
      </c>
      <c r="W777" s="49">
        <f t="shared" si="107"/>
        <v>0</v>
      </c>
      <c r="X777" s="50">
        <f t="shared" si="110"/>
        <v>0</v>
      </c>
      <c r="Y777"/>
      <c r="Z777"/>
      <c r="AA777"/>
    </row>
    <row r="778" spans="1:27" s="51" customFormat="1" ht="18.600000000000001" hidden="1" customHeight="1" x14ac:dyDescent="0.25">
      <c r="A778" s="80" t="s">
        <v>16</v>
      </c>
      <c r="B778" s="20" t="s">
        <v>1914</v>
      </c>
      <c r="C778" s="21" t="s">
        <v>1914</v>
      </c>
      <c r="D778" s="20" t="s">
        <v>1924</v>
      </c>
      <c r="E778" s="22" t="s">
        <v>1925</v>
      </c>
      <c r="F778" s="22" t="s">
        <v>1852</v>
      </c>
      <c r="G778" s="22" t="s">
        <v>1861</v>
      </c>
      <c r="H778" s="83" t="s">
        <v>1926</v>
      </c>
      <c r="I778" s="23" t="s">
        <v>24</v>
      </c>
      <c r="J778" s="24">
        <v>1600</v>
      </c>
      <c r="K778" s="25">
        <v>0.25</v>
      </c>
      <c r="L778" s="26">
        <f t="shared" ref="L778:L841" si="116">+J778*K778</f>
        <v>400</v>
      </c>
      <c r="M778" s="27">
        <f t="shared" ref="M778:M841" si="117">+J778-L778</f>
        <v>1200</v>
      </c>
      <c r="N778" s="28">
        <v>0.16</v>
      </c>
      <c r="O778" s="29">
        <f t="shared" si="108"/>
        <v>192</v>
      </c>
      <c r="P778" s="30">
        <f t="shared" si="109"/>
        <v>1392</v>
      </c>
      <c r="Q778" s="23"/>
      <c r="R778" s="52"/>
      <c r="S778" s="53"/>
      <c r="T778" s="54">
        <f t="shared" si="115"/>
        <v>0</v>
      </c>
      <c r="U778" s="26">
        <f t="shared" si="115"/>
        <v>0</v>
      </c>
      <c r="V778" s="55">
        <f t="shared" si="112"/>
        <v>0</v>
      </c>
      <c r="W778" s="29">
        <f t="shared" ref="W778:W841" si="118">+V778*N778</f>
        <v>0</v>
      </c>
      <c r="X778" s="30">
        <f t="shared" si="110"/>
        <v>0</v>
      </c>
      <c r="Y778"/>
      <c r="Z778"/>
      <c r="AA778"/>
    </row>
    <row r="779" spans="1:27" s="51" customFormat="1" ht="18.600000000000001" hidden="1" customHeight="1" x14ac:dyDescent="0.25">
      <c r="A779" s="81" t="s">
        <v>16</v>
      </c>
      <c r="B779" s="31" t="s">
        <v>1914</v>
      </c>
      <c r="C779" s="32" t="s">
        <v>1914</v>
      </c>
      <c r="D779" s="31" t="s">
        <v>1924</v>
      </c>
      <c r="E779" s="33" t="s">
        <v>1927</v>
      </c>
      <c r="F779" s="33" t="s">
        <v>1852</v>
      </c>
      <c r="G779" s="33" t="s">
        <v>1908</v>
      </c>
      <c r="H779" s="84" t="s">
        <v>1926</v>
      </c>
      <c r="I779" s="23" t="s">
        <v>24</v>
      </c>
      <c r="J779" s="34">
        <v>1600</v>
      </c>
      <c r="K779" s="35">
        <v>0.25</v>
      </c>
      <c r="L779" s="36">
        <f t="shared" si="116"/>
        <v>400</v>
      </c>
      <c r="M779" s="37">
        <f t="shared" si="117"/>
        <v>1200</v>
      </c>
      <c r="N779" s="38">
        <v>0.16</v>
      </c>
      <c r="O779" s="39">
        <f t="shared" ref="O779:O842" si="119">+M779*N779</f>
        <v>192</v>
      </c>
      <c r="P779" s="40">
        <f t="shared" ref="P779:P842" si="120">+M779+O779</f>
        <v>1392</v>
      </c>
      <c r="Q779" s="23"/>
      <c r="R779" s="56"/>
      <c r="S779" s="57"/>
      <c r="T779" s="58">
        <f t="shared" si="115"/>
        <v>0</v>
      </c>
      <c r="U779" s="36">
        <f t="shared" si="115"/>
        <v>0</v>
      </c>
      <c r="V779" s="59">
        <f t="shared" si="112"/>
        <v>0</v>
      </c>
      <c r="W779" s="39">
        <f t="shared" si="118"/>
        <v>0</v>
      </c>
      <c r="X779" s="40">
        <f t="shared" ref="X779:X842" si="121">+V779+W779</f>
        <v>0</v>
      </c>
      <c r="Y779"/>
      <c r="Z779"/>
      <c r="AA779"/>
    </row>
    <row r="780" spans="1:27" s="51" customFormat="1" ht="18.600000000000001" hidden="1" customHeight="1" x14ac:dyDescent="0.25">
      <c r="A780" s="82" t="s">
        <v>16</v>
      </c>
      <c r="B780" s="41" t="s">
        <v>1914</v>
      </c>
      <c r="C780" s="42" t="s">
        <v>1914</v>
      </c>
      <c r="D780" s="41">
        <v>9788409393862</v>
      </c>
      <c r="E780" s="43" t="s">
        <v>1928</v>
      </c>
      <c r="F780" s="43" t="s">
        <v>1852</v>
      </c>
      <c r="G780" s="43" t="s">
        <v>1861</v>
      </c>
      <c r="H780" s="85" t="s">
        <v>1929</v>
      </c>
      <c r="I780" s="23" t="s">
        <v>24</v>
      </c>
      <c r="J780" s="44">
        <v>2100</v>
      </c>
      <c r="K780" s="45">
        <v>0.25</v>
      </c>
      <c r="L780" s="46">
        <f t="shared" si="116"/>
        <v>525</v>
      </c>
      <c r="M780" s="47">
        <f t="shared" si="117"/>
        <v>1575</v>
      </c>
      <c r="N780" s="48">
        <v>0.16</v>
      </c>
      <c r="O780" s="49">
        <f t="shared" si="119"/>
        <v>252</v>
      </c>
      <c r="P780" s="50">
        <f t="shared" si="120"/>
        <v>1827</v>
      </c>
      <c r="Q780" s="23"/>
      <c r="R780" s="60"/>
      <c r="S780" s="61"/>
      <c r="T780" s="62">
        <f t="shared" si="115"/>
        <v>0</v>
      </c>
      <c r="U780" s="46">
        <f t="shared" si="115"/>
        <v>0</v>
      </c>
      <c r="V780" s="63">
        <f t="shared" si="112"/>
        <v>0</v>
      </c>
      <c r="W780" s="49">
        <f t="shared" si="118"/>
        <v>0</v>
      </c>
      <c r="X780" s="50">
        <f t="shared" si="121"/>
        <v>0</v>
      </c>
      <c r="Y780"/>
      <c r="Z780"/>
      <c r="AA780"/>
    </row>
    <row r="781" spans="1:27" s="51" customFormat="1" ht="18.600000000000001" hidden="1" customHeight="1" x14ac:dyDescent="0.25">
      <c r="A781" s="80" t="s">
        <v>16</v>
      </c>
      <c r="B781" s="20" t="s">
        <v>1914</v>
      </c>
      <c r="C781" s="21" t="s">
        <v>1914</v>
      </c>
      <c r="D781" s="20">
        <v>9788409393862</v>
      </c>
      <c r="E781" s="22" t="s">
        <v>1930</v>
      </c>
      <c r="F781" s="22" t="s">
        <v>1852</v>
      </c>
      <c r="G781" s="22" t="s">
        <v>1908</v>
      </c>
      <c r="H781" s="83" t="s">
        <v>1929</v>
      </c>
      <c r="I781" s="23" t="s">
        <v>24</v>
      </c>
      <c r="J781" s="24">
        <v>2100</v>
      </c>
      <c r="K781" s="25">
        <v>0.25</v>
      </c>
      <c r="L781" s="26">
        <f t="shared" si="116"/>
        <v>525</v>
      </c>
      <c r="M781" s="27">
        <f t="shared" si="117"/>
        <v>1575</v>
      </c>
      <c r="N781" s="28">
        <v>0.16</v>
      </c>
      <c r="O781" s="29">
        <f t="shared" si="119"/>
        <v>252</v>
      </c>
      <c r="P781" s="30">
        <f t="shared" si="120"/>
        <v>1827</v>
      </c>
      <c r="Q781" s="23"/>
      <c r="R781" s="52"/>
      <c r="S781" s="53"/>
      <c r="T781" s="54">
        <f t="shared" si="115"/>
        <v>0</v>
      </c>
      <c r="U781" s="26">
        <f t="shared" si="115"/>
        <v>0</v>
      </c>
      <c r="V781" s="55">
        <f t="shared" si="112"/>
        <v>0</v>
      </c>
      <c r="W781" s="29">
        <f t="shared" si="118"/>
        <v>0</v>
      </c>
      <c r="X781" s="30">
        <f t="shared" si="121"/>
        <v>0</v>
      </c>
      <c r="Y781"/>
      <c r="Z781"/>
      <c r="AA781"/>
    </row>
    <row r="782" spans="1:27" s="51" customFormat="1" ht="18.600000000000001" hidden="1" customHeight="1" x14ac:dyDescent="0.25">
      <c r="A782" s="81" t="s">
        <v>16</v>
      </c>
      <c r="B782" s="31" t="s">
        <v>1914</v>
      </c>
      <c r="C782" s="32" t="s">
        <v>1914</v>
      </c>
      <c r="D782" s="31">
        <v>9788409366194</v>
      </c>
      <c r="E782" s="33" t="s">
        <v>1931</v>
      </c>
      <c r="F782" s="33" t="s">
        <v>1852</v>
      </c>
      <c r="G782" s="33" t="s">
        <v>1898</v>
      </c>
      <c r="H782" s="84" t="s">
        <v>1932</v>
      </c>
      <c r="I782" s="23" t="s">
        <v>24</v>
      </c>
      <c r="J782" s="34">
        <v>1050</v>
      </c>
      <c r="K782" s="35">
        <v>0.25</v>
      </c>
      <c r="L782" s="36">
        <f t="shared" si="116"/>
        <v>262.5</v>
      </c>
      <c r="M782" s="37">
        <f t="shared" si="117"/>
        <v>787.5</v>
      </c>
      <c r="N782" s="38">
        <v>0.16</v>
      </c>
      <c r="O782" s="39">
        <f t="shared" si="119"/>
        <v>126</v>
      </c>
      <c r="P782" s="40">
        <f t="shared" si="120"/>
        <v>913.5</v>
      </c>
      <c r="Q782" s="23"/>
      <c r="R782" s="56"/>
      <c r="S782" s="57"/>
      <c r="T782" s="58">
        <f t="shared" si="115"/>
        <v>0</v>
      </c>
      <c r="U782" s="36">
        <f t="shared" si="115"/>
        <v>0</v>
      </c>
      <c r="V782" s="59">
        <f t="shared" si="112"/>
        <v>0</v>
      </c>
      <c r="W782" s="39">
        <f t="shared" si="118"/>
        <v>0</v>
      </c>
      <c r="X782" s="40">
        <f t="shared" si="121"/>
        <v>0</v>
      </c>
      <c r="Y782"/>
      <c r="Z782"/>
      <c r="AA782"/>
    </row>
    <row r="783" spans="1:27" s="51" customFormat="1" ht="18.600000000000001" hidden="1" customHeight="1" x14ac:dyDescent="0.25">
      <c r="A783" s="82" t="s">
        <v>16</v>
      </c>
      <c r="B783" s="41" t="s">
        <v>1933</v>
      </c>
      <c r="C783" s="42" t="s">
        <v>1934</v>
      </c>
      <c r="D783" s="41" t="s">
        <v>1935</v>
      </c>
      <c r="E783" s="43" t="s">
        <v>1936</v>
      </c>
      <c r="F783" s="43" t="s">
        <v>1937</v>
      </c>
      <c r="G783" s="43" t="s">
        <v>1938</v>
      </c>
      <c r="H783" s="85" t="s">
        <v>1939</v>
      </c>
      <c r="I783" s="23" t="s">
        <v>24</v>
      </c>
      <c r="J783" s="44">
        <v>1630</v>
      </c>
      <c r="K783" s="45">
        <v>0.25</v>
      </c>
      <c r="L783" s="46">
        <f t="shared" si="116"/>
        <v>407.5</v>
      </c>
      <c r="M783" s="47">
        <f t="shared" si="117"/>
        <v>1222.5</v>
      </c>
      <c r="N783" s="48">
        <v>0.16</v>
      </c>
      <c r="O783" s="49">
        <f t="shared" si="119"/>
        <v>195.6</v>
      </c>
      <c r="P783" s="50">
        <f t="shared" si="120"/>
        <v>1418.1</v>
      </c>
      <c r="Q783" s="23"/>
      <c r="R783" s="60"/>
      <c r="S783" s="61"/>
      <c r="T783" s="62">
        <f t="shared" si="115"/>
        <v>0</v>
      </c>
      <c r="U783" s="46">
        <f t="shared" si="115"/>
        <v>0</v>
      </c>
      <c r="V783" s="63">
        <f t="shared" si="112"/>
        <v>0</v>
      </c>
      <c r="W783" s="49">
        <f t="shared" si="118"/>
        <v>0</v>
      </c>
      <c r="X783" s="50">
        <f t="shared" si="121"/>
        <v>0</v>
      </c>
      <c r="Y783"/>
      <c r="Z783"/>
      <c r="AA783"/>
    </row>
    <row r="784" spans="1:27" s="51" customFormat="1" ht="18.600000000000001" hidden="1" customHeight="1" x14ac:dyDescent="0.25">
      <c r="A784" s="80" t="s">
        <v>16</v>
      </c>
      <c r="B784" s="20" t="s">
        <v>1933</v>
      </c>
      <c r="C784" s="21" t="s">
        <v>1934</v>
      </c>
      <c r="D784" s="20" t="s">
        <v>1940</v>
      </c>
      <c r="E784" s="22" t="s">
        <v>1941</v>
      </c>
      <c r="F784" s="22" t="s">
        <v>1937</v>
      </c>
      <c r="G784" s="22" t="s">
        <v>1938</v>
      </c>
      <c r="H784" s="83" t="s">
        <v>1942</v>
      </c>
      <c r="I784" s="23" t="s">
        <v>24</v>
      </c>
      <c r="J784" s="24">
        <v>1510</v>
      </c>
      <c r="K784" s="25">
        <v>0.25</v>
      </c>
      <c r="L784" s="26">
        <f t="shared" si="116"/>
        <v>377.5</v>
      </c>
      <c r="M784" s="27">
        <f t="shared" si="117"/>
        <v>1132.5</v>
      </c>
      <c r="N784" s="28">
        <v>0.16</v>
      </c>
      <c r="O784" s="29">
        <f t="shared" si="119"/>
        <v>181.20000000000002</v>
      </c>
      <c r="P784" s="30">
        <f t="shared" si="120"/>
        <v>1313.7</v>
      </c>
      <c r="Q784" s="23"/>
      <c r="R784" s="52"/>
      <c r="S784" s="53"/>
      <c r="T784" s="54">
        <f t="shared" si="115"/>
        <v>0</v>
      </c>
      <c r="U784" s="26">
        <f t="shared" si="115"/>
        <v>0</v>
      </c>
      <c r="V784" s="55">
        <f t="shared" si="112"/>
        <v>0</v>
      </c>
      <c r="W784" s="29">
        <f t="shared" si="118"/>
        <v>0</v>
      </c>
      <c r="X784" s="30">
        <f t="shared" si="121"/>
        <v>0</v>
      </c>
      <c r="Y784"/>
      <c r="Z784"/>
      <c r="AA784"/>
    </row>
    <row r="785" spans="1:27" s="51" customFormat="1" ht="18.600000000000001" hidden="1" customHeight="1" x14ac:dyDescent="0.25">
      <c r="A785" s="81" t="s">
        <v>16</v>
      </c>
      <c r="B785" s="31" t="s">
        <v>1933</v>
      </c>
      <c r="C785" s="32" t="s">
        <v>1934</v>
      </c>
      <c r="D785" s="31" t="s">
        <v>1943</v>
      </c>
      <c r="E785" s="33" t="s">
        <v>1944</v>
      </c>
      <c r="F785" s="33" t="s">
        <v>1937</v>
      </c>
      <c r="G785" s="33" t="s">
        <v>1938</v>
      </c>
      <c r="H785" s="84" t="s">
        <v>1945</v>
      </c>
      <c r="I785" s="23" t="s">
        <v>24</v>
      </c>
      <c r="J785" s="34">
        <v>1510</v>
      </c>
      <c r="K785" s="35">
        <v>0.25</v>
      </c>
      <c r="L785" s="36">
        <f t="shared" si="116"/>
        <v>377.5</v>
      </c>
      <c r="M785" s="37">
        <f t="shared" si="117"/>
        <v>1132.5</v>
      </c>
      <c r="N785" s="38">
        <v>0.16</v>
      </c>
      <c r="O785" s="39">
        <f t="shared" si="119"/>
        <v>181.20000000000002</v>
      </c>
      <c r="P785" s="40">
        <f t="shared" si="120"/>
        <v>1313.7</v>
      </c>
      <c r="Q785" s="23"/>
      <c r="R785" s="56"/>
      <c r="S785" s="57"/>
      <c r="T785" s="58">
        <f t="shared" si="115"/>
        <v>0</v>
      </c>
      <c r="U785" s="36">
        <f t="shared" si="115"/>
        <v>0</v>
      </c>
      <c r="V785" s="59">
        <f t="shared" si="112"/>
        <v>0</v>
      </c>
      <c r="W785" s="39">
        <f t="shared" si="118"/>
        <v>0</v>
      </c>
      <c r="X785" s="40">
        <f t="shared" si="121"/>
        <v>0</v>
      </c>
      <c r="Y785"/>
      <c r="Z785"/>
      <c r="AA785"/>
    </row>
    <row r="786" spans="1:27" s="51" customFormat="1" ht="18.600000000000001" hidden="1" customHeight="1" x14ac:dyDescent="0.25">
      <c r="A786" s="82" t="s">
        <v>16</v>
      </c>
      <c r="B786" s="41" t="s">
        <v>1933</v>
      </c>
      <c r="C786" s="42" t="s">
        <v>1934</v>
      </c>
      <c r="D786" s="41" t="s">
        <v>1946</v>
      </c>
      <c r="E786" s="43" t="s">
        <v>1947</v>
      </c>
      <c r="F786" s="43" t="s">
        <v>1937</v>
      </c>
      <c r="G786" s="43" t="s">
        <v>1938</v>
      </c>
      <c r="H786" s="85" t="s">
        <v>1948</v>
      </c>
      <c r="I786" s="23" t="s">
        <v>24</v>
      </c>
      <c r="J786" s="44">
        <v>1510</v>
      </c>
      <c r="K786" s="45">
        <v>0.25</v>
      </c>
      <c r="L786" s="46">
        <f t="shared" si="116"/>
        <v>377.5</v>
      </c>
      <c r="M786" s="47">
        <f t="shared" si="117"/>
        <v>1132.5</v>
      </c>
      <c r="N786" s="48">
        <v>0.16</v>
      </c>
      <c r="O786" s="49">
        <f t="shared" si="119"/>
        <v>181.20000000000002</v>
      </c>
      <c r="P786" s="50">
        <f t="shared" si="120"/>
        <v>1313.7</v>
      </c>
      <c r="Q786" s="23"/>
      <c r="R786" s="60"/>
      <c r="S786" s="61"/>
      <c r="T786" s="62">
        <f t="shared" ref="T786:U801" si="122">+S786*J786</f>
        <v>0</v>
      </c>
      <c r="U786" s="46">
        <f t="shared" si="122"/>
        <v>0</v>
      </c>
      <c r="V786" s="63">
        <f t="shared" si="112"/>
        <v>0</v>
      </c>
      <c r="W786" s="49">
        <f t="shared" si="118"/>
        <v>0</v>
      </c>
      <c r="X786" s="50">
        <f t="shared" si="121"/>
        <v>0</v>
      </c>
      <c r="Y786"/>
      <c r="Z786"/>
      <c r="AA786"/>
    </row>
    <row r="787" spans="1:27" s="51" customFormat="1" ht="18.600000000000001" hidden="1" customHeight="1" x14ac:dyDescent="0.25">
      <c r="A787" s="80" t="s">
        <v>16</v>
      </c>
      <c r="B787" s="20" t="s">
        <v>1933</v>
      </c>
      <c r="C787" s="21" t="s">
        <v>1934</v>
      </c>
      <c r="D787" s="20" t="s">
        <v>1949</v>
      </c>
      <c r="E787" s="22" t="s">
        <v>1950</v>
      </c>
      <c r="F787" s="22" t="s">
        <v>1937</v>
      </c>
      <c r="G787" s="22" t="s">
        <v>1938</v>
      </c>
      <c r="H787" s="83" t="s">
        <v>1951</v>
      </c>
      <c r="I787" s="23" t="s">
        <v>24</v>
      </c>
      <c r="J787" s="24">
        <v>1870</v>
      </c>
      <c r="K787" s="25">
        <v>0.25</v>
      </c>
      <c r="L787" s="26">
        <f t="shared" si="116"/>
        <v>467.5</v>
      </c>
      <c r="M787" s="27">
        <f t="shared" si="117"/>
        <v>1402.5</v>
      </c>
      <c r="N787" s="28">
        <v>0.16</v>
      </c>
      <c r="O787" s="29">
        <f t="shared" si="119"/>
        <v>224.4</v>
      </c>
      <c r="P787" s="30">
        <f t="shared" si="120"/>
        <v>1626.9</v>
      </c>
      <c r="Q787" s="23"/>
      <c r="R787" s="52"/>
      <c r="S787" s="53"/>
      <c r="T787" s="54">
        <f t="shared" si="122"/>
        <v>0</v>
      </c>
      <c r="U787" s="26">
        <f t="shared" si="122"/>
        <v>0</v>
      </c>
      <c r="V787" s="55">
        <f t="shared" si="112"/>
        <v>0</v>
      </c>
      <c r="W787" s="29">
        <f t="shared" si="118"/>
        <v>0</v>
      </c>
      <c r="X787" s="30">
        <f t="shared" si="121"/>
        <v>0</v>
      </c>
      <c r="Y787"/>
      <c r="Z787"/>
      <c r="AA787"/>
    </row>
    <row r="788" spans="1:27" s="51" customFormat="1" ht="18.600000000000001" hidden="1" customHeight="1" x14ac:dyDescent="0.25">
      <c r="A788" s="81" t="s">
        <v>16</v>
      </c>
      <c r="B788" s="31" t="s">
        <v>1933</v>
      </c>
      <c r="C788" s="32" t="s">
        <v>1934</v>
      </c>
      <c r="D788" s="31">
        <v>8435635300102</v>
      </c>
      <c r="E788" s="33" t="s">
        <v>1952</v>
      </c>
      <c r="F788" s="33" t="s">
        <v>1937</v>
      </c>
      <c r="G788" s="33" t="s">
        <v>1938</v>
      </c>
      <c r="H788" s="84" t="s">
        <v>1953</v>
      </c>
      <c r="I788" s="23" t="s">
        <v>24</v>
      </c>
      <c r="J788" s="34">
        <v>1660</v>
      </c>
      <c r="K788" s="35">
        <v>0.25</v>
      </c>
      <c r="L788" s="36">
        <f t="shared" si="116"/>
        <v>415</v>
      </c>
      <c r="M788" s="37">
        <f t="shared" si="117"/>
        <v>1245</v>
      </c>
      <c r="N788" s="38">
        <v>0.16</v>
      </c>
      <c r="O788" s="39">
        <f t="shared" si="119"/>
        <v>199.20000000000002</v>
      </c>
      <c r="P788" s="40">
        <f t="shared" si="120"/>
        <v>1444.2</v>
      </c>
      <c r="Q788" s="23"/>
      <c r="R788" s="56"/>
      <c r="S788" s="57"/>
      <c r="T788" s="58">
        <f t="shared" si="122"/>
        <v>0</v>
      </c>
      <c r="U788" s="36">
        <f t="shared" si="122"/>
        <v>0</v>
      </c>
      <c r="V788" s="59">
        <f t="shared" si="112"/>
        <v>0</v>
      </c>
      <c r="W788" s="39">
        <f t="shared" si="118"/>
        <v>0</v>
      </c>
      <c r="X788" s="40">
        <f t="shared" si="121"/>
        <v>0</v>
      </c>
      <c r="Y788"/>
      <c r="Z788"/>
      <c r="AA788"/>
    </row>
    <row r="789" spans="1:27" s="51" customFormat="1" ht="18.600000000000001" hidden="1" customHeight="1" x14ac:dyDescent="0.25">
      <c r="A789" s="82" t="s">
        <v>16</v>
      </c>
      <c r="B789" s="41" t="s">
        <v>1933</v>
      </c>
      <c r="C789" s="42" t="s">
        <v>1934</v>
      </c>
      <c r="D789" s="41">
        <v>8435635300140</v>
      </c>
      <c r="E789" s="43" t="s">
        <v>1954</v>
      </c>
      <c r="F789" s="43" t="s">
        <v>1937</v>
      </c>
      <c r="G789" s="43" t="s">
        <v>1938</v>
      </c>
      <c r="H789" s="85" t="s">
        <v>1955</v>
      </c>
      <c r="I789" s="23" t="s">
        <v>24</v>
      </c>
      <c r="J789" s="44">
        <v>2960</v>
      </c>
      <c r="K789" s="45">
        <v>0.25</v>
      </c>
      <c r="L789" s="46">
        <f t="shared" si="116"/>
        <v>740</v>
      </c>
      <c r="M789" s="47">
        <f t="shared" si="117"/>
        <v>2220</v>
      </c>
      <c r="N789" s="48">
        <v>0.16</v>
      </c>
      <c r="O789" s="49">
        <f t="shared" si="119"/>
        <v>355.2</v>
      </c>
      <c r="P789" s="50">
        <f t="shared" si="120"/>
        <v>2575.1999999999998</v>
      </c>
      <c r="Q789" s="23"/>
      <c r="R789" s="60"/>
      <c r="S789" s="61"/>
      <c r="T789" s="62">
        <f t="shared" si="122"/>
        <v>0</v>
      </c>
      <c r="U789" s="46">
        <f t="shared" si="122"/>
        <v>0</v>
      </c>
      <c r="V789" s="63">
        <f t="shared" si="112"/>
        <v>0</v>
      </c>
      <c r="W789" s="49">
        <f t="shared" si="118"/>
        <v>0</v>
      </c>
      <c r="X789" s="50">
        <f t="shared" si="121"/>
        <v>0</v>
      </c>
      <c r="Y789"/>
      <c r="Z789"/>
      <c r="AA789"/>
    </row>
    <row r="790" spans="1:27" s="51" customFormat="1" ht="18.600000000000001" hidden="1" customHeight="1" x14ac:dyDescent="0.25">
      <c r="A790" s="80" t="s">
        <v>16</v>
      </c>
      <c r="B790" s="20" t="s">
        <v>1933</v>
      </c>
      <c r="C790" s="21" t="s">
        <v>1934</v>
      </c>
      <c r="D790" s="20" t="s">
        <v>1956</v>
      </c>
      <c r="E790" s="22" t="s">
        <v>1957</v>
      </c>
      <c r="F790" s="22" t="s">
        <v>1937</v>
      </c>
      <c r="G790" s="22" t="s">
        <v>1938</v>
      </c>
      <c r="H790" s="83" t="s">
        <v>1958</v>
      </c>
      <c r="I790" s="23" t="s">
        <v>24</v>
      </c>
      <c r="J790" s="24">
        <v>1510</v>
      </c>
      <c r="K790" s="25">
        <v>0.25</v>
      </c>
      <c r="L790" s="26">
        <f t="shared" si="116"/>
        <v>377.5</v>
      </c>
      <c r="M790" s="27">
        <f t="shared" si="117"/>
        <v>1132.5</v>
      </c>
      <c r="N790" s="28">
        <v>0.16</v>
      </c>
      <c r="O790" s="29">
        <f t="shared" si="119"/>
        <v>181.20000000000002</v>
      </c>
      <c r="P790" s="30">
        <f t="shared" si="120"/>
        <v>1313.7</v>
      </c>
      <c r="Q790" s="23"/>
      <c r="R790" s="52"/>
      <c r="S790" s="53"/>
      <c r="T790" s="54">
        <f t="shared" si="122"/>
        <v>0</v>
      </c>
      <c r="U790" s="26">
        <f t="shared" si="122"/>
        <v>0</v>
      </c>
      <c r="V790" s="55">
        <f t="shared" si="112"/>
        <v>0</v>
      </c>
      <c r="W790" s="29">
        <f t="shared" si="118"/>
        <v>0</v>
      </c>
      <c r="X790" s="30">
        <f t="shared" si="121"/>
        <v>0</v>
      </c>
      <c r="Y790"/>
      <c r="Z790"/>
      <c r="AA790"/>
    </row>
    <row r="791" spans="1:27" s="51" customFormat="1" ht="18.600000000000001" hidden="1" customHeight="1" x14ac:dyDescent="0.25">
      <c r="A791" s="81" t="s">
        <v>16</v>
      </c>
      <c r="B791" s="31" t="s">
        <v>1933</v>
      </c>
      <c r="C791" s="32" t="s">
        <v>1934</v>
      </c>
      <c r="D791" s="31" t="s">
        <v>1959</v>
      </c>
      <c r="E791" s="33" t="s">
        <v>1960</v>
      </c>
      <c r="F791" s="33" t="s">
        <v>1937</v>
      </c>
      <c r="G791" s="33" t="s">
        <v>1938</v>
      </c>
      <c r="H791" s="84" t="s">
        <v>1961</v>
      </c>
      <c r="I791" s="23" t="s">
        <v>24</v>
      </c>
      <c r="J791" s="34">
        <v>1510</v>
      </c>
      <c r="K791" s="35">
        <v>0.25</v>
      </c>
      <c r="L791" s="36">
        <f t="shared" si="116"/>
        <v>377.5</v>
      </c>
      <c r="M791" s="37">
        <f t="shared" si="117"/>
        <v>1132.5</v>
      </c>
      <c r="N791" s="38">
        <v>0.16</v>
      </c>
      <c r="O791" s="39">
        <f t="shared" si="119"/>
        <v>181.20000000000002</v>
      </c>
      <c r="P791" s="40">
        <f t="shared" si="120"/>
        <v>1313.7</v>
      </c>
      <c r="Q791" s="23"/>
      <c r="R791" s="56"/>
      <c r="S791" s="57"/>
      <c r="T791" s="58">
        <f t="shared" si="122"/>
        <v>0</v>
      </c>
      <c r="U791" s="36">
        <f t="shared" si="122"/>
        <v>0</v>
      </c>
      <c r="V791" s="59">
        <f t="shared" si="112"/>
        <v>0</v>
      </c>
      <c r="W791" s="39">
        <f t="shared" si="118"/>
        <v>0</v>
      </c>
      <c r="X791" s="40">
        <f t="shared" si="121"/>
        <v>0</v>
      </c>
      <c r="Y791"/>
      <c r="Z791"/>
      <c r="AA791"/>
    </row>
    <row r="792" spans="1:27" s="51" customFormat="1" ht="18.600000000000001" hidden="1" customHeight="1" x14ac:dyDescent="0.25">
      <c r="A792" s="82" t="s">
        <v>16</v>
      </c>
      <c r="B792" s="41" t="s">
        <v>1933</v>
      </c>
      <c r="C792" s="42" t="s">
        <v>1934</v>
      </c>
      <c r="D792" s="41" t="s">
        <v>1962</v>
      </c>
      <c r="E792" s="43" t="s">
        <v>1963</v>
      </c>
      <c r="F792" s="43" t="s">
        <v>1937</v>
      </c>
      <c r="G792" s="43" t="s">
        <v>1938</v>
      </c>
      <c r="H792" s="85" t="s">
        <v>1964</v>
      </c>
      <c r="I792" s="23" t="s">
        <v>24</v>
      </c>
      <c r="J792" s="44">
        <v>1510</v>
      </c>
      <c r="K792" s="45">
        <v>0.25</v>
      </c>
      <c r="L792" s="46">
        <f t="shared" si="116"/>
        <v>377.5</v>
      </c>
      <c r="M792" s="47">
        <f t="shared" si="117"/>
        <v>1132.5</v>
      </c>
      <c r="N792" s="48">
        <v>0.16</v>
      </c>
      <c r="O792" s="49">
        <f t="shared" si="119"/>
        <v>181.20000000000002</v>
      </c>
      <c r="P792" s="50">
        <f t="shared" si="120"/>
        <v>1313.7</v>
      </c>
      <c r="Q792" s="23"/>
      <c r="R792" s="60"/>
      <c r="S792" s="61"/>
      <c r="T792" s="62">
        <f t="shared" si="122"/>
        <v>0</v>
      </c>
      <c r="U792" s="46">
        <f t="shared" si="122"/>
        <v>0</v>
      </c>
      <c r="V792" s="63">
        <f t="shared" si="112"/>
        <v>0</v>
      </c>
      <c r="W792" s="49">
        <f t="shared" si="118"/>
        <v>0</v>
      </c>
      <c r="X792" s="50">
        <f t="shared" si="121"/>
        <v>0</v>
      </c>
      <c r="Y792"/>
      <c r="Z792"/>
      <c r="AA792"/>
    </row>
    <row r="793" spans="1:27" s="51" customFormat="1" ht="18.600000000000001" hidden="1" customHeight="1" x14ac:dyDescent="0.25">
      <c r="A793" s="80" t="s">
        <v>16</v>
      </c>
      <c r="B793" s="20" t="s">
        <v>1933</v>
      </c>
      <c r="C793" s="21" t="s">
        <v>1934</v>
      </c>
      <c r="D793" s="20" t="s">
        <v>1965</v>
      </c>
      <c r="E793" s="22" t="s">
        <v>1966</v>
      </c>
      <c r="F793" s="22" t="s">
        <v>1937</v>
      </c>
      <c r="G793" s="22" t="s">
        <v>1938</v>
      </c>
      <c r="H793" s="83" t="s">
        <v>1967</v>
      </c>
      <c r="I793" s="23" t="s">
        <v>24</v>
      </c>
      <c r="J793" s="24">
        <v>1510</v>
      </c>
      <c r="K793" s="25">
        <v>0.25</v>
      </c>
      <c r="L793" s="26">
        <f t="shared" si="116"/>
        <v>377.5</v>
      </c>
      <c r="M793" s="27">
        <f t="shared" si="117"/>
        <v>1132.5</v>
      </c>
      <c r="N793" s="28">
        <v>0.16</v>
      </c>
      <c r="O793" s="29">
        <f t="shared" si="119"/>
        <v>181.20000000000002</v>
      </c>
      <c r="P793" s="30">
        <f t="shared" si="120"/>
        <v>1313.7</v>
      </c>
      <c r="Q793" s="23"/>
      <c r="R793" s="52"/>
      <c r="S793" s="53"/>
      <c r="T793" s="54">
        <f t="shared" si="122"/>
        <v>0</v>
      </c>
      <c r="U793" s="26">
        <f t="shared" si="122"/>
        <v>0</v>
      </c>
      <c r="V793" s="55">
        <f t="shared" si="112"/>
        <v>0</v>
      </c>
      <c r="W793" s="29">
        <f t="shared" si="118"/>
        <v>0</v>
      </c>
      <c r="X793" s="30">
        <f t="shared" si="121"/>
        <v>0</v>
      </c>
      <c r="Y793"/>
      <c r="Z793"/>
      <c r="AA793"/>
    </row>
    <row r="794" spans="1:27" s="51" customFormat="1" ht="18.600000000000001" hidden="1" customHeight="1" x14ac:dyDescent="0.25">
      <c r="A794" s="81" t="s">
        <v>16</v>
      </c>
      <c r="B794" s="31" t="s">
        <v>1933</v>
      </c>
      <c r="C794" s="32" t="s">
        <v>1934</v>
      </c>
      <c r="D794" s="31" t="s">
        <v>1968</v>
      </c>
      <c r="E794" s="33" t="s">
        <v>1969</v>
      </c>
      <c r="F794" s="33" t="s">
        <v>1937</v>
      </c>
      <c r="G794" s="33" t="s">
        <v>1938</v>
      </c>
      <c r="H794" s="84" t="s">
        <v>1970</v>
      </c>
      <c r="I794" s="23" t="s">
        <v>24</v>
      </c>
      <c r="J794" s="34">
        <v>1510</v>
      </c>
      <c r="K794" s="35">
        <v>0.25</v>
      </c>
      <c r="L794" s="36">
        <f t="shared" si="116"/>
        <v>377.5</v>
      </c>
      <c r="M794" s="37">
        <f t="shared" si="117"/>
        <v>1132.5</v>
      </c>
      <c r="N794" s="38">
        <v>0.16</v>
      </c>
      <c r="O794" s="39">
        <f t="shared" si="119"/>
        <v>181.20000000000002</v>
      </c>
      <c r="P794" s="40">
        <f t="shared" si="120"/>
        <v>1313.7</v>
      </c>
      <c r="Q794" s="23"/>
      <c r="R794" s="56"/>
      <c r="S794" s="57"/>
      <c r="T794" s="58">
        <f t="shared" si="122"/>
        <v>0</v>
      </c>
      <c r="U794" s="36">
        <f t="shared" si="122"/>
        <v>0</v>
      </c>
      <c r="V794" s="59">
        <f t="shared" ref="V794:V857" si="123">+T794-U794</f>
        <v>0</v>
      </c>
      <c r="W794" s="39">
        <f t="shared" si="118"/>
        <v>0</v>
      </c>
      <c r="X794" s="40">
        <f t="shared" si="121"/>
        <v>0</v>
      </c>
      <c r="Y794"/>
      <c r="Z794"/>
      <c r="AA794"/>
    </row>
    <row r="795" spans="1:27" s="51" customFormat="1" ht="18.600000000000001" hidden="1" customHeight="1" x14ac:dyDescent="0.25">
      <c r="A795" s="82" t="s">
        <v>16</v>
      </c>
      <c r="B795" s="41" t="s">
        <v>1933</v>
      </c>
      <c r="C795" s="42" t="s">
        <v>1934</v>
      </c>
      <c r="D795" s="41" t="s">
        <v>1971</v>
      </c>
      <c r="E795" s="43" t="s">
        <v>1972</v>
      </c>
      <c r="F795" s="43" t="s">
        <v>1937</v>
      </c>
      <c r="G795" s="43" t="s">
        <v>1938</v>
      </c>
      <c r="H795" s="85" t="s">
        <v>1973</v>
      </c>
      <c r="I795" s="23" t="s">
        <v>24</v>
      </c>
      <c r="J795" s="44">
        <v>1510</v>
      </c>
      <c r="K795" s="45">
        <v>0.25</v>
      </c>
      <c r="L795" s="46">
        <f t="shared" si="116"/>
        <v>377.5</v>
      </c>
      <c r="M795" s="47">
        <f t="shared" si="117"/>
        <v>1132.5</v>
      </c>
      <c r="N795" s="48">
        <v>0.16</v>
      </c>
      <c r="O795" s="49">
        <f t="shared" si="119"/>
        <v>181.20000000000002</v>
      </c>
      <c r="P795" s="50">
        <f t="shared" si="120"/>
        <v>1313.7</v>
      </c>
      <c r="Q795" s="23"/>
      <c r="R795" s="60"/>
      <c r="S795" s="61"/>
      <c r="T795" s="62">
        <f t="shared" si="122"/>
        <v>0</v>
      </c>
      <c r="U795" s="46">
        <f t="shared" si="122"/>
        <v>0</v>
      </c>
      <c r="V795" s="63">
        <f t="shared" si="123"/>
        <v>0</v>
      </c>
      <c r="W795" s="49">
        <f t="shared" si="118"/>
        <v>0</v>
      </c>
      <c r="X795" s="50">
        <f t="shared" si="121"/>
        <v>0</v>
      </c>
      <c r="Y795"/>
      <c r="Z795"/>
      <c r="AA795"/>
    </row>
    <row r="796" spans="1:27" s="51" customFormat="1" ht="18.600000000000001" hidden="1" customHeight="1" x14ac:dyDescent="0.25">
      <c r="A796" s="80" t="s">
        <v>16</v>
      </c>
      <c r="B796" s="20" t="s">
        <v>1933</v>
      </c>
      <c r="C796" s="21" t="s">
        <v>1934</v>
      </c>
      <c r="D796" s="20" t="s">
        <v>1974</v>
      </c>
      <c r="E796" s="22" t="s">
        <v>1975</v>
      </c>
      <c r="F796" s="22" t="s">
        <v>1937</v>
      </c>
      <c r="G796" s="22" t="s">
        <v>1938</v>
      </c>
      <c r="H796" s="83" t="s">
        <v>1976</v>
      </c>
      <c r="I796" s="23" t="s">
        <v>24</v>
      </c>
      <c r="J796" s="24">
        <v>1510</v>
      </c>
      <c r="K796" s="25">
        <v>0.25</v>
      </c>
      <c r="L796" s="26">
        <f t="shared" si="116"/>
        <v>377.5</v>
      </c>
      <c r="M796" s="27">
        <f t="shared" si="117"/>
        <v>1132.5</v>
      </c>
      <c r="N796" s="28">
        <v>0.16</v>
      </c>
      <c r="O796" s="29">
        <f t="shared" si="119"/>
        <v>181.20000000000002</v>
      </c>
      <c r="P796" s="30">
        <f t="shared" si="120"/>
        <v>1313.7</v>
      </c>
      <c r="Q796" s="23"/>
      <c r="R796" s="52"/>
      <c r="S796" s="53"/>
      <c r="T796" s="54">
        <f t="shared" si="122"/>
        <v>0</v>
      </c>
      <c r="U796" s="26">
        <f t="shared" si="122"/>
        <v>0</v>
      </c>
      <c r="V796" s="55">
        <f t="shared" si="123"/>
        <v>0</v>
      </c>
      <c r="W796" s="29">
        <f t="shared" si="118"/>
        <v>0</v>
      </c>
      <c r="X796" s="30">
        <f t="shared" si="121"/>
        <v>0</v>
      </c>
      <c r="Y796"/>
      <c r="Z796"/>
      <c r="AA796"/>
    </row>
    <row r="797" spans="1:27" s="51" customFormat="1" ht="18.600000000000001" hidden="1" customHeight="1" x14ac:dyDescent="0.25">
      <c r="A797" s="81" t="s">
        <v>16</v>
      </c>
      <c r="B797" s="31" t="s">
        <v>1933</v>
      </c>
      <c r="C797" s="32" t="s">
        <v>1934</v>
      </c>
      <c r="D797" s="31" t="s">
        <v>1977</v>
      </c>
      <c r="E797" s="33" t="s">
        <v>1978</v>
      </c>
      <c r="F797" s="33" t="s">
        <v>1937</v>
      </c>
      <c r="G797" s="33" t="s">
        <v>1938</v>
      </c>
      <c r="H797" s="84" t="s">
        <v>1979</v>
      </c>
      <c r="I797" s="23" t="s">
        <v>24</v>
      </c>
      <c r="J797" s="34">
        <v>1510</v>
      </c>
      <c r="K797" s="35">
        <v>0.25</v>
      </c>
      <c r="L797" s="36">
        <f t="shared" si="116"/>
        <v>377.5</v>
      </c>
      <c r="M797" s="37">
        <f t="shared" si="117"/>
        <v>1132.5</v>
      </c>
      <c r="N797" s="38">
        <v>0.16</v>
      </c>
      <c r="O797" s="39">
        <f t="shared" si="119"/>
        <v>181.20000000000002</v>
      </c>
      <c r="P797" s="40">
        <f t="shared" si="120"/>
        <v>1313.7</v>
      </c>
      <c r="Q797" s="23"/>
      <c r="R797" s="56"/>
      <c r="S797" s="57"/>
      <c r="T797" s="58">
        <f t="shared" si="122"/>
        <v>0</v>
      </c>
      <c r="U797" s="36">
        <f t="shared" si="122"/>
        <v>0</v>
      </c>
      <c r="V797" s="59">
        <f t="shared" si="123"/>
        <v>0</v>
      </c>
      <c r="W797" s="39">
        <f t="shared" si="118"/>
        <v>0</v>
      </c>
      <c r="X797" s="40">
        <f t="shared" si="121"/>
        <v>0</v>
      </c>
      <c r="Y797"/>
      <c r="Z797"/>
      <c r="AA797"/>
    </row>
    <row r="798" spans="1:27" s="51" customFormat="1" ht="18.600000000000001" hidden="1" customHeight="1" x14ac:dyDescent="0.25">
      <c r="A798" s="82" t="s">
        <v>16</v>
      </c>
      <c r="B798" s="41" t="s">
        <v>1933</v>
      </c>
      <c r="C798" s="42" t="s">
        <v>1934</v>
      </c>
      <c r="D798" s="41" t="s">
        <v>1980</v>
      </c>
      <c r="E798" s="43" t="s">
        <v>1981</v>
      </c>
      <c r="F798" s="43" t="s">
        <v>1937</v>
      </c>
      <c r="G798" s="43" t="s">
        <v>1938</v>
      </c>
      <c r="H798" s="85" t="s">
        <v>1982</v>
      </c>
      <c r="I798" s="23" t="s">
        <v>24</v>
      </c>
      <c r="J798" s="44">
        <v>1510</v>
      </c>
      <c r="K798" s="45">
        <v>0.25</v>
      </c>
      <c r="L798" s="46">
        <f t="shared" si="116"/>
        <v>377.5</v>
      </c>
      <c r="M798" s="47">
        <f t="shared" si="117"/>
        <v>1132.5</v>
      </c>
      <c r="N798" s="48">
        <v>0.16</v>
      </c>
      <c r="O798" s="49">
        <f t="shared" si="119"/>
        <v>181.20000000000002</v>
      </c>
      <c r="P798" s="50">
        <f t="shared" si="120"/>
        <v>1313.7</v>
      </c>
      <c r="Q798" s="23"/>
      <c r="R798" s="60"/>
      <c r="S798" s="61"/>
      <c r="T798" s="62">
        <f t="shared" si="122"/>
        <v>0</v>
      </c>
      <c r="U798" s="46">
        <f t="shared" si="122"/>
        <v>0</v>
      </c>
      <c r="V798" s="63">
        <f t="shared" si="123"/>
        <v>0</v>
      </c>
      <c r="W798" s="49">
        <f t="shared" si="118"/>
        <v>0</v>
      </c>
      <c r="X798" s="50">
        <f t="shared" si="121"/>
        <v>0</v>
      </c>
      <c r="Y798"/>
      <c r="Z798"/>
      <c r="AA798"/>
    </row>
    <row r="799" spans="1:27" s="51" customFormat="1" ht="18.600000000000001" hidden="1" customHeight="1" x14ac:dyDescent="0.25">
      <c r="A799" s="80" t="s">
        <v>16</v>
      </c>
      <c r="B799" s="20" t="s">
        <v>1933</v>
      </c>
      <c r="C799" s="21" t="s">
        <v>1934</v>
      </c>
      <c r="D799" s="20" t="s">
        <v>1983</v>
      </c>
      <c r="E799" s="22" t="s">
        <v>1984</v>
      </c>
      <c r="F799" s="22" t="s">
        <v>1937</v>
      </c>
      <c r="G799" s="22" t="s">
        <v>1938</v>
      </c>
      <c r="H799" s="83" t="s">
        <v>1985</v>
      </c>
      <c r="I799" s="23" t="s">
        <v>24</v>
      </c>
      <c r="J799" s="24">
        <v>1510</v>
      </c>
      <c r="K799" s="25">
        <v>0.25</v>
      </c>
      <c r="L799" s="26">
        <f t="shared" si="116"/>
        <v>377.5</v>
      </c>
      <c r="M799" s="27">
        <f t="shared" si="117"/>
        <v>1132.5</v>
      </c>
      <c r="N799" s="28">
        <v>0.16</v>
      </c>
      <c r="O799" s="29">
        <f t="shared" si="119"/>
        <v>181.20000000000002</v>
      </c>
      <c r="P799" s="30">
        <f t="shared" si="120"/>
        <v>1313.7</v>
      </c>
      <c r="Q799" s="23"/>
      <c r="R799" s="52"/>
      <c r="S799" s="53"/>
      <c r="T799" s="54">
        <f t="shared" si="122"/>
        <v>0</v>
      </c>
      <c r="U799" s="26">
        <f t="shared" si="122"/>
        <v>0</v>
      </c>
      <c r="V799" s="55">
        <f t="shared" si="123"/>
        <v>0</v>
      </c>
      <c r="W799" s="29">
        <f t="shared" si="118"/>
        <v>0</v>
      </c>
      <c r="X799" s="30">
        <f t="shared" si="121"/>
        <v>0</v>
      </c>
      <c r="Y799"/>
      <c r="Z799"/>
      <c r="AA799"/>
    </row>
    <row r="800" spans="1:27" s="51" customFormat="1" ht="18.600000000000001" hidden="1" customHeight="1" x14ac:dyDescent="0.25">
      <c r="A800" s="81" t="s">
        <v>16</v>
      </c>
      <c r="B800" s="31" t="s">
        <v>1933</v>
      </c>
      <c r="C800" s="32" t="s">
        <v>1934</v>
      </c>
      <c r="D800" s="31" t="s">
        <v>1986</v>
      </c>
      <c r="E800" s="33" t="s">
        <v>1987</v>
      </c>
      <c r="F800" s="33" t="s">
        <v>1937</v>
      </c>
      <c r="G800" s="33" t="s">
        <v>1938</v>
      </c>
      <c r="H800" s="84" t="s">
        <v>1988</v>
      </c>
      <c r="I800" s="23" t="s">
        <v>24</v>
      </c>
      <c r="J800" s="34">
        <v>1510</v>
      </c>
      <c r="K800" s="35">
        <v>0.25</v>
      </c>
      <c r="L800" s="36">
        <f t="shared" si="116"/>
        <v>377.5</v>
      </c>
      <c r="M800" s="37">
        <f t="shared" si="117"/>
        <v>1132.5</v>
      </c>
      <c r="N800" s="38">
        <v>0.16</v>
      </c>
      <c r="O800" s="39">
        <f t="shared" si="119"/>
        <v>181.20000000000002</v>
      </c>
      <c r="P800" s="40">
        <f t="shared" si="120"/>
        <v>1313.7</v>
      </c>
      <c r="Q800" s="23"/>
      <c r="R800" s="56"/>
      <c r="S800" s="57"/>
      <c r="T800" s="58">
        <f t="shared" si="122"/>
        <v>0</v>
      </c>
      <c r="U800" s="36">
        <f t="shared" si="122"/>
        <v>0</v>
      </c>
      <c r="V800" s="59">
        <f t="shared" si="123"/>
        <v>0</v>
      </c>
      <c r="W800" s="39">
        <f t="shared" si="118"/>
        <v>0</v>
      </c>
      <c r="X800" s="40">
        <f t="shared" si="121"/>
        <v>0</v>
      </c>
      <c r="Y800"/>
      <c r="Z800"/>
      <c r="AA800"/>
    </row>
    <row r="801" spans="1:27" s="51" customFormat="1" ht="18.600000000000001" hidden="1" customHeight="1" x14ac:dyDescent="0.25">
      <c r="A801" s="82" t="s">
        <v>16</v>
      </c>
      <c r="B801" s="41" t="s">
        <v>1933</v>
      </c>
      <c r="C801" s="42" t="s">
        <v>1934</v>
      </c>
      <c r="D801" s="41" t="s">
        <v>1989</v>
      </c>
      <c r="E801" s="43" t="s">
        <v>1990</v>
      </c>
      <c r="F801" s="43" t="s">
        <v>1937</v>
      </c>
      <c r="G801" s="43" t="s">
        <v>1938</v>
      </c>
      <c r="H801" s="85" t="s">
        <v>1991</v>
      </c>
      <c r="I801" s="23" t="s">
        <v>24</v>
      </c>
      <c r="J801" s="44">
        <v>2270</v>
      </c>
      <c r="K801" s="45">
        <v>0.25</v>
      </c>
      <c r="L801" s="46">
        <f t="shared" si="116"/>
        <v>567.5</v>
      </c>
      <c r="M801" s="47">
        <f t="shared" si="117"/>
        <v>1702.5</v>
      </c>
      <c r="N801" s="48">
        <v>0.16</v>
      </c>
      <c r="O801" s="49">
        <f t="shared" si="119"/>
        <v>272.39999999999998</v>
      </c>
      <c r="P801" s="50">
        <f t="shared" si="120"/>
        <v>1974.9</v>
      </c>
      <c r="Q801" s="23"/>
      <c r="R801" s="60"/>
      <c r="S801" s="61"/>
      <c r="T801" s="62">
        <f t="shared" si="122"/>
        <v>0</v>
      </c>
      <c r="U801" s="46">
        <f t="shared" si="122"/>
        <v>0</v>
      </c>
      <c r="V801" s="63">
        <f t="shared" si="123"/>
        <v>0</v>
      </c>
      <c r="W801" s="49">
        <f t="shared" si="118"/>
        <v>0</v>
      </c>
      <c r="X801" s="50">
        <f t="shared" si="121"/>
        <v>0</v>
      </c>
      <c r="Y801"/>
      <c r="Z801"/>
      <c r="AA801"/>
    </row>
    <row r="802" spans="1:27" s="51" customFormat="1" ht="18.600000000000001" hidden="1" customHeight="1" x14ac:dyDescent="0.25">
      <c r="A802" s="80" t="s">
        <v>16</v>
      </c>
      <c r="B802" s="20" t="s">
        <v>1933</v>
      </c>
      <c r="C802" s="21" t="s">
        <v>1934</v>
      </c>
      <c r="D802" s="20">
        <v>8435635305411</v>
      </c>
      <c r="E802" s="22" t="s">
        <v>1992</v>
      </c>
      <c r="F802" s="22" t="s">
        <v>1937</v>
      </c>
      <c r="G802" s="22" t="s">
        <v>1938</v>
      </c>
      <c r="H802" s="83" t="s">
        <v>1993</v>
      </c>
      <c r="I802" s="23" t="s">
        <v>24</v>
      </c>
      <c r="J802" s="24">
        <v>2120</v>
      </c>
      <c r="K802" s="25">
        <v>0.25</v>
      </c>
      <c r="L802" s="26">
        <f t="shared" si="116"/>
        <v>530</v>
      </c>
      <c r="M802" s="27">
        <f t="shared" si="117"/>
        <v>1590</v>
      </c>
      <c r="N802" s="28">
        <v>0.16</v>
      </c>
      <c r="O802" s="29">
        <f t="shared" si="119"/>
        <v>254.4</v>
      </c>
      <c r="P802" s="30">
        <f t="shared" si="120"/>
        <v>1844.4</v>
      </c>
      <c r="Q802" s="23"/>
      <c r="R802" s="52"/>
      <c r="S802" s="53"/>
      <c r="T802" s="54">
        <f t="shared" ref="T802:U865" si="124">+S802*J802</f>
        <v>0</v>
      </c>
      <c r="U802" s="26">
        <f t="shared" si="124"/>
        <v>0</v>
      </c>
      <c r="V802" s="55">
        <f t="shared" si="123"/>
        <v>0</v>
      </c>
      <c r="W802" s="29">
        <f t="shared" si="118"/>
        <v>0</v>
      </c>
      <c r="X802" s="30">
        <f t="shared" si="121"/>
        <v>0</v>
      </c>
      <c r="Y802"/>
      <c r="Z802"/>
      <c r="AA802"/>
    </row>
    <row r="803" spans="1:27" s="51" customFormat="1" ht="18.600000000000001" hidden="1" customHeight="1" x14ac:dyDescent="0.25">
      <c r="A803" s="81" t="s">
        <v>16</v>
      </c>
      <c r="B803" s="31" t="s">
        <v>1933</v>
      </c>
      <c r="C803" s="32" t="s">
        <v>1934</v>
      </c>
      <c r="D803" s="31" t="s">
        <v>1994</v>
      </c>
      <c r="E803" s="33" t="s">
        <v>1995</v>
      </c>
      <c r="F803" s="33" t="s">
        <v>1937</v>
      </c>
      <c r="G803" s="33" t="s">
        <v>1938</v>
      </c>
      <c r="H803" s="84" t="s">
        <v>1996</v>
      </c>
      <c r="I803" s="23" t="s">
        <v>24</v>
      </c>
      <c r="J803" s="34">
        <v>1510</v>
      </c>
      <c r="K803" s="35">
        <v>0.25</v>
      </c>
      <c r="L803" s="36">
        <f t="shared" si="116"/>
        <v>377.5</v>
      </c>
      <c r="M803" s="37">
        <f t="shared" si="117"/>
        <v>1132.5</v>
      </c>
      <c r="N803" s="38">
        <v>0.16</v>
      </c>
      <c r="O803" s="39">
        <f t="shared" si="119"/>
        <v>181.20000000000002</v>
      </c>
      <c r="P803" s="40">
        <f t="shared" si="120"/>
        <v>1313.7</v>
      </c>
      <c r="Q803" s="23"/>
      <c r="R803" s="56"/>
      <c r="S803" s="57"/>
      <c r="T803" s="58">
        <f t="shared" si="124"/>
        <v>0</v>
      </c>
      <c r="U803" s="36">
        <f t="shared" si="124"/>
        <v>0</v>
      </c>
      <c r="V803" s="59">
        <f t="shared" si="123"/>
        <v>0</v>
      </c>
      <c r="W803" s="39">
        <f t="shared" si="118"/>
        <v>0</v>
      </c>
      <c r="X803" s="40">
        <f t="shared" si="121"/>
        <v>0</v>
      </c>
      <c r="Y803"/>
      <c r="Z803"/>
      <c r="AA803"/>
    </row>
    <row r="804" spans="1:27" s="51" customFormat="1" ht="18.600000000000001" hidden="1" customHeight="1" x14ac:dyDescent="0.25">
      <c r="A804" s="82" t="s">
        <v>16</v>
      </c>
      <c r="B804" s="41" t="s">
        <v>1933</v>
      </c>
      <c r="C804" s="42" t="s">
        <v>1934</v>
      </c>
      <c r="D804" s="41" t="s">
        <v>1997</v>
      </c>
      <c r="E804" s="43" t="s">
        <v>1998</v>
      </c>
      <c r="F804" s="43" t="s">
        <v>1937</v>
      </c>
      <c r="G804" s="43" t="s">
        <v>1938</v>
      </c>
      <c r="H804" s="85" t="s">
        <v>1999</v>
      </c>
      <c r="I804" s="23" t="s">
        <v>24</v>
      </c>
      <c r="J804" s="44">
        <v>1510</v>
      </c>
      <c r="K804" s="45">
        <v>0.25</v>
      </c>
      <c r="L804" s="46">
        <f t="shared" si="116"/>
        <v>377.5</v>
      </c>
      <c r="M804" s="47">
        <f t="shared" si="117"/>
        <v>1132.5</v>
      </c>
      <c r="N804" s="48">
        <v>0.16</v>
      </c>
      <c r="O804" s="49">
        <f t="shared" si="119"/>
        <v>181.20000000000002</v>
      </c>
      <c r="P804" s="50">
        <f t="shared" si="120"/>
        <v>1313.7</v>
      </c>
      <c r="Q804" s="23"/>
      <c r="R804" s="60"/>
      <c r="S804" s="61"/>
      <c r="T804" s="62">
        <f t="shared" si="124"/>
        <v>0</v>
      </c>
      <c r="U804" s="46">
        <f t="shared" si="124"/>
        <v>0</v>
      </c>
      <c r="V804" s="63">
        <f t="shared" si="123"/>
        <v>0</v>
      </c>
      <c r="W804" s="49">
        <f t="shared" si="118"/>
        <v>0</v>
      </c>
      <c r="X804" s="50">
        <f t="shared" si="121"/>
        <v>0</v>
      </c>
      <c r="Y804"/>
      <c r="Z804"/>
      <c r="AA804"/>
    </row>
    <row r="805" spans="1:27" s="51" customFormat="1" ht="18.600000000000001" hidden="1" customHeight="1" x14ac:dyDescent="0.25">
      <c r="A805" s="80" t="s">
        <v>16</v>
      </c>
      <c r="B805" s="20" t="s">
        <v>1933</v>
      </c>
      <c r="C805" s="21" t="s">
        <v>1934</v>
      </c>
      <c r="D805" s="20" t="s">
        <v>2000</v>
      </c>
      <c r="E805" s="22" t="s">
        <v>2001</v>
      </c>
      <c r="F805" s="22" t="s">
        <v>1937</v>
      </c>
      <c r="G805" s="22" t="s">
        <v>1938</v>
      </c>
      <c r="H805" s="83" t="s">
        <v>2002</v>
      </c>
      <c r="I805" s="23" t="s">
        <v>24</v>
      </c>
      <c r="J805" s="24">
        <v>1510</v>
      </c>
      <c r="K805" s="25">
        <v>0.25</v>
      </c>
      <c r="L805" s="26">
        <f t="shared" si="116"/>
        <v>377.5</v>
      </c>
      <c r="M805" s="27">
        <f t="shared" si="117"/>
        <v>1132.5</v>
      </c>
      <c r="N805" s="28">
        <v>0.16</v>
      </c>
      <c r="O805" s="29">
        <f t="shared" si="119"/>
        <v>181.20000000000002</v>
      </c>
      <c r="P805" s="30">
        <f t="shared" si="120"/>
        <v>1313.7</v>
      </c>
      <c r="Q805" s="23"/>
      <c r="R805" s="52"/>
      <c r="S805" s="53"/>
      <c r="T805" s="54">
        <f t="shared" si="124"/>
        <v>0</v>
      </c>
      <c r="U805" s="26">
        <f t="shared" si="124"/>
        <v>0</v>
      </c>
      <c r="V805" s="55">
        <f t="shared" si="123"/>
        <v>0</v>
      </c>
      <c r="W805" s="29">
        <f t="shared" si="118"/>
        <v>0</v>
      </c>
      <c r="X805" s="30">
        <f t="shared" si="121"/>
        <v>0</v>
      </c>
      <c r="Y805"/>
      <c r="Z805"/>
      <c r="AA805"/>
    </row>
    <row r="806" spans="1:27" s="51" customFormat="1" ht="18.600000000000001" hidden="1" customHeight="1" x14ac:dyDescent="0.25">
      <c r="A806" s="81" t="s">
        <v>16</v>
      </c>
      <c r="B806" s="31" t="s">
        <v>1933</v>
      </c>
      <c r="C806" s="32" t="s">
        <v>1934</v>
      </c>
      <c r="D806" s="31" t="s">
        <v>2003</v>
      </c>
      <c r="E806" s="33" t="s">
        <v>2004</v>
      </c>
      <c r="F806" s="33" t="s">
        <v>1937</v>
      </c>
      <c r="G806" s="33" t="s">
        <v>1938</v>
      </c>
      <c r="H806" s="84" t="s">
        <v>2005</v>
      </c>
      <c r="I806" s="23" t="s">
        <v>24</v>
      </c>
      <c r="J806" s="34">
        <v>1510</v>
      </c>
      <c r="K806" s="35">
        <v>0.25</v>
      </c>
      <c r="L806" s="36">
        <f t="shared" si="116"/>
        <v>377.5</v>
      </c>
      <c r="M806" s="37">
        <f t="shared" si="117"/>
        <v>1132.5</v>
      </c>
      <c r="N806" s="38">
        <v>0.16</v>
      </c>
      <c r="O806" s="39">
        <f t="shared" si="119"/>
        <v>181.20000000000002</v>
      </c>
      <c r="P806" s="40">
        <f t="shared" si="120"/>
        <v>1313.7</v>
      </c>
      <c r="Q806" s="23"/>
      <c r="R806" s="56"/>
      <c r="S806" s="57"/>
      <c r="T806" s="58">
        <f t="shared" si="124"/>
        <v>0</v>
      </c>
      <c r="U806" s="36">
        <f t="shared" si="124"/>
        <v>0</v>
      </c>
      <c r="V806" s="59">
        <f t="shared" si="123"/>
        <v>0</v>
      </c>
      <c r="W806" s="39">
        <f t="shared" si="118"/>
        <v>0</v>
      </c>
      <c r="X806" s="40">
        <f t="shared" si="121"/>
        <v>0</v>
      </c>
      <c r="Y806"/>
      <c r="Z806"/>
      <c r="AA806"/>
    </row>
    <row r="807" spans="1:27" s="51" customFormat="1" ht="18.600000000000001" hidden="1" customHeight="1" x14ac:dyDescent="0.25">
      <c r="A807" s="82" t="s">
        <v>16</v>
      </c>
      <c r="B807" s="41" t="s">
        <v>1933</v>
      </c>
      <c r="C807" s="42" t="s">
        <v>1934</v>
      </c>
      <c r="D807" s="41" t="s">
        <v>2006</v>
      </c>
      <c r="E807" s="43" t="s">
        <v>2007</v>
      </c>
      <c r="F807" s="43" t="s">
        <v>1937</v>
      </c>
      <c r="G807" s="43" t="s">
        <v>1938</v>
      </c>
      <c r="H807" s="85" t="s">
        <v>2008</v>
      </c>
      <c r="I807" s="23" t="s">
        <v>24</v>
      </c>
      <c r="J807" s="44">
        <v>1510</v>
      </c>
      <c r="K807" s="45">
        <v>0.25</v>
      </c>
      <c r="L807" s="46">
        <f t="shared" si="116"/>
        <v>377.5</v>
      </c>
      <c r="M807" s="47">
        <f t="shared" si="117"/>
        <v>1132.5</v>
      </c>
      <c r="N807" s="48">
        <v>0.16</v>
      </c>
      <c r="O807" s="49">
        <f t="shared" si="119"/>
        <v>181.20000000000002</v>
      </c>
      <c r="P807" s="50">
        <f t="shared" si="120"/>
        <v>1313.7</v>
      </c>
      <c r="Q807" s="23"/>
      <c r="R807" s="60"/>
      <c r="S807" s="61"/>
      <c r="T807" s="62">
        <f t="shared" si="124"/>
        <v>0</v>
      </c>
      <c r="U807" s="46">
        <f t="shared" si="124"/>
        <v>0</v>
      </c>
      <c r="V807" s="63">
        <f t="shared" si="123"/>
        <v>0</v>
      </c>
      <c r="W807" s="49">
        <f t="shared" si="118"/>
        <v>0</v>
      </c>
      <c r="X807" s="50">
        <f t="shared" si="121"/>
        <v>0</v>
      </c>
      <c r="Y807"/>
      <c r="Z807"/>
      <c r="AA807"/>
    </row>
    <row r="808" spans="1:27" s="51" customFormat="1" ht="18.600000000000001" hidden="1" customHeight="1" x14ac:dyDescent="0.25">
      <c r="A808" s="80" t="s">
        <v>16</v>
      </c>
      <c r="B808" s="20" t="s">
        <v>1933</v>
      </c>
      <c r="C808" s="21" t="s">
        <v>1934</v>
      </c>
      <c r="D808" s="20" t="s">
        <v>2009</v>
      </c>
      <c r="E808" s="22" t="s">
        <v>2010</v>
      </c>
      <c r="F808" s="22" t="s">
        <v>1937</v>
      </c>
      <c r="G808" s="22" t="s">
        <v>1938</v>
      </c>
      <c r="H808" s="83" t="s">
        <v>2011</v>
      </c>
      <c r="I808" s="23" t="s">
        <v>24</v>
      </c>
      <c r="J808" s="24">
        <v>1510</v>
      </c>
      <c r="K808" s="25">
        <v>0.25</v>
      </c>
      <c r="L808" s="26">
        <f t="shared" si="116"/>
        <v>377.5</v>
      </c>
      <c r="M808" s="27">
        <f t="shared" si="117"/>
        <v>1132.5</v>
      </c>
      <c r="N808" s="28">
        <v>0.16</v>
      </c>
      <c r="O808" s="29">
        <f t="shared" si="119"/>
        <v>181.20000000000002</v>
      </c>
      <c r="P808" s="30">
        <f t="shared" si="120"/>
        <v>1313.7</v>
      </c>
      <c r="Q808" s="23"/>
      <c r="R808" s="52"/>
      <c r="S808" s="53"/>
      <c r="T808" s="54">
        <f t="shared" si="124"/>
        <v>0</v>
      </c>
      <c r="U808" s="26">
        <f t="shared" si="124"/>
        <v>0</v>
      </c>
      <c r="V808" s="55">
        <f t="shared" si="123"/>
        <v>0</v>
      </c>
      <c r="W808" s="29">
        <f t="shared" si="118"/>
        <v>0</v>
      </c>
      <c r="X808" s="30">
        <f t="shared" si="121"/>
        <v>0</v>
      </c>
      <c r="Y808"/>
      <c r="Z808"/>
      <c r="AA808"/>
    </row>
    <row r="809" spans="1:27" s="51" customFormat="1" ht="18.600000000000001" hidden="1" customHeight="1" x14ac:dyDescent="0.25">
      <c r="A809" s="81" t="s">
        <v>16</v>
      </c>
      <c r="B809" s="31" t="s">
        <v>1933</v>
      </c>
      <c r="C809" s="32" t="s">
        <v>1934</v>
      </c>
      <c r="D809" s="31" t="s">
        <v>2012</v>
      </c>
      <c r="E809" s="33" t="s">
        <v>2013</v>
      </c>
      <c r="F809" s="33" t="s">
        <v>1937</v>
      </c>
      <c r="G809" s="33" t="s">
        <v>1938</v>
      </c>
      <c r="H809" s="84" t="s">
        <v>2014</v>
      </c>
      <c r="I809" s="23" t="s">
        <v>24</v>
      </c>
      <c r="J809" s="34">
        <v>1510</v>
      </c>
      <c r="K809" s="35">
        <v>0.25</v>
      </c>
      <c r="L809" s="36">
        <f t="shared" si="116"/>
        <v>377.5</v>
      </c>
      <c r="M809" s="37">
        <f t="shared" si="117"/>
        <v>1132.5</v>
      </c>
      <c r="N809" s="38">
        <v>0.16</v>
      </c>
      <c r="O809" s="39">
        <f t="shared" si="119"/>
        <v>181.20000000000002</v>
      </c>
      <c r="P809" s="40">
        <f t="shared" si="120"/>
        <v>1313.7</v>
      </c>
      <c r="Q809" s="23"/>
      <c r="R809" s="56"/>
      <c r="S809" s="57"/>
      <c r="T809" s="58">
        <f t="shared" si="124"/>
        <v>0</v>
      </c>
      <c r="U809" s="36">
        <f t="shared" si="124"/>
        <v>0</v>
      </c>
      <c r="V809" s="59">
        <f t="shared" si="123"/>
        <v>0</v>
      </c>
      <c r="W809" s="39">
        <f t="shared" si="118"/>
        <v>0</v>
      </c>
      <c r="X809" s="40">
        <f t="shared" si="121"/>
        <v>0</v>
      </c>
      <c r="Y809"/>
      <c r="Z809"/>
      <c r="AA809"/>
    </row>
    <row r="810" spans="1:27" s="51" customFormat="1" ht="18.600000000000001" hidden="1" customHeight="1" x14ac:dyDescent="0.25">
      <c r="A810" s="82" t="s">
        <v>16</v>
      </c>
      <c r="B810" s="41" t="s">
        <v>1933</v>
      </c>
      <c r="C810" s="42" t="s">
        <v>1934</v>
      </c>
      <c r="D810" s="41" t="s">
        <v>2015</v>
      </c>
      <c r="E810" s="43" t="s">
        <v>2016</v>
      </c>
      <c r="F810" s="43" t="s">
        <v>1937</v>
      </c>
      <c r="G810" s="43" t="s">
        <v>1938</v>
      </c>
      <c r="H810" s="85" t="s">
        <v>2017</v>
      </c>
      <c r="I810" s="23" t="s">
        <v>24</v>
      </c>
      <c r="J810" s="44">
        <v>1510</v>
      </c>
      <c r="K810" s="45">
        <v>0.25</v>
      </c>
      <c r="L810" s="46">
        <f t="shared" si="116"/>
        <v>377.5</v>
      </c>
      <c r="M810" s="47">
        <f t="shared" si="117"/>
        <v>1132.5</v>
      </c>
      <c r="N810" s="48">
        <v>0.16</v>
      </c>
      <c r="O810" s="49">
        <f t="shared" si="119"/>
        <v>181.20000000000002</v>
      </c>
      <c r="P810" s="50">
        <f t="shared" si="120"/>
        <v>1313.7</v>
      </c>
      <c r="Q810" s="23"/>
      <c r="R810" s="60"/>
      <c r="S810" s="61"/>
      <c r="T810" s="62">
        <f t="shared" si="124"/>
        <v>0</v>
      </c>
      <c r="U810" s="46">
        <f t="shared" si="124"/>
        <v>0</v>
      </c>
      <c r="V810" s="63">
        <f t="shared" si="123"/>
        <v>0</v>
      </c>
      <c r="W810" s="49">
        <f t="shared" si="118"/>
        <v>0</v>
      </c>
      <c r="X810" s="50">
        <f t="shared" si="121"/>
        <v>0</v>
      </c>
      <c r="Y810"/>
      <c r="Z810"/>
      <c r="AA810"/>
    </row>
    <row r="811" spans="1:27" s="51" customFormat="1" ht="18.600000000000001" hidden="1" customHeight="1" x14ac:dyDescent="0.25">
      <c r="A811" s="80" t="s">
        <v>16</v>
      </c>
      <c r="B811" s="20" t="s">
        <v>1933</v>
      </c>
      <c r="C811" s="21" t="s">
        <v>1934</v>
      </c>
      <c r="D811" s="20" t="s">
        <v>2018</v>
      </c>
      <c r="E811" s="22" t="s">
        <v>2019</v>
      </c>
      <c r="F811" s="22" t="s">
        <v>1937</v>
      </c>
      <c r="G811" s="22" t="s">
        <v>1938</v>
      </c>
      <c r="H811" s="83" t="s">
        <v>2020</v>
      </c>
      <c r="I811" s="23" t="s">
        <v>24</v>
      </c>
      <c r="J811" s="24">
        <v>1510</v>
      </c>
      <c r="K811" s="25">
        <v>0.25</v>
      </c>
      <c r="L811" s="26">
        <f t="shared" si="116"/>
        <v>377.5</v>
      </c>
      <c r="M811" s="27">
        <f t="shared" si="117"/>
        <v>1132.5</v>
      </c>
      <c r="N811" s="28">
        <v>0.16</v>
      </c>
      <c r="O811" s="29">
        <f t="shared" si="119"/>
        <v>181.20000000000002</v>
      </c>
      <c r="P811" s="30">
        <f t="shared" si="120"/>
        <v>1313.7</v>
      </c>
      <c r="Q811" s="23"/>
      <c r="R811" s="52"/>
      <c r="S811" s="53"/>
      <c r="T811" s="54">
        <f t="shared" si="124"/>
        <v>0</v>
      </c>
      <c r="U811" s="26">
        <f t="shared" si="124"/>
        <v>0</v>
      </c>
      <c r="V811" s="55">
        <f t="shared" si="123"/>
        <v>0</v>
      </c>
      <c r="W811" s="29">
        <f t="shared" si="118"/>
        <v>0</v>
      </c>
      <c r="X811" s="30">
        <f t="shared" si="121"/>
        <v>0</v>
      </c>
      <c r="Y811"/>
      <c r="Z811"/>
      <c r="AA811"/>
    </row>
    <row r="812" spans="1:27" s="51" customFormat="1" ht="18.600000000000001" hidden="1" customHeight="1" x14ac:dyDescent="0.25">
      <c r="A812" s="81" t="s">
        <v>16</v>
      </c>
      <c r="B812" s="31" t="s">
        <v>1933</v>
      </c>
      <c r="C812" s="32" t="s">
        <v>1934</v>
      </c>
      <c r="D812" s="31" t="s">
        <v>2021</v>
      </c>
      <c r="E812" s="33" t="s">
        <v>2022</v>
      </c>
      <c r="F812" s="33" t="s">
        <v>1937</v>
      </c>
      <c r="G812" s="33" t="s">
        <v>1938</v>
      </c>
      <c r="H812" s="84" t="s">
        <v>2023</v>
      </c>
      <c r="I812" s="23" t="s">
        <v>24</v>
      </c>
      <c r="J812" s="34">
        <v>1510</v>
      </c>
      <c r="K812" s="35">
        <v>0.25</v>
      </c>
      <c r="L812" s="36">
        <f t="shared" si="116"/>
        <v>377.5</v>
      </c>
      <c r="M812" s="37">
        <f t="shared" si="117"/>
        <v>1132.5</v>
      </c>
      <c r="N812" s="38">
        <v>0.16</v>
      </c>
      <c r="O812" s="39">
        <f t="shared" si="119"/>
        <v>181.20000000000002</v>
      </c>
      <c r="P812" s="40">
        <f t="shared" si="120"/>
        <v>1313.7</v>
      </c>
      <c r="Q812" s="23"/>
      <c r="R812" s="56"/>
      <c r="S812" s="57"/>
      <c r="T812" s="58">
        <f t="shared" si="124"/>
        <v>0</v>
      </c>
      <c r="U812" s="36">
        <f t="shared" si="124"/>
        <v>0</v>
      </c>
      <c r="V812" s="59">
        <f t="shared" si="123"/>
        <v>0</v>
      </c>
      <c r="W812" s="39">
        <f t="shared" si="118"/>
        <v>0</v>
      </c>
      <c r="X812" s="40">
        <f t="shared" si="121"/>
        <v>0</v>
      </c>
      <c r="Y812"/>
      <c r="Z812"/>
      <c r="AA812"/>
    </row>
    <row r="813" spans="1:27" s="51" customFormat="1" ht="18.600000000000001" hidden="1" customHeight="1" x14ac:dyDescent="0.25">
      <c r="A813" s="82" t="s">
        <v>16</v>
      </c>
      <c r="B813" s="41" t="s">
        <v>1933</v>
      </c>
      <c r="C813" s="42" t="s">
        <v>1934</v>
      </c>
      <c r="D813" s="41" t="s">
        <v>2024</v>
      </c>
      <c r="E813" s="43" t="s">
        <v>2025</v>
      </c>
      <c r="F813" s="43" t="s">
        <v>1937</v>
      </c>
      <c r="G813" s="43" t="s">
        <v>1938</v>
      </c>
      <c r="H813" s="85" t="s">
        <v>2026</v>
      </c>
      <c r="I813" s="23" t="s">
        <v>24</v>
      </c>
      <c r="J813" s="44">
        <v>1660</v>
      </c>
      <c r="K813" s="45">
        <v>0.25</v>
      </c>
      <c r="L813" s="46">
        <f t="shared" si="116"/>
        <v>415</v>
      </c>
      <c r="M813" s="47">
        <f t="shared" si="117"/>
        <v>1245</v>
      </c>
      <c r="N813" s="48">
        <v>0.16</v>
      </c>
      <c r="O813" s="49">
        <f t="shared" si="119"/>
        <v>199.20000000000002</v>
      </c>
      <c r="P813" s="50">
        <f t="shared" si="120"/>
        <v>1444.2</v>
      </c>
      <c r="Q813" s="23"/>
      <c r="R813" s="60"/>
      <c r="S813" s="61"/>
      <c r="T813" s="62">
        <f t="shared" si="124"/>
        <v>0</v>
      </c>
      <c r="U813" s="46">
        <f t="shared" si="124"/>
        <v>0</v>
      </c>
      <c r="V813" s="63">
        <f t="shared" si="123"/>
        <v>0</v>
      </c>
      <c r="W813" s="49">
        <f t="shared" si="118"/>
        <v>0</v>
      </c>
      <c r="X813" s="50">
        <f t="shared" si="121"/>
        <v>0</v>
      </c>
      <c r="Y813"/>
      <c r="Z813"/>
      <c r="AA813"/>
    </row>
    <row r="814" spans="1:27" s="51" customFormat="1" ht="18.600000000000001" hidden="1" customHeight="1" x14ac:dyDescent="0.25">
      <c r="A814" s="80" t="s">
        <v>16</v>
      </c>
      <c r="B814" s="20" t="s">
        <v>1933</v>
      </c>
      <c r="C814" s="21" t="s">
        <v>1934</v>
      </c>
      <c r="D814" s="20" t="s">
        <v>2027</v>
      </c>
      <c r="E814" s="22" t="s">
        <v>2028</v>
      </c>
      <c r="F814" s="22" t="s">
        <v>1937</v>
      </c>
      <c r="G814" s="22" t="s">
        <v>1938</v>
      </c>
      <c r="H814" s="83" t="s">
        <v>2029</v>
      </c>
      <c r="I814" s="23" t="s">
        <v>24</v>
      </c>
      <c r="J814" s="24">
        <v>1630</v>
      </c>
      <c r="K814" s="25">
        <v>0.25</v>
      </c>
      <c r="L814" s="26">
        <f t="shared" si="116"/>
        <v>407.5</v>
      </c>
      <c r="M814" s="27">
        <f t="shared" si="117"/>
        <v>1222.5</v>
      </c>
      <c r="N814" s="28">
        <v>0.16</v>
      </c>
      <c r="O814" s="29">
        <f t="shared" si="119"/>
        <v>195.6</v>
      </c>
      <c r="P814" s="30">
        <f t="shared" si="120"/>
        <v>1418.1</v>
      </c>
      <c r="Q814" s="23"/>
      <c r="R814" s="52"/>
      <c r="S814" s="53"/>
      <c r="T814" s="54">
        <f t="shared" si="124"/>
        <v>0</v>
      </c>
      <c r="U814" s="26">
        <f t="shared" si="124"/>
        <v>0</v>
      </c>
      <c r="V814" s="55">
        <f t="shared" si="123"/>
        <v>0</v>
      </c>
      <c r="W814" s="29">
        <f t="shared" si="118"/>
        <v>0</v>
      </c>
      <c r="X814" s="30">
        <f t="shared" si="121"/>
        <v>0</v>
      </c>
      <c r="Y814"/>
      <c r="Z814"/>
      <c r="AA814"/>
    </row>
    <row r="815" spans="1:27" s="51" customFormat="1" ht="18.600000000000001" hidden="1" customHeight="1" x14ac:dyDescent="0.25">
      <c r="A815" s="81" t="s">
        <v>16</v>
      </c>
      <c r="B815" s="31" t="s">
        <v>1933</v>
      </c>
      <c r="C815" s="32" t="s">
        <v>1934</v>
      </c>
      <c r="D815" s="31" t="s">
        <v>2030</v>
      </c>
      <c r="E815" s="33" t="s">
        <v>2031</v>
      </c>
      <c r="F815" s="33" t="s">
        <v>1937</v>
      </c>
      <c r="G815" s="33" t="s">
        <v>1938</v>
      </c>
      <c r="H815" s="84" t="s">
        <v>2032</v>
      </c>
      <c r="I815" s="23" t="s">
        <v>24</v>
      </c>
      <c r="J815" s="34">
        <v>1630</v>
      </c>
      <c r="K815" s="35">
        <v>0.25</v>
      </c>
      <c r="L815" s="36">
        <f t="shared" si="116"/>
        <v>407.5</v>
      </c>
      <c r="M815" s="37">
        <f t="shared" si="117"/>
        <v>1222.5</v>
      </c>
      <c r="N815" s="38">
        <v>0.16</v>
      </c>
      <c r="O815" s="39">
        <f t="shared" si="119"/>
        <v>195.6</v>
      </c>
      <c r="P815" s="40">
        <f t="shared" si="120"/>
        <v>1418.1</v>
      </c>
      <c r="Q815" s="23"/>
      <c r="R815" s="56"/>
      <c r="S815" s="57"/>
      <c r="T815" s="58">
        <f t="shared" si="124"/>
        <v>0</v>
      </c>
      <c r="U815" s="36">
        <f t="shared" si="124"/>
        <v>0</v>
      </c>
      <c r="V815" s="59">
        <f t="shared" si="123"/>
        <v>0</v>
      </c>
      <c r="W815" s="39">
        <f t="shared" si="118"/>
        <v>0</v>
      </c>
      <c r="X815" s="40">
        <f t="shared" si="121"/>
        <v>0</v>
      </c>
      <c r="Y815"/>
      <c r="Z815"/>
      <c r="AA815"/>
    </row>
    <row r="816" spans="1:27" s="51" customFormat="1" ht="18.600000000000001" hidden="1" customHeight="1" x14ac:dyDescent="0.25">
      <c r="A816" s="82" t="s">
        <v>16</v>
      </c>
      <c r="B816" s="41" t="s">
        <v>1933</v>
      </c>
      <c r="C816" s="42" t="s">
        <v>1934</v>
      </c>
      <c r="D816" s="41" t="s">
        <v>2033</v>
      </c>
      <c r="E816" s="43" t="s">
        <v>2034</v>
      </c>
      <c r="F816" s="43" t="s">
        <v>1937</v>
      </c>
      <c r="G816" s="43" t="s">
        <v>1938</v>
      </c>
      <c r="H816" s="85" t="s">
        <v>2035</v>
      </c>
      <c r="I816" s="23" t="s">
        <v>24</v>
      </c>
      <c r="J816" s="44">
        <v>1810</v>
      </c>
      <c r="K816" s="45">
        <v>0.25</v>
      </c>
      <c r="L816" s="46">
        <f t="shared" si="116"/>
        <v>452.5</v>
      </c>
      <c r="M816" s="47">
        <f t="shared" si="117"/>
        <v>1357.5</v>
      </c>
      <c r="N816" s="48">
        <v>0.16</v>
      </c>
      <c r="O816" s="49">
        <f t="shared" si="119"/>
        <v>217.20000000000002</v>
      </c>
      <c r="P816" s="50">
        <f t="shared" si="120"/>
        <v>1574.7</v>
      </c>
      <c r="Q816" s="23"/>
      <c r="R816" s="60"/>
      <c r="S816" s="61"/>
      <c r="T816" s="62">
        <f t="shared" si="124"/>
        <v>0</v>
      </c>
      <c r="U816" s="46">
        <f t="shared" si="124"/>
        <v>0</v>
      </c>
      <c r="V816" s="63">
        <f t="shared" si="123"/>
        <v>0</v>
      </c>
      <c r="W816" s="49">
        <f t="shared" si="118"/>
        <v>0</v>
      </c>
      <c r="X816" s="50">
        <f t="shared" si="121"/>
        <v>0</v>
      </c>
      <c r="Y816"/>
      <c r="Z816"/>
      <c r="AA816"/>
    </row>
    <row r="817" spans="1:27" s="51" customFormat="1" ht="18.600000000000001" hidden="1" customHeight="1" x14ac:dyDescent="0.25">
      <c r="A817" s="80" t="s">
        <v>16</v>
      </c>
      <c r="B817" s="20" t="s">
        <v>1933</v>
      </c>
      <c r="C817" s="21" t="s">
        <v>1934</v>
      </c>
      <c r="D817" s="20" t="s">
        <v>2036</v>
      </c>
      <c r="E817" s="22" t="s">
        <v>2037</v>
      </c>
      <c r="F817" s="22" t="s">
        <v>1937</v>
      </c>
      <c r="G817" s="22" t="s">
        <v>1938</v>
      </c>
      <c r="H817" s="83" t="s">
        <v>2038</v>
      </c>
      <c r="I817" s="23" t="s">
        <v>24</v>
      </c>
      <c r="J817" s="24">
        <v>1510</v>
      </c>
      <c r="K817" s="25">
        <v>0.25</v>
      </c>
      <c r="L817" s="26">
        <f t="shared" si="116"/>
        <v>377.5</v>
      </c>
      <c r="M817" s="27">
        <f t="shared" si="117"/>
        <v>1132.5</v>
      </c>
      <c r="N817" s="28">
        <v>0.16</v>
      </c>
      <c r="O817" s="29">
        <f t="shared" si="119"/>
        <v>181.20000000000002</v>
      </c>
      <c r="P817" s="30">
        <f t="shared" si="120"/>
        <v>1313.7</v>
      </c>
      <c r="Q817" s="23"/>
      <c r="R817" s="52"/>
      <c r="S817" s="53"/>
      <c r="T817" s="54">
        <f t="shared" si="124"/>
        <v>0</v>
      </c>
      <c r="U817" s="26">
        <f t="shared" si="124"/>
        <v>0</v>
      </c>
      <c r="V817" s="55">
        <f t="shared" si="123"/>
        <v>0</v>
      </c>
      <c r="W817" s="29">
        <f t="shared" si="118"/>
        <v>0</v>
      </c>
      <c r="X817" s="30">
        <f t="shared" si="121"/>
        <v>0</v>
      </c>
      <c r="Y817"/>
      <c r="Z817"/>
      <c r="AA817"/>
    </row>
    <row r="818" spans="1:27" s="51" customFormat="1" ht="18.600000000000001" hidden="1" customHeight="1" x14ac:dyDescent="0.25">
      <c r="A818" s="81" t="s">
        <v>16</v>
      </c>
      <c r="B818" s="31" t="s">
        <v>1933</v>
      </c>
      <c r="C818" s="32" t="s">
        <v>1934</v>
      </c>
      <c r="D818" s="31" t="s">
        <v>2039</v>
      </c>
      <c r="E818" s="33" t="s">
        <v>2040</v>
      </c>
      <c r="F818" s="33" t="s">
        <v>1937</v>
      </c>
      <c r="G818" s="33" t="s">
        <v>1938</v>
      </c>
      <c r="H818" s="84" t="s">
        <v>2041</v>
      </c>
      <c r="I818" s="23" t="s">
        <v>24</v>
      </c>
      <c r="J818" s="34">
        <v>1510</v>
      </c>
      <c r="K818" s="35">
        <v>0.25</v>
      </c>
      <c r="L818" s="36">
        <f t="shared" si="116"/>
        <v>377.5</v>
      </c>
      <c r="M818" s="37">
        <f t="shared" si="117"/>
        <v>1132.5</v>
      </c>
      <c r="N818" s="38">
        <v>0.16</v>
      </c>
      <c r="O818" s="39">
        <f t="shared" si="119"/>
        <v>181.20000000000002</v>
      </c>
      <c r="P818" s="40">
        <f t="shared" si="120"/>
        <v>1313.7</v>
      </c>
      <c r="Q818" s="23"/>
      <c r="R818" s="56"/>
      <c r="S818" s="57"/>
      <c r="T818" s="58">
        <f t="shared" si="124"/>
        <v>0</v>
      </c>
      <c r="U818" s="36">
        <f t="shared" si="124"/>
        <v>0</v>
      </c>
      <c r="V818" s="59">
        <f t="shared" si="123"/>
        <v>0</v>
      </c>
      <c r="W818" s="39">
        <f t="shared" si="118"/>
        <v>0</v>
      </c>
      <c r="X818" s="40">
        <f t="shared" si="121"/>
        <v>0</v>
      </c>
      <c r="Y818"/>
      <c r="Z818"/>
      <c r="AA818"/>
    </row>
    <row r="819" spans="1:27" s="51" customFormat="1" ht="18.600000000000001" hidden="1" customHeight="1" x14ac:dyDescent="0.25">
      <c r="A819" s="82" t="s">
        <v>16</v>
      </c>
      <c r="B819" s="41" t="s">
        <v>1933</v>
      </c>
      <c r="C819" s="42" t="s">
        <v>1934</v>
      </c>
      <c r="D819" s="41" t="s">
        <v>2042</v>
      </c>
      <c r="E819" s="43" t="s">
        <v>2043</v>
      </c>
      <c r="F819" s="43" t="s">
        <v>1937</v>
      </c>
      <c r="G819" s="43" t="s">
        <v>1938</v>
      </c>
      <c r="H819" s="85" t="s">
        <v>2044</v>
      </c>
      <c r="I819" s="23" t="s">
        <v>24</v>
      </c>
      <c r="J819" s="44">
        <v>1510</v>
      </c>
      <c r="K819" s="45">
        <v>0.25</v>
      </c>
      <c r="L819" s="46">
        <f t="shared" si="116"/>
        <v>377.5</v>
      </c>
      <c r="M819" s="47">
        <f t="shared" si="117"/>
        <v>1132.5</v>
      </c>
      <c r="N819" s="48">
        <v>0.16</v>
      </c>
      <c r="O819" s="49">
        <f t="shared" si="119"/>
        <v>181.20000000000002</v>
      </c>
      <c r="P819" s="50">
        <f t="shared" si="120"/>
        <v>1313.7</v>
      </c>
      <c r="Q819" s="23"/>
      <c r="R819" s="60"/>
      <c r="S819" s="61"/>
      <c r="T819" s="62">
        <f t="shared" si="124"/>
        <v>0</v>
      </c>
      <c r="U819" s="46">
        <f t="shared" si="124"/>
        <v>0</v>
      </c>
      <c r="V819" s="63">
        <f t="shared" si="123"/>
        <v>0</v>
      </c>
      <c r="W819" s="49">
        <f t="shared" si="118"/>
        <v>0</v>
      </c>
      <c r="X819" s="50">
        <f t="shared" si="121"/>
        <v>0</v>
      </c>
      <c r="Y819"/>
      <c r="Z819"/>
      <c r="AA819"/>
    </row>
    <row r="820" spans="1:27" s="51" customFormat="1" ht="18.600000000000001" hidden="1" customHeight="1" x14ac:dyDescent="0.25">
      <c r="A820" s="80" t="s">
        <v>16</v>
      </c>
      <c r="B820" s="20" t="s">
        <v>1933</v>
      </c>
      <c r="C820" s="21" t="s">
        <v>1934</v>
      </c>
      <c r="D820" s="20" t="s">
        <v>2045</v>
      </c>
      <c r="E820" s="22" t="s">
        <v>2046</v>
      </c>
      <c r="F820" s="22" t="s">
        <v>1937</v>
      </c>
      <c r="G820" s="22" t="s">
        <v>1938</v>
      </c>
      <c r="H820" s="83" t="s">
        <v>2047</v>
      </c>
      <c r="I820" s="23" t="s">
        <v>24</v>
      </c>
      <c r="J820" s="24">
        <v>1211</v>
      </c>
      <c r="K820" s="25">
        <v>0.25</v>
      </c>
      <c r="L820" s="26">
        <f t="shared" si="116"/>
        <v>302.75</v>
      </c>
      <c r="M820" s="27">
        <f t="shared" si="117"/>
        <v>908.25</v>
      </c>
      <c r="N820" s="28">
        <v>0.16</v>
      </c>
      <c r="O820" s="29">
        <f t="shared" si="119"/>
        <v>145.32</v>
      </c>
      <c r="P820" s="30">
        <f t="shared" si="120"/>
        <v>1053.57</v>
      </c>
      <c r="Q820" s="23"/>
      <c r="R820" s="52"/>
      <c r="S820" s="53"/>
      <c r="T820" s="54">
        <f t="shared" si="124"/>
        <v>0</v>
      </c>
      <c r="U820" s="26">
        <f t="shared" si="124"/>
        <v>0</v>
      </c>
      <c r="V820" s="55">
        <f t="shared" si="123"/>
        <v>0</v>
      </c>
      <c r="W820" s="29">
        <f t="shared" si="118"/>
        <v>0</v>
      </c>
      <c r="X820" s="30">
        <f t="shared" si="121"/>
        <v>0</v>
      </c>
      <c r="Y820"/>
      <c r="Z820"/>
      <c r="AA820"/>
    </row>
    <row r="821" spans="1:27" s="51" customFormat="1" ht="18.600000000000001" hidden="1" customHeight="1" x14ac:dyDescent="0.25">
      <c r="A821" s="81" t="s">
        <v>16</v>
      </c>
      <c r="B821" s="31" t="s">
        <v>1933</v>
      </c>
      <c r="C821" s="32" t="s">
        <v>1934</v>
      </c>
      <c r="D821" s="31" t="s">
        <v>2048</v>
      </c>
      <c r="E821" s="33" t="s">
        <v>2049</v>
      </c>
      <c r="F821" s="33" t="s">
        <v>1937</v>
      </c>
      <c r="G821" s="33" t="s">
        <v>1938</v>
      </c>
      <c r="H821" s="84" t="s">
        <v>2050</v>
      </c>
      <c r="I821" s="23" t="s">
        <v>24</v>
      </c>
      <c r="J821" s="34">
        <v>1060</v>
      </c>
      <c r="K821" s="35">
        <v>0.25</v>
      </c>
      <c r="L821" s="36">
        <f t="shared" si="116"/>
        <v>265</v>
      </c>
      <c r="M821" s="37">
        <f t="shared" si="117"/>
        <v>795</v>
      </c>
      <c r="N821" s="38">
        <v>0.16</v>
      </c>
      <c r="O821" s="39">
        <f t="shared" si="119"/>
        <v>127.2</v>
      </c>
      <c r="P821" s="40">
        <f t="shared" si="120"/>
        <v>922.2</v>
      </c>
      <c r="Q821" s="23"/>
      <c r="R821" s="56"/>
      <c r="S821" s="57"/>
      <c r="T821" s="58">
        <f t="shared" si="124"/>
        <v>0</v>
      </c>
      <c r="U821" s="36">
        <f t="shared" si="124"/>
        <v>0</v>
      </c>
      <c r="V821" s="59">
        <f t="shared" si="123"/>
        <v>0</v>
      </c>
      <c r="W821" s="39">
        <f t="shared" si="118"/>
        <v>0</v>
      </c>
      <c r="X821" s="40">
        <f t="shared" si="121"/>
        <v>0</v>
      </c>
      <c r="Y821"/>
      <c r="Z821"/>
      <c r="AA821"/>
    </row>
    <row r="822" spans="1:27" s="51" customFormat="1" ht="18.600000000000001" hidden="1" customHeight="1" x14ac:dyDescent="0.25">
      <c r="A822" s="82" t="s">
        <v>16</v>
      </c>
      <c r="B822" s="41" t="s">
        <v>1933</v>
      </c>
      <c r="C822" s="42" t="s">
        <v>1934</v>
      </c>
      <c r="D822" s="41" t="s">
        <v>2051</v>
      </c>
      <c r="E822" s="43" t="s">
        <v>2052</v>
      </c>
      <c r="F822" s="43" t="s">
        <v>1937</v>
      </c>
      <c r="G822" s="43" t="s">
        <v>1938</v>
      </c>
      <c r="H822" s="85" t="s">
        <v>2053</v>
      </c>
      <c r="I822" s="23" t="s">
        <v>24</v>
      </c>
      <c r="J822" s="44">
        <v>1510</v>
      </c>
      <c r="K822" s="45">
        <v>0.25</v>
      </c>
      <c r="L822" s="46">
        <f t="shared" si="116"/>
        <v>377.5</v>
      </c>
      <c r="M822" s="47">
        <f t="shared" si="117"/>
        <v>1132.5</v>
      </c>
      <c r="N822" s="48">
        <v>0.16</v>
      </c>
      <c r="O822" s="49">
        <f t="shared" si="119"/>
        <v>181.20000000000002</v>
      </c>
      <c r="P822" s="50">
        <f t="shared" si="120"/>
        <v>1313.7</v>
      </c>
      <c r="Q822" s="23"/>
      <c r="R822" s="60"/>
      <c r="S822" s="61"/>
      <c r="T822" s="62">
        <f t="shared" si="124"/>
        <v>0</v>
      </c>
      <c r="U822" s="46">
        <f t="shared" si="124"/>
        <v>0</v>
      </c>
      <c r="V822" s="63">
        <f t="shared" si="123"/>
        <v>0</v>
      </c>
      <c r="W822" s="49">
        <f t="shared" si="118"/>
        <v>0</v>
      </c>
      <c r="X822" s="50">
        <f t="shared" si="121"/>
        <v>0</v>
      </c>
      <c r="Y822"/>
      <c r="Z822"/>
      <c r="AA822"/>
    </row>
    <row r="823" spans="1:27" s="51" customFormat="1" ht="18.600000000000001" hidden="1" customHeight="1" x14ac:dyDescent="0.25">
      <c r="A823" s="80" t="s">
        <v>16</v>
      </c>
      <c r="B823" s="20" t="s">
        <v>1933</v>
      </c>
      <c r="C823" s="21" t="s">
        <v>1934</v>
      </c>
      <c r="D823" s="20" t="s">
        <v>2054</v>
      </c>
      <c r="E823" s="22" t="s">
        <v>2055</v>
      </c>
      <c r="F823" s="22" t="s">
        <v>1937</v>
      </c>
      <c r="G823" s="22" t="s">
        <v>1938</v>
      </c>
      <c r="H823" s="83" t="s">
        <v>2056</v>
      </c>
      <c r="I823" s="23" t="s">
        <v>24</v>
      </c>
      <c r="J823" s="24">
        <v>1510</v>
      </c>
      <c r="K823" s="25">
        <v>0.25</v>
      </c>
      <c r="L823" s="26">
        <f t="shared" si="116"/>
        <v>377.5</v>
      </c>
      <c r="M823" s="27">
        <f t="shared" si="117"/>
        <v>1132.5</v>
      </c>
      <c r="N823" s="28">
        <v>0.16</v>
      </c>
      <c r="O823" s="29">
        <f t="shared" si="119"/>
        <v>181.20000000000002</v>
      </c>
      <c r="P823" s="30">
        <f t="shared" si="120"/>
        <v>1313.7</v>
      </c>
      <c r="Q823" s="23"/>
      <c r="R823" s="52"/>
      <c r="S823" s="53"/>
      <c r="T823" s="54">
        <f t="shared" si="124"/>
        <v>0</v>
      </c>
      <c r="U823" s="26">
        <f t="shared" si="124"/>
        <v>0</v>
      </c>
      <c r="V823" s="55">
        <f t="shared" si="123"/>
        <v>0</v>
      </c>
      <c r="W823" s="29">
        <f t="shared" si="118"/>
        <v>0</v>
      </c>
      <c r="X823" s="30">
        <f t="shared" si="121"/>
        <v>0</v>
      </c>
      <c r="Y823"/>
      <c r="Z823"/>
      <c r="AA823"/>
    </row>
    <row r="824" spans="1:27" s="51" customFormat="1" ht="18.600000000000001" hidden="1" customHeight="1" x14ac:dyDescent="0.25">
      <c r="A824" s="81" t="s">
        <v>16</v>
      </c>
      <c r="B824" s="31" t="s">
        <v>1933</v>
      </c>
      <c r="C824" s="32" t="s">
        <v>1934</v>
      </c>
      <c r="D824" s="31" t="s">
        <v>2057</v>
      </c>
      <c r="E824" s="33" t="s">
        <v>2058</v>
      </c>
      <c r="F824" s="33" t="s">
        <v>1937</v>
      </c>
      <c r="G824" s="33" t="s">
        <v>1938</v>
      </c>
      <c r="H824" s="84" t="s">
        <v>2059</v>
      </c>
      <c r="I824" s="23" t="s">
        <v>24</v>
      </c>
      <c r="J824" s="34">
        <v>1510</v>
      </c>
      <c r="K824" s="35">
        <v>0.25</v>
      </c>
      <c r="L824" s="36">
        <f t="shared" si="116"/>
        <v>377.5</v>
      </c>
      <c r="M824" s="37">
        <f t="shared" si="117"/>
        <v>1132.5</v>
      </c>
      <c r="N824" s="38">
        <v>0.16</v>
      </c>
      <c r="O824" s="39">
        <f t="shared" si="119"/>
        <v>181.20000000000002</v>
      </c>
      <c r="P824" s="40">
        <f t="shared" si="120"/>
        <v>1313.7</v>
      </c>
      <c r="Q824" s="23"/>
      <c r="R824" s="56"/>
      <c r="S824" s="57"/>
      <c r="T824" s="58">
        <f t="shared" si="124"/>
        <v>0</v>
      </c>
      <c r="U824" s="36">
        <f t="shared" si="124"/>
        <v>0</v>
      </c>
      <c r="V824" s="59">
        <f t="shared" si="123"/>
        <v>0</v>
      </c>
      <c r="W824" s="39">
        <f t="shared" si="118"/>
        <v>0</v>
      </c>
      <c r="X824" s="40">
        <f t="shared" si="121"/>
        <v>0</v>
      </c>
      <c r="Y824"/>
      <c r="Z824"/>
      <c r="AA824"/>
    </row>
    <row r="825" spans="1:27" s="51" customFormat="1" ht="18.600000000000001" hidden="1" customHeight="1" x14ac:dyDescent="0.25">
      <c r="A825" s="82" t="s">
        <v>16</v>
      </c>
      <c r="B825" s="41" t="s">
        <v>1933</v>
      </c>
      <c r="C825" s="42" t="s">
        <v>1934</v>
      </c>
      <c r="D825" s="41">
        <v>8435635300805</v>
      </c>
      <c r="E825" s="43" t="s">
        <v>2060</v>
      </c>
      <c r="F825" s="43" t="s">
        <v>1937</v>
      </c>
      <c r="G825" s="43" t="s">
        <v>1938</v>
      </c>
      <c r="H825" s="85" t="s">
        <v>2061</v>
      </c>
      <c r="I825" s="23" t="s">
        <v>24</v>
      </c>
      <c r="J825" s="44">
        <v>1210</v>
      </c>
      <c r="K825" s="45">
        <v>0.25</v>
      </c>
      <c r="L825" s="46">
        <f t="shared" si="116"/>
        <v>302.5</v>
      </c>
      <c r="M825" s="47">
        <f t="shared" si="117"/>
        <v>907.5</v>
      </c>
      <c r="N825" s="48">
        <v>0.16</v>
      </c>
      <c r="O825" s="49">
        <f t="shared" si="119"/>
        <v>145.20000000000002</v>
      </c>
      <c r="P825" s="50">
        <f t="shared" si="120"/>
        <v>1052.7</v>
      </c>
      <c r="Q825" s="23"/>
      <c r="R825" s="60"/>
      <c r="S825" s="61"/>
      <c r="T825" s="62">
        <f t="shared" si="124"/>
        <v>0</v>
      </c>
      <c r="U825" s="46">
        <f t="shared" si="124"/>
        <v>0</v>
      </c>
      <c r="V825" s="63">
        <f t="shared" si="123"/>
        <v>0</v>
      </c>
      <c r="W825" s="49">
        <f t="shared" si="118"/>
        <v>0</v>
      </c>
      <c r="X825" s="50">
        <f t="shared" si="121"/>
        <v>0</v>
      </c>
      <c r="Y825"/>
      <c r="Z825"/>
      <c r="AA825"/>
    </row>
    <row r="826" spans="1:27" s="51" customFormat="1" ht="18.600000000000001" hidden="1" customHeight="1" x14ac:dyDescent="0.25">
      <c r="A826" s="80" t="s">
        <v>16</v>
      </c>
      <c r="B826" s="20" t="s">
        <v>1933</v>
      </c>
      <c r="C826" s="21" t="s">
        <v>1934</v>
      </c>
      <c r="D826" s="20">
        <v>8435635303769</v>
      </c>
      <c r="E826" s="22" t="s">
        <v>2062</v>
      </c>
      <c r="F826" s="22" t="s">
        <v>1937</v>
      </c>
      <c r="G826" s="22" t="s">
        <v>1938</v>
      </c>
      <c r="H826" s="83" t="s">
        <v>2063</v>
      </c>
      <c r="I826" s="23" t="s">
        <v>24</v>
      </c>
      <c r="J826" s="24">
        <v>1690</v>
      </c>
      <c r="K826" s="25">
        <v>0.25</v>
      </c>
      <c r="L826" s="26">
        <f t="shared" si="116"/>
        <v>422.5</v>
      </c>
      <c r="M826" s="27">
        <f t="shared" si="117"/>
        <v>1267.5</v>
      </c>
      <c r="N826" s="28">
        <v>0.16</v>
      </c>
      <c r="O826" s="29">
        <f t="shared" si="119"/>
        <v>202.8</v>
      </c>
      <c r="P826" s="30">
        <f t="shared" si="120"/>
        <v>1470.3</v>
      </c>
      <c r="Q826" s="23"/>
      <c r="R826" s="52"/>
      <c r="S826" s="53"/>
      <c r="T826" s="54">
        <f t="shared" si="124"/>
        <v>0</v>
      </c>
      <c r="U826" s="26">
        <f t="shared" si="124"/>
        <v>0</v>
      </c>
      <c r="V826" s="55">
        <f t="shared" si="123"/>
        <v>0</v>
      </c>
      <c r="W826" s="29">
        <f t="shared" si="118"/>
        <v>0</v>
      </c>
      <c r="X826" s="30">
        <f t="shared" si="121"/>
        <v>0</v>
      </c>
      <c r="Y826"/>
      <c r="Z826"/>
      <c r="AA826"/>
    </row>
    <row r="827" spans="1:27" s="51" customFormat="1" ht="18.600000000000001" hidden="1" customHeight="1" x14ac:dyDescent="0.25">
      <c r="A827" s="81" t="s">
        <v>16</v>
      </c>
      <c r="B827" s="31" t="s">
        <v>1933</v>
      </c>
      <c r="C827" s="32" t="s">
        <v>1934</v>
      </c>
      <c r="D827" s="31">
        <v>8435635308382</v>
      </c>
      <c r="E827" s="33" t="s">
        <v>2064</v>
      </c>
      <c r="F827" s="33" t="s">
        <v>1937</v>
      </c>
      <c r="G827" s="33" t="s">
        <v>2065</v>
      </c>
      <c r="H827" s="84" t="s">
        <v>2066</v>
      </c>
      <c r="I827" s="23" t="s">
        <v>24</v>
      </c>
      <c r="J827" s="34">
        <v>1210</v>
      </c>
      <c r="K827" s="35">
        <v>0.25</v>
      </c>
      <c r="L827" s="36">
        <f t="shared" si="116"/>
        <v>302.5</v>
      </c>
      <c r="M827" s="37">
        <f t="shared" si="117"/>
        <v>907.5</v>
      </c>
      <c r="N827" s="38">
        <v>0.16</v>
      </c>
      <c r="O827" s="39">
        <f t="shared" si="119"/>
        <v>145.20000000000002</v>
      </c>
      <c r="P827" s="40">
        <f t="shared" si="120"/>
        <v>1052.7</v>
      </c>
      <c r="Q827" s="23"/>
      <c r="R827" s="56"/>
      <c r="S827" s="57"/>
      <c r="T827" s="58">
        <f t="shared" si="124"/>
        <v>0</v>
      </c>
      <c r="U827" s="36">
        <f t="shared" si="124"/>
        <v>0</v>
      </c>
      <c r="V827" s="59">
        <f t="shared" si="123"/>
        <v>0</v>
      </c>
      <c r="W827" s="39">
        <f t="shared" si="118"/>
        <v>0</v>
      </c>
      <c r="X827" s="40">
        <f t="shared" si="121"/>
        <v>0</v>
      </c>
      <c r="Y827"/>
      <c r="Z827"/>
      <c r="AA827"/>
    </row>
    <row r="828" spans="1:27" s="51" customFormat="1" ht="18.600000000000001" hidden="1" customHeight="1" x14ac:dyDescent="0.25">
      <c r="A828" s="82" t="s">
        <v>16</v>
      </c>
      <c r="B828" s="41" t="s">
        <v>1933</v>
      </c>
      <c r="C828" s="42" t="s">
        <v>1934</v>
      </c>
      <c r="D828" s="41" t="s">
        <v>2067</v>
      </c>
      <c r="E828" s="43" t="s">
        <v>2068</v>
      </c>
      <c r="F828" s="43" t="s">
        <v>1937</v>
      </c>
      <c r="G828" s="43" t="s">
        <v>1938</v>
      </c>
      <c r="H828" s="85" t="s">
        <v>2069</v>
      </c>
      <c r="I828" s="23" t="s">
        <v>24</v>
      </c>
      <c r="J828" s="44">
        <v>1570</v>
      </c>
      <c r="K828" s="45">
        <v>0.25</v>
      </c>
      <c r="L828" s="46">
        <f t="shared" si="116"/>
        <v>392.5</v>
      </c>
      <c r="M828" s="47">
        <f t="shared" si="117"/>
        <v>1177.5</v>
      </c>
      <c r="N828" s="48">
        <v>0.16</v>
      </c>
      <c r="O828" s="49">
        <f t="shared" si="119"/>
        <v>188.4</v>
      </c>
      <c r="P828" s="50">
        <f t="shared" si="120"/>
        <v>1365.9</v>
      </c>
      <c r="Q828" s="23"/>
      <c r="R828" s="60"/>
      <c r="S828" s="61"/>
      <c r="T828" s="62">
        <f t="shared" si="124"/>
        <v>0</v>
      </c>
      <c r="U828" s="46">
        <f t="shared" si="124"/>
        <v>0</v>
      </c>
      <c r="V828" s="63">
        <f t="shared" si="123"/>
        <v>0</v>
      </c>
      <c r="W828" s="49">
        <f t="shared" si="118"/>
        <v>0</v>
      </c>
      <c r="X828" s="50">
        <f t="shared" si="121"/>
        <v>0</v>
      </c>
      <c r="Y828"/>
      <c r="Z828"/>
      <c r="AA828"/>
    </row>
    <row r="829" spans="1:27" s="51" customFormat="1" ht="18.600000000000001" hidden="1" customHeight="1" x14ac:dyDescent="0.25">
      <c r="A829" s="80" t="s">
        <v>16</v>
      </c>
      <c r="B829" s="20" t="s">
        <v>1933</v>
      </c>
      <c r="C829" s="21" t="s">
        <v>1934</v>
      </c>
      <c r="D829" s="20" t="s">
        <v>2070</v>
      </c>
      <c r="E829" s="22" t="s">
        <v>2071</v>
      </c>
      <c r="F829" s="22" t="s">
        <v>1937</v>
      </c>
      <c r="G829" s="22" t="s">
        <v>1938</v>
      </c>
      <c r="H829" s="83" t="s">
        <v>2072</v>
      </c>
      <c r="I829" s="23" t="s">
        <v>24</v>
      </c>
      <c r="J829" s="24">
        <v>1510</v>
      </c>
      <c r="K829" s="25">
        <v>0.25</v>
      </c>
      <c r="L829" s="26">
        <f t="shared" si="116"/>
        <v>377.5</v>
      </c>
      <c r="M829" s="27">
        <f t="shared" si="117"/>
        <v>1132.5</v>
      </c>
      <c r="N829" s="28">
        <v>0.16</v>
      </c>
      <c r="O829" s="29">
        <f t="shared" si="119"/>
        <v>181.20000000000002</v>
      </c>
      <c r="P829" s="30">
        <f t="shared" si="120"/>
        <v>1313.7</v>
      </c>
      <c r="Q829" s="23"/>
      <c r="R829" s="52"/>
      <c r="S829" s="53"/>
      <c r="T829" s="54">
        <f t="shared" si="124"/>
        <v>0</v>
      </c>
      <c r="U829" s="26">
        <f t="shared" si="124"/>
        <v>0</v>
      </c>
      <c r="V829" s="55">
        <f t="shared" si="123"/>
        <v>0</v>
      </c>
      <c r="W829" s="29">
        <f t="shared" si="118"/>
        <v>0</v>
      </c>
      <c r="X829" s="30">
        <f t="shared" si="121"/>
        <v>0</v>
      </c>
      <c r="Y829"/>
      <c r="Z829"/>
      <c r="AA829"/>
    </row>
    <row r="830" spans="1:27" s="51" customFormat="1" ht="18.600000000000001" hidden="1" customHeight="1" x14ac:dyDescent="0.25">
      <c r="A830" s="81" t="s">
        <v>16</v>
      </c>
      <c r="B830" s="31" t="s">
        <v>1933</v>
      </c>
      <c r="C830" s="32" t="s">
        <v>1934</v>
      </c>
      <c r="D830" s="31" t="s">
        <v>2073</v>
      </c>
      <c r="E830" s="33" t="s">
        <v>2074</v>
      </c>
      <c r="F830" s="33" t="s">
        <v>1937</v>
      </c>
      <c r="G830" s="33" t="s">
        <v>1938</v>
      </c>
      <c r="H830" s="84" t="s">
        <v>2075</v>
      </c>
      <c r="I830" s="23" t="s">
        <v>24</v>
      </c>
      <c r="J830" s="34">
        <v>1510</v>
      </c>
      <c r="K830" s="35">
        <v>0.25</v>
      </c>
      <c r="L830" s="36">
        <f t="shared" si="116"/>
        <v>377.5</v>
      </c>
      <c r="M830" s="37">
        <f t="shared" si="117"/>
        <v>1132.5</v>
      </c>
      <c r="N830" s="38">
        <v>0.16</v>
      </c>
      <c r="O830" s="39">
        <f t="shared" si="119"/>
        <v>181.20000000000002</v>
      </c>
      <c r="P830" s="40">
        <f t="shared" si="120"/>
        <v>1313.7</v>
      </c>
      <c r="Q830" s="23"/>
      <c r="R830" s="56"/>
      <c r="S830" s="57"/>
      <c r="T830" s="58">
        <f t="shared" si="124"/>
        <v>0</v>
      </c>
      <c r="U830" s="36">
        <f t="shared" si="124"/>
        <v>0</v>
      </c>
      <c r="V830" s="59">
        <f t="shared" si="123"/>
        <v>0</v>
      </c>
      <c r="W830" s="39">
        <f t="shared" si="118"/>
        <v>0</v>
      </c>
      <c r="X830" s="40">
        <f t="shared" si="121"/>
        <v>0</v>
      </c>
      <c r="Y830"/>
      <c r="Z830"/>
      <c r="AA830"/>
    </row>
    <row r="831" spans="1:27" s="51" customFormat="1" ht="18.600000000000001" hidden="1" customHeight="1" x14ac:dyDescent="0.25">
      <c r="A831" s="82" t="s">
        <v>16</v>
      </c>
      <c r="B831" s="41" t="s">
        <v>1933</v>
      </c>
      <c r="C831" s="42" t="s">
        <v>1934</v>
      </c>
      <c r="D831" s="41" t="s">
        <v>2076</v>
      </c>
      <c r="E831" s="43" t="s">
        <v>2077</v>
      </c>
      <c r="F831" s="43" t="s">
        <v>1937</v>
      </c>
      <c r="G831" s="43" t="s">
        <v>1938</v>
      </c>
      <c r="H831" s="85" t="s">
        <v>2078</v>
      </c>
      <c r="I831" s="23" t="s">
        <v>24</v>
      </c>
      <c r="J831" s="44">
        <v>2270</v>
      </c>
      <c r="K831" s="45">
        <v>0.25</v>
      </c>
      <c r="L831" s="46">
        <f t="shared" si="116"/>
        <v>567.5</v>
      </c>
      <c r="M831" s="47">
        <f t="shared" si="117"/>
        <v>1702.5</v>
      </c>
      <c r="N831" s="48">
        <v>0.16</v>
      </c>
      <c r="O831" s="49">
        <f t="shared" si="119"/>
        <v>272.39999999999998</v>
      </c>
      <c r="P831" s="50">
        <f t="shared" si="120"/>
        <v>1974.9</v>
      </c>
      <c r="Q831" s="23"/>
      <c r="R831" s="60"/>
      <c r="S831" s="61"/>
      <c r="T831" s="62">
        <f t="shared" si="124"/>
        <v>0</v>
      </c>
      <c r="U831" s="46">
        <f t="shared" si="124"/>
        <v>0</v>
      </c>
      <c r="V831" s="63">
        <f t="shared" si="123"/>
        <v>0</v>
      </c>
      <c r="W831" s="49">
        <f t="shared" si="118"/>
        <v>0</v>
      </c>
      <c r="X831" s="50">
        <f t="shared" si="121"/>
        <v>0</v>
      </c>
      <c r="Y831"/>
      <c r="Z831"/>
      <c r="AA831"/>
    </row>
    <row r="832" spans="1:27" s="51" customFormat="1" ht="18.600000000000001" hidden="1" customHeight="1" x14ac:dyDescent="0.25">
      <c r="A832" s="80" t="s">
        <v>16</v>
      </c>
      <c r="B832" s="20" t="s">
        <v>1933</v>
      </c>
      <c r="C832" s="21" t="s">
        <v>1934</v>
      </c>
      <c r="D832" s="20" t="s">
        <v>2079</v>
      </c>
      <c r="E832" s="22" t="s">
        <v>2080</v>
      </c>
      <c r="F832" s="22" t="s">
        <v>1937</v>
      </c>
      <c r="G832" s="22" t="s">
        <v>1938</v>
      </c>
      <c r="H832" s="83" t="s">
        <v>2081</v>
      </c>
      <c r="I832" s="23" t="s">
        <v>24</v>
      </c>
      <c r="J832" s="24">
        <v>4080</v>
      </c>
      <c r="K832" s="25">
        <v>0.25</v>
      </c>
      <c r="L832" s="26">
        <f t="shared" si="116"/>
        <v>1020</v>
      </c>
      <c r="M832" s="27">
        <f t="shared" si="117"/>
        <v>3060</v>
      </c>
      <c r="N832" s="28">
        <v>0.16</v>
      </c>
      <c r="O832" s="29">
        <f t="shared" si="119"/>
        <v>489.6</v>
      </c>
      <c r="P832" s="30">
        <f t="shared" si="120"/>
        <v>3549.6</v>
      </c>
      <c r="Q832" s="23"/>
      <c r="R832" s="52"/>
      <c r="S832" s="53"/>
      <c r="T832" s="54">
        <f t="shared" si="124"/>
        <v>0</v>
      </c>
      <c r="U832" s="26">
        <f t="shared" si="124"/>
        <v>0</v>
      </c>
      <c r="V832" s="55">
        <f t="shared" si="123"/>
        <v>0</v>
      </c>
      <c r="W832" s="29">
        <f t="shared" si="118"/>
        <v>0</v>
      </c>
      <c r="X832" s="30">
        <f t="shared" si="121"/>
        <v>0</v>
      </c>
      <c r="Y832"/>
      <c r="Z832"/>
      <c r="AA832"/>
    </row>
    <row r="833" spans="1:27" s="51" customFormat="1" ht="18.600000000000001" hidden="1" customHeight="1" x14ac:dyDescent="0.25">
      <c r="A833" s="81" t="s">
        <v>16</v>
      </c>
      <c r="B833" s="31" t="s">
        <v>1933</v>
      </c>
      <c r="C833" s="32" t="s">
        <v>1934</v>
      </c>
      <c r="D833" s="31" t="s">
        <v>2082</v>
      </c>
      <c r="E833" s="33" t="s">
        <v>2083</v>
      </c>
      <c r="F833" s="33" t="s">
        <v>1937</v>
      </c>
      <c r="G833" s="33" t="s">
        <v>1938</v>
      </c>
      <c r="H833" s="84" t="s">
        <v>2084</v>
      </c>
      <c r="I833" s="23" t="s">
        <v>24</v>
      </c>
      <c r="J833" s="34">
        <v>1510</v>
      </c>
      <c r="K833" s="35">
        <v>0.25</v>
      </c>
      <c r="L833" s="36">
        <f t="shared" si="116"/>
        <v>377.5</v>
      </c>
      <c r="M833" s="37">
        <f t="shared" si="117"/>
        <v>1132.5</v>
      </c>
      <c r="N833" s="38">
        <v>0.16</v>
      </c>
      <c r="O833" s="39">
        <f t="shared" si="119"/>
        <v>181.20000000000002</v>
      </c>
      <c r="P833" s="40">
        <f t="shared" si="120"/>
        <v>1313.7</v>
      </c>
      <c r="Q833" s="23"/>
      <c r="R833" s="56"/>
      <c r="S833" s="57"/>
      <c r="T833" s="58">
        <f t="shared" si="124"/>
        <v>0</v>
      </c>
      <c r="U833" s="36">
        <f t="shared" si="124"/>
        <v>0</v>
      </c>
      <c r="V833" s="59">
        <f t="shared" si="123"/>
        <v>0</v>
      </c>
      <c r="W833" s="39">
        <f t="shared" si="118"/>
        <v>0</v>
      </c>
      <c r="X833" s="40">
        <f t="shared" si="121"/>
        <v>0</v>
      </c>
      <c r="Y833"/>
      <c r="Z833"/>
      <c r="AA833"/>
    </row>
    <row r="834" spans="1:27" s="51" customFormat="1" ht="18.600000000000001" hidden="1" customHeight="1" x14ac:dyDescent="0.25">
      <c r="A834" s="82" t="s">
        <v>16</v>
      </c>
      <c r="B834" s="41" t="s">
        <v>1933</v>
      </c>
      <c r="C834" s="42" t="s">
        <v>1934</v>
      </c>
      <c r="D834" s="41" t="s">
        <v>2085</v>
      </c>
      <c r="E834" s="43" t="s">
        <v>2086</v>
      </c>
      <c r="F834" s="43" t="s">
        <v>1937</v>
      </c>
      <c r="G834" s="43" t="s">
        <v>1938</v>
      </c>
      <c r="H834" s="85" t="s">
        <v>2087</v>
      </c>
      <c r="I834" s="23" t="s">
        <v>24</v>
      </c>
      <c r="J834" s="44">
        <v>1510</v>
      </c>
      <c r="K834" s="45">
        <v>0.25</v>
      </c>
      <c r="L834" s="46">
        <f t="shared" si="116"/>
        <v>377.5</v>
      </c>
      <c r="M834" s="47">
        <f t="shared" si="117"/>
        <v>1132.5</v>
      </c>
      <c r="N834" s="48">
        <v>0.16</v>
      </c>
      <c r="O834" s="49">
        <f t="shared" si="119"/>
        <v>181.20000000000002</v>
      </c>
      <c r="P834" s="50">
        <f t="shared" si="120"/>
        <v>1313.7</v>
      </c>
      <c r="Q834" s="23"/>
      <c r="R834" s="60"/>
      <c r="S834" s="61"/>
      <c r="T834" s="62">
        <f t="shared" si="124"/>
        <v>0</v>
      </c>
      <c r="U834" s="46">
        <f t="shared" si="124"/>
        <v>0</v>
      </c>
      <c r="V834" s="63">
        <f t="shared" si="123"/>
        <v>0</v>
      </c>
      <c r="W834" s="49">
        <f t="shared" si="118"/>
        <v>0</v>
      </c>
      <c r="X834" s="50">
        <f t="shared" si="121"/>
        <v>0</v>
      </c>
      <c r="Y834"/>
      <c r="Z834"/>
      <c r="AA834"/>
    </row>
    <row r="835" spans="1:27" s="51" customFormat="1" ht="18.600000000000001" hidden="1" customHeight="1" x14ac:dyDescent="0.25">
      <c r="A835" s="80" t="s">
        <v>16</v>
      </c>
      <c r="B835" s="20" t="s">
        <v>1933</v>
      </c>
      <c r="C835" s="21" t="s">
        <v>1934</v>
      </c>
      <c r="D835" s="20" t="s">
        <v>2088</v>
      </c>
      <c r="E835" s="22" t="s">
        <v>2089</v>
      </c>
      <c r="F835" s="22" t="s">
        <v>1937</v>
      </c>
      <c r="G835" s="22" t="s">
        <v>1938</v>
      </c>
      <c r="H835" s="83" t="s">
        <v>2090</v>
      </c>
      <c r="I835" s="23" t="s">
        <v>24</v>
      </c>
      <c r="J835" s="24">
        <v>1510</v>
      </c>
      <c r="K835" s="25">
        <v>0.25</v>
      </c>
      <c r="L835" s="26">
        <f t="shared" si="116"/>
        <v>377.5</v>
      </c>
      <c r="M835" s="27">
        <f t="shared" si="117"/>
        <v>1132.5</v>
      </c>
      <c r="N835" s="28">
        <v>0.16</v>
      </c>
      <c r="O835" s="29">
        <f t="shared" si="119"/>
        <v>181.20000000000002</v>
      </c>
      <c r="P835" s="30">
        <f t="shared" si="120"/>
        <v>1313.7</v>
      </c>
      <c r="Q835" s="23"/>
      <c r="R835" s="52"/>
      <c r="S835" s="53"/>
      <c r="T835" s="54">
        <f t="shared" si="124"/>
        <v>0</v>
      </c>
      <c r="U835" s="26">
        <f t="shared" si="124"/>
        <v>0</v>
      </c>
      <c r="V835" s="55">
        <f t="shared" si="123"/>
        <v>0</v>
      </c>
      <c r="W835" s="29">
        <f t="shared" si="118"/>
        <v>0</v>
      </c>
      <c r="X835" s="30">
        <f t="shared" si="121"/>
        <v>0</v>
      </c>
      <c r="Y835"/>
      <c r="Z835"/>
      <c r="AA835"/>
    </row>
    <row r="836" spans="1:27" s="51" customFormat="1" ht="18.600000000000001" hidden="1" customHeight="1" x14ac:dyDescent="0.25">
      <c r="A836" s="81" t="s">
        <v>16</v>
      </c>
      <c r="B836" s="31" t="s">
        <v>1933</v>
      </c>
      <c r="C836" s="32" t="s">
        <v>1934</v>
      </c>
      <c r="D836" s="31" t="s">
        <v>2091</v>
      </c>
      <c r="E836" s="33" t="s">
        <v>2092</v>
      </c>
      <c r="F836" s="33" t="s">
        <v>1937</v>
      </c>
      <c r="G836" s="33" t="s">
        <v>1938</v>
      </c>
      <c r="H836" s="84" t="s">
        <v>2093</v>
      </c>
      <c r="I836" s="23" t="s">
        <v>24</v>
      </c>
      <c r="J836" s="34">
        <v>1510</v>
      </c>
      <c r="K836" s="35">
        <v>0.25</v>
      </c>
      <c r="L836" s="36">
        <f t="shared" si="116"/>
        <v>377.5</v>
      </c>
      <c r="M836" s="37">
        <f t="shared" si="117"/>
        <v>1132.5</v>
      </c>
      <c r="N836" s="38">
        <v>0.16</v>
      </c>
      <c r="O836" s="39">
        <f t="shared" si="119"/>
        <v>181.20000000000002</v>
      </c>
      <c r="P836" s="40">
        <f t="shared" si="120"/>
        <v>1313.7</v>
      </c>
      <c r="Q836" s="23"/>
      <c r="R836" s="56"/>
      <c r="S836" s="57"/>
      <c r="T836" s="58">
        <f t="shared" si="124"/>
        <v>0</v>
      </c>
      <c r="U836" s="36">
        <f t="shared" si="124"/>
        <v>0</v>
      </c>
      <c r="V836" s="59">
        <f t="shared" si="123"/>
        <v>0</v>
      </c>
      <c r="W836" s="39">
        <f t="shared" si="118"/>
        <v>0</v>
      </c>
      <c r="X836" s="40">
        <f t="shared" si="121"/>
        <v>0</v>
      </c>
      <c r="Y836"/>
      <c r="Z836"/>
      <c r="AA836"/>
    </row>
    <row r="837" spans="1:27" s="51" customFormat="1" ht="18.600000000000001" hidden="1" customHeight="1" x14ac:dyDescent="0.25">
      <c r="A837" s="82" t="s">
        <v>16</v>
      </c>
      <c r="B837" s="41" t="s">
        <v>1933</v>
      </c>
      <c r="C837" s="42" t="s">
        <v>1934</v>
      </c>
      <c r="D837" s="41" t="s">
        <v>2094</v>
      </c>
      <c r="E837" s="43" t="s">
        <v>2095</v>
      </c>
      <c r="F837" s="43" t="s">
        <v>1937</v>
      </c>
      <c r="G837" s="43" t="s">
        <v>1938</v>
      </c>
      <c r="H837" s="85" t="s">
        <v>2096</v>
      </c>
      <c r="I837" s="23" t="s">
        <v>24</v>
      </c>
      <c r="J837" s="44">
        <v>1510</v>
      </c>
      <c r="K837" s="45">
        <v>0.25</v>
      </c>
      <c r="L837" s="46">
        <f t="shared" si="116"/>
        <v>377.5</v>
      </c>
      <c r="M837" s="47">
        <f t="shared" si="117"/>
        <v>1132.5</v>
      </c>
      <c r="N837" s="48">
        <v>0.16</v>
      </c>
      <c r="O837" s="49">
        <f t="shared" si="119"/>
        <v>181.20000000000002</v>
      </c>
      <c r="P837" s="50">
        <f t="shared" si="120"/>
        <v>1313.7</v>
      </c>
      <c r="Q837" s="23"/>
      <c r="R837" s="60"/>
      <c r="S837" s="61"/>
      <c r="T837" s="62">
        <f t="shared" si="124"/>
        <v>0</v>
      </c>
      <c r="U837" s="46">
        <f t="shared" si="124"/>
        <v>0</v>
      </c>
      <c r="V837" s="63">
        <f t="shared" si="123"/>
        <v>0</v>
      </c>
      <c r="W837" s="49">
        <f t="shared" si="118"/>
        <v>0</v>
      </c>
      <c r="X837" s="50">
        <f t="shared" si="121"/>
        <v>0</v>
      </c>
      <c r="Y837"/>
      <c r="Z837"/>
      <c r="AA837"/>
    </row>
    <row r="838" spans="1:27" s="51" customFormat="1" ht="18.600000000000001" hidden="1" customHeight="1" x14ac:dyDescent="0.25">
      <c r="A838" s="80" t="s">
        <v>16</v>
      </c>
      <c r="B838" s="20" t="s">
        <v>1933</v>
      </c>
      <c r="C838" s="21" t="s">
        <v>1934</v>
      </c>
      <c r="D838" s="20" t="s">
        <v>2097</v>
      </c>
      <c r="E838" s="22" t="s">
        <v>2098</v>
      </c>
      <c r="F838" s="22" t="s">
        <v>1937</v>
      </c>
      <c r="G838" s="22" t="s">
        <v>1938</v>
      </c>
      <c r="H838" s="83" t="s">
        <v>2099</v>
      </c>
      <c r="I838" s="23" t="s">
        <v>24</v>
      </c>
      <c r="J838" s="24">
        <v>1510</v>
      </c>
      <c r="K838" s="25">
        <v>0.25</v>
      </c>
      <c r="L838" s="26">
        <f t="shared" si="116"/>
        <v>377.5</v>
      </c>
      <c r="M838" s="27">
        <f t="shared" si="117"/>
        <v>1132.5</v>
      </c>
      <c r="N838" s="28">
        <v>0.16</v>
      </c>
      <c r="O838" s="29">
        <f t="shared" si="119"/>
        <v>181.20000000000002</v>
      </c>
      <c r="P838" s="30">
        <f t="shared" si="120"/>
        <v>1313.7</v>
      </c>
      <c r="Q838" s="23"/>
      <c r="R838" s="52"/>
      <c r="S838" s="53"/>
      <c r="T838" s="54">
        <f t="shared" si="124"/>
        <v>0</v>
      </c>
      <c r="U838" s="26">
        <f t="shared" si="124"/>
        <v>0</v>
      </c>
      <c r="V838" s="55">
        <f t="shared" si="123"/>
        <v>0</v>
      </c>
      <c r="W838" s="29">
        <f t="shared" si="118"/>
        <v>0</v>
      </c>
      <c r="X838" s="30">
        <f t="shared" si="121"/>
        <v>0</v>
      </c>
      <c r="Y838"/>
      <c r="Z838"/>
      <c r="AA838"/>
    </row>
    <row r="839" spans="1:27" s="51" customFormat="1" ht="18.600000000000001" hidden="1" customHeight="1" x14ac:dyDescent="0.25">
      <c r="A839" s="81" t="s">
        <v>16</v>
      </c>
      <c r="B839" s="31" t="s">
        <v>1933</v>
      </c>
      <c r="C839" s="32" t="s">
        <v>1934</v>
      </c>
      <c r="D839" s="31" t="s">
        <v>2100</v>
      </c>
      <c r="E839" s="33" t="s">
        <v>2101</v>
      </c>
      <c r="F839" s="33" t="s">
        <v>1937</v>
      </c>
      <c r="G839" s="33" t="s">
        <v>1938</v>
      </c>
      <c r="H839" s="84" t="s">
        <v>2102</v>
      </c>
      <c r="I839" s="23" t="s">
        <v>24</v>
      </c>
      <c r="J839" s="34">
        <v>1510</v>
      </c>
      <c r="K839" s="35">
        <v>0.25</v>
      </c>
      <c r="L839" s="36">
        <f t="shared" si="116"/>
        <v>377.5</v>
      </c>
      <c r="M839" s="37">
        <f t="shared" si="117"/>
        <v>1132.5</v>
      </c>
      <c r="N839" s="38">
        <v>0.16</v>
      </c>
      <c r="O839" s="39">
        <f t="shared" si="119"/>
        <v>181.20000000000002</v>
      </c>
      <c r="P839" s="40">
        <f t="shared" si="120"/>
        <v>1313.7</v>
      </c>
      <c r="Q839" s="23"/>
      <c r="R839" s="56"/>
      <c r="S839" s="57"/>
      <c r="T839" s="58">
        <f t="shared" si="124"/>
        <v>0</v>
      </c>
      <c r="U839" s="36">
        <f t="shared" si="124"/>
        <v>0</v>
      </c>
      <c r="V839" s="59">
        <f t="shared" si="123"/>
        <v>0</v>
      </c>
      <c r="W839" s="39">
        <f t="shared" si="118"/>
        <v>0</v>
      </c>
      <c r="X839" s="40">
        <f t="shared" si="121"/>
        <v>0</v>
      </c>
      <c r="Y839"/>
      <c r="Z839"/>
      <c r="AA839"/>
    </row>
    <row r="840" spans="1:27" s="51" customFormat="1" ht="18.600000000000001" hidden="1" customHeight="1" x14ac:dyDescent="0.25">
      <c r="A840" s="82" t="s">
        <v>16</v>
      </c>
      <c r="B840" s="41" t="s">
        <v>1933</v>
      </c>
      <c r="C840" s="42" t="s">
        <v>1934</v>
      </c>
      <c r="D840" s="41" t="s">
        <v>2103</v>
      </c>
      <c r="E840" s="43" t="s">
        <v>2104</v>
      </c>
      <c r="F840" s="43" t="s">
        <v>1937</v>
      </c>
      <c r="G840" s="43" t="s">
        <v>2105</v>
      </c>
      <c r="H840" s="85" t="s">
        <v>2102</v>
      </c>
      <c r="I840" s="23" t="s">
        <v>24</v>
      </c>
      <c r="J840" s="44">
        <v>1210</v>
      </c>
      <c r="K840" s="45">
        <v>0.25</v>
      </c>
      <c r="L840" s="46">
        <f t="shared" si="116"/>
        <v>302.5</v>
      </c>
      <c r="M840" s="47">
        <f t="shared" si="117"/>
        <v>907.5</v>
      </c>
      <c r="N840" s="48">
        <v>0.16</v>
      </c>
      <c r="O840" s="49">
        <f t="shared" si="119"/>
        <v>145.20000000000002</v>
      </c>
      <c r="P840" s="50">
        <f t="shared" si="120"/>
        <v>1052.7</v>
      </c>
      <c r="Q840" s="23"/>
      <c r="R840" s="60"/>
      <c r="S840" s="61"/>
      <c r="T840" s="62">
        <f t="shared" si="124"/>
        <v>0</v>
      </c>
      <c r="U840" s="46">
        <f t="shared" si="124"/>
        <v>0</v>
      </c>
      <c r="V840" s="63">
        <f t="shared" si="123"/>
        <v>0</v>
      </c>
      <c r="W840" s="49">
        <f t="shared" si="118"/>
        <v>0</v>
      </c>
      <c r="X840" s="50">
        <f t="shared" si="121"/>
        <v>0</v>
      </c>
      <c r="Y840"/>
      <c r="Z840"/>
      <c r="AA840"/>
    </row>
    <row r="841" spans="1:27" s="51" customFormat="1" ht="18.600000000000001" hidden="1" customHeight="1" x14ac:dyDescent="0.25">
      <c r="A841" s="80" t="s">
        <v>16</v>
      </c>
      <c r="B841" s="20" t="s">
        <v>1933</v>
      </c>
      <c r="C841" s="21" t="s">
        <v>1934</v>
      </c>
      <c r="D841" s="20" t="s">
        <v>2106</v>
      </c>
      <c r="E841" s="22" t="s">
        <v>2107</v>
      </c>
      <c r="F841" s="22" t="s">
        <v>1937</v>
      </c>
      <c r="G841" s="22" t="s">
        <v>2105</v>
      </c>
      <c r="H841" s="83" t="s">
        <v>2108</v>
      </c>
      <c r="I841" s="23" t="s">
        <v>24</v>
      </c>
      <c r="J841" s="24">
        <v>1210</v>
      </c>
      <c r="K841" s="25">
        <v>0.25</v>
      </c>
      <c r="L841" s="26">
        <f t="shared" si="116"/>
        <v>302.5</v>
      </c>
      <c r="M841" s="27">
        <f t="shared" si="117"/>
        <v>907.5</v>
      </c>
      <c r="N841" s="28">
        <v>0.16</v>
      </c>
      <c r="O841" s="29">
        <f t="shared" si="119"/>
        <v>145.20000000000002</v>
      </c>
      <c r="P841" s="30">
        <f t="shared" si="120"/>
        <v>1052.7</v>
      </c>
      <c r="Q841" s="23"/>
      <c r="R841" s="52"/>
      <c r="S841" s="53"/>
      <c r="T841" s="54">
        <f t="shared" si="124"/>
        <v>0</v>
      </c>
      <c r="U841" s="26">
        <f t="shared" si="124"/>
        <v>0</v>
      </c>
      <c r="V841" s="55">
        <f t="shared" si="123"/>
        <v>0</v>
      </c>
      <c r="W841" s="29">
        <f t="shared" si="118"/>
        <v>0</v>
      </c>
      <c r="X841" s="30">
        <f t="shared" si="121"/>
        <v>0</v>
      </c>
      <c r="Y841"/>
      <c r="Z841"/>
      <c r="AA841"/>
    </row>
    <row r="842" spans="1:27" s="51" customFormat="1" ht="18.600000000000001" hidden="1" customHeight="1" x14ac:dyDescent="0.25">
      <c r="A842" s="81" t="s">
        <v>16</v>
      </c>
      <c r="B842" s="31" t="s">
        <v>1933</v>
      </c>
      <c r="C842" s="32" t="s">
        <v>1934</v>
      </c>
      <c r="D842" s="31" t="s">
        <v>2109</v>
      </c>
      <c r="E842" s="33" t="s">
        <v>2110</v>
      </c>
      <c r="F842" s="33" t="s">
        <v>1937</v>
      </c>
      <c r="G842" s="33" t="s">
        <v>2105</v>
      </c>
      <c r="H842" s="84" t="s">
        <v>2111</v>
      </c>
      <c r="I842" s="23" t="s">
        <v>24</v>
      </c>
      <c r="J842" s="34">
        <v>1210</v>
      </c>
      <c r="K842" s="35">
        <v>0.25</v>
      </c>
      <c r="L842" s="36">
        <f t="shared" ref="L842:L905" si="125">+J842*K842</f>
        <v>302.5</v>
      </c>
      <c r="M842" s="37">
        <f t="shared" ref="M842:M905" si="126">+J842-L842</f>
        <v>907.5</v>
      </c>
      <c r="N842" s="38">
        <v>0.16</v>
      </c>
      <c r="O842" s="39">
        <f t="shared" si="119"/>
        <v>145.20000000000002</v>
      </c>
      <c r="P842" s="40">
        <f t="shared" si="120"/>
        <v>1052.7</v>
      </c>
      <c r="Q842" s="23"/>
      <c r="R842" s="56"/>
      <c r="S842" s="57"/>
      <c r="T842" s="58">
        <f t="shared" si="124"/>
        <v>0</v>
      </c>
      <c r="U842" s="36">
        <f t="shared" si="124"/>
        <v>0</v>
      </c>
      <c r="V842" s="59">
        <f t="shared" si="123"/>
        <v>0</v>
      </c>
      <c r="W842" s="39">
        <f t="shared" ref="W842:W905" si="127">+V842*N842</f>
        <v>0</v>
      </c>
      <c r="X842" s="40">
        <f t="shared" si="121"/>
        <v>0</v>
      </c>
      <c r="Y842"/>
      <c r="Z842"/>
      <c r="AA842"/>
    </row>
    <row r="843" spans="1:27" s="51" customFormat="1" ht="18.600000000000001" hidden="1" customHeight="1" x14ac:dyDescent="0.25">
      <c r="A843" s="82" t="s">
        <v>16</v>
      </c>
      <c r="B843" s="41" t="s">
        <v>1933</v>
      </c>
      <c r="C843" s="42" t="s">
        <v>1934</v>
      </c>
      <c r="D843" s="41" t="s">
        <v>2112</v>
      </c>
      <c r="E843" s="43" t="s">
        <v>2113</v>
      </c>
      <c r="F843" s="43" t="s">
        <v>1937</v>
      </c>
      <c r="G843" s="43" t="s">
        <v>2105</v>
      </c>
      <c r="H843" s="85" t="s">
        <v>2114</v>
      </c>
      <c r="I843" s="23" t="s">
        <v>24</v>
      </c>
      <c r="J843" s="44">
        <v>1210</v>
      </c>
      <c r="K843" s="45">
        <v>0.25</v>
      </c>
      <c r="L843" s="46">
        <f t="shared" si="125"/>
        <v>302.5</v>
      </c>
      <c r="M843" s="47">
        <f t="shared" si="126"/>
        <v>907.5</v>
      </c>
      <c r="N843" s="48">
        <v>0.16</v>
      </c>
      <c r="O843" s="49">
        <f t="shared" ref="O843:O906" si="128">+M843*N843</f>
        <v>145.20000000000002</v>
      </c>
      <c r="P843" s="50">
        <f t="shared" ref="P843:P906" si="129">+M843+O843</f>
        <v>1052.7</v>
      </c>
      <c r="Q843" s="23"/>
      <c r="R843" s="60"/>
      <c r="S843" s="61"/>
      <c r="T843" s="62">
        <f t="shared" si="124"/>
        <v>0</v>
      </c>
      <c r="U843" s="46">
        <f t="shared" si="124"/>
        <v>0</v>
      </c>
      <c r="V843" s="63">
        <f t="shared" si="123"/>
        <v>0</v>
      </c>
      <c r="W843" s="49">
        <f t="shared" si="127"/>
        <v>0</v>
      </c>
      <c r="X843" s="50">
        <f t="shared" ref="X843:X906" si="130">+V843+W843</f>
        <v>0</v>
      </c>
      <c r="Y843"/>
      <c r="Z843"/>
      <c r="AA843"/>
    </row>
    <row r="844" spans="1:27" s="51" customFormat="1" ht="18.600000000000001" hidden="1" customHeight="1" x14ac:dyDescent="0.25">
      <c r="A844" s="80" t="s">
        <v>16</v>
      </c>
      <c r="B844" s="20" t="s">
        <v>1933</v>
      </c>
      <c r="C844" s="21" t="s">
        <v>1934</v>
      </c>
      <c r="D844" s="20" t="s">
        <v>2115</v>
      </c>
      <c r="E844" s="22" t="s">
        <v>2116</v>
      </c>
      <c r="F844" s="22" t="s">
        <v>1937</v>
      </c>
      <c r="G844" s="22" t="s">
        <v>2105</v>
      </c>
      <c r="H844" s="83" t="s">
        <v>2117</v>
      </c>
      <c r="I844" s="23" t="s">
        <v>24</v>
      </c>
      <c r="J844" s="24">
        <v>1210</v>
      </c>
      <c r="K844" s="25">
        <v>0.25</v>
      </c>
      <c r="L844" s="26">
        <f t="shared" si="125"/>
        <v>302.5</v>
      </c>
      <c r="M844" s="27">
        <f t="shared" si="126"/>
        <v>907.5</v>
      </c>
      <c r="N844" s="28">
        <v>0.16</v>
      </c>
      <c r="O844" s="29">
        <f t="shared" si="128"/>
        <v>145.20000000000002</v>
      </c>
      <c r="P844" s="30">
        <f t="shared" si="129"/>
        <v>1052.7</v>
      </c>
      <c r="Q844" s="23"/>
      <c r="R844" s="52"/>
      <c r="S844" s="53"/>
      <c r="T844" s="54">
        <f t="shared" si="124"/>
        <v>0</v>
      </c>
      <c r="U844" s="26">
        <f t="shared" si="124"/>
        <v>0</v>
      </c>
      <c r="V844" s="55">
        <f t="shared" si="123"/>
        <v>0</v>
      </c>
      <c r="W844" s="29">
        <f t="shared" si="127"/>
        <v>0</v>
      </c>
      <c r="X844" s="30">
        <f t="shared" si="130"/>
        <v>0</v>
      </c>
      <c r="Y844"/>
      <c r="Z844"/>
      <c r="AA844"/>
    </row>
    <row r="845" spans="1:27" s="51" customFormat="1" ht="18.600000000000001" hidden="1" customHeight="1" x14ac:dyDescent="0.25">
      <c r="A845" s="81" t="s">
        <v>16</v>
      </c>
      <c r="B845" s="31" t="s">
        <v>1933</v>
      </c>
      <c r="C845" s="32" t="s">
        <v>1934</v>
      </c>
      <c r="D845" s="31" t="s">
        <v>2118</v>
      </c>
      <c r="E845" s="33" t="s">
        <v>2119</v>
      </c>
      <c r="F845" s="33" t="s">
        <v>1937</v>
      </c>
      <c r="G845" s="33" t="s">
        <v>2105</v>
      </c>
      <c r="H845" s="84" t="s">
        <v>2120</v>
      </c>
      <c r="I845" s="23" t="s">
        <v>24</v>
      </c>
      <c r="J845" s="34">
        <v>1210</v>
      </c>
      <c r="K845" s="35">
        <v>0.25</v>
      </c>
      <c r="L845" s="36">
        <f t="shared" si="125"/>
        <v>302.5</v>
      </c>
      <c r="M845" s="37">
        <f t="shared" si="126"/>
        <v>907.5</v>
      </c>
      <c r="N845" s="38">
        <v>0.16</v>
      </c>
      <c r="O845" s="39">
        <f t="shared" si="128"/>
        <v>145.20000000000002</v>
      </c>
      <c r="P845" s="40">
        <f t="shared" si="129"/>
        <v>1052.7</v>
      </c>
      <c r="Q845" s="23"/>
      <c r="R845" s="56"/>
      <c r="S845" s="57"/>
      <c r="T845" s="58">
        <f t="shared" si="124"/>
        <v>0</v>
      </c>
      <c r="U845" s="36">
        <f t="shared" si="124"/>
        <v>0</v>
      </c>
      <c r="V845" s="59">
        <f t="shared" si="123"/>
        <v>0</v>
      </c>
      <c r="W845" s="39">
        <f t="shared" si="127"/>
        <v>0</v>
      </c>
      <c r="X845" s="40">
        <f t="shared" si="130"/>
        <v>0</v>
      </c>
      <c r="Y845"/>
      <c r="Z845"/>
      <c r="AA845"/>
    </row>
    <row r="846" spans="1:27" s="51" customFormat="1" ht="18.600000000000001" hidden="1" customHeight="1" x14ac:dyDescent="0.25">
      <c r="A846" s="82" t="s">
        <v>16</v>
      </c>
      <c r="B846" s="41" t="s">
        <v>1933</v>
      </c>
      <c r="C846" s="42" t="s">
        <v>1934</v>
      </c>
      <c r="D846" s="41" t="s">
        <v>2121</v>
      </c>
      <c r="E846" s="43" t="s">
        <v>2122</v>
      </c>
      <c r="F846" s="43" t="s">
        <v>1937</v>
      </c>
      <c r="G846" s="43" t="s">
        <v>2105</v>
      </c>
      <c r="H846" s="85" t="s">
        <v>2123</v>
      </c>
      <c r="I846" s="23" t="s">
        <v>24</v>
      </c>
      <c r="J846" s="44">
        <v>3630</v>
      </c>
      <c r="K846" s="45">
        <v>0.25</v>
      </c>
      <c r="L846" s="46">
        <f t="shared" si="125"/>
        <v>907.5</v>
      </c>
      <c r="M846" s="47">
        <f t="shared" si="126"/>
        <v>2722.5</v>
      </c>
      <c r="N846" s="48">
        <v>0.16</v>
      </c>
      <c r="O846" s="49">
        <f t="shared" si="128"/>
        <v>435.6</v>
      </c>
      <c r="P846" s="50">
        <f t="shared" si="129"/>
        <v>3158.1</v>
      </c>
      <c r="Q846" s="23"/>
      <c r="R846" s="60"/>
      <c r="S846" s="61"/>
      <c r="T846" s="62">
        <f t="shared" si="124"/>
        <v>0</v>
      </c>
      <c r="U846" s="46">
        <f t="shared" si="124"/>
        <v>0</v>
      </c>
      <c r="V846" s="63">
        <f t="shared" si="123"/>
        <v>0</v>
      </c>
      <c r="W846" s="49">
        <f t="shared" si="127"/>
        <v>0</v>
      </c>
      <c r="X846" s="50">
        <f t="shared" si="130"/>
        <v>0</v>
      </c>
      <c r="Y846"/>
      <c r="Z846"/>
      <c r="AA846"/>
    </row>
    <row r="847" spans="1:27" s="51" customFormat="1" ht="18.600000000000001" hidden="1" customHeight="1" x14ac:dyDescent="0.25">
      <c r="A847" s="80" t="s">
        <v>16</v>
      </c>
      <c r="B847" s="20" t="s">
        <v>1933</v>
      </c>
      <c r="C847" s="21" t="s">
        <v>1934</v>
      </c>
      <c r="D847" s="20" t="s">
        <v>2124</v>
      </c>
      <c r="E847" s="22" t="s">
        <v>2125</v>
      </c>
      <c r="F847" s="22" t="s">
        <v>1937</v>
      </c>
      <c r="G847" s="22" t="s">
        <v>2126</v>
      </c>
      <c r="H847" s="83" t="s">
        <v>2032</v>
      </c>
      <c r="I847" s="23" t="s">
        <v>24</v>
      </c>
      <c r="J847" s="24">
        <v>2120</v>
      </c>
      <c r="K847" s="25">
        <v>0.25</v>
      </c>
      <c r="L847" s="26">
        <f t="shared" si="125"/>
        <v>530</v>
      </c>
      <c r="M847" s="27">
        <f t="shared" si="126"/>
        <v>1590</v>
      </c>
      <c r="N847" s="28">
        <v>0.16</v>
      </c>
      <c r="O847" s="29">
        <f t="shared" si="128"/>
        <v>254.4</v>
      </c>
      <c r="P847" s="30">
        <f t="shared" si="129"/>
        <v>1844.4</v>
      </c>
      <c r="Q847" s="23"/>
      <c r="R847" s="52"/>
      <c r="S847" s="53"/>
      <c r="T847" s="54">
        <f t="shared" si="124"/>
        <v>0</v>
      </c>
      <c r="U847" s="26">
        <f t="shared" si="124"/>
        <v>0</v>
      </c>
      <c r="V847" s="55">
        <f t="shared" si="123"/>
        <v>0</v>
      </c>
      <c r="W847" s="29">
        <f t="shared" si="127"/>
        <v>0</v>
      </c>
      <c r="X847" s="30">
        <f t="shared" si="130"/>
        <v>0</v>
      </c>
      <c r="Y847"/>
      <c r="Z847"/>
      <c r="AA847"/>
    </row>
    <row r="848" spans="1:27" s="51" customFormat="1" ht="18.600000000000001" hidden="1" customHeight="1" x14ac:dyDescent="0.25">
      <c r="A848" s="81" t="s">
        <v>16</v>
      </c>
      <c r="B848" s="31" t="s">
        <v>1933</v>
      </c>
      <c r="C848" s="32" t="s">
        <v>1934</v>
      </c>
      <c r="D848" s="31" t="s">
        <v>2127</v>
      </c>
      <c r="E848" s="33" t="s">
        <v>2128</v>
      </c>
      <c r="F848" s="33" t="s">
        <v>1937</v>
      </c>
      <c r="G848" s="33" t="s">
        <v>2126</v>
      </c>
      <c r="H848" s="84" t="s">
        <v>2035</v>
      </c>
      <c r="I848" s="23" t="s">
        <v>24</v>
      </c>
      <c r="J848" s="34">
        <v>1510</v>
      </c>
      <c r="K848" s="35">
        <v>0.25</v>
      </c>
      <c r="L848" s="36">
        <f t="shared" si="125"/>
        <v>377.5</v>
      </c>
      <c r="M848" s="37">
        <f t="shared" si="126"/>
        <v>1132.5</v>
      </c>
      <c r="N848" s="38">
        <v>0.16</v>
      </c>
      <c r="O848" s="39">
        <f t="shared" si="128"/>
        <v>181.20000000000002</v>
      </c>
      <c r="P848" s="40">
        <f t="shared" si="129"/>
        <v>1313.7</v>
      </c>
      <c r="Q848" s="23"/>
      <c r="R848" s="56"/>
      <c r="S848" s="57"/>
      <c r="T848" s="58">
        <f t="shared" si="124"/>
        <v>0</v>
      </c>
      <c r="U848" s="36">
        <f t="shared" si="124"/>
        <v>0</v>
      </c>
      <c r="V848" s="59">
        <f t="shared" si="123"/>
        <v>0</v>
      </c>
      <c r="W848" s="39">
        <f t="shared" si="127"/>
        <v>0</v>
      </c>
      <c r="X848" s="40">
        <f t="shared" si="130"/>
        <v>0</v>
      </c>
      <c r="Y848"/>
      <c r="Z848"/>
      <c r="AA848"/>
    </row>
    <row r="849" spans="1:27" s="51" customFormat="1" ht="18.600000000000001" hidden="1" customHeight="1" x14ac:dyDescent="0.25">
      <c r="A849" s="82" t="s">
        <v>16</v>
      </c>
      <c r="B849" s="41" t="s">
        <v>1933</v>
      </c>
      <c r="C849" s="42" t="s">
        <v>1934</v>
      </c>
      <c r="D849" s="41" t="s">
        <v>2129</v>
      </c>
      <c r="E849" s="43" t="s">
        <v>2130</v>
      </c>
      <c r="F849" s="43" t="s">
        <v>1937</v>
      </c>
      <c r="G849" s="43" t="s">
        <v>2105</v>
      </c>
      <c r="H849" s="85" t="s">
        <v>2131</v>
      </c>
      <c r="I849" s="23" t="s">
        <v>24</v>
      </c>
      <c r="J849" s="44">
        <v>750</v>
      </c>
      <c r="K849" s="45">
        <v>0.25</v>
      </c>
      <c r="L849" s="46">
        <f t="shared" si="125"/>
        <v>187.5</v>
      </c>
      <c r="M849" s="47">
        <f t="shared" si="126"/>
        <v>562.5</v>
      </c>
      <c r="N849" s="48">
        <v>0.16</v>
      </c>
      <c r="O849" s="49">
        <f t="shared" si="128"/>
        <v>90</v>
      </c>
      <c r="P849" s="50">
        <f t="shared" si="129"/>
        <v>652.5</v>
      </c>
      <c r="Q849" s="23"/>
      <c r="R849" s="60"/>
      <c r="S849" s="61"/>
      <c r="T849" s="62">
        <f t="shared" si="124"/>
        <v>0</v>
      </c>
      <c r="U849" s="46">
        <f t="shared" si="124"/>
        <v>0</v>
      </c>
      <c r="V849" s="63">
        <f t="shared" si="123"/>
        <v>0</v>
      </c>
      <c r="W849" s="49">
        <f t="shared" si="127"/>
        <v>0</v>
      </c>
      <c r="X849" s="50">
        <f t="shared" si="130"/>
        <v>0</v>
      </c>
      <c r="Y849"/>
      <c r="Z849"/>
      <c r="AA849"/>
    </row>
    <row r="850" spans="1:27" s="51" customFormat="1" ht="18.600000000000001" hidden="1" customHeight="1" x14ac:dyDescent="0.25">
      <c r="A850" s="80" t="s">
        <v>16</v>
      </c>
      <c r="B850" s="20" t="s">
        <v>1933</v>
      </c>
      <c r="C850" s="21" t="s">
        <v>1934</v>
      </c>
      <c r="D850" s="20" t="s">
        <v>2132</v>
      </c>
      <c r="E850" s="22" t="s">
        <v>2133</v>
      </c>
      <c r="F850" s="22" t="s">
        <v>1937</v>
      </c>
      <c r="G850" s="22" t="s">
        <v>2105</v>
      </c>
      <c r="H850" s="83" t="s">
        <v>2134</v>
      </c>
      <c r="I850" s="23" t="s">
        <v>24</v>
      </c>
      <c r="J850" s="24">
        <v>1210</v>
      </c>
      <c r="K850" s="25">
        <v>0.25</v>
      </c>
      <c r="L850" s="26">
        <f t="shared" si="125"/>
        <v>302.5</v>
      </c>
      <c r="M850" s="27">
        <f t="shared" si="126"/>
        <v>907.5</v>
      </c>
      <c r="N850" s="28">
        <v>0.16</v>
      </c>
      <c r="O850" s="29">
        <f t="shared" si="128"/>
        <v>145.20000000000002</v>
      </c>
      <c r="P850" s="30">
        <f t="shared" si="129"/>
        <v>1052.7</v>
      </c>
      <c r="Q850" s="23"/>
      <c r="R850" s="52"/>
      <c r="S850" s="53"/>
      <c r="T850" s="54">
        <f t="shared" si="124"/>
        <v>0</v>
      </c>
      <c r="U850" s="26">
        <f t="shared" si="124"/>
        <v>0</v>
      </c>
      <c r="V850" s="55">
        <f t="shared" si="123"/>
        <v>0</v>
      </c>
      <c r="W850" s="29">
        <f t="shared" si="127"/>
        <v>0</v>
      </c>
      <c r="X850" s="30">
        <f t="shared" si="130"/>
        <v>0</v>
      </c>
      <c r="Y850"/>
      <c r="Z850"/>
      <c r="AA850"/>
    </row>
    <row r="851" spans="1:27" s="51" customFormat="1" ht="18.600000000000001" hidden="1" customHeight="1" x14ac:dyDescent="0.25">
      <c r="A851" s="81" t="s">
        <v>16</v>
      </c>
      <c r="B851" s="31" t="s">
        <v>1933</v>
      </c>
      <c r="C851" s="32" t="s">
        <v>1934</v>
      </c>
      <c r="D851" s="31" t="s">
        <v>2135</v>
      </c>
      <c r="E851" s="33" t="s">
        <v>2136</v>
      </c>
      <c r="F851" s="33" t="s">
        <v>1937</v>
      </c>
      <c r="G851" s="33" t="s">
        <v>2105</v>
      </c>
      <c r="H851" s="84" t="s">
        <v>2137</v>
      </c>
      <c r="I851" s="23" t="s">
        <v>24</v>
      </c>
      <c r="J851" s="34">
        <v>750</v>
      </c>
      <c r="K851" s="35">
        <v>0.25</v>
      </c>
      <c r="L851" s="36">
        <f t="shared" si="125"/>
        <v>187.5</v>
      </c>
      <c r="M851" s="37">
        <f t="shared" si="126"/>
        <v>562.5</v>
      </c>
      <c r="N851" s="38">
        <v>0.16</v>
      </c>
      <c r="O851" s="39">
        <f t="shared" si="128"/>
        <v>90</v>
      </c>
      <c r="P851" s="40">
        <f t="shared" si="129"/>
        <v>652.5</v>
      </c>
      <c r="Q851" s="23"/>
      <c r="R851" s="56"/>
      <c r="S851" s="57"/>
      <c r="T851" s="58">
        <f t="shared" si="124"/>
        <v>0</v>
      </c>
      <c r="U851" s="36">
        <f t="shared" si="124"/>
        <v>0</v>
      </c>
      <c r="V851" s="59">
        <f t="shared" si="123"/>
        <v>0</v>
      </c>
      <c r="W851" s="39">
        <f t="shared" si="127"/>
        <v>0</v>
      </c>
      <c r="X851" s="40">
        <f t="shared" si="130"/>
        <v>0</v>
      </c>
      <c r="Y851"/>
      <c r="Z851"/>
      <c r="AA851"/>
    </row>
    <row r="852" spans="1:27" s="51" customFormat="1" ht="18.600000000000001" hidden="1" customHeight="1" x14ac:dyDescent="0.25">
      <c r="A852" s="82" t="s">
        <v>16</v>
      </c>
      <c r="B852" s="41" t="s">
        <v>1933</v>
      </c>
      <c r="C852" s="42" t="s">
        <v>1934</v>
      </c>
      <c r="D852" s="41">
        <v>8435635304315</v>
      </c>
      <c r="E852" s="43" t="s">
        <v>2138</v>
      </c>
      <c r="F852" s="43" t="s">
        <v>1937</v>
      </c>
      <c r="G852" s="43" t="s">
        <v>2105</v>
      </c>
      <c r="H852" s="85" t="s">
        <v>2139</v>
      </c>
      <c r="I852" s="23" t="s">
        <v>24</v>
      </c>
      <c r="J852" s="44">
        <v>1510</v>
      </c>
      <c r="K852" s="45">
        <v>0.25</v>
      </c>
      <c r="L852" s="46">
        <f t="shared" si="125"/>
        <v>377.5</v>
      </c>
      <c r="M852" s="47">
        <f t="shared" si="126"/>
        <v>1132.5</v>
      </c>
      <c r="N852" s="48">
        <v>0.16</v>
      </c>
      <c r="O852" s="49">
        <f t="shared" si="128"/>
        <v>181.20000000000002</v>
      </c>
      <c r="P852" s="50">
        <f t="shared" si="129"/>
        <v>1313.7</v>
      </c>
      <c r="Q852" s="23"/>
      <c r="R852" s="60"/>
      <c r="S852" s="61"/>
      <c r="T852" s="62">
        <f t="shared" si="124"/>
        <v>0</v>
      </c>
      <c r="U852" s="46">
        <f t="shared" si="124"/>
        <v>0</v>
      </c>
      <c r="V852" s="63">
        <f t="shared" si="123"/>
        <v>0</v>
      </c>
      <c r="W852" s="49">
        <f t="shared" si="127"/>
        <v>0</v>
      </c>
      <c r="X852" s="50">
        <f t="shared" si="130"/>
        <v>0</v>
      </c>
      <c r="Y852"/>
      <c r="Z852"/>
      <c r="AA852"/>
    </row>
    <row r="853" spans="1:27" s="51" customFormat="1" ht="18.600000000000001" hidden="1" customHeight="1" x14ac:dyDescent="0.25">
      <c r="A853" s="80" t="s">
        <v>16</v>
      </c>
      <c r="B853" s="20" t="s">
        <v>1933</v>
      </c>
      <c r="C853" s="21" t="s">
        <v>1934</v>
      </c>
      <c r="D853" s="20">
        <v>8435635308351</v>
      </c>
      <c r="E853" s="22" t="s">
        <v>2140</v>
      </c>
      <c r="F853" s="22" t="s">
        <v>1937</v>
      </c>
      <c r="G853" s="22" t="s">
        <v>2105</v>
      </c>
      <c r="H853" s="83" t="s">
        <v>2141</v>
      </c>
      <c r="I853" s="23" t="s">
        <v>24</v>
      </c>
      <c r="J853" s="24">
        <v>1510</v>
      </c>
      <c r="K853" s="25">
        <v>0.25</v>
      </c>
      <c r="L853" s="26">
        <f t="shared" si="125"/>
        <v>377.5</v>
      </c>
      <c r="M853" s="27">
        <f t="shared" si="126"/>
        <v>1132.5</v>
      </c>
      <c r="N853" s="28">
        <v>0.16</v>
      </c>
      <c r="O853" s="29">
        <f t="shared" si="128"/>
        <v>181.20000000000002</v>
      </c>
      <c r="P853" s="30">
        <f t="shared" si="129"/>
        <v>1313.7</v>
      </c>
      <c r="Q853" s="23"/>
      <c r="R853" s="52"/>
      <c r="S853" s="53"/>
      <c r="T853" s="54">
        <f t="shared" si="124"/>
        <v>0</v>
      </c>
      <c r="U853" s="26">
        <f t="shared" si="124"/>
        <v>0</v>
      </c>
      <c r="V853" s="55">
        <f t="shared" si="123"/>
        <v>0</v>
      </c>
      <c r="W853" s="29">
        <f t="shared" si="127"/>
        <v>0</v>
      </c>
      <c r="X853" s="30">
        <f t="shared" si="130"/>
        <v>0</v>
      </c>
      <c r="Y853"/>
      <c r="Z853"/>
      <c r="AA853"/>
    </row>
    <row r="854" spans="1:27" s="51" customFormat="1" ht="18.600000000000001" hidden="1" customHeight="1" x14ac:dyDescent="0.25">
      <c r="A854" s="81" t="s">
        <v>16</v>
      </c>
      <c r="B854" s="31" t="s">
        <v>1933</v>
      </c>
      <c r="C854" s="32" t="s">
        <v>1934</v>
      </c>
      <c r="D854" s="31" t="s">
        <v>2142</v>
      </c>
      <c r="E854" s="33" t="s">
        <v>2143</v>
      </c>
      <c r="F854" s="33" t="s">
        <v>1937</v>
      </c>
      <c r="G854" s="33" t="s">
        <v>2105</v>
      </c>
      <c r="H854" s="84" t="s">
        <v>2011</v>
      </c>
      <c r="I854" s="23" t="s">
        <v>24</v>
      </c>
      <c r="J854" s="34">
        <v>1210</v>
      </c>
      <c r="K854" s="35">
        <v>0.25</v>
      </c>
      <c r="L854" s="36">
        <f t="shared" si="125"/>
        <v>302.5</v>
      </c>
      <c r="M854" s="37">
        <f t="shared" si="126"/>
        <v>907.5</v>
      </c>
      <c r="N854" s="38">
        <v>0.16</v>
      </c>
      <c r="O854" s="39">
        <f t="shared" si="128"/>
        <v>145.20000000000002</v>
      </c>
      <c r="P854" s="40">
        <f t="shared" si="129"/>
        <v>1052.7</v>
      </c>
      <c r="Q854" s="23"/>
      <c r="R854" s="56"/>
      <c r="S854" s="57"/>
      <c r="T854" s="58">
        <f t="shared" si="124"/>
        <v>0</v>
      </c>
      <c r="U854" s="36">
        <f t="shared" si="124"/>
        <v>0</v>
      </c>
      <c r="V854" s="59">
        <f t="shared" si="123"/>
        <v>0</v>
      </c>
      <c r="W854" s="39">
        <f t="shared" si="127"/>
        <v>0</v>
      </c>
      <c r="X854" s="40">
        <f t="shared" si="130"/>
        <v>0</v>
      </c>
      <c r="Y854"/>
      <c r="Z854"/>
      <c r="AA854"/>
    </row>
    <row r="855" spans="1:27" s="51" customFormat="1" ht="18.600000000000001" hidden="1" customHeight="1" x14ac:dyDescent="0.25">
      <c r="A855" s="82" t="s">
        <v>16</v>
      </c>
      <c r="B855" s="41" t="s">
        <v>1933</v>
      </c>
      <c r="C855" s="42" t="s">
        <v>1934</v>
      </c>
      <c r="D855" s="41" t="s">
        <v>2144</v>
      </c>
      <c r="E855" s="43" t="s">
        <v>2145</v>
      </c>
      <c r="F855" s="43" t="s">
        <v>1937</v>
      </c>
      <c r="G855" s="43" t="s">
        <v>2105</v>
      </c>
      <c r="H855" s="85" t="s">
        <v>2090</v>
      </c>
      <c r="I855" s="23" t="s">
        <v>24</v>
      </c>
      <c r="J855" s="44">
        <v>1210</v>
      </c>
      <c r="K855" s="45">
        <v>0.25</v>
      </c>
      <c r="L855" s="46">
        <f t="shared" si="125"/>
        <v>302.5</v>
      </c>
      <c r="M855" s="47">
        <f t="shared" si="126"/>
        <v>907.5</v>
      </c>
      <c r="N855" s="48">
        <v>0.16</v>
      </c>
      <c r="O855" s="49">
        <f t="shared" si="128"/>
        <v>145.20000000000002</v>
      </c>
      <c r="P855" s="50">
        <f t="shared" si="129"/>
        <v>1052.7</v>
      </c>
      <c r="Q855" s="23"/>
      <c r="R855" s="60"/>
      <c r="S855" s="61"/>
      <c r="T855" s="62">
        <f t="shared" si="124"/>
        <v>0</v>
      </c>
      <c r="U855" s="46">
        <f t="shared" si="124"/>
        <v>0</v>
      </c>
      <c r="V855" s="63">
        <f t="shared" si="123"/>
        <v>0</v>
      </c>
      <c r="W855" s="49">
        <f t="shared" si="127"/>
        <v>0</v>
      </c>
      <c r="X855" s="50">
        <f t="shared" si="130"/>
        <v>0</v>
      </c>
      <c r="Y855"/>
      <c r="Z855"/>
      <c r="AA855"/>
    </row>
    <row r="856" spans="1:27" s="51" customFormat="1" ht="18.600000000000001" hidden="1" customHeight="1" x14ac:dyDescent="0.25">
      <c r="A856" s="80" t="s">
        <v>16</v>
      </c>
      <c r="B856" s="20" t="s">
        <v>1933</v>
      </c>
      <c r="C856" s="21" t="s">
        <v>1934</v>
      </c>
      <c r="D856" s="20" t="s">
        <v>2146</v>
      </c>
      <c r="E856" s="22" t="s">
        <v>2147</v>
      </c>
      <c r="F856" s="22" t="s">
        <v>1937</v>
      </c>
      <c r="G856" s="22" t="s">
        <v>2105</v>
      </c>
      <c r="H856" s="83" t="s">
        <v>2081</v>
      </c>
      <c r="I856" s="23" t="s">
        <v>24</v>
      </c>
      <c r="J856" s="24">
        <v>1210</v>
      </c>
      <c r="K856" s="25">
        <v>0.25</v>
      </c>
      <c r="L856" s="26">
        <f t="shared" si="125"/>
        <v>302.5</v>
      </c>
      <c r="M856" s="27">
        <f t="shared" si="126"/>
        <v>907.5</v>
      </c>
      <c r="N856" s="28">
        <v>0.16</v>
      </c>
      <c r="O856" s="29">
        <f t="shared" si="128"/>
        <v>145.20000000000002</v>
      </c>
      <c r="P856" s="30">
        <f t="shared" si="129"/>
        <v>1052.7</v>
      </c>
      <c r="Q856" s="23"/>
      <c r="R856" s="52"/>
      <c r="S856" s="53"/>
      <c r="T856" s="54">
        <f t="shared" si="124"/>
        <v>0</v>
      </c>
      <c r="U856" s="26">
        <f t="shared" si="124"/>
        <v>0</v>
      </c>
      <c r="V856" s="55">
        <f t="shared" si="123"/>
        <v>0</v>
      </c>
      <c r="W856" s="29">
        <f t="shared" si="127"/>
        <v>0</v>
      </c>
      <c r="X856" s="30">
        <f t="shared" si="130"/>
        <v>0</v>
      </c>
      <c r="Y856"/>
      <c r="Z856"/>
      <c r="AA856"/>
    </row>
    <row r="857" spans="1:27" s="51" customFormat="1" ht="18.600000000000001" hidden="1" customHeight="1" x14ac:dyDescent="0.25">
      <c r="A857" s="81" t="s">
        <v>16</v>
      </c>
      <c r="B857" s="31" t="s">
        <v>1933</v>
      </c>
      <c r="C857" s="32" t="s">
        <v>1934</v>
      </c>
      <c r="D857" s="31" t="s">
        <v>2148</v>
      </c>
      <c r="E857" s="33" t="s">
        <v>2149</v>
      </c>
      <c r="F857" s="33" t="s">
        <v>1937</v>
      </c>
      <c r="G857" s="33" t="s">
        <v>2105</v>
      </c>
      <c r="H857" s="84" t="s">
        <v>2084</v>
      </c>
      <c r="I857" s="23" t="s">
        <v>24</v>
      </c>
      <c r="J857" s="34">
        <v>1210</v>
      </c>
      <c r="K857" s="35">
        <v>0.25</v>
      </c>
      <c r="L857" s="36">
        <f t="shared" si="125"/>
        <v>302.5</v>
      </c>
      <c r="M857" s="37">
        <f t="shared" si="126"/>
        <v>907.5</v>
      </c>
      <c r="N857" s="38">
        <v>0.16</v>
      </c>
      <c r="O857" s="39">
        <f t="shared" si="128"/>
        <v>145.20000000000002</v>
      </c>
      <c r="P857" s="40">
        <f t="shared" si="129"/>
        <v>1052.7</v>
      </c>
      <c r="Q857" s="23"/>
      <c r="R857" s="56"/>
      <c r="S857" s="57"/>
      <c r="T857" s="58">
        <f t="shared" si="124"/>
        <v>0</v>
      </c>
      <c r="U857" s="36">
        <f t="shared" si="124"/>
        <v>0</v>
      </c>
      <c r="V857" s="59">
        <f t="shared" si="123"/>
        <v>0</v>
      </c>
      <c r="W857" s="39">
        <f t="shared" si="127"/>
        <v>0</v>
      </c>
      <c r="X857" s="40">
        <f t="shared" si="130"/>
        <v>0</v>
      </c>
      <c r="Y857"/>
      <c r="Z857"/>
      <c r="AA857"/>
    </row>
    <row r="858" spans="1:27" s="51" customFormat="1" ht="18.600000000000001" hidden="1" customHeight="1" x14ac:dyDescent="0.25">
      <c r="A858" s="82" t="s">
        <v>16</v>
      </c>
      <c r="B858" s="41" t="s">
        <v>1933</v>
      </c>
      <c r="C858" s="42" t="s">
        <v>1934</v>
      </c>
      <c r="D858" s="41" t="s">
        <v>2150</v>
      </c>
      <c r="E858" s="43" t="s">
        <v>2151</v>
      </c>
      <c r="F858" s="43" t="s">
        <v>1937</v>
      </c>
      <c r="G858" s="43" t="s">
        <v>2105</v>
      </c>
      <c r="H858" s="85" t="s">
        <v>2017</v>
      </c>
      <c r="I858" s="23" t="s">
        <v>24</v>
      </c>
      <c r="J858" s="44">
        <v>1210</v>
      </c>
      <c r="K858" s="45">
        <v>0.25</v>
      </c>
      <c r="L858" s="46">
        <f t="shared" si="125"/>
        <v>302.5</v>
      </c>
      <c r="M858" s="47">
        <f t="shared" si="126"/>
        <v>907.5</v>
      </c>
      <c r="N858" s="48">
        <v>0.16</v>
      </c>
      <c r="O858" s="49">
        <f t="shared" si="128"/>
        <v>145.20000000000002</v>
      </c>
      <c r="P858" s="50">
        <f t="shared" si="129"/>
        <v>1052.7</v>
      </c>
      <c r="Q858" s="23"/>
      <c r="R858" s="60"/>
      <c r="S858" s="61"/>
      <c r="T858" s="62">
        <f t="shared" si="124"/>
        <v>0</v>
      </c>
      <c r="U858" s="46">
        <f t="shared" si="124"/>
        <v>0</v>
      </c>
      <c r="V858" s="63">
        <f t="shared" ref="V858:V921" si="131">+T858-U858</f>
        <v>0</v>
      </c>
      <c r="W858" s="49">
        <f t="shared" si="127"/>
        <v>0</v>
      </c>
      <c r="X858" s="50">
        <f t="shared" si="130"/>
        <v>0</v>
      </c>
      <c r="Y858"/>
      <c r="Z858"/>
      <c r="AA858"/>
    </row>
    <row r="859" spans="1:27" s="51" customFormat="1" ht="18.600000000000001" hidden="1" customHeight="1" x14ac:dyDescent="0.25">
      <c r="A859" s="80" t="s">
        <v>16</v>
      </c>
      <c r="B859" s="20" t="s">
        <v>1933</v>
      </c>
      <c r="C859" s="21" t="s">
        <v>1934</v>
      </c>
      <c r="D859" s="20" t="s">
        <v>2152</v>
      </c>
      <c r="E859" s="22" t="s">
        <v>2153</v>
      </c>
      <c r="F859" s="22" t="s">
        <v>1937</v>
      </c>
      <c r="G859" s="22" t="s">
        <v>2105</v>
      </c>
      <c r="H859" s="83" t="s">
        <v>2154</v>
      </c>
      <c r="I859" s="23" t="s">
        <v>24</v>
      </c>
      <c r="J859" s="24">
        <v>1210</v>
      </c>
      <c r="K859" s="25">
        <v>0.25</v>
      </c>
      <c r="L859" s="26">
        <f t="shared" si="125"/>
        <v>302.5</v>
      </c>
      <c r="M859" s="27">
        <f t="shared" si="126"/>
        <v>907.5</v>
      </c>
      <c r="N859" s="28">
        <v>0.16</v>
      </c>
      <c r="O859" s="29">
        <f t="shared" si="128"/>
        <v>145.20000000000002</v>
      </c>
      <c r="P859" s="30">
        <f t="shared" si="129"/>
        <v>1052.7</v>
      </c>
      <c r="Q859" s="23"/>
      <c r="R859" s="52"/>
      <c r="S859" s="53"/>
      <c r="T859" s="54">
        <f t="shared" si="124"/>
        <v>0</v>
      </c>
      <c r="U859" s="26">
        <f t="shared" si="124"/>
        <v>0</v>
      </c>
      <c r="V859" s="55">
        <f t="shared" si="131"/>
        <v>0</v>
      </c>
      <c r="W859" s="29">
        <f t="shared" si="127"/>
        <v>0</v>
      </c>
      <c r="X859" s="30">
        <f t="shared" si="130"/>
        <v>0</v>
      </c>
      <c r="Y859"/>
      <c r="Z859"/>
      <c r="AA859"/>
    </row>
    <row r="860" spans="1:27" s="51" customFormat="1" ht="18.600000000000001" hidden="1" customHeight="1" x14ac:dyDescent="0.25">
      <c r="A860" s="81" t="s">
        <v>16</v>
      </c>
      <c r="B860" s="31" t="s">
        <v>1933</v>
      </c>
      <c r="C860" s="32" t="s">
        <v>1934</v>
      </c>
      <c r="D860" s="31">
        <v>8435635305053</v>
      </c>
      <c r="E860" s="33" t="s">
        <v>2155</v>
      </c>
      <c r="F860" s="33" t="s">
        <v>1937</v>
      </c>
      <c r="G860" s="33" t="s">
        <v>2065</v>
      </c>
      <c r="H860" s="84" t="s">
        <v>2156</v>
      </c>
      <c r="I860" s="23" t="s">
        <v>24</v>
      </c>
      <c r="J860" s="34">
        <v>1510</v>
      </c>
      <c r="K860" s="35">
        <v>0.25</v>
      </c>
      <c r="L860" s="36">
        <f t="shared" si="125"/>
        <v>377.5</v>
      </c>
      <c r="M860" s="37">
        <f t="shared" si="126"/>
        <v>1132.5</v>
      </c>
      <c r="N860" s="38">
        <v>0.16</v>
      </c>
      <c r="O860" s="39">
        <f t="shared" si="128"/>
        <v>181.20000000000002</v>
      </c>
      <c r="P860" s="40">
        <f t="shared" si="129"/>
        <v>1313.7</v>
      </c>
      <c r="Q860" s="23"/>
      <c r="R860" s="56"/>
      <c r="S860" s="57"/>
      <c r="T860" s="58">
        <f t="shared" si="124"/>
        <v>0</v>
      </c>
      <c r="U860" s="36">
        <f t="shared" si="124"/>
        <v>0</v>
      </c>
      <c r="V860" s="59">
        <f t="shared" si="131"/>
        <v>0</v>
      </c>
      <c r="W860" s="39">
        <f t="shared" si="127"/>
        <v>0</v>
      </c>
      <c r="X860" s="40">
        <f t="shared" si="130"/>
        <v>0</v>
      </c>
      <c r="Y860"/>
      <c r="Z860"/>
      <c r="AA860"/>
    </row>
    <row r="861" spans="1:27" s="51" customFormat="1" ht="18.600000000000001" hidden="1" customHeight="1" x14ac:dyDescent="0.25">
      <c r="A861" s="82" t="s">
        <v>16</v>
      </c>
      <c r="B861" s="41" t="s">
        <v>1933</v>
      </c>
      <c r="C861" s="42" t="s">
        <v>1934</v>
      </c>
      <c r="D861" s="41">
        <v>8435635306715</v>
      </c>
      <c r="E861" s="43" t="s">
        <v>2157</v>
      </c>
      <c r="F861" s="43" t="s">
        <v>1937</v>
      </c>
      <c r="G861" s="43" t="s">
        <v>2065</v>
      </c>
      <c r="H861" s="85" t="s">
        <v>2158</v>
      </c>
      <c r="I861" s="23" t="s">
        <v>24</v>
      </c>
      <c r="J861" s="44">
        <v>2720</v>
      </c>
      <c r="K861" s="45">
        <v>0.25</v>
      </c>
      <c r="L861" s="46">
        <f t="shared" si="125"/>
        <v>680</v>
      </c>
      <c r="M861" s="47">
        <f t="shared" si="126"/>
        <v>2040</v>
      </c>
      <c r="N861" s="48">
        <v>0.16</v>
      </c>
      <c r="O861" s="49">
        <f t="shared" si="128"/>
        <v>326.40000000000003</v>
      </c>
      <c r="P861" s="50">
        <f t="shared" si="129"/>
        <v>2366.4</v>
      </c>
      <c r="Q861" s="23"/>
      <c r="R861" s="60"/>
      <c r="S861" s="61"/>
      <c r="T861" s="62">
        <f t="shared" si="124"/>
        <v>0</v>
      </c>
      <c r="U861" s="46">
        <f t="shared" si="124"/>
        <v>0</v>
      </c>
      <c r="V861" s="63">
        <f t="shared" si="131"/>
        <v>0</v>
      </c>
      <c r="W861" s="49">
        <f t="shared" si="127"/>
        <v>0</v>
      </c>
      <c r="X861" s="50">
        <f t="shared" si="130"/>
        <v>0</v>
      </c>
      <c r="Y861"/>
      <c r="Z861"/>
      <c r="AA861"/>
    </row>
    <row r="862" spans="1:27" s="51" customFormat="1" ht="18.600000000000001" hidden="1" customHeight="1" x14ac:dyDescent="0.25">
      <c r="A862" s="80" t="s">
        <v>16</v>
      </c>
      <c r="B862" s="20" t="s">
        <v>1933</v>
      </c>
      <c r="C862" s="21" t="s">
        <v>1934</v>
      </c>
      <c r="D862" s="20" t="s">
        <v>2159</v>
      </c>
      <c r="E862" s="22" t="s">
        <v>2160</v>
      </c>
      <c r="F862" s="22" t="s">
        <v>1937</v>
      </c>
      <c r="G862" s="22" t="s">
        <v>1938</v>
      </c>
      <c r="H862" s="83" t="s">
        <v>2161</v>
      </c>
      <c r="I862" s="23" t="s">
        <v>24</v>
      </c>
      <c r="J862" s="24">
        <v>1510</v>
      </c>
      <c r="K862" s="25">
        <v>0.25</v>
      </c>
      <c r="L862" s="26">
        <f t="shared" si="125"/>
        <v>377.5</v>
      </c>
      <c r="M862" s="27">
        <f t="shared" si="126"/>
        <v>1132.5</v>
      </c>
      <c r="N862" s="28">
        <v>0.16</v>
      </c>
      <c r="O862" s="29">
        <f t="shared" si="128"/>
        <v>181.20000000000002</v>
      </c>
      <c r="P862" s="30">
        <f t="shared" si="129"/>
        <v>1313.7</v>
      </c>
      <c r="Q862" s="23"/>
      <c r="R862" s="52"/>
      <c r="S862" s="53"/>
      <c r="T862" s="54">
        <f t="shared" si="124"/>
        <v>0</v>
      </c>
      <c r="U862" s="26">
        <f t="shared" si="124"/>
        <v>0</v>
      </c>
      <c r="V862" s="55">
        <f t="shared" si="131"/>
        <v>0</v>
      </c>
      <c r="W862" s="29">
        <f t="shared" si="127"/>
        <v>0</v>
      </c>
      <c r="X862" s="30">
        <f t="shared" si="130"/>
        <v>0</v>
      </c>
      <c r="Y862"/>
      <c r="Z862"/>
      <c r="AA862"/>
    </row>
    <row r="863" spans="1:27" s="51" customFormat="1" ht="18.600000000000001" hidden="1" customHeight="1" x14ac:dyDescent="0.25">
      <c r="A863" s="81" t="s">
        <v>16</v>
      </c>
      <c r="B863" s="31" t="s">
        <v>1933</v>
      </c>
      <c r="C863" s="32" t="s">
        <v>1934</v>
      </c>
      <c r="D863" s="31" t="s">
        <v>2162</v>
      </c>
      <c r="E863" s="33" t="s">
        <v>2163</v>
      </c>
      <c r="F863" s="33" t="s">
        <v>1937</v>
      </c>
      <c r="G863" s="33" t="s">
        <v>1938</v>
      </c>
      <c r="H863" s="84" t="s">
        <v>2164</v>
      </c>
      <c r="I863" s="23" t="s">
        <v>24</v>
      </c>
      <c r="J863" s="34">
        <v>1510</v>
      </c>
      <c r="K863" s="35">
        <v>0.25</v>
      </c>
      <c r="L863" s="36">
        <f t="shared" si="125"/>
        <v>377.5</v>
      </c>
      <c r="M863" s="37">
        <f t="shared" si="126"/>
        <v>1132.5</v>
      </c>
      <c r="N863" s="38">
        <v>0.16</v>
      </c>
      <c r="O863" s="39">
        <f t="shared" si="128"/>
        <v>181.20000000000002</v>
      </c>
      <c r="P863" s="40">
        <f t="shared" si="129"/>
        <v>1313.7</v>
      </c>
      <c r="Q863" s="23"/>
      <c r="R863" s="56"/>
      <c r="S863" s="57"/>
      <c r="T863" s="58">
        <f t="shared" si="124"/>
        <v>0</v>
      </c>
      <c r="U863" s="36">
        <f t="shared" si="124"/>
        <v>0</v>
      </c>
      <c r="V863" s="59">
        <f t="shared" si="131"/>
        <v>0</v>
      </c>
      <c r="W863" s="39">
        <f t="shared" si="127"/>
        <v>0</v>
      </c>
      <c r="X863" s="40">
        <f t="shared" si="130"/>
        <v>0</v>
      </c>
      <c r="Y863"/>
      <c r="Z863"/>
      <c r="AA863"/>
    </row>
    <row r="864" spans="1:27" s="51" customFormat="1" ht="18.600000000000001" hidden="1" customHeight="1" x14ac:dyDescent="0.25">
      <c r="A864" s="82" t="s">
        <v>16</v>
      </c>
      <c r="B864" s="41" t="s">
        <v>1933</v>
      </c>
      <c r="C864" s="42" t="s">
        <v>1934</v>
      </c>
      <c r="D864" s="41" t="s">
        <v>2165</v>
      </c>
      <c r="E864" s="43" t="s">
        <v>2166</v>
      </c>
      <c r="F864" s="43" t="s">
        <v>1937</v>
      </c>
      <c r="G864" s="43" t="s">
        <v>1938</v>
      </c>
      <c r="H864" s="85" t="s">
        <v>2167</v>
      </c>
      <c r="I864" s="23" t="s">
        <v>24</v>
      </c>
      <c r="J864" s="44">
        <v>1510</v>
      </c>
      <c r="K864" s="45">
        <v>0.25</v>
      </c>
      <c r="L864" s="46">
        <f t="shared" si="125"/>
        <v>377.5</v>
      </c>
      <c r="M864" s="47">
        <f t="shared" si="126"/>
        <v>1132.5</v>
      </c>
      <c r="N864" s="48">
        <v>0.16</v>
      </c>
      <c r="O864" s="49">
        <f t="shared" si="128"/>
        <v>181.20000000000002</v>
      </c>
      <c r="P864" s="50">
        <f t="shared" si="129"/>
        <v>1313.7</v>
      </c>
      <c r="Q864" s="23"/>
      <c r="R864" s="60"/>
      <c r="S864" s="61"/>
      <c r="T864" s="62">
        <f t="shared" si="124"/>
        <v>0</v>
      </c>
      <c r="U864" s="46">
        <f t="shared" si="124"/>
        <v>0</v>
      </c>
      <c r="V864" s="63">
        <f t="shared" si="131"/>
        <v>0</v>
      </c>
      <c r="W864" s="49">
        <f t="shared" si="127"/>
        <v>0</v>
      </c>
      <c r="X864" s="50">
        <f t="shared" si="130"/>
        <v>0</v>
      </c>
      <c r="Y864"/>
      <c r="Z864"/>
      <c r="AA864"/>
    </row>
    <row r="865" spans="1:27" s="51" customFormat="1" ht="18.600000000000001" hidden="1" customHeight="1" x14ac:dyDescent="0.25">
      <c r="A865" s="80" t="s">
        <v>16</v>
      </c>
      <c r="B865" s="20" t="s">
        <v>1933</v>
      </c>
      <c r="C865" s="21" t="s">
        <v>1934</v>
      </c>
      <c r="D865" s="20" t="s">
        <v>2168</v>
      </c>
      <c r="E865" s="22" t="s">
        <v>2169</v>
      </c>
      <c r="F865" s="22" t="s">
        <v>1937</v>
      </c>
      <c r="G865" s="22" t="s">
        <v>1938</v>
      </c>
      <c r="H865" s="83" t="s">
        <v>2170</v>
      </c>
      <c r="I865" s="23" t="s">
        <v>24</v>
      </c>
      <c r="J865" s="24">
        <v>1510</v>
      </c>
      <c r="K865" s="25">
        <v>0.25</v>
      </c>
      <c r="L865" s="26">
        <f t="shared" si="125"/>
        <v>377.5</v>
      </c>
      <c r="M865" s="27">
        <f t="shared" si="126"/>
        <v>1132.5</v>
      </c>
      <c r="N865" s="28">
        <v>0.16</v>
      </c>
      <c r="O865" s="29">
        <f t="shared" si="128"/>
        <v>181.20000000000002</v>
      </c>
      <c r="P865" s="30">
        <f t="shared" si="129"/>
        <v>1313.7</v>
      </c>
      <c r="Q865" s="23"/>
      <c r="R865" s="52"/>
      <c r="S865" s="53"/>
      <c r="T865" s="54">
        <f t="shared" si="124"/>
        <v>0</v>
      </c>
      <c r="U865" s="26">
        <f t="shared" si="124"/>
        <v>0</v>
      </c>
      <c r="V865" s="55">
        <f t="shared" si="131"/>
        <v>0</v>
      </c>
      <c r="W865" s="29">
        <f t="shared" si="127"/>
        <v>0</v>
      </c>
      <c r="X865" s="30">
        <f t="shared" si="130"/>
        <v>0</v>
      </c>
      <c r="Y865"/>
      <c r="Z865"/>
      <c r="AA865"/>
    </row>
    <row r="866" spans="1:27" s="51" customFormat="1" ht="18.600000000000001" hidden="1" customHeight="1" x14ac:dyDescent="0.25">
      <c r="A866" s="81" t="s">
        <v>16</v>
      </c>
      <c r="B866" s="31" t="s">
        <v>1933</v>
      </c>
      <c r="C866" s="32" t="s">
        <v>1934</v>
      </c>
      <c r="D866" s="31" t="s">
        <v>2171</v>
      </c>
      <c r="E866" s="33" t="s">
        <v>2172</v>
      </c>
      <c r="F866" s="33" t="s">
        <v>1937</v>
      </c>
      <c r="G866" s="33" t="s">
        <v>1938</v>
      </c>
      <c r="H866" s="84" t="s">
        <v>2173</v>
      </c>
      <c r="I866" s="23" t="s">
        <v>24</v>
      </c>
      <c r="J866" s="34">
        <v>1510</v>
      </c>
      <c r="K866" s="35">
        <v>0.25</v>
      </c>
      <c r="L866" s="36">
        <f t="shared" si="125"/>
        <v>377.5</v>
      </c>
      <c r="M866" s="37">
        <f t="shared" si="126"/>
        <v>1132.5</v>
      </c>
      <c r="N866" s="38">
        <v>0.16</v>
      </c>
      <c r="O866" s="39">
        <f t="shared" si="128"/>
        <v>181.20000000000002</v>
      </c>
      <c r="P866" s="40">
        <f t="shared" si="129"/>
        <v>1313.7</v>
      </c>
      <c r="Q866" s="23"/>
      <c r="R866" s="56"/>
      <c r="S866" s="57"/>
      <c r="T866" s="58">
        <f t="shared" ref="T866:U929" si="132">+S866*J866</f>
        <v>0</v>
      </c>
      <c r="U866" s="36">
        <f t="shared" si="132"/>
        <v>0</v>
      </c>
      <c r="V866" s="59">
        <f t="shared" si="131"/>
        <v>0</v>
      </c>
      <c r="W866" s="39">
        <f t="shared" si="127"/>
        <v>0</v>
      </c>
      <c r="X866" s="40">
        <f t="shared" si="130"/>
        <v>0</v>
      </c>
      <c r="Y866"/>
      <c r="Z866"/>
      <c r="AA866"/>
    </row>
    <row r="867" spans="1:27" s="51" customFormat="1" ht="18.600000000000001" hidden="1" customHeight="1" x14ac:dyDescent="0.25">
      <c r="A867" s="82" t="s">
        <v>16</v>
      </c>
      <c r="B867" s="41" t="s">
        <v>1933</v>
      </c>
      <c r="C867" s="42" t="s">
        <v>1934</v>
      </c>
      <c r="D867" s="41" t="s">
        <v>2174</v>
      </c>
      <c r="E867" s="43" t="s">
        <v>2175</v>
      </c>
      <c r="F867" s="43" t="s">
        <v>1937</v>
      </c>
      <c r="G867" s="43" t="s">
        <v>1938</v>
      </c>
      <c r="H867" s="85" t="s">
        <v>2176</v>
      </c>
      <c r="I867" s="23" t="s">
        <v>24</v>
      </c>
      <c r="J867" s="44">
        <v>1510</v>
      </c>
      <c r="K867" s="45">
        <v>0.25</v>
      </c>
      <c r="L867" s="46">
        <f t="shared" si="125"/>
        <v>377.5</v>
      </c>
      <c r="M867" s="47">
        <f t="shared" si="126"/>
        <v>1132.5</v>
      </c>
      <c r="N867" s="48">
        <v>0.16</v>
      </c>
      <c r="O867" s="49">
        <f t="shared" si="128"/>
        <v>181.20000000000002</v>
      </c>
      <c r="P867" s="50">
        <f t="shared" si="129"/>
        <v>1313.7</v>
      </c>
      <c r="Q867" s="23"/>
      <c r="R867" s="60"/>
      <c r="S867" s="61"/>
      <c r="T867" s="62">
        <f t="shared" si="132"/>
        <v>0</v>
      </c>
      <c r="U867" s="46">
        <f t="shared" si="132"/>
        <v>0</v>
      </c>
      <c r="V867" s="63">
        <f t="shared" si="131"/>
        <v>0</v>
      </c>
      <c r="W867" s="49">
        <f t="shared" si="127"/>
        <v>0</v>
      </c>
      <c r="X867" s="50">
        <f t="shared" si="130"/>
        <v>0</v>
      </c>
      <c r="Y867"/>
      <c r="Z867"/>
      <c r="AA867"/>
    </row>
    <row r="868" spans="1:27" s="51" customFormat="1" ht="18.600000000000001" hidden="1" customHeight="1" x14ac:dyDescent="0.25">
      <c r="A868" s="80" t="s">
        <v>16</v>
      </c>
      <c r="B868" s="20" t="s">
        <v>1933</v>
      </c>
      <c r="C868" s="21" t="s">
        <v>1934</v>
      </c>
      <c r="D868" s="20">
        <v>8435635305930</v>
      </c>
      <c r="E868" s="22" t="s">
        <v>2177</v>
      </c>
      <c r="F868" s="22" t="s">
        <v>1937</v>
      </c>
      <c r="G868" s="22" t="s">
        <v>1938</v>
      </c>
      <c r="H868" s="83" t="s">
        <v>2178</v>
      </c>
      <c r="I868" s="23" t="s">
        <v>24</v>
      </c>
      <c r="J868" s="24">
        <v>1510</v>
      </c>
      <c r="K868" s="25">
        <v>0.25</v>
      </c>
      <c r="L868" s="26">
        <f t="shared" si="125"/>
        <v>377.5</v>
      </c>
      <c r="M868" s="27">
        <f t="shared" si="126"/>
        <v>1132.5</v>
      </c>
      <c r="N868" s="28">
        <v>0.16</v>
      </c>
      <c r="O868" s="29">
        <f t="shared" si="128"/>
        <v>181.20000000000002</v>
      </c>
      <c r="P868" s="30">
        <f t="shared" si="129"/>
        <v>1313.7</v>
      </c>
      <c r="Q868" s="23"/>
      <c r="R868" s="52"/>
      <c r="S868" s="53"/>
      <c r="T868" s="54">
        <f t="shared" si="132"/>
        <v>0</v>
      </c>
      <c r="U868" s="26">
        <f t="shared" si="132"/>
        <v>0</v>
      </c>
      <c r="V868" s="55">
        <f t="shared" si="131"/>
        <v>0</v>
      </c>
      <c r="W868" s="29">
        <f t="shared" si="127"/>
        <v>0</v>
      </c>
      <c r="X868" s="30">
        <f t="shared" si="130"/>
        <v>0</v>
      </c>
      <c r="Y868"/>
      <c r="Z868"/>
      <c r="AA868"/>
    </row>
    <row r="869" spans="1:27" s="51" customFormat="1" ht="18.600000000000001" hidden="1" customHeight="1" x14ac:dyDescent="0.25">
      <c r="A869" s="81" t="s">
        <v>16</v>
      </c>
      <c r="B869" s="31" t="s">
        <v>1933</v>
      </c>
      <c r="C869" s="32" t="s">
        <v>1934</v>
      </c>
      <c r="D869" s="31">
        <v>8435635307026</v>
      </c>
      <c r="E869" s="33" t="s">
        <v>2179</v>
      </c>
      <c r="F869" s="33" t="s">
        <v>1937</v>
      </c>
      <c r="G869" s="33" t="s">
        <v>2065</v>
      </c>
      <c r="H869" s="84" t="s">
        <v>2180</v>
      </c>
      <c r="I869" s="23" t="s">
        <v>24</v>
      </c>
      <c r="J869" s="34">
        <v>1510</v>
      </c>
      <c r="K869" s="35">
        <v>0.25</v>
      </c>
      <c r="L869" s="36">
        <f t="shared" si="125"/>
        <v>377.5</v>
      </c>
      <c r="M869" s="37">
        <f t="shared" si="126"/>
        <v>1132.5</v>
      </c>
      <c r="N869" s="38">
        <v>0.16</v>
      </c>
      <c r="O869" s="39">
        <f t="shared" si="128"/>
        <v>181.20000000000002</v>
      </c>
      <c r="P869" s="40">
        <f t="shared" si="129"/>
        <v>1313.7</v>
      </c>
      <c r="Q869" s="23"/>
      <c r="R869" s="56"/>
      <c r="S869" s="57"/>
      <c r="T869" s="58">
        <f t="shared" si="132"/>
        <v>0</v>
      </c>
      <c r="U869" s="36">
        <f t="shared" si="132"/>
        <v>0</v>
      </c>
      <c r="V869" s="59">
        <f t="shared" si="131"/>
        <v>0</v>
      </c>
      <c r="W869" s="39">
        <f t="shared" si="127"/>
        <v>0</v>
      </c>
      <c r="X869" s="40">
        <f t="shared" si="130"/>
        <v>0</v>
      </c>
      <c r="Y869"/>
      <c r="Z869"/>
      <c r="AA869"/>
    </row>
    <row r="870" spans="1:27" s="51" customFormat="1" ht="18.600000000000001" hidden="1" customHeight="1" x14ac:dyDescent="0.25">
      <c r="A870" s="82" t="s">
        <v>16</v>
      </c>
      <c r="B870" s="41" t="s">
        <v>1933</v>
      </c>
      <c r="C870" s="42" t="s">
        <v>1934</v>
      </c>
      <c r="D870" s="41" t="s">
        <v>2181</v>
      </c>
      <c r="E870" s="43" t="s">
        <v>2182</v>
      </c>
      <c r="F870" s="43" t="s">
        <v>1937</v>
      </c>
      <c r="G870" s="43" t="s">
        <v>2183</v>
      </c>
      <c r="H870" s="85" t="s">
        <v>2087</v>
      </c>
      <c r="I870" s="23" t="s">
        <v>24</v>
      </c>
      <c r="J870" s="44">
        <v>600</v>
      </c>
      <c r="K870" s="45">
        <v>0.25</v>
      </c>
      <c r="L870" s="46">
        <f t="shared" si="125"/>
        <v>150</v>
      </c>
      <c r="M870" s="47">
        <f t="shared" si="126"/>
        <v>450</v>
      </c>
      <c r="N870" s="48">
        <v>0.16</v>
      </c>
      <c r="O870" s="49">
        <f t="shared" si="128"/>
        <v>72</v>
      </c>
      <c r="P870" s="50">
        <f t="shared" si="129"/>
        <v>522</v>
      </c>
      <c r="Q870" s="23"/>
      <c r="R870" s="60"/>
      <c r="S870" s="61"/>
      <c r="T870" s="62">
        <f t="shared" si="132"/>
        <v>0</v>
      </c>
      <c r="U870" s="46">
        <f t="shared" si="132"/>
        <v>0</v>
      </c>
      <c r="V870" s="63">
        <f t="shared" si="131"/>
        <v>0</v>
      </c>
      <c r="W870" s="49">
        <f t="shared" si="127"/>
        <v>0</v>
      </c>
      <c r="X870" s="50">
        <f t="shared" si="130"/>
        <v>0</v>
      </c>
      <c r="Y870"/>
      <c r="Z870"/>
      <c r="AA870"/>
    </row>
    <row r="871" spans="1:27" s="51" customFormat="1" ht="18.600000000000001" hidden="1" customHeight="1" x14ac:dyDescent="0.25">
      <c r="A871" s="80" t="s">
        <v>16</v>
      </c>
      <c r="B871" s="20" t="s">
        <v>1933</v>
      </c>
      <c r="C871" s="21" t="s">
        <v>1934</v>
      </c>
      <c r="D871" s="20" t="s">
        <v>2184</v>
      </c>
      <c r="E871" s="22" t="s">
        <v>2185</v>
      </c>
      <c r="F871" s="22" t="s">
        <v>1937</v>
      </c>
      <c r="G871" s="22" t="s">
        <v>2183</v>
      </c>
      <c r="H871" s="83" t="s">
        <v>2081</v>
      </c>
      <c r="I871" s="23" t="s">
        <v>24</v>
      </c>
      <c r="J871" s="24">
        <v>360</v>
      </c>
      <c r="K871" s="25">
        <v>0.25</v>
      </c>
      <c r="L871" s="26">
        <f t="shared" si="125"/>
        <v>90</v>
      </c>
      <c r="M871" s="27">
        <f t="shared" si="126"/>
        <v>270</v>
      </c>
      <c r="N871" s="28">
        <v>0.16</v>
      </c>
      <c r="O871" s="29">
        <f t="shared" si="128"/>
        <v>43.2</v>
      </c>
      <c r="P871" s="30">
        <f t="shared" si="129"/>
        <v>313.2</v>
      </c>
      <c r="Q871" s="23"/>
      <c r="R871" s="52"/>
      <c r="S871" s="53"/>
      <c r="T871" s="54">
        <f t="shared" si="132"/>
        <v>0</v>
      </c>
      <c r="U871" s="26">
        <f t="shared" si="132"/>
        <v>0</v>
      </c>
      <c r="V871" s="55">
        <f t="shared" si="131"/>
        <v>0</v>
      </c>
      <c r="W871" s="29">
        <f t="shared" si="127"/>
        <v>0</v>
      </c>
      <c r="X871" s="30">
        <f t="shared" si="130"/>
        <v>0</v>
      </c>
      <c r="Y871"/>
      <c r="Z871"/>
      <c r="AA871"/>
    </row>
    <row r="872" spans="1:27" s="51" customFormat="1" ht="18.600000000000001" hidden="1" customHeight="1" x14ac:dyDescent="0.25">
      <c r="A872" s="81" t="s">
        <v>16</v>
      </c>
      <c r="B872" s="31" t="s">
        <v>1933</v>
      </c>
      <c r="C872" s="32" t="s">
        <v>1934</v>
      </c>
      <c r="D872" s="31" t="s">
        <v>2186</v>
      </c>
      <c r="E872" s="33" t="s">
        <v>2187</v>
      </c>
      <c r="F872" s="33" t="s">
        <v>1937</v>
      </c>
      <c r="G872" s="33" t="s">
        <v>2183</v>
      </c>
      <c r="H872" s="84" t="s">
        <v>2090</v>
      </c>
      <c r="I872" s="23" t="s">
        <v>24</v>
      </c>
      <c r="J872" s="34">
        <v>360</v>
      </c>
      <c r="K872" s="35">
        <v>0.25</v>
      </c>
      <c r="L872" s="36">
        <f t="shared" si="125"/>
        <v>90</v>
      </c>
      <c r="M872" s="37">
        <f t="shared" si="126"/>
        <v>270</v>
      </c>
      <c r="N872" s="38">
        <v>0.16</v>
      </c>
      <c r="O872" s="39">
        <f t="shared" si="128"/>
        <v>43.2</v>
      </c>
      <c r="P872" s="40">
        <f t="shared" si="129"/>
        <v>313.2</v>
      </c>
      <c r="Q872" s="23"/>
      <c r="R872" s="56"/>
      <c r="S872" s="57"/>
      <c r="T872" s="58">
        <f t="shared" si="132"/>
        <v>0</v>
      </c>
      <c r="U872" s="36">
        <f t="shared" si="132"/>
        <v>0</v>
      </c>
      <c r="V872" s="59">
        <f t="shared" si="131"/>
        <v>0</v>
      </c>
      <c r="W872" s="39">
        <f t="shared" si="127"/>
        <v>0</v>
      </c>
      <c r="X872" s="40">
        <f t="shared" si="130"/>
        <v>0</v>
      </c>
      <c r="Y872"/>
      <c r="Z872"/>
      <c r="AA872"/>
    </row>
    <row r="873" spans="1:27" s="51" customFormat="1" ht="18.600000000000001" hidden="1" customHeight="1" x14ac:dyDescent="0.25">
      <c r="A873" s="82" t="s">
        <v>16</v>
      </c>
      <c r="B873" s="41" t="s">
        <v>1933</v>
      </c>
      <c r="C873" s="42" t="s">
        <v>1934</v>
      </c>
      <c r="D873" s="41" t="s">
        <v>2188</v>
      </c>
      <c r="E873" s="43" t="s">
        <v>2189</v>
      </c>
      <c r="F873" s="43" t="s">
        <v>1937</v>
      </c>
      <c r="G873" s="43" t="s">
        <v>2183</v>
      </c>
      <c r="H873" s="85" t="s">
        <v>2190</v>
      </c>
      <c r="I873" s="23" t="s">
        <v>24</v>
      </c>
      <c r="J873" s="44">
        <v>450</v>
      </c>
      <c r="K873" s="45">
        <v>0.25</v>
      </c>
      <c r="L873" s="46">
        <f t="shared" si="125"/>
        <v>112.5</v>
      </c>
      <c r="M873" s="47">
        <f t="shared" si="126"/>
        <v>337.5</v>
      </c>
      <c r="N873" s="48">
        <v>0.16</v>
      </c>
      <c r="O873" s="49">
        <f t="shared" si="128"/>
        <v>54</v>
      </c>
      <c r="P873" s="50">
        <f t="shared" si="129"/>
        <v>391.5</v>
      </c>
      <c r="Q873" s="23"/>
      <c r="R873" s="60"/>
      <c r="S873" s="61"/>
      <c r="T873" s="62">
        <f t="shared" si="132"/>
        <v>0</v>
      </c>
      <c r="U873" s="46">
        <f t="shared" si="132"/>
        <v>0</v>
      </c>
      <c r="V873" s="63">
        <f t="shared" si="131"/>
        <v>0</v>
      </c>
      <c r="W873" s="49">
        <f t="shared" si="127"/>
        <v>0</v>
      </c>
      <c r="X873" s="50">
        <f t="shared" si="130"/>
        <v>0</v>
      </c>
      <c r="Y873"/>
      <c r="Z873"/>
      <c r="AA873"/>
    </row>
    <row r="874" spans="1:27" s="51" customFormat="1" ht="18.600000000000001" hidden="1" customHeight="1" x14ac:dyDescent="0.25">
      <c r="A874" s="80" t="s">
        <v>16</v>
      </c>
      <c r="B874" s="20" t="s">
        <v>1933</v>
      </c>
      <c r="C874" s="21" t="s">
        <v>1934</v>
      </c>
      <c r="D874" s="20" t="s">
        <v>2191</v>
      </c>
      <c r="E874" s="22" t="s">
        <v>2192</v>
      </c>
      <c r="F874" s="22" t="s">
        <v>1937</v>
      </c>
      <c r="G874" s="22" t="s">
        <v>2183</v>
      </c>
      <c r="H874" s="83" t="s">
        <v>2193</v>
      </c>
      <c r="I874" s="23" t="s">
        <v>24</v>
      </c>
      <c r="J874" s="24">
        <v>450</v>
      </c>
      <c r="K874" s="25">
        <v>0.25</v>
      </c>
      <c r="L874" s="26">
        <f t="shared" si="125"/>
        <v>112.5</v>
      </c>
      <c r="M874" s="27">
        <f t="shared" si="126"/>
        <v>337.5</v>
      </c>
      <c r="N874" s="28">
        <v>0.16</v>
      </c>
      <c r="O874" s="29">
        <f t="shared" si="128"/>
        <v>54</v>
      </c>
      <c r="P874" s="30">
        <f t="shared" si="129"/>
        <v>391.5</v>
      </c>
      <c r="Q874" s="23"/>
      <c r="R874" s="52"/>
      <c r="S874" s="53"/>
      <c r="T874" s="54">
        <f t="shared" si="132"/>
        <v>0</v>
      </c>
      <c r="U874" s="26">
        <f t="shared" si="132"/>
        <v>0</v>
      </c>
      <c r="V874" s="55">
        <f t="shared" si="131"/>
        <v>0</v>
      </c>
      <c r="W874" s="29">
        <f t="shared" si="127"/>
        <v>0</v>
      </c>
      <c r="X874" s="30">
        <f t="shared" si="130"/>
        <v>0</v>
      </c>
      <c r="Y874"/>
      <c r="Z874"/>
      <c r="AA874"/>
    </row>
    <row r="875" spans="1:27" s="51" customFormat="1" ht="18.600000000000001" hidden="1" customHeight="1" x14ac:dyDescent="0.25">
      <c r="A875" s="81" t="s">
        <v>16</v>
      </c>
      <c r="B875" s="31" t="s">
        <v>1933</v>
      </c>
      <c r="C875" s="32" t="s">
        <v>1934</v>
      </c>
      <c r="D875" s="31" t="s">
        <v>2194</v>
      </c>
      <c r="E875" s="33" t="s">
        <v>2195</v>
      </c>
      <c r="F875" s="33" t="s">
        <v>1937</v>
      </c>
      <c r="G875" s="33" t="s">
        <v>2183</v>
      </c>
      <c r="H875" s="84" t="s">
        <v>2093</v>
      </c>
      <c r="I875" s="23" t="s">
        <v>24</v>
      </c>
      <c r="J875" s="34">
        <v>360</v>
      </c>
      <c r="K875" s="35">
        <v>0.25</v>
      </c>
      <c r="L875" s="36">
        <f t="shared" si="125"/>
        <v>90</v>
      </c>
      <c r="M875" s="37">
        <f t="shared" si="126"/>
        <v>270</v>
      </c>
      <c r="N875" s="38">
        <v>0.16</v>
      </c>
      <c r="O875" s="39">
        <f t="shared" si="128"/>
        <v>43.2</v>
      </c>
      <c r="P875" s="40">
        <f t="shared" si="129"/>
        <v>313.2</v>
      </c>
      <c r="Q875" s="23"/>
      <c r="R875" s="56"/>
      <c r="S875" s="57"/>
      <c r="T875" s="58">
        <f t="shared" si="132"/>
        <v>0</v>
      </c>
      <c r="U875" s="36">
        <f t="shared" si="132"/>
        <v>0</v>
      </c>
      <c r="V875" s="59">
        <f t="shared" si="131"/>
        <v>0</v>
      </c>
      <c r="W875" s="39">
        <f t="shared" si="127"/>
        <v>0</v>
      </c>
      <c r="X875" s="40">
        <f t="shared" si="130"/>
        <v>0</v>
      </c>
      <c r="Y875"/>
      <c r="Z875"/>
      <c r="AA875"/>
    </row>
    <row r="876" spans="1:27" s="51" customFormat="1" ht="18.600000000000001" hidden="1" customHeight="1" x14ac:dyDescent="0.25">
      <c r="A876" s="82" t="s">
        <v>16</v>
      </c>
      <c r="B876" s="41" t="s">
        <v>1933</v>
      </c>
      <c r="C876" s="42" t="s">
        <v>1934</v>
      </c>
      <c r="D876" s="41" t="s">
        <v>2196</v>
      </c>
      <c r="E876" s="43" t="s">
        <v>2197</v>
      </c>
      <c r="F876" s="43" t="s">
        <v>1937</v>
      </c>
      <c r="G876" s="43" t="s">
        <v>2183</v>
      </c>
      <c r="H876" s="85" t="s">
        <v>2198</v>
      </c>
      <c r="I876" s="23" t="s">
        <v>24</v>
      </c>
      <c r="J876" s="44">
        <v>360</v>
      </c>
      <c r="K876" s="45">
        <v>0.25</v>
      </c>
      <c r="L876" s="46">
        <f t="shared" si="125"/>
        <v>90</v>
      </c>
      <c r="M876" s="47">
        <f t="shared" si="126"/>
        <v>270</v>
      </c>
      <c r="N876" s="48">
        <v>0.16</v>
      </c>
      <c r="O876" s="49">
        <f t="shared" si="128"/>
        <v>43.2</v>
      </c>
      <c r="P876" s="50">
        <f t="shared" si="129"/>
        <v>313.2</v>
      </c>
      <c r="Q876" s="23"/>
      <c r="R876" s="60"/>
      <c r="S876" s="61"/>
      <c r="T876" s="62">
        <f t="shared" si="132"/>
        <v>0</v>
      </c>
      <c r="U876" s="46">
        <f t="shared" si="132"/>
        <v>0</v>
      </c>
      <c r="V876" s="63">
        <f t="shared" si="131"/>
        <v>0</v>
      </c>
      <c r="W876" s="49">
        <f t="shared" si="127"/>
        <v>0</v>
      </c>
      <c r="X876" s="50">
        <f t="shared" si="130"/>
        <v>0</v>
      </c>
      <c r="Y876"/>
      <c r="Z876"/>
      <c r="AA876"/>
    </row>
    <row r="877" spans="1:27" s="51" customFormat="1" ht="18.600000000000001" hidden="1" customHeight="1" x14ac:dyDescent="0.25">
      <c r="A877" s="80" t="s">
        <v>16</v>
      </c>
      <c r="B877" s="20" t="s">
        <v>1933</v>
      </c>
      <c r="C877" s="21" t="s">
        <v>1934</v>
      </c>
      <c r="D877" s="20" t="s">
        <v>2199</v>
      </c>
      <c r="E877" s="22" t="s">
        <v>2200</v>
      </c>
      <c r="F877" s="22" t="s">
        <v>1937</v>
      </c>
      <c r="G877" s="22" t="s">
        <v>2183</v>
      </c>
      <c r="H877" s="83" t="s">
        <v>2201</v>
      </c>
      <c r="I877" s="23" t="s">
        <v>24</v>
      </c>
      <c r="J877" s="24">
        <v>360</v>
      </c>
      <c r="K877" s="25">
        <v>0.25</v>
      </c>
      <c r="L877" s="26">
        <f t="shared" si="125"/>
        <v>90</v>
      </c>
      <c r="M877" s="27">
        <f t="shared" si="126"/>
        <v>270</v>
      </c>
      <c r="N877" s="28">
        <v>0.16</v>
      </c>
      <c r="O877" s="29">
        <f t="shared" si="128"/>
        <v>43.2</v>
      </c>
      <c r="P877" s="30">
        <f t="shared" si="129"/>
        <v>313.2</v>
      </c>
      <c r="Q877" s="23"/>
      <c r="R877" s="52"/>
      <c r="S877" s="53"/>
      <c r="T877" s="54">
        <f t="shared" si="132"/>
        <v>0</v>
      </c>
      <c r="U877" s="26">
        <f t="shared" si="132"/>
        <v>0</v>
      </c>
      <c r="V877" s="55">
        <f t="shared" si="131"/>
        <v>0</v>
      </c>
      <c r="W877" s="29">
        <f t="shared" si="127"/>
        <v>0</v>
      </c>
      <c r="X877" s="30">
        <f t="shared" si="130"/>
        <v>0</v>
      </c>
      <c r="Y877"/>
      <c r="Z877"/>
      <c r="AA877"/>
    </row>
    <row r="878" spans="1:27" s="51" customFormat="1" ht="18.600000000000001" hidden="1" customHeight="1" x14ac:dyDescent="0.25">
      <c r="A878" s="81" t="s">
        <v>16</v>
      </c>
      <c r="B878" s="31" t="s">
        <v>1933</v>
      </c>
      <c r="C878" s="32" t="s">
        <v>1934</v>
      </c>
      <c r="D878" s="31" t="s">
        <v>2202</v>
      </c>
      <c r="E878" s="33" t="s">
        <v>2203</v>
      </c>
      <c r="F878" s="33" t="s">
        <v>1937</v>
      </c>
      <c r="G878" s="33" t="s">
        <v>2183</v>
      </c>
      <c r="H878" s="84" t="s">
        <v>2204</v>
      </c>
      <c r="I878" s="23" t="s">
        <v>24</v>
      </c>
      <c r="J878" s="34">
        <v>360</v>
      </c>
      <c r="K878" s="35">
        <v>0.25</v>
      </c>
      <c r="L878" s="36">
        <f t="shared" si="125"/>
        <v>90</v>
      </c>
      <c r="M878" s="37">
        <f t="shared" si="126"/>
        <v>270</v>
      </c>
      <c r="N878" s="38">
        <v>0.16</v>
      </c>
      <c r="O878" s="39">
        <f t="shared" si="128"/>
        <v>43.2</v>
      </c>
      <c r="P878" s="40">
        <f t="shared" si="129"/>
        <v>313.2</v>
      </c>
      <c r="Q878" s="23"/>
      <c r="R878" s="56"/>
      <c r="S878" s="57"/>
      <c r="T878" s="58">
        <f t="shared" si="132"/>
        <v>0</v>
      </c>
      <c r="U878" s="36">
        <f t="shared" si="132"/>
        <v>0</v>
      </c>
      <c r="V878" s="59">
        <f t="shared" si="131"/>
        <v>0</v>
      </c>
      <c r="W878" s="39">
        <f t="shared" si="127"/>
        <v>0</v>
      </c>
      <c r="X878" s="40">
        <f t="shared" si="130"/>
        <v>0</v>
      </c>
      <c r="Y878"/>
      <c r="Z878"/>
      <c r="AA878"/>
    </row>
    <row r="879" spans="1:27" s="51" customFormat="1" ht="18.600000000000001" hidden="1" customHeight="1" x14ac:dyDescent="0.25">
      <c r="A879" s="82" t="s">
        <v>16</v>
      </c>
      <c r="B879" s="41" t="s">
        <v>1933</v>
      </c>
      <c r="C879" s="42" t="s">
        <v>1934</v>
      </c>
      <c r="D879" s="41" t="s">
        <v>2205</v>
      </c>
      <c r="E879" s="43" t="s">
        <v>2206</v>
      </c>
      <c r="F879" s="43" t="s">
        <v>1937</v>
      </c>
      <c r="G879" s="43" t="s">
        <v>2183</v>
      </c>
      <c r="H879" s="85" t="s">
        <v>2207</v>
      </c>
      <c r="I879" s="23" t="s">
        <v>24</v>
      </c>
      <c r="J879" s="44">
        <v>450</v>
      </c>
      <c r="K879" s="45">
        <v>0.25</v>
      </c>
      <c r="L879" s="46">
        <f t="shared" si="125"/>
        <v>112.5</v>
      </c>
      <c r="M879" s="47">
        <f t="shared" si="126"/>
        <v>337.5</v>
      </c>
      <c r="N879" s="48">
        <v>0.16</v>
      </c>
      <c r="O879" s="49">
        <f t="shared" si="128"/>
        <v>54</v>
      </c>
      <c r="P879" s="50">
        <f t="shared" si="129"/>
        <v>391.5</v>
      </c>
      <c r="Q879" s="23"/>
      <c r="R879" s="60"/>
      <c r="S879" s="61"/>
      <c r="T879" s="62">
        <f t="shared" si="132"/>
        <v>0</v>
      </c>
      <c r="U879" s="46">
        <f t="shared" si="132"/>
        <v>0</v>
      </c>
      <c r="V879" s="63">
        <f t="shared" si="131"/>
        <v>0</v>
      </c>
      <c r="W879" s="49">
        <f t="shared" si="127"/>
        <v>0</v>
      </c>
      <c r="X879" s="50">
        <f t="shared" si="130"/>
        <v>0</v>
      </c>
      <c r="Y879"/>
      <c r="Z879"/>
      <c r="AA879"/>
    </row>
    <row r="880" spans="1:27" s="51" customFormat="1" ht="18.600000000000001" hidden="1" customHeight="1" x14ac:dyDescent="0.25">
      <c r="A880" s="80" t="s">
        <v>16</v>
      </c>
      <c r="B880" s="20" t="s">
        <v>1933</v>
      </c>
      <c r="C880" s="21" t="s">
        <v>1934</v>
      </c>
      <c r="D880" s="20" t="s">
        <v>2208</v>
      </c>
      <c r="E880" s="22" t="s">
        <v>2209</v>
      </c>
      <c r="F880" s="22" t="s">
        <v>1937</v>
      </c>
      <c r="G880" s="22" t="s">
        <v>2183</v>
      </c>
      <c r="H880" s="83" t="s">
        <v>2210</v>
      </c>
      <c r="I880" s="23" t="s">
        <v>24</v>
      </c>
      <c r="J880" s="24">
        <v>360</v>
      </c>
      <c r="K880" s="25">
        <v>0.25</v>
      </c>
      <c r="L880" s="26">
        <f t="shared" si="125"/>
        <v>90</v>
      </c>
      <c r="M880" s="27">
        <f t="shared" si="126"/>
        <v>270</v>
      </c>
      <c r="N880" s="28">
        <v>0.16</v>
      </c>
      <c r="O880" s="29">
        <f t="shared" si="128"/>
        <v>43.2</v>
      </c>
      <c r="P880" s="30">
        <f t="shared" si="129"/>
        <v>313.2</v>
      </c>
      <c r="Q880" s="23"/>
      <c r="R880" s="52"/>
      <c r="S880" s="53"/>
      <c r="T880" s="54">
        <f t="shared" si="132"/>
        <v>0</v>
      </c>
      <c r="U880" s="26">
        <f t="shared" si="132"/>
        <v>0</v>
      </c>
      <c r="V880" s="55">
        <f t="shared" si="131"/>
        <v>0</v>
      </c>
      <c r="W880" s="29">
        <f t="shared" si="127"/>
        <v>0</v>
      </c>
      <c r="X880" s="30">
        <f t="shared" si="130"/>
        <v>0</v>
      </c>
      <c r="Y880"/>
      <c r="Z880"/>
      <c r="AA880"/>
    </row>
    <row r="881" spans="1:27" s="51" customFormat="1" ht="18.600000000000001" hidden="1" customHeight="1" x14ac:dyDescent="0.25">
      <c r="A881" s="81" t="s">
        <v>16</v>
      </c>
      <c r="B881" s="31" t="s">
        <v>1933</v>
      </c>
      <c r="C881" s="32" t="s">
        <v>1934</v>
      </c>
      <c r="D881" s="31" t="s">
        <v>2211</v>
      </c>
      <c r="E881" s="33" t="s">
        <v>2212</v>
      </c>
      <c r="F881" s="33" t="s">
        <v>1937</v>
      </c>
      <c r="G881" s="33" t="s">
        <v>2183</v>
      </c>
      <c r="H881" s="84" t="s">
        <v>2213</v>
      </c>
      <c r="I881" s="23" t="s">
        <v>24</v>
      </c>
      <c r="J881" s="34">
        <v>360</v>
      </c>
      <c r="K881" s="35">
        <v>0.25</v>
      </c>
      <c r="L881" s="36">
        <f t="shared" si="125"/>
        <v>90</v>
      </c>
      <c r="M881" s="37">
        <f t="shared" si="126"/>
        <v>270</v>
      </c>
      <c r="N881" s="38">
        <v>0.16</v>
      </c>
      <c r="O881" s="39">
        <f t="shared" si="128"/>
        <v>43.2</v>
      </c>
      <c r="P881" s="40">
        <f t="shared" si="129"/>
        <v>313.2</v>
      </c>
      <c r="Q881" s="23"/>
      <c r="R881" s="56"/>
      <c r="S881" s="57"/>
      <c r="T881" s="58">
        <f t="shared" si="132"/>
        <v>0</v>
      </c>
      <c r="U881" s="36">
        <f t="shared" si="132"/>
        <v>0</v>
      </c>
      <c r="V881" s="59">
        <f t="shared" si="131"/>
        <v>0</v>
      </c>
      <c r="W881" s="39">
        <f t="shared" si="127"/>
        <v>0</v>
      </c>
      <c r="X881" s="40">
        <f t="shared" si="130"/>
        <v>0</v>
      </c>
      <c r="Y881"/>
      <c r="Z881"/>
      <c r="AA881"/>
    </row>
    <row r="882" spans="1:27" s="51" customFormat="1" ht="18.600000000000001" hidden="1" customHeight="1" x14ac:dyDescent="0.25">
      <c r="A882" s="82" t="s">
        <v>16</v>
      </c>
      <c r="B882" s="41" t="s">
        <v>1933</v>
      </c>
      <c r="C882" s="42" t="s">
        <v>1934</v>
      </c>
      <c r="D882" s="41" t="s">
        <v>2214</v>
      </c>
      <c r="E882" s="43" t="s">
        <v>2215</v>
      </c>
      <c r="F882" s="43" t="s">
        <v>1937</v>
      </c>
      <c r="G882" s="43" t="s">
        <v>2183</v>
      </c>
      <c r="H882" s="85" t="s">
        <v>2005</v>
      </c>
      <c r="I882" s="23" t="s">
        <v>24</v>
      </c>
      <c r="J882" s="44">
        <v>360</v>
      </c>
      <c r="K882" s="45">
        <v>0.25</v>
      </c>
      <c r="L882" s="46">
        <f t="shared" si="125"/>
        <v>90</v>
      </c>
      <c r="M882" s="47">
        <f t="shared" si="126"/>
        <v>270</v>
      </c>
      <c r="N882" s="48">
        <v>0.16</v>
      </c>
      <c r="O882" s="49">
        <f t="shared" si="128"/>
        <v>43.2</v>
      </c>
      <c r="P882" s="50">
        <f t="shared" si="129"/>
        <v>313.2</v>
      </c>
      <c r="Q882" s="23"/>
      <c r="R882" s="60"/>
      <c r="S882" s="61"/>
      <c r="T882" s="62">
        <f t="shared" si="132"/>
        <v>0</v>
      </c>
      <c r="U882" s="46">
        <f t="shared" si="132"/>
        <v>0</v>
      </c>
      <c r="V882" s="63">
        <f t="shared" si="131"/>
        <v>0</v>
      </c>
      <c r="W882" s="49">
        <f t="shared" si="127"/>
        <v>0</v>
      </c>
      <c r="X882" s="50">
        <f t="shared" si="130"/>
        <v>0</v>
      </c>
      <c r="Y882"/>
      <c r="Z882"/>
      <c r="AA882"/>
    </row>
    <row r="883" spans="1:27" s="51" customFormat="1" ht="18.600000000000001" hidden="1" customHeight="1" x14ac:dyDescent="0.25">
      <c r="A883" s="80" t="s">
        <v>16</v>
      </c>
      <c r="B883" s="20" t="s">
        <v>1933</v>
      </c>
      <c r="C883" s="21" t="s">
        <v>1934</v>
      </c>
      <c r="D883" s="20" t="s">
        <v>2216</v>
      </c>
      <c r="E883" s="22" t="s">
        <v>2217</v>
      </c>
      <c r="F883" s="22" t="s">
        <v>1937</v>
      </c>
      <c r="G883" s="22" t="s">
        <v>2183</v>
      </c>
      <c r="H883" s="83" t="s">
        <v>2218</v>
      </c>
      <c r="I883" s="23" t="s">
        <v>24</v>
      </c>
      <c r="J883" s="24">
        <v>360</v>
      </c>
      <c r="K883" s="25">
        <v>0.25</v>
      </c>
      <c r="L883" s="26">
        <f t="shared" si="125"/>
        <v>90</v>
      </c>
      <c r="M883" s="27">
        <f t="shared" si="126"/>
        <v>270</v>
      </c>
      <c r="N883" s="28">
        <v>0.16</v>
      </c>
      <c r="O883" s="29">
        <f t="shared" si="128"/>
        <v>43.2</v>
      </c>
      <c r="P883" s="30">
        <f t="shared" si="129"/>
        <v>313.2</v>
      </c>
      <c r="Q883" s="23"/>
      <c r="R883" s="52"/>
      <c r="S883" s="53"/>
      <c r="T883" s="54">
        <f t="shared" si="132"/>
        <v>0</v>
      </c>
      <c r="U883" s="26">
        <f t="shared" si="132"/>
        <v>0</v>
      </c>
      <c r="V883" s="55">
        <f t="shared" si="131"/>
        <v>0</v>
      </c>
      <c r="W883" s="29">
        <f t="shared" si="127"/>
        <v>0</v>
      </c>
      <c r="X883" s="30">
        <f t="shared" si="130"/>
        <v>0</v>
      </c>
      <c r="Y883"/>
      <c r="Z883"/>
      <c r="AA883"/>
    </row>
    <row r="884" spans="1:27" s="51" customFormat="1" ht="18.600000000000001" hidden="1" customHeight="1" x14ac:dyDescent="0.25">
      <c r="A884" s="81" t="s">
        <v>16</v>
      </c>
      <c r="B884" s="31" t="s">
        <v>1933</v>
      </c>
      <c r="C884" s="32" t="s">
        <v>1934</v>
      </c>
      <c r="D884" s="31" t="s">
        <v>2219</v>
      </c>
      <c r="E884" s="33" t="s">
        <v>2220</v>
      </c>
      <c r="F884" s="33" t="s">
        <v>1937</v>
      </c>
      <c r="G884" s="33" t="s">
        <v>2183</v>
      </c>
      <c r="H884" s="84" t="s">
        <v>2041</v>
      </c>
      <c r="I884" s="23" t="s">
        <v>24</v>
      </c>
      <c r="J884" s="34">
        <v>360</v>
      </c>
      <c r="K884" s="35">
        <v>0.25</v>
      </c>
      <c r="L884" s="36">
        <f t="shared" si="125"/>
        <v>90</v>
      </c>
      <c r="M884" s="37">
        <f t="shared" si="126"/>
        <v>270</v>
      </c>
      <c r="N884" s="38">
        <v>0.16</v>
      </c>
      <c r="O884" s="39">
        <f t="shared" si="128"/>
        <v>43.2</v>
      </c>
      <c r="P884" s="40">
        <f t="shared" si="129"/>
        <v>313.2</v>
      </c>
      <c r="Q884" s="23"/>
      <c r="R884" s="56"/>
      <c r="S884" s="57"/>
      <c r="T884" s="58">
        <f t="shared" si="132"/>
        <v>0</v>
      </c>
      <c r="U884" s="36">
        <f t="shared" si="132"/>
        <v>0</v>
      </c>
      <c r="V884" s="59">
        <f t="shared" si="131"/>
        <v>0</v>
      </c>
      <c r="W884" s="39">
        <f t="shared" si="127"/>
        <v>0</v>
      </c>
      <c r="X884" s="40">
        <f t="shared" si="130"/>
        <v>0</v>
      </c>
      <c r="Y884"/>
      <c r="Z884"/>
      <c r="AA884"/>
    </row>
    <row r="885" spans="1:27" s="51" customFormat="1" ht="18.600000000000001" hidden="1" customHeight="1" x14ac:dyDescent="0.25">
      <c r="A885" s="82" t="s">
        <v>16</v>
      </c>
      <c r="B885" s="41" t="s">
        <v>1933</v>
      </c>
      <c r="C885" s="42" t="s">
        <v>1934</v>
      </c>
      <c r="D885" s="41" t="s">
        <v>2221</v>
      </c>
      <c r="E885" s="43" t="s">
        <v>2222</v>
      </c>
      <c r="F885" s="43" t="s">
        <v>1937</v>
      </c>
      <c r="G885" s="43" t="s">
        <v>2223</v>
      </c>
      <c r="H885" s="85" t="s">
        <v>2224</v>
      </c>
      <c r="I885" s="23" t="s">
        <v>24</v>
      </c>
      <c r="J885" s="44">
        <v>450</v>
      </c>
      <c r="K885" s="45">
        <v>0.25</v>
      </c>
      <c r="L885" s="46">
        <f t="shared" si="125"/>
        <v>112.5</v>
      </c>
      <c r="M885" s="47">
        <f t="shared" si="126"/>
        <v>337.5</v>
      </c>
      <c r="N885" s="48">
        <v>0.16</v>
      </c>
      <c r="O885" s="49">
        <f t="shared" si="128"/>
        <v>54</v>
      </c>
      <c r="P885" s="50">
        <f t="shared" si="129"/>
        <v>391.5</v>
      </c>
      <c r="Q885" s="23"/>
      <c r="R885" s="60"/>
      <c r="S885" s="61"/>
      <c r="T885" s="62">
        <f t="shared" si="132"/>
        <v>0</v>
      </c>
      <c r="U885" s="46">
        <f t="shared" si="132"/>
        <v>0</v>
      </c>
      <c r="V885" s="63">
        <f t="shared" si="131"/>
        <v>0</v>
      </c>
      <c r="W885" s="49">
        <f t="shared" si="127"/>
        <v>0</v>
      </c>
      <c r="X885" s="50">
        <f t="shared" si="130"/>
        <v>0</v>
      </c>
      <c r="Y885"/>
      <c r="Z885"/>
      <c r="AA885"/>
    </row>
    <row r="886" spans="1:27" s="51" customFormat="1" ht="18.600000000000001" hidden="1" customHeight="1" x14ac:dyDescent="0.25">
      <c r="A886" s="80" t="s">
        <v>16</v>
      </c>
      <c r="B886" s="20" t="s">
        <v>1933</v>
      </c>
      <c r="C886" s="21" t="s">
        <v>1934</v>
      </c>
      <c r="D886" s="20" t="s">
        <v>2225</v>
      </c>
      <c r="E886" s="22" t="s">
        <v>2226</v>
      </c>
      <c r="F886" s="22" t="s">
        <v>1937</v>
      </c>
      <c r="G886" s="22" t="s">
        <v>2223</v>
      </c>
      <c r="H886" s="83" t="s">
        <v>2227</v>
      </c>
      <c r="I886" s="23" t="s">
        <v>24</v>
      </c>
      <c r="J886" s="24">
        <v>450</v>
      </c>
      <c r="K886" s="25">
        <v>0.25</v>
      </c>
      <c r="L886" s="26">
        <f t="shared" si="125"/>
        <v>112.5</v>
      </c>
      <c r="M886" s="27">
        <f t="shared" si="126"/>
        <v>337.5</v>
      </c>
      <c r="N886" s="28">
        <v>0.16</v>
      </c>
      <c r="O886" s="29">
        <f t="shared" si="128"/>
        <v>54</v>
      </c>
      <c r="P886" s="30">
        <f t="shared" si="129"/>
        <v>391.5</v>
      </c>
      <c r="Q886" s="23"/>
      <c r="R886" s="52"/>
      <c r="S886" s="53"/>
      <c r="T886" s="54">
        <f t="shared" si="132"/>
        <v>0</v>
      </c>
      <c r="U886" s="26">
        <f t="shared" si="132"/>
        <v>0</v>
      </c>
      <c r="V886" s="55">
        <f t="shared" si="131"/>
        <v>0</v>
      </c>
      <c r="W886" s="29">
        <f t="shared" si="127"/>
        <v>0</v>
      </c>
      <c r="X886" s="30">
        <f t="shared" si="130"/>
        <v>0</v>
      </c>
      <c r="Y886"/>
      <c r="Z886"/>
      <c r="AA886"/>
    </row>
    <row r="887" spans="1:27" s="51" customFormat="1" ht="18.600000000000001" hidden="1" customHeight="1" x14ac:dyDescent="0.25">
      <c r="A887" s="81" t="s">
        <v>16</v>
      </c>
      <c r="B887" s="31" t="s">
        <v>1933</v>
      </c>
      <c r="C887" s="32" t="s">
        <v>1934</v>
      </c>
      <c r="D887" s="31" t="s">
        <v>2228</v>
      </c>
      <c r="E887" s="33" t="s">
        <v>2229</v>
      </c>
      <c r="F887" s="33" t="s">
        <v>1937</v>
      </c>
      <c r="G887" s="33" t="s">
        <v>2223</v>
      </c>
      <c r="H887" s="84" t="s">
        <v>2230</v>
      </c>
      <c r="I887" s="23" t="s">
        <v>24</v>
      </c>
      <c r="J887" s="34">
        <v>450</v>
      </c>
      <c r="K887" s="35">
        <v>0.25</v>
      </c>
      <c r="L887" s="36">
        <f t="shared" si="125"/>
        <v>112.5</v>
      </c>
      <c r="M887" s="37">
        <f t="shared" si="126"/>
        <v>337.5</v>
      </c>
      <c r="N887" s="38">
        <v>0.16</v>
      </c>
      <c r="O887" s="39">
        <f t="shared" si="128"/>
        <v>54</v>
      </c>
      <c r="P887" s="40">
        <f t="shared" si="129"/>
        <v>391.5</v>
      </c>
      <c r="Q887" s="23"/>
      <c r="R887" s="56"/>
      <c r="S887" s="57"/>
      <c r="T887" s="58">
        <f t="shared" si="132"/>
        <v>0</v>
      </c>
      <c r="U887" s="36">
        <f t="shared" si="132"/>
        <v>0</v>
      </c>
      <c r="V887" s="59">
        <f t="shared" si="131"/>
        <v>0</v>
      </c>
      <c r="W887" s="39">
        <f t="shared" si="127"/>
        <v>0</v>
      </c>
      <c r="X887" s="40">
        <f t="shared" si="130"/>
        <v>0</v>
      </c>
      <c r="Y887"/>
      <c r="Z887"/>
      <c r="AA887"/>
    </row>
    <row r="888" spans="1:27" s="51" customFormat="1" ht="18.600000000000001" hidden="1" customHeight="1" x14ac:dyDescent="0.25">
      <c r="A888" s="82" t="s">
        <v>16</v>
      </c>
      <c r="B888" s="41" t="s">
        <v>1933</v>
      </c>
      <c r="C888" s="42" t="s">
        <v>1934</v>
      </c>
      <c r="D888" s="41" t="s">
        <v>2231</v>
      </c>
      <c r="E888" s="43" t="s">
        <v>2232</v>
      </c>
      <c r="F888" s="43" t="s">
        <v>1937</v>
      </c>
      <c r="G888" s="43" t="s">
        <v>2223</v>
      </c>
      <c r="H888" s="85" t="s">
        <v>2233</v>
      </c>
      <c r="I888" s="23" t="s">
        <v>24</v>
      </c>
      <c r="J888" s="44">
        <v>300</v>
      </c>
      <c r="K888" s="45">
        <v>0.25</v>
      </c>
      <c r="L888" s="46">
        <f t="shared" si="125"/>
        <v>75</v>
      </c>
      <c r="M888" s="47">
        <f t="shared" si="126"/>
        <v>225</v>
      </c>
      <c r="N888" s="48">
        <v>0.16</v>
      </c>
      <c r="O888" s="49">
        <f t="shared" si="128"/>
        <v>36</v>
      </c>
      <c r="P888" s="50">
        <f t="shared" si="129"/>
        <v>261</v>
      </c>
      <c r="Q888" s="23"/>
      <c r="R888" s="60"/>
      <c r="S888" s="61"/>
      <c r="T888" s="62">
        <f t="shared" si="132"/>
        <v>0</v>
      </c>
      <c r="U888" s="46">
        <f t="shared" si="132"/>
        <v>0</v>
      </c>
      <c r="V888" s="63">
        <f t="shared" si="131"/>
        <v>0</v>
      </c>
      <c r="W888" s="49">
        <f t="shared" si="127"/>
        <v>0</v>
      </c>
      <c r="X888" s="50">
        <f t="shared" si="130"/>
        <v>0</v>
      </c>
      <c r="Y888"/>
      <c r="Z888"/>
      <c r="AA888"/>
    </row>
    <row r="889" spans="1:27" s="51" customFormat="1" ht="18.600000000000001" hidden="1" customHeight="1" x14ac:dyDescent="0.25">
      <c r="A889" s="80" t="s">
        <v>16</v>
      </c>
      <c r="B889" s="20" t="s">
        <v>1933</v>
      </c>
      <c r="C889" s="21" t="s">
        <v>1934</v>
      </c>
      <c r="D889" s="20" t="s">
        <v>2234</v>
      </c>
      <c r="E889" s="22" t="s">
        <v>2235</v>
      </c>
      <c r="F889" s="22" t="s">
        <v>1937</v>
      </c>
      <c r="G889" s="22" t="s">
        <v>2223</v>
      </c>
      <c r="H889" s="83" t="s">
        <v>2236</v>
      </c>
      <c r="I889" s="23" t="s">
        <v>24</v>
      </c>
      <c r="J889" s="24">
        <v>300</v>
      </c>
      <c r="K889" s="25">
        <v>0.25</v>
      </c>
      <c r="L889" s="26">
        <f t="shared" si="125"/>
        <v>75</v>
      </c>
      <c r="M889" s="27">
        <f t="shared" si="126"/>
        <v>225</v>
      </c>
      <c r="N889" s="28">
        <v>0.16</v>
      </c>
      <c r="O889" s="29">
        <f t="shared" si="128"/>
        <v>36</v>
      </c>
      <c r="P889" s="30">
        <f t="shared" si="129"/>
        <v>261</v>
      </c>
      <c r="Q889" s="23"/>
      <c r="R889" s="52"/>
      <c r="S889" s="53"/>
      <c r="T889" s="54">
        <f t="shared" si="132"/>
        <v>0</v>
      </c>
      <c r="U889" s="26">
        <f t="shared" si="132"/>
        <v>0</v>
      </c>
      <c r="V889" s="55">
        <f t="shared" si="131"/>
        <v>0</v>
      </c>
      <c r="W889" s="29">
        <f t="shared" si="127"/>
        <v>0</v>
      </c>
      <c r="X889" s="30">
        <f t="shared" si="130"/>
        <v>0</v>
      </c>
      <c r="Y889"/>
      <c r="Z889"/>
      <c r="AA889"/>
    </row>
    <row r="890" spans="1:27" s="51" customFormat="1" ht="18.600000000000001" hidden="1" customHeight="1" x14ac:dyDescent="0.25">
      <c r="A890" s="81" t="s">
        <v>16</v>
      </c>
      <c r="B890" s="31" t="s">
        <v>1933</v>
      </c>
      <c r="C890" s="32" t="s">
        <v>1934</v>
      </c>
      <c r="D890" s="31" t="s">
        <v>2237</v>
      </c>
      <c r="E890" s="33" t="s">
        <v>2238</v>
      </c>
      <c r="F890" s="33" t="s">
        <v>1937</v>
      </c>
      <c r="G890" s="33" t="s">
        <v>2223</v>
      </c>
      <c r="H890" s="84" t="s">
        <v>2239</v>
      </c>
      <c r="I890" s="23" t="s">
        <v>24</v>
      </c>
      <c r="J890" s="34">
        <v>450</v>
      </c>
      <c r="K890" s="35">
        <v>0.25</v>
      </c>
      <c r="L890" s="36">
        <f t="shared" si="125"/>
        <v>112.5</v>
      </c>
      <c r="M890" s="37">
        <f t="shared" si="126"/>
        <v>337.5</v>
      </c>
      <c r="N890" s="38">
        <v>0.16</v>
      </c>
      <c r="O890" s="39">
        <f t="shared" si="128"/>
        <v>54</v>
      </c>
      <c r="P890" s="40">
        <f t="shared" si="129"/>
        <v>391.5</v>
      </c>
      <c r="Q890" s="23"/>
      <c r="R890" s="56"/>
      <c r="S890" s="57"/>
      <c r="T890" s="58">
        <f t="shared" si="132"/>
        <v>0</v>
      </c>
      <c r="U890" s="36">
        <f t="shared" si="132"/>
        <v>0</v>
      </c>
      <c r="V890" s="59">
        <f t="shared" si="131"/>
        <v>0</v>
      </c>
      <c r="W890" s="39">
        <f t="shared" si="127"/>
        <v>0</v>
      </c>
      <c r="X890" s="40">
        <f t="shared" si="130"/>
        <v>0</v>
      </c>
      <c r="Y890"/>
      <c r="Z890"/>
      <c r="AA890"/>
    </row>
    <row r="891" spans="1:27" s="51" customFormat="1" ht="18.600000000000001" hidden="1" customHeight="1" x14ac:dyDescent="0.25">
      <c r="A891" s="82" t="s">
        <v>16</v>
      </c>
      <c r="B891" s="41" t="s">
        <v>1933</v>
      </c>
      <c r="C891" s="42" t="s">
        <v>1934</v>
      </c>
      <c r="D891" s="41" t="s">
        <v>2240</v>
      </c>
      <c r="E891" s="43" t="s">
        <v>2241</v>
      </c>
      <c r="F891" s="43" t="s">
        <v>1937</v>
      </c>
      <c r="G891" s="43" t="s">
        <v>2223</v>
      </c>
      <c r="H891" s="85" t="s">
        <v>2242</v>
      </c>
      <c r="I891" s="23" t="s">
        <v>24</v>
      </c>
      <c r="J891" s="44">
        <v>450</v>
      </c>
      <c r="K891" s="45">
        <v>0.25</v>
      </c>
      <c r="L891" s="46">
        <f t="shared" si="125"/>
        <v>112.5</v>
      </c>
      <c r="M891" s="47">
        <f t="shared" si="126"/>
        <v>337.5</v>
      </c>
      <c r="N891" s="48">
        <v>0.16</v>
      </c>
      <c r="O891" s="49">
        <f t="shared" si="128"/>
        <v>54</v>
      </c>
      <c r="P891" s="50">
        <f t="shared" si="129"/>
        <v>391.5</v>
      </c>
      <c r="Q891" s="23"/>
      <c r="R891" s="60"/>
      <c r="S891" s="61"/>
      <c r="T891" s="62">
        <f t="shared" si="132"/>
        <v>0</v>
      </c>
      <c r="U891" s="46">
        <f t="shared" si="132"/>
        <v>0</v>
      </c>
      <c r="V891" s="63">
        <f t="shared" si="131"/>
        <v>0</v>
      </c>
      <c r="W891" s="49">
        <f t="shared" si="127"/>
        <v>0</v>
      </c>
      <c r="X891" s="50">
        <f t="shared" si="130"/>
        <v>0</v>
      </c>
      <c r="Y891"/>
      <c r="Z891"/>
      <c r="AA891"/>
    </row>
    <row r="892" spans="1:27" s="51" customFormat="1" ht="18.600000000000001" hidden="1" customHeight="1" x14ac:dyDescent="0.25">
      <c r="A892" s="80" t="s">
        <v>16</v>
      </c>
      <c r="B892" s="20" t="s">
        <v>1933</v>
      </c>
      <c r="C892" s="21" t="s">
        <v>1934</v>
      </c>
      <c r="D892" s="20" t="s">
        <v>2243</v>
      </c>
      <c r="E892" s="22" t="s">
        <v>2244</v>
      </c>
      <c r="F892" s="22" t="s">
        <v>1937</v>
      </c>
      <c r="G892" s="22" t="s">
        <v>2223</v>
      </c>
      <c r="H892" s="83" t="s">
        <v>2245</v>
      </c>
      <c r="I892" s="23" t="s">
        <v>24</v>
      </c>
      <c r="J892" s="24">
        <v>450</v>
      </c>
      <c r="K892" s="25">
        <v>0.25</v>
      </c>
      <c r="L892" s="26">
        <f t="shared" si="125"/>
        <v>112.5</v>
      </c>
      <c r="M892" s="27">
        <f t="shared" si="126"/>
        <v>337.5</v>
      </c>
      <c r="N892" s="28">
        <v>0.16</v>
      </c>
      <c r="O892" s="29">
        <f t="shared" si="128"/>
        <v>54</v>
      </c>
      <c r="P892" s="30">
        <f t="shared" si="129"/>
        <v>391.5</v>
      </c>
      <c r="Q892" s="23"/>
      <c r="R892" s="52"/>
      <c r="S892" s="53"/>
      <c r="T892" s="54">
        <f t="shared" si="132"/>
        <v>0</v>
      </c>
      <c r="U892" s="26">
        <f t="shared" si="132"/>
        <v>0</v>
      </c>
      <c r="V892" s="55">
        <f t="shared" si="131"/>
        <v>0</v>
      </c>
      <c r="W892" s="29">
        <f t="shared" si="127"/>
        <v>0</v>
      </c>
      <c r="X892" s="30">
        <f t="shared" si="130"/>
        <v>0</v>
      </c>
      <c r="Y892"/>
      <c r="Z892"/>
      <c r="AA892"/>
    </row>
    <row r="893" spans="1:27" s="51" customFormat="1" ht="18.600000000000001" hidden="1" customHeight="1" x14ac:dyDescent="0.25">
      <c r="A893" s="81" t="s">
        <v>16</v>
      </c>
      <c r="B893" s="31" t="s">
        <v>1933</v>
      </c>
      <c r="C893" s="32" t="s">
        <v>1934</v>
      </c>
      <c r="D893" s="31" t="s">
        <v>2246</v>
      </c>
      <c r="E893" s="33" t="s">
        <v>2247</v>
      </c>
      <c r="F893" s="33" t="s">
        <v>1937</v>
      </c>
      <c r="G893" s="33" t="s">
        <v>2223</v>
      </c>
      <c r="H893" s="84" t="s">
        <v>2248</v>
      </c>
      <c r="I893" s="23" t="s">
        <v>24</v>
      </c>
      <c r="J893" s="34">
        <v>300</v>
      </c>
      <c r="K893" s="35">
        <v>0.25</v>
      </c>
      <c r="L893" s="36">
        <f t="shared" si="125"/>
        <v>75</v>
      </c>
      <c r="M893" s="37">
        <f t="shared" si="126"/>
        <v>225</v>
      </c>
      <c r="N893" s="38">
        <v>0.16</v>
      </c>
      <c r="O893" s="39">
        <f t="shared" si="128"/>
        <v>36</v>
      </c>
      <c r="P893" s="40">
        <f t="shared" si="129"/>
        <v>261</v>
      </c>
      <c r="Q893" s="23"/>
      <c r="R893" s="56"/>
      <c r="S893" s="57"/>
      <c r="T893" s="58">
        <f t="shared" si="132"/>
        <v>0</v>
      </c>
      <c r="U893" s="36">
        <f t="shared" si="132"/>
        <v>0</v>
      </c>
      <c r="V893" s="59">
        <f t="shared" si="131"/>
        <v>0</v>
      </c>
      <c r="W893" s="39">
        <f t="shared" si="127"/>
        <v>0</v>
      </c>
      <c r="X893" s="40">
        <f t="shared" si="130"/>
        <v>0</v>
      </c>
      <c r="Y893"/>
      <c r="Z893"/>
      <c r="AA893"/>
    </row>
    <row r="894" spans="1:27" s="51" customFormat="1" ht="18.600000000000001" hidden="1" customHeight="1" x14ac:dyDescent="0.25">
      <c r="A894" s="82" t="s">
        <v>16</v>
      </c>
      <c r="B894" s="41" t="s">
        <v>1933</v>
      </c>
      <c r="C894" s="42" t="s">
        <v>1934</v>
      </c>
      <c r="D894" s="41" t="s">
        <v>2249</v>
      </c>
      <c r="E894" s="43" t="s">
        <v>2250</v>
      </c>
      <c r="F894" s="43" t="s">
        <v>1937</v>
      </c>
      <c r="G894" s="43" t="s">
        <v>2223</v>
      </c>
      <c r="H894" s="85" t="s">
        <v>2251</v>
      </c>
      <c r="I894" s="23" t="s">
        <v>24</v>
      </c>
      <c r="J894" s="44">
        <v>300</v>
      </c>
      <c r="K894" s="45">
        <v>0.25</v>
      </c>
      <c r="L894" s="46">
        <f t="shared" si="125"/>
        <v>75</v>
      </c>
      <c r="M894" s="47">
        <f t="shared" si="126"/>
        <v>225</v>
      </c>
      <c r="N894" s="48">
        <v>0.16</v>
      </c>
      <c r="O894" s="49">
        <f t="shared" si="128"/>
        <v>36</v>
      </c>
      <c r="P894" s="50">
        <f t="shared" si="129"/>
        <v>261</v>
      </c>
      <c r="Q894" s="23"/>
      <c r="R894" s="60"/>
      <c r="S894" s="61"/>
      <c r="T894" s="62">
        <f t="shared" si="132"/>
        <v>0</v>
      </c>
      <c r="U894" s="46">
        <f t="shared" si="132"/>
        <v>0</v>
      </c>
      <c r="V894" s="63">
        <f t="shared" si="131"/>
        <v>0</v>
      </c>
      <c r="W894" s="49">
        <f t="shared" si="127"/>
        <v>0</v>
      </c>
      <c r="X894" s="50">
        <f t="shared" si="130"/>
        <v>0</v>
      </c>
      <c r="Y894"/>
      <c r="Z894"/>
      <c r="AA894"/>
    </row>
    <row r="895" spans="1:27" s="51" customFormat="1" ht="18.600000000000001" hidden="1" customHeight="1" x14ac:dyDescent="0.25">
      <c r="A895" s="80" t="s">
        <v>16</v>
      </c>
      <c r="B895" s="20" t="s">
        <v>1933</v>
      </c>
      <c r="C895" s="21" t="s">
        <v>1934</v>
      </c>
      <c r="D895" s="20" t="s">
        <v>2252</v>
      </c>
      <c r="E895" s="22" t="s">
        <v>2253</v>
      </c>
      <c r="F895" s="22" t="s">
        <v>1937</v>
      </c>
      <c r="G895" s="22" t="s">
        <v>2223</v>
      </c>
      <c r="H895" s="83" t="s">
        <v>2254</v>
      </c>
      <c r="I895" s="23" t="s">
        <v>24</v>
      </c>
      <c r="J895" s="24">
        <v>450</v>
      </c>
      <c r="K895" s="25">
        <v>0.25</v>
      </c>
      <c r="L895" s="26">
        <f t="shared" si="125"/>
        <v>112.5</v>
      </c>
      <c r="M895" s="27">
        <f t="shared" si="126"/>
        <v>337.5</v>
      </c>
      <c r="N895" s="28">
        <v>0.16</v>
      </c>
      <c r="O895" s="29">
        <f t="shared" si="128"/>
        <v>54</v>
      </c>
      <c r="P895" s="30">
        <f t="shared" si="129"/>
        <v>391.5</v>
      </c>
      <c r="Q895" s="23"/>
      <c r="R895" s="52"/>
      <c r="S895" s="53"/>
      <c r="T895" s="54">
        <f t="shared" si="132"/>
        <v>0</v>
      </c>
      <c r="U895" s="26">
        <f t="shared" si="132"/>
        <v>0</v>
      </c>
      <c r="V895" s="55">
        <f t="shared" si="131"/>
        <v>0</v>
      </c>
      <c r="W895" s="29">
        <f t="shared" si="127"/>
        <v>0</v>
      </c>
      <c r="X895" s="30">
        <f t="shared" si="130"/>
        <v>0</v>
      </c>
      <c r="Y895"/>
      <c r="Z895"/>
      <c r="AA895"/>
    </row>
    <row r="896" spans="1:27" s="51" customFormat="1" ht="18.600000000000001" hidden="1" customHeight="1" x14ac:dyDescent="0.25">
      <c r="A896" s="81" t="s">
        <v>16</v>
      </c>
      <c r="B896" s="31" t="s">
        <v>1933</v>
      </c>
      <c r="C896" s="32" t="s">
        <v>1934</v>
      </c>
      <c r="D896" s="31" t="s">
        <v>2255</v>
      </c>
      <c r="E896" s="33" t="s">
        <v>2256</v>
      </c>
      <c r="F896" s="33" t="s">
        <v>1937</v>
      </c>
      <c r="G896" s="33" t="s">
        <v>2223</v>
      </c>
      <c r="H896" s="84" t="s">
        <v>2257</v>
      </c>
      <c r="I896" s="23" t="s">
        <v>24</v>
      </c>
      <c r="J896" s="34">
        <v>450</v>
      </c>
      <c r="K896" s="35">
        <v>0.25</v>
      </c>
      <c r="L896" s="36">
        <f t="shared" si="125"/>
        <v>112.5</v>
      </c>
      <c r="M896" s="37">
        <f t="shared" si="126"/>
        <v>337.5</v>
      </c>
      <c r="N896" s="38">
        <v>0.16</v>
      </c>
      <c r="O896" s="39">
        <f t="shared" si="128"/>
        <v>54</v>
      </c>
      <c r="P896" s="40">
        <f t="shared" si="129"/>
        <v>391.5</v>
      </c>
      <c r="Q896" s="23"/>
      <c r="R896" s="56"/>
      <c r="S896" s="57"/>
      <c r="T896" s="58">
        <f t="shared" si="132"/>
        <v>0</v>
      </c>
      <c r="U896" s="36">
        <f t="shared" si="132"/>
        <v>0</v>
      </c>
      <c r="V896" s="59">
        <f t="shared" si="131"/>
        <v>0</v>
      </c>
      <c r="W896" s="39">
        <f t="shared" si="127"/>
        <v>0</v>
      </c>
      <c r="X896" s="40">
        <f t="shared" si="130"/>
        <v>0</v>
      </c>
      <c r="Y896"/>
      <c r="Z896"/>
      <c r="AA896"/>
    </row>
    <row r="897" spans="1:27" s="51" customFormat="1" ht="18.600000000000001" hidden="1" customHeight="1" x14ac:dyDescent="0.25">
      <c r="A897" s="82" t="s">
        <v>16</v>
      </c>
      <c r="B897" s="41" t="s">
        <v>1933</v>
      </c>
      <c r="C897" s="42" t="s">
        <v>1934</v>
      </c>
      <c r="D897" s="41" t="s">
        <v>2258</v>
      </c>
      <c r="E897" s="43" t="s">
        <v>2259</v>
      </c>
      <c r="F897" s="43" t="s">
        <v>1937</v>
      </c>
      <c r="G897" s="43" t="s">
        <v>2223</v>
      </c>
      <c r="H897" s="85" t="s">
        <v>2260</v>
      </c>
      <c r="I897" s="23" t="s">
        <v>24</v>
      </c>
      <c r="J897" s="44">
        <v>300</v>
      </c>
      <c r="K897" s="45">
        <v>0.25</v>
      </c>
      <c r="L897" s="46">
        <f t="shared" si="125"/>
        <v>75</v>
      </c>
      <c r="M897" s="47">
        <f t="shared" si="126"/>
        <v>225</v>
      </c>
      <c r="N897" s="48">
        <v>0.16</v>
      </c>
      <c r="O897" s="49">
        <f t="shared" si="128"/>
        <v>36</v>
      </c>
      <c r="P897" s="50">
        <f t="shared" si="129"/>
        <v>261</v>
      </c>
      <c r="Q897" s="23"/>
      <c r="R897" s="60"/>
      <c r="S897" s="61"/>
      <c r="T897" s="62">
        <f t="shared" si="132"/>
        <v>0</v>
      </c>
      <c r="U897" s="46">
        <f t="shared" si="132"/>
        <v>0</v>
      </c>
      <c r="V897" s="63">
        <f t="shared" si="131"/>
        <v>0</v>
      </c>
      <c r="W897" s="49">
        <f t="shared" si="127"/>
        <v>0</v>
      </c>
      <c r="X897" s="50">
        <f t="shared" si="130"/>
        <v>0</v>
      </c>
      <c r="Y897"/>
      <c r="Z897"/>
      <c r="AA897"/>
    </row>
    <row r="898" spans="1:27" s="51" customFormat="1" ht="18.600000000000001" hidden="1" customHeight="1" x14ac:dyDescent="0.25">
      <c r="A898" s="80" t="s">
        <v>16</v>
      </c>
      <c r="B898" s="20" t="s">
        <v>1933</v>
      </c>
      <c r="C898" s="21" t="s">
        <v>1934</v>
      </c>
      <c r="D898" s="20" t="s">
        <v>2261</v>
      </c>
      <c r="E898" s="22" t="s">
        <v>2262</v>
      </c>
      <c r="F898" s="22" t="s">
        <v>1937</v>
      </c>
      <c r="G898" s="22" t="s">
        <v>2223</v>
      </c>
      <c r="H898" s="83" t="s">
        <v>2263</v>
      </c>
      <c r="I898" s="23" t="s">
        <v>24</v>
      </c>
      <c r="J898" s="24">
        <v>450</v>
      </c>
      <c r="K898" s="25">
        <v>0.25</v>
      </c>
      <c r="L898" s="26">
        <f t="shared" si="125"/>
        <v>112.5</v>
      </c>
      <c r="M898" s="27">
        <f t="shared" si="126"/>
        <v>337.5</v>
      </c>
      <c r="N898" s="28">
        <v>0.16</v>
      </c>
      <c r="O898" s="29">
        <f t="shared" si="128"/>
        <v>54</v>
      </c>
      <c r="P898" s="30">
        <f t="shared" si="129"/>
        <v>391.5</v>
      </c>
      <c r="Q898" s="23"/>
      <c r="R898" s="52"/>
      <c r="S898" s="53"/>
      <c r="T898" s="54">
        <f t="shared" si="132"/>
        <v>0</v>
      </c>
      <c r="U898" s="26">
        <f t="shared" si="132"/>
        <v>0</v>
      </c>
      <c r="V898" s="55">
        <f t="shared" si="131"/>
        <v>0</v>
      </c>
      <c r="W898" s="29">
        <f t="shared" si="127"/>
        <v>0</v>
      </c>
      <c r="X898" s="30">
        <f t="shared" si="130"/>
        <v>0</v>
      </c>
      <c r="Y898"/>
      <c r="Z898"/>
      <c r="AA898"/>
    </row>
    <row r="899" spans="1:27" s="51" customFormat="1" ht="18.600000000000001" hidden="1" customHeight="1" x14ac:dyDescent="0.25">
      <c r="A899" s="81" t="s">
        <v>16</v>
      </c>
      <c r="B899" s="31" t="s">
        <v>1933</v>
      </c>
      <c r="C899" s="32" t="s">
        <v>1934</v>
      </c>
      <c r="D899" s="31" t="s">
        <v>2264</v>
      </c>
      <c r="E899" s="33" t="s">
        <v>2265</v>
      </c>
      <c r="F899" s="33" t="s">
        <v>1937</v>
      </c>
      <c r="G899" s="33" t="s">
        <v>2223</v>
      </c>
      <c r="H899" s="84" t="s">
        <v>2266</v>
      </c>
      <c r="I899" s="23" t="s">
        <v>24</v>
      </c>
      <c r="J899" s="34">
        <v>300</v>
      </c>
      <c r="K899" s="35">
        <v>0.25</v>
      </c>
      <c r="L899" s="36">
        <f t="shared" si="125"/>
        <v>75</v>
      </c>
      <c r="M899" s="37">
        <f t="shared" si="126"/>
        <v>225</v>
      </c>
      <c r="N899" s="38">
        <v>0.16</v>
      </c>
      <c r="O899" s="39">
        <f t="shared" si="128"/>
        <v>36</v>
      </c>
      <c r="P899" s="40">
        <f t="shared" si="129"/>
        <v>261</v>
      </c>
      <c r="Q899" s="23"/>
      <c r="R899" s="56"/>
      <c r="S899" s="57"/>
      <c r="T899" s="58">
        <f t="shared" si="132"/>
        <v>0</v>
      </c>
      <c r="U899" s="36">
        <f t="shared" si="132"/>
        <v>0</v>
      </c>
      <c r="V899" s="59">
        <f t="shared" si="131"/>
        <v>0</v>
      </c>
      <c r="W899" s="39">
        <f t="shared" si="127"/>
        <v>0</v>
      </c>
      <c r="X899" s="40">
        <f t="shared" si="130"/>
        <v>0</v>
      </c>
      <c r="Y899"/>
      <c r="Z899"/>
      <c r="AA899"/>
    </row>
    <row r="900" spans="1:27" s="51" customFormat="1" ht="18.600000000000001" hidden="1" customHeight="1" x14ac:dyDescent="0.25">
      <c r="A900" s="82" t="s">
        <v>16</v>
      </c>
      <c r="B900" s="41" t="s">
        <v>1933</v>
      </c>
      <c r="C900" s="42" t="s">
        <v>1934</v>
      </c>
      <c r="D900" s="41" t="s">
        <v>2267</v>
      </c>
      <c r="E900" s="43" t="s">
        <v>2268</v>
      </c>
      <c r="F900" s="43" t="s">
        <v>1937</v>
      </c>
      <c r="G900" s="43" t="s">
        <v>2223</v>
      </c>
      <c r="H900" s="85" t="s">
        <v>2269</v>
      </c>
      <c r="I900" s="23" t="s">
        <v>24</v>
      </c>
      <c r="J900" s="44">
        <v>450</v>
      </c>
      <c r="K900" s="45">
        <v>0.25</v>
      </c>
      <c r="L900" s="46">
        <f t="shared" si="125"/>
        <v>112.5</v>
      </c>
      <c r="M900" s="47">
        <f t="shared" si="126"/>
        <v>337.5</v>
      </c>
      <c r="N900" s="48">
        <v>0.16</v>
      </c>
      <c r="O900" s="49">
        <f t="shared" si="128"/>
        <v>54</v>
      </c>
      <c r="P900" s="50">
        <f t="shared" si="129"/>
        <v>391.5</v>
      </c>
      <c r="Q900" s="23"/>
      <c r="R900" s="60"/>
      <c r="S900" s="61"/>
      <c r="T900" s="62">
        <f t="shared" si="132"/>
        <v>0</v>
      </c>
      <c r="U900" s="46">
        <f t="shared" si="132"/>
        <v>0</v>
      </c>
      <c r="V900" s="63">
        <f t="shared" si="131"/>
        <v>0</v>
      </c>
      <c r="W900" s="49">
        <f t="shared" si="127"/>
        <v>0</v>
      </c>
      <c r="X900" s="50">
        <f t="shared" si="130"/>
        <v>0</v>
      </c>
      <c r="Y900"/>
      <c r="Z900"/>
      <c r="AA900"/>
    </row>
    <row r="901" spans="1:27" s="51" customFormat="1" ht="18.600000000000001" hidden="1" customHeight="1" x14ac:dyDescent="0.25">
      <c r="A901" s="80" t="s">
        <v>16</v>
      </c>
      <c r="B901" s="20" t="s">
        <v>1933</v>
      </c>
      <c r="C901" s="21" t="s">
        <v>1934</v>
      </c>
      <c r="D901" s="20" t="s">
        <v>2270</v>
      </c>
      <c r="E901" s="22" t="s">
        <v>2271</v>
      </c>
      <c r="F901" s="22" t="s">
        <v>1937</v>
      </c>
      <c r="G901" s="22" t="s">
        <v>2223</v>
      </c>
      <c r="H901" s="83" t="s">
        <v>2272</v>
      </c>
      <c r="I901" s="23" t="s">
        <v>24</v>
      </c>
      <c r="J901" s="24">
        <v>450</v>
      </c>
      <c r="K901" s="25">
        <v>0.25</v>
      </c>
      <c r="L901" s="26">
        <f t="shared" si="125"/>
        <v>112.5</v>
      </c>
      <c r="M901" s="27">
        <f t="shared" si="126"/>
        <v>337.5</v>
      </c>
      <c r="N901" s="28">
        <v>0.16</v>
      </c>
      <c r="O901" s="29">
        <f t="shared" si="128"/>
        <v>54</v>
      </c>
      <c r="P901" s="30">
        <f t="shared" si="129"/>
        <v>391.5</v>
      </c>
      <c r="Q901" s="23"/>
      <c r="R901" s="52"/>
      <c r="S901" s="53"/>
      <c r="T901" s="54">
        <f t="shared" si="132"/>
        <v>0</v>
      </c>
      <c r="U901" s="26">
        <f t="shared" si="132"/>
        <v>0</v>
      </c>
      <c r="V901" s="55">
        <f t="shared" si="131"/>
        <v>0</v>
      </c>
      <c r="W901" s="29">
        <f t="shared" si="127"/>
        <v>0</v>
      </c>
      <c r="X901" s="30">
        <f t="shared" si="130"/>
        <v>0</v>
      </c>
      <c r="Y901"/>
      <c r="Z901"/>
      <c r="AA901"/>
    </row>
    <row r="902" spans="1:27" s="51" customFormat="1" ht="18.600000000000001" hidden="1" customHeight="1" x14ac:dyDescent="0.25">
      <c r="A902" s="81" t="s">
        <v>16</v>
      </c>
      <c r="B902" s="31" t="s">
        <v>1933</v>
      </c>
      <c r="C902" s="32" t="s">
        <v>1934</v>
      </c>
      <c r="D902" s="31" t="s">
        <v>2273</v>
      </c>
      <c r="E902" s="33" t="s">
        <v>2274</v>
      </c>
      <c r="F902" s="33" t="s">
        <v>1937</v>
      </c>
      <c r="G902" s="33" t="s">
        <v>2223</v>
      </c>
      <c r="H902" s="84" t="s">
        <v>2275</v>
      </c>
      <c r="I902" s="23" t="s">
        <v>24</v>
      </c>
      <c r="J902" s="34">
        <v>450</v>
      </c>
      <c r="K902" s="35">
        <v>0.25</v>
      </c>
      <c r="L902" s="36">
        <f t="shared" si="125"/>
        <v>112.5</v>
      </c>
      <c r="M902" s="37">
        <f t="shared" si="126"/>
        <v>337.5</v>
      </c>
      <c r="N902" s="38">
        <v>0.16</v>
      </c>
      <c r="O902" s="39">
        <f t="shared" si="128"/>
        <v>54</v>
      </c>
      <c r="P902" s="40">
        <f t="shared" si="129"/>
        <v>391.5</v>
      </c>
      <c r="Q902" s="23"/>
      <c r="R902" s="56"/>
      <c r="S902" s="57"/>
      <c r="T902" s="58">
        <f t="shared" si="132"/>
        <v>0</v>
      </c>
      <c r="U902" s="36">
        <f t="shared" si="132"/>
        <v>0</v>
      </c>
      <c r="V902" s="59">
        <f t="shared" si="131"/>
        <v>0</v>
      </c>
      <c r="W902" s="39">
        <f t="shared" si="127"/>
        <v>0</v>
      </c>
      <c r="X902" s="40">
        <f t="shared" si="130"/>
        <v>0</v>
      </c>
      <c r="Y902"/>
      <c r="Z902"/>
      <c r="AA902"/>
    </row>
    <row r="903" spans="1:27" s="51" customFormat="1" ht="18.600000000000001" hidden="1" customHeight="1" x14ac:dyDescent="0.25">
      <c r="A903" s="82" t="s">
        <v>16</v>
      </c>
      <c r="B903" s="41" t="s">
        <v>1933</v>
      </c>
      <c r="C903" s="42" t="s">
        <v>1934</v>
      </c>
      <c r="D903" s="41" t="s">
        <v>2276</v>
      </c>
      <c r="E903" s="43" t="s">
        <v>2277</v>
      </c>
      <c r="F903" s="43" t="s">
        <v>1937</v>
      </c>
      <c r="G903" s="43" t="s">
        <v>2223</v>
      </c>
      <c r="H903" s="85" t="s">
        <v>2278</v>
      </c>
      <c r="I903" s="23" t="s">
        <v>24</v>
      </c>
      <c r="J903" s="44">
        <v>450</v>
      </c>
      <c r="K903" s="45">
        <v>0.25</v>
      </c>
      <c r="L903" s="46">
        <f t="shared" si="125"/>
        <v>112.5</v>
      </c>
      <c r="M903" s="47">
        <f t="shared" si="126"/>
        <v>337.5</v>
      </c>
      <c r="N903" s="48">
        <v>0.16</v>
      </c>
      <c r="O903" s="49">
        <f t="shared" si="128"/>
        <v>54</v>
      </c>
      <c r="P903" s="50">
        <f t="shared" si="129"/>
        <v>391.5</v>
      </c>
      <c r="Q903" s="23"/>
      <c r="R903" s="60"/>
      <c r="S903" s="61"/>
      <c r="T903" s="62">
        <f t="shared" si="132"/>
        <v>0</v>
      </c>
      <c r="U903" s="46">
        <f t="shared" si="132"/>
        <v>0</v>
      </c>
      <c r="V903" s="63">
        <f t="shared" si="131"/>
        <v>0</v>
      </c>
      <c r="W903" s="49">
        <f t="shared" si="127"/>
        <v>0</v>
      </c>
      <c r="X903" s="50">
        <f t="shared" si="130"/>
        <v>0</v>
      </c>
      <c r="Y903"/>
      <c r="Z903"/>
      <c r="AA903"/>
    </row>
    <row r="904" spans="1:27" s="51" customFormat="1" ht="18.600000000000001" hidden="1" customHeight="1" x14ac:dyDescent="0.25">
      <c r="A904" s="80" t="s">
        <v>16</v>
      </c>
      <c r="B904" s="20" t="s">
        <v>1933</v>
      </c>
      <c r="C904" s="21" t="s">
        <v>1934</v>
      </c>
      <c r="D904" s="20" t="s">
        <v>2279</v>
      </c>
      <c r="E904" s="22" t="s">
        <v>2280</v>
      </c>
      <c r="F904" s="22" t="s">
        <v>1937</v>
      </c>
      <c r="G904" s="22" t="s">
        <v>2223</v>
      </c>
      <c r="H904" s="83" t="s">
        <v>2281</v>
      </c>
      <c r="I904" s="23" t="s">
        <v>24</v>
      </c>
      <c r="J904" s="24">
        <v>450</v>
      </c>
      <c r="K904" s="25">
        <v>0.25</v>
      </c>
      <c r="L904" s="26">
        <f t="shared" si="125"/>
        <v>112.5</v>
      </c>
      <c r="M904" s="27">
        <f t="shared" si="126"/>
        <v>337.5</v>
      </c>
      <c r="N904" s="28">
        <v>0.16</v>
      </c>
      <c r="O904" s="29">
        <f t="shared" si="128"/>
        <v>54</v>
      </c>
      <c r="P904" s="30">
        <f t="shared" si="129"/>
        <v>391.5</v>
      </c>
      <c r="Q904" s="23"/>
      <c r="R904" s="52"/>
      <c r="S904" s="53"/>
      <c r="T904" s="54">
        <f t="shared" si="132"/>
        <v>0</v>
      </c>
      <c r="U904" s="26">
        <f t="shared" si="132"/>
        <v>0</v>
      </c>
      <c r="V904" s="55">
        <f t="shared" si="131"/>
        <v>0</v>
      </c>
      <c r="W904" s="29">
        <f t="shared" si="127"/>
        <v>0</v>
      </c>
      <c r="X904" s="30">
        <f t="shared" si="130"/>
        <v>0</v>
      </c>
      <c r="Y904"/>
      <c r="Z904"/>
      <c r="AA904"/>
    </row>
    <row r="905" spans="1:27" s="51" customFormat="1" ht="18.600000000000001" hidden="1" customHeight="1" x14ac:dyDescent="0.25">
      <c r="A905" s="81" t="s">
        <v>16</v>
      </c>
      <c r="B905" s="31" t="s">
        <v>1933</v>
      </c>
      <c r="C905" s="32" t="s">
        <v>1934</v>
      </c>
      <c r="D905" s="31" t="s">
        <v>2282</v>
      </c>
      <c r="E905" s="33" t="s">
        <v>2283</v>
      </c>
      <c r="F905" s="33" t="s">
        <v>1937</v>
      </c>
      <c r="G905" s="33" t="s">
        <v>2223</v>
      </c>
      <c r="H905" s="84" t="s">
        <v>2284</v>
      </c>
      <c r="I905" s="23" t="s">
        <v>24</v>
      </c>
      <c r="J905" s="34">
        <v>450</v>
      </c>
      <c r="K905" s="35">
        <v>0.25</v>
      </c>
      <c r="L905" s="36">
        <f t="shared" si="125"/>
        <v>112.5</v>
      </c>
      <c r="M905" s="37">
        <f t="shared" si="126"/>
        <v>337.5</v>
      </c>
      <c r="N905" s="38">
        <v>0.16</v>
      </c>
      <c r="O905" s="39">
        <f t="shared" si="128"/>
        <v>54</v>
      </c>
      <c r="P905" s="40">
        <f t="shared" si="129"/>
        <v>391.5</v>
      </c>
      <c r="Q905" s="23"/>
      <c r="R905" s="56"/>
      <c r="S905" s="57"/>
      <c r="T905" s="58">
        <f t="shared" si="132"/>
        <v>0</v>
      </c>
      <c r="U905" s="36">
        <f t="shared" si="132"/>
        <v>0</v>
      </c>
      <c r="V905" s="59">
        <f t="shared" si="131"/>
        <v>0</v>
      </c>
      <c r="W905" s="39">
        <f t="shared" si="127"/>
        <v>0</v>
      </c>
      <c r="X905" s="40">
        <f t="shared" si="130"/>
        <v>0</v>
      </c>
      <c r="Y905"/>
      <c r="Z905"/>
      <c r="AA905"/>
    </row>
    <row r="906" spans="1:27" s="51" customFormat="1" ht="18.600000000000001" hidden="1" customHeight="1" x14ac:dyDescent="0.25">
      <c r="A906" s="82" t="s">
        <v>16</v>
      </c>
      <c r="B906" s="41" t="s">
        <v>1933</v>
      </c>
      <c r="C906" s="42" t="s">
        <v>1934</v>
      </c>
      <c r="D906" s="41" t="s">
        <v>2285</v>
      </c>
      <c r="E906" s="43" t="s">
        <v>2286</v>
      </c>
      <c r="F906" s="43" t="s">
        <v>1937</v>
      </c>
      <c r="G906" s="43" t="s">
        <v>2223</v>
      </c>
      <c r="H906" s="85" t="s">
        <v>2287</v>
      </c>
      <c r="I906" s="23" t="s">
        <v>24</v>
      </c>
      <c r="J906" s="44">
        <v>210</v>
      </c>
      <c r="K906" s="45">
        <v>0.25</v>
      </c>
      <c r="L906" s="46">
        <f t="shared" ref="L906:L969" si="133">+J906*K906</f>
        <v>52.5</v>
      </c>
      <c r="M906" s="47">
        <f t="shared" ref="M906:M969" si="134">+J906-L906</f>
        <v>157.5</v>
      </c>
      <c r="N906" s="48">
        <v>0.16</v>
      </c>
      <c r="O906" s="49">
        <f t="shared" si="128"/>
        <v>25.2</v>
      </c>
      <c r="P906" s="50">
        <f t="shared" si="129"/>
        <v>182.7</v>
      </c>
      <c r="Q906" s="23"/>
      <c r="R906" s="60"/>
      <c r="S906" s="61"/>
      <c r="T906" s="62">
        <f t="shared" si="132"/>
        <v>0</v>
      </c>
      <c r="U906" s="46">
        <f t="shared" si="132"/>
        <v>0</v>
      </c>
      <c r="V906" s="63">
        <f t="shared" si="131"/>
        <v>0</v>
      </c>
      <c r="W906" s="49">
        <f t="shared" ref="W906:W969" si="135">+V906*N906</f>
        <v>0</v>
      </c>
      <c r="X906" s="50">
        <f t="shared" si="130"/>
        <v>0</v>
      </c>
      <c r="Y906"/>
      <c r="Z906"/>
      <c r="AA906"/>
    </row>
    <row r="907" spans="1:27" s="51" customFormat="1" ht="18.600000000000001" hidden="1" customHeight="1" x14ac:dyDescent="0.25">
      <c r="A907" s="80" t="s">
        <v>16</v>
      </c>
      <c r="B907" s="20" t="s">
        <v>1933</v>
      </c>
      <c r="C907" s="21" t="s">
        <v>1934</v>
      </c>
      <c r="D907" s="20" t="s">
        <v>2288</v>
      </c>
      <c r="E907" s="22" t="s">
        <v>2289</v>
      </c>
      <c r="F907" s="22" t="s">
        <v>1937</v>
      </c>
      <c r="G907" s="22" t="s">
        <v>2223</v>
      </c>
      <c r="H907" s="83" t="s">
        <v>2290</v>
      </c>
      <c r="I907" s="23" t="s">
        <v>24</v>
      </c>
      <c r="J907" s="24">
        <v>450</v>
      </c>
      <c r="K907" s="25">
        <v>0.25</v>
      </c>
      <c r="L907" s="26">
        <f t="shared" si="133"/>
        <v>112.5</v>
      </c>
      <c r="M907" s="27">
        <f t="shared" si="134"/>
        <v>337.5</v>
      </c>
      <c r="N907" s="28">
        <v>0.16</v>
      </c>
      <c r="O907" s="29">
        <f t="shared" ref="O907:O970" si="136">+M907*N907</f>
        <v>54</v>
      </c>
      <c r="P907" s="30">
        <f t="shared" ref="P907:P970" si="137">+M907+O907</f>
        <v>391.5</v>
      </c>
      <c r="Q907" s="23"/>
      <c r="R907" s="52"/>
      <c r="S907" s="53"/>
      <c r="T907" s="54">
        <f t="shared" si="132"/>
        <v>0</v>
      </c>
      <c r="U907" s="26">
        <f t="shared" si="132"/>
        <v>0</v>
      </c>
      <c r="V907" s="55">
        <f t="shared" si="131"/>
        <v>0</v>
      </c>
      <c r="W907" s="29">
        <f t="shared" si="135"/>
        <v>0</v>
      </c>
      <c r="X907" s="30">
        <f t="shared" ref="X907:X970" si="138">+V907+W907</f>
        <v>0</v>
      </c>
      <c r="Y907"/>
      <c r="Z907"/>
      <c r="AA907"/>
    </row>
    <row r="908" spans="1:27" s="51" customFormat="1" ht="18.600000000000001" hidden="1" customHeight="1" x14ac:dyDescent="0.25">
      <c r="A908" s="81" t="s">
        <v>16</v>
      </c>
      <c r="B908" s="31" t="s">
        <v>1933</v>
      </c>
      <c r="C908" s="32" t="s">
        <v>1934</v>
      </c>
      <c r="D908" s="31" t="s">
        <v>2291</v>
      </c>
      <c r="E908" s="33" t="s">
        <v>2292</v>
      </c>
      <c r="F908" s="33" t="s">
        <v>1937</v>
      </c>
      <c r="G908" s="33" t="s">
        <v>2223</v>
      </c>
      <c r="H908" s="84" t="s">
        <v>2293</v>
      </c>
      <c r="I908" s="23" t="s">
        <v>24</v>
      </c>
      <c r="J908" s="34">
        <v>450</v>
      </c>
      <c r="K908" s="35">
        <v>0.25</v>
      </c>
      <c r="L908" s="36">
        <f t="shared" si="133"/>
        <v>112.5</v>
      </c>
      <c r="M908" s="37">
        <f t="shared" si="134"/>
        <v>337.5</v>
      </c>
      <c r="N908" s="38">
        <v>0.16</v>
      </c>
      <c r="O908" s="39">
        <f t="shared" si="136"/>
        <v>54</v>
      </c>
      <c r="P908" s="40">
        <f t="shared" si="137"/>
        <v>391.5</v>
      </c>
      <c r="Q908" s="23"/>
      <c r="R908" s="56"/>
      <c r="S908" s="57"/>
      <c r="T908" s="58">
        <f t="shared" si="132"/>
        <v>0</v>
      </c>
      <c r="U908" s="36">
        <f t="shared" si="132"/>
        <v>0</v>
      </c>
      <c r="V908" s="59">
        <f t="shared" si="131"/>
        <v>0</v>
      </c>
      <c r="W908" s="39">
        <f t="shared" si="135"/>
        <v>0</v>
      </c>
      <c r="X908" s="40">
        <f t="shared" si="138"/>
        <v>0</v>
      </c>
      <c r="Y908"/>
      <c r="Z908"/>
      <c r="AA908"/>
    </row>
    <row r="909" spans="1:27" s="51" customFormat="1" ht="18.600000000000001" hidden="1" customHeight="1" x14ac:dyDescent="0.25">
      <c r="A909" s="82" t="s">
        <v>16</v>
      </c>
      <c r="B909" s="41" t="s">
        <v>1933</v>
      </c>
      <c r="C909" s="42" t="s">
        <v>1934</v>
      </c>
      <c r="D909" s="41" t="s">
        <v>2294</v>
      </c>
      <c r="E909" s="43" t="s">
        <v>2295</v>
      </c>
      <c r="F909" s="43" t="s">
        <v>1937</v>
      </c>
      <c r="G909" s="43" t="s">
        <v>2223</v>
      </c>
      <c r="H909" s="85" t="s">
        <v>2296</v>
      </c>
      <c r="I909" s="23" t="s">
        <v>24</v>
      </c>
      <c r="J909" s="44">
        <v>450</v>
      </c>
      <c r="K909" s="45">
        <v>0.25</v>
      </c>
      <c r="L909" s="46">
        <f t="shared" si="133"/>
        <v>112.5</v>
      </c>
      <c r="M909" s="47">
        <f t="shared" si="134"/>
        <v>337.5</v>
      </c>
      <c r="N909" s="48">
        <v>0.16</v>
      </c>
      <c r="O909" s="49">
        <f t="shared" si="136"/>
        <v>54</v>
      </c>
      <c r="P909" s="50">
        <f t="shared" si="137"/>
        <v>391.5</v>
      </c>
      <c r="Q909" s="23"/>
      <c r="R909" s="60"/>
      <c r="S909" s="61"/>
      <c r="T909" s="62">
        <f t="shared" si="132"/>
        <v>0</v>
      </c>
      <c r="U909" s="46">
        <f t="shared" si="132"/>
        <v>0</v>
      </c>
      <c r="V909" s="63">
        <f t="shared" si="131"/>
        <v>0</v>
      </c>
      <c r="W909" s="49">
        <f t="shared" si="135"/>
        <v>0</v>
      </c>
      <c r="X909" s="50">
        <f t="shared" si="138"/>
        <v>0</v>
      </c>
      <c r="Y909"/>
      <c r="Z909"/>
      <c r="AA909"/>
    </row>
    <row r="910" spans="1:27" s="51" customFormat="1" ht="18.600000000000001" hidden="1" customHeight="1" x14ac:dyDescent="0.25">
      <c r="A910" s="80" t="s">
        <v>16</v>
      </c>
      <c r="B910" s="20" t="s">
        <v>1933</v>
      </c>
      <c r="C910" s="21" t="s">
        <v>1934</v>
      </c>
      <c r="D910" s="20" t="s">
        <v>2297</v>
      </c>
      <c r="E910" s="22" t="s">
        <v>2298</v>
      </c>
      <c r="F910" s="22" t="s">
        <v>1937</v>
      </c>
      <c r="G910" s="22" t="s">
        <v>2223</v>
      </c>
      <c r="H910" s="83" t="s">
        <v>2299</v>
      </c>
      <c r="I910" s="23" t="s">
        <v>24</v>
      </c>
      <c r="J910" s="24">
        <v>450</v>
      </c>
      <c r="K910" s="25">
        <v>0.25</v>
      </c>
      <c r="L910" s="26">
        <f t="shared" si="133"/>
        <v>112.5</v>
      </c>
      <c r="M910" s="27">
        <f t="shared" si="134"/>
        <v>337.5</v>
      </c>
      <c r="N910" s="28">
        <v>0.16</v>
      </c>
      <c r="O910" s="29">
        <f t="shared" si="136"/>
        <v>54</v>
      </c>
      <c r="P910" s="30">
        <f t="shared" si="137"/>
        <v>391.5</v>
      </c>
      <c r="Q910" s="23"/>
      <c r="R910" s="52"/>
      <c r="S910" s="53"/>
      <c r="T910" s="54">
        <f t="shared" si="132"/>
        <v>0</v>
      </c>
      <c r="U910" s="26">
        <f t="shared" si="132"/>
        <v>0</v>
      </c>
      <c r="V910" s="55">
        <f t="shared" si="131"/>
        <v>0</v>
      </c>
      <c r="W910" s="29">
        <f t="shared" si="135"/>
        <v>0</v>
      </c>
      <c r="X910" s="30">
        <f t="shared" si="138"/>
        <v>0</v>
      </c>
      <c r="Y910"/>
      <c r="Z910"/>
      <c r="AA910"/>
    </row>
    <row r="911" spans="1:27" s="51" customFormat="1" ht="18.600000000000001" hidden="1" customHeight="1" x14ac:dyDescent="0.25">
      <c r="A911" s="81" t="s">
        <v>16</v>
      </c>
      <c r="B911" s="31" t="s">
        <v>1933</v>
      </c>
      <c r="C911" s="32" t="s">
        <v>1934</v>
      </c>
      <c r="D911" s="31" t="s">
        <v>2300</v>
      </c>
      <c r="E911" s="33" t="s">
        <v>2301</v>
      </c>
      <c r="F911" s="33" t="s">
        <v>1937</v>
      </c>
      <c r="G911" s="33" t="s">
        <v>2223</v>
      </c>
      <c r="H911" s="84" t="s">
        <v>2302</v>
      </c>
      <c r="I911" s="23" t="s">
        <v>24</v>
      </c>
      <c r="J911" s="34">
        <v>1360</v>
      </c>
      <c r="K911" s="35">
        <v>0.25</v>
      </c>
      <c r="L911" s="36">
        <f t="shared" si="133"/>
        <v>340</v>
      </c>
      <c r="M911" s="37">
        <f t="shared" si="134"/>
        <v>1020</v>
      </c>
      <c r="N911" s="38">
        <v>0.16</v>
      </c>
      <c r="O911" s="39">
        <f t="shared" si="136"/>
        <v>163.20000000000002</v>
      </c>
      <c r="P911" s="40">
        <f t="shared" si="137"/>
        <v>1183.2</v>
      </c>
      <c r="Q911" s="23"/>
      <c r="R911" s="56"/>
      <c r="S911" s="57"/>
      <c r="T911" s="58">
        <f t="shared" si="132"/>
        <v>0</v>
      </c>
      <c r="U911" s="36">
        <f t="shared" si="132"/>
        <v>0</v>
      </c>
      <c r="V911" s="59">
        <f t="shared" si="131"/>
        <v>0</v>
      </c>
      <c r="W911" s="39">
        <f t="shared" si="135"/>
        <v>0</v>
      </c>
      <c r="X911" s="40">
        <f t="shared" si="138"/>
        <v>0</v>
      </c>
      <c r="Y911"/>
      <c r="Z911"/>
      <c r="AA911"/>
    </row>
    <row r="912" spans="1:27" s="51" customFormat="1" ht="18.600000000000001" hidden="1" customHeight="1" x14ac:dyDescent="0.25">
      <c r="A912" s="82" t="s">
        <v>16</v>
      </c>
      <c r="B912" s="41" t="s">
        <v>1933</v>
      </c>
      <c r="C912" s="42" t="s">
        <v>1934</v>
      </c>
      <c r="D912" s="41" t="s">
        <v>2303</v>
      </c>
      <c r="E912" s="43" t="s">
        <v>2304</v>
      </c>
      <c r="F912" s="43" t="s">
        <v>1937</v>
      </c>
      <c r="G912" s="43" t="s">
        <v>2223</v>
      </c>
      <c r="H912" s="85" t="s">
        <v>2305</v>
      </c>
      <c r="I912" s="23" t="s">
        <v>24</v>
      </c>
      <c r="J912" s="44">
        <v>450</v>
      </c>
      <c r="K912" s="45">
        <v>0.25</v>
      </c>
      <c r="L912" s="46">
        <f t="shared" si="133"/>
        <v>112.5</v>
      </c>
      <c r="M912" s="47">
        <f t="shared" si="134"/>
        <v>337.5</v>
      </c>
      <c r="N912" s="48">
        <v>0.16</v>
      </c>
      <c r="O912" s="49">
        <f t="shared" si="136"/>
        <v>54</v>
      </c>
      <c r="P912" s="50">
        <f t="shared" si="137"/>
        <v>391.5</v>
      </c>
      <c r="Q912" s="23"/>
      <c r="R912" s="60"/>
      <c r="S912" s="61"/>
      <c r="T912" s="62">
        <f t="shared" si="132"/>
        <v>0</v>
      </c>
      <c r="U912" s="46">
        <f t="shared" si="132"/>
        <v>0</v>
      </c>
      <c r="V912" s="63">
        <f t="shared" si="131"/>
        <v>0</v>
      </c>
      <c r="W912" s="49">
        <f t="shared" si="135"/>
        <v>0</v>
      </c>
      <c r="X912" s="50">
        <f t="shared" si="138"/>
        <v>0</v>
      </c>
      <c r="Y912"/>
      <c r="Z912"/>
      <c r="AA912"/>
    </row>
    <row r="913" spans="1:27" s="51" customFormat="1" ht="18.600000000000001" hidden="1" customHeight="1" x14ac:dyDescent="0.25">
      <c r="A913" s="80" t="s">
        <v>16</v>
      </c>
      <c r="B913" s="20" t="s">
        <v>1933</v>
      </c>
      <c r="C913" s="21" t="s">
        <v>1934</v>
      </c>
      <c r="D913" s="20" t="s">
        <v>2306</v>
      </c>
      <c r="E913" s="22" t="s">
        <v>2307</v>
      </c>
      <c r="F913" s="22" t="s">
        <v>1937</v>
      </c>
      <c r="G913" s="22" t="s">
        <v>2223</v>
      </c>
      <c r="H913" s="83" t="s">
        <v>2308</v>
      </c>
      <c r="I913" s="23" t="s">
        <v>24</v>
      </c>
      <c r="J913" s="24">
        <v>450</v>
      </c>
      <c r="K913" s="25">
        <v>0.25</v>
      </c>
      <c r="L913" s="26">
        <f t="shared" si="133"/>
        <v>112.5</v>
      </c>
      <c r="M913" s="27">
        <f t="shared" si="134"/>
        <v>337.5</v>
      </c>
      <c r="N913" s="28">
        <v>0.16</v>
      </c>
      <c r="O913" s="29">
        <f t="shared" si="136"/>
        <v>54</v>
      </c>
      <c r="P913" s="30">
        <f t="shared" si="137"/>
        <v>391.5</v>
      </c>
      <c r="Q913" s="23"/>
      <c r="R913" s="52"/>
      <c r="S913" s="53"/>
      <c r="T913" s="54">
        <f t="shared" si="132"/>
        <v>0</v>
      </c>
      <c r="U913" s="26">
        <f t="shared" si="132"/>
        <v>0</v>
      </c>
      <c r="V913" s="55">
        <f t="shared" si="131"/>
        <v>0</v>
      </c>
      <c r="W913" s="29">
        <f t="shared" si="135"/>
        <v>0</v>
      </c>
      <c r="X913" s="30">
        <f t="shared" si="138"/>
        <v>0</v>
      </c>
      <c r="Y913"/>
      <c r="Z913"/>
      <c r="AA913"/>
    </row>
    <row r="914" spans="1:27" s="51" customFormat="1" ht="18.600000000000001" hidden="1" customHeight="1" x14ac:dyDescent="0.25">
      <c r="A914" s="81" t="s">
        <v>16</v>
      </c>
      <c r="B914" s="31" t="s">
        <v>1933</v>
      </c>
      <c r="C914" s="32" t="s">
        <v>1934</v>
      </c>
      <c r="D914" s="31" t="s">
        <v>2309</v>
      </c>
      <c r="E914" s="33" t="s">
        <v>2310</v>
      </c>
      <c r="F914" s="33" t="s">
        <v>1937</v>
      </c>
      <c r="G914" s="33" t="s">
        <v>2223</v>
      </c>
      <c r="H914" s="84" t="s">
        <v>2311</v>
      </c>
      <c r="I914" s="23" t="s">
        <v>24</v>
      </c>
      <c r="J914" s="34">
        <v>450</v>
      </c>
      <c r="K914" s="35">
        <v>0.25</v>
      </c>
      <c r="L914" s="36">
        <f t="shared" si="133"/>
        <v>112.5</v>
      </c>
      <c r="M914" s="37">
        <f t="shared" si="134"/>
        <v>337.5</v>
      </c>
      <c r="N914" s="38">
        <v>0.16</v>
      </c>
      <c r="O914" s="39">
        <f t="shared" si="136"/>
        <v>54</v>
      </c>
      <c r="P914" s="40">
        <f t="shared" si="137"/>
        <v>391.5</v>
      </c>
      <c r="Q914" s="23"/>
      <c r="R914" s="56"/>
      <c r="S914" s="57"/>
      <c r="T914" s="58">
        <f t="shared" si="132"/>
        <v>0</v>
      </c>
      <c r="U914" s="36">
        <f t="shared" si="132"/>
        <v>0</v>
      </c>
      <c r="V914" s="59">
        <f t="shared" si="131"/>
        <v>0</v>
      </c>
      <c r="W914" s="39">
        <f t="shared" si="135"/>
        <v>0</v>
      </c>
      <c r="X914" s="40">
        <f t="shared" si="138"/>
        <v>0</v>
      </c>
      <c r="Y914"/>
      <c r="Z914"/>
      <c r="AA914"/>
    </row>
    <row r="915" spans="1:27" s="51" customFormat="1" ht="18.600000000000001" hidden="1" customHeight="1" x14ac:dyDescent="0.25">
      <c r="A915" s="82" t="s">
        <v>16</v>
      </c>
      <c r="B915" s="41" t="s">
        <v>1933</v>
      </c>
      <c r="C915" s="42" t="s">
        <v>1934</v>
      </c>
      <c r="D915" s="41" t="s">
        <v>2312</v>
      </c>
      <c r="E915" s="43" t="s">
        <v>2313</v>
      </c>
      <c r="F915" s="43" t="s">
        <v>1937</v>
      </c>
      <c r="G915" s="43" t="s">
        <v>2223</v>
      </c>
      <c r="H915" s="85" t="s">
        <v>2314</v>
      </c>
      <c r="I915" s="23" t="s">
        <v>24</v>
      </c>
      <c r="J915" s="44">
        <v>450</v>
      </c>
      <c r="K915" s="45">
        <v>0.25</v>
      </c>
      <c r="L915" s="46">
        <f t="shared" si="133"/>
        <v>112.5</v>
      </c>
      <c r="M915" s="47">
        <f t="shared" si="134"/>
        <v>337.5</v>
      </c>
      <c r="N915" s="48">
        <v>0.16</v>
      </c>
      <c r="O915" s="49">
        <f t="shared" si="136"/>
        <v>54</v>
      </c>
      <c r="P915" s="50">
        <f t="shared" si="137"/>
        <v>391.5</v>
      </c>
      <c r="Q915" s="23"/>
      <c r="R915" s="60"/>
      <c r="S915" s="61"/>
      <c r="T915" s="62">
        <f t="shared" si="132"/>
        <v>0</v>
      </c>
      <c r="U915" s="46">
        <f t="shared" si="132"/>
        <v>0</v>
      </c>
      <c r="V915" s="63">
        <f t="shared" si="131"/>
        <v>0</v>
      </c>
      <c r="W915" s="49">
        <f t="shared" si="135"/>
        <v>0</v>
      </c>
      <c r="X915" s="50">
        <f t="shared" si="138"/>
        <v>0</v>
      </c>
      <c r="Y915"/>
      <c r="Z915"/>
      <c r="AA915"/>
    </row>
    <row r="916" spans="1:27" s="51" customFormat="1" ht="18.600000000000001" hidden="1" customHeight="1" x14ac:dyDescent="0.25">
      <c r="A916" s="80" t="s">
        <v>16</v>
      </c>
      <c r="B916" s="20" t="s">
        <v>1933</v>
      </c>
      <c r="C916" s="21" t="s">
        <v>1934</v>
      </c>
      <c r="D916" s="20" t="s">
        <v>2315</v>
      </c>
      <c r="E916" s="22" t="s">
        <v>2316</v>
      </c>
      <c r="F916" s="22" t="s">
        <v>1937</v>
      </c>
      <c r="G916" s="22" t="s">
        <v>2223</v>
      </c>
      <c r="H916" s="83" t="s">
        <v>2317</v>
      </c>
      <c r="I916" s="23" t="s">
        <v>24</v>
      </c>
      <c r="J916" s="24">
        <v>450</v>
      </c>
      <c r="K916" s="25">
        <v>0.25</v>
      </c>
      <c r="L916" s="26">
        <f t="shared" si="133"/>
        <v>112.5</v>
      </c>
      <c r="M916" s="27">
        <f t="shared" si="134"/>
        <v>337.5</v>
      </c>
      <c r="N916" s="28">
        <v>0.16</v>
      </c>
      <c r="O916" s="29">
        <f t="shared" si="136"/>
        <v>54</v>
      </c>
      <c r="P916" s="30">
        <f t="shared" si="137"/>
        <v>391.5</v>
      </c>
      <c r="Q916" s="23"/>
      <c r="R916" s="52"/>
      <c r="S916" s="53"/>
      <c r="T916" s="54">
        <f t="shared" si="132"/>
        <v>0</v>
      </c>
      <c r="U916" s="26">
        <f t="shared" si="132"/>
        <v>0</v>
      </c>
      <c r="V916" s="55">
        <f t="shared" si="131"/>
        <v>0</v>
      </c>
      <c r="W916" s="29">
        <f t="shared" si="135"/>
        <v>0</v>
      </c>
      <c r="X916" s="30">
        <f t="shared" si="138"/>
        <v>0</v>
      </c>
      <c r="Y916"/>
      <c r="Z916"/>
      <c r="AA916"/>
    </row>
    <row r="917" spans="1:27" s="51" customFormat="1" ht="18.600000000000001" hidden="1" customHeight="1" x14ac:dyDescent="0.25">
      <c r="A917" s="81" t="s">
        <v>16</v>
      </c>
      <c r="B917" s="31" t="s">
        <v>1933</v>
      </c>
      <c r="C917" s="32" t="s">
        <v>1934</v>
      </c>
      <c r="D917" s="31" t="s">
        <v>2318</v>
      </c>
      <c r="E917" s="33" t="s">
        <v>2319</v>
      </c>
      <c r="F917" s="33" t="s">
        <v>1937</v>
      </c>
      <c r="G917" s="33" t="s">
        <v>2223</v>
      </c>
      <c r="H917" s="84" t="s">
        <v>2320</v>
      </c>
      <c r="I917" s="23" t="s">
        <v>24</v>
      </c>
      <c r="J917" s="34">
        <v>5990</v>
      </c>
      <c r="K917" s="35">
        <v>0.25</v>
      </c>
      <c r="L917" s="36">
        <f t="shared" si="133"/>
        <v>1497.5</v>
      </c>
      <c r="M917" s="37">
        <f t="shared" si="134"/>
        <v>4492.5</v>
      </c>
      <c r="N917" s="38">
        <v>0.16</v>
      </c>
      <c r="O917" s="39">
        <f t="shared" si="136"/>
        <v>718.80000000000007</v>
      </c>
      <c r="P917" s="40">
        <f t="shared" si="137"/>
        <v>5211.3</v>
      </c>
      <c r="Q917" s="23"/>
      <c r="R917" s="56"/>
      <c r="S917" s="57"/>
      <c r="T917" s="58">
        <f t="shared" si="132"/>
        <v>0</v>
      </c>
      <c r="U917" s="36">
        <f t="shared" si="132"/>
        <v>0</v>
      </c>
      <c r="V917" s="59">
        <f t="shared" si="131"/>
        <v>0</v>
      </c>
      <c r="W917" s="39">
        <f t="shared" si="135"/>
        <v>0</v>
      </c>
      <c r="X917" s="40">
        <f t="shared" si="138"/>
        <v>0</v>
      </c>
      <c r="Y917"/>
      <c r="Z917"/>
      <c r="AA917"/>
    </row>
    <row r="918" spans="1:27" s="51" customFormat="1" ht="18.600000000000001" hidden="1" customHeight="1" x14ac:dyDescent="0.25">
      <c r="A918" s="82" t="s">
        <v>16</v>
      </c>
      <c r="B918" s="41" t="s">
        <v>1933</v>
      </c>
      <c r="C918" s="42" t="s">
        <v>1934</v>
      </c>
      <c r="D918" s="41" t="s">
        <v>2321</v>
      </c>
      <c r="E918" s="43" t="s">
        <v>2322</v>
      </c>
      <c r="F918" s="43" t="s">
        <v>1937</v>
      </c>
      <c r="G918" s="43" t="s">
        <v>2223</v>
      </c>
      <c r="H918" s="85" t="s">
        <v>2323</v>
      </c>
      <c r="I918" s="23" t="s">
        <v>24</v>
      </c>
      <c r="J918" s="44">
        <v>450</v>
      </c>
      <c r="K918" s="45">
        <v>0.25</v>
      </c>
      <c r="L918" s="46">
        <f t="shared" si="133"/>
        <v>112.5</v>
      </c>
      <c r="M918" s="47">
        <f t="shared" si="134"/>
        <v>337.5</v>
      </c>
      <c r="N918" s="48">
        <v>0.16</v>
      </c>
      <c r="O918" s="49">
        <f t="shared" si="136"/>
        <v>54</v>
      </c>
      <c r="P918" s="50">
        <f t="shared" si="137"/>
        <v>391.5</v>
      </c>
      <c r="Q918" s="23"/>
      <c r="R918" s="60"/>
      <c r="S918" s="61"/>
      <c r="T918" s="62">
        <f t="shared" si="132"/>
        <v>0</v>
      </c>
      <c r="U918" s="46">
        <f t="shared" si="132"/>
        <v>0</v>
      </c>
      <c r="V918" s="63">
        <f t="shared" si="131"/>
        <v>0</v>
      </c>
      <c r="W918" s="49">
        <f t="shared" si="135"/>
        <v>0</v>
      </c>
      <c r="X918" s="50">
        <f t="shared" si="138"/>
        <v>0</v>
      </c>
      <c r="Y918"/>
      <c r="Z918"/>
      <c r="AA918"/>
    </row>
    <row r="919" spans="1:27" s="51" customFormat="1" ht="18.600000000000001" hidden="1" customHeight="1" x14ac:dyDescent="0.25">
      <c r="A919" s="80" t="s">
        <v>16</v>
      </c>
      <c r="B919" s="20" t="s">
        <v>1933</v>
      </c>
      <c r="C919" s="21" t="s">
        <v>1934</v>
      </c>
      <c r="D919" s="20" t="s">
        <v>2324</v>
      </c>
      <c r="E919" s="22" t="s">
        <v>2325</v>
      </c>
      <c r="F919" s="22" t="s">
        <v>1937</v>
      </c>
      <c r="G919" s="22" t="s">
        <v>2223</v>
      </c>
      <c r="H919" s="83" t="s">
        <v>2326</v>
      </c>
      <c r="I919" s="23" t="s">
        <v>24</v>
      </c>
      <c r="J919" s="24">
        <v>450</v>
      </c>
      <c r="K919" s="25">
        <v>0.25</v>
      </c>
      <c r="L919" s="26">
        <f t="shared" si="133"/>
        <v>112.5</v>
      </c>
      <c r="M919" s="27">
        <f t="shared" si="134"/>
        <v>337.5</v>
      </c>
      <c r="N919" s="28">
        <v>0.16</v>
      </c>
      <c r="O919" s="29">
        <f t="shared" si="136"/>
        <v>54</v>
      </c>
      <c r="P919" s="30">
        <f t="shared" si="137"/>
        <v>391.5</v>
      </c>
      <c r="Q919" s="23"/>
      <c r="R919" s="52"/>
      <c r="S919" s="53"/>
      <c r="T919" s="54">
        <f t="shared" si="132"/>
        <v>0</v>
      </c>
      <c r="U919" s="26">
        <f t="shared" si="132"/>
        <v>0</v>
      </c>
      <c r="V919" s="55">
        <f t="shared" si="131"/>
        <v>0</v>
      </c>
      <c r="W919" s="29">
        <f t="shared" si="135"/>
        <v>0</v>
      </c>
      <c r="X919" s="30">
        <f t="shared" si="138"/>
        <v>0</v>
      </c>
      <c r="Y919"/>
      <c r="Z919"/>
      <c r="AA919"/>
    </row>
    <row r="920" spans="1:27" s="51" customFormat="1" ht="18.600000000000001" hidden="1" customHeight="1" x14ac:dyDescent="0.25">
      <c r="A920" s="81" t="s">
        <v>16</v>
      </c>
      <c r="B920" s="31" t="s">
        <v>1933</v>
      </c>
      <c r="C920" s="32" t="s">
        <v>1934</v>
      </c>
      <c r="D920" s="31" t="s">
        <v>2327</v>
      </c>
      <c r="E920" s="33" t="s">
        <v>2328</v>
      </c>
      <c r="F920" s="33" t="s">
        <v>1937</v>
      </c>
      <c r="G920" s="33" t="s">
        <v>2223</v>
      </c>
      <c r="H920" s="84" t="s">
        <v>2329</v>
      </c>
      <c r="I920" s="23" t="s">
        <v>24</v>
      </c>
      <c r="J920" s="34">
        <v>450</v>
      </c>
      <c r="K920" s="35">
        <v>0.25</v>
      </c>
      <c r="L920" s="36">
        <f t="shared" si="133"/>
        <v>112.5</v>
      </c>
      <c r="M920" s="37">
        <f t="shared" si="134"/>
        <v>337.5</v>
      </c>
      <c r="N920" s="38">
        <v>0.16</v>
      </c>
      <c r="O920" s="39">
        <f t="shared" si="136"/>
        <v>54</v>
      </c>
      <c r="P920" s="40">
        <f t="shared" si="137"/>
        <v>391.5</v>
      </c>
      <c r="Q920" s="23"/>
      <c r="R920" s="56"/>
      <c r="S920" s="57"/>
      <c r="T920" s="58">
        <f t="shared" si="132"/>
        <v>0</v>
      </c>
      <c r="U920" s="36">
        <f t="shared" si="132"/>
        <v>0</v>
      </c>
      <c r="V920" s="59">
        <f t="shared" si="131"/>
        <v>0</v>
      </c>
      <c r="W920" s="39">
        <f t="shared" si="135"/>
        <v>0</v>
      </c>
      <c r="X920" s="40">
        <f t="shared" si="138"/>
        <v>0</v>
      </c>
      <c r="Y920"/>
      <c r="Z920"/>
      <c r="AA920"/>
    </row>
    <row r="921" spans="1:27" s="51" customFormat="1" ht="18.600000000000001" hidden="1" customHeight="1" x14ac:dyDescent="0.25">
      <c r="A921" s="82" t="s">
        <v>16</v>
      </c>
      <c r="B921" s="41" t="s">
        <v>1933</v>
      </c>
      <c r="C921" s="42" t="s">
        <v>1934</v>
      </c>
      <c r="D921" s="41" t="s">
        <v>2330</v>
      </c>
      <c r="E921" s="43" t="s">
        <v>2331</v>
      </c>
      <c r="F921" s="43" t="s">
        <v>1937</v>
      </c>
      <c r="G921" s="43" t="s">
        <v>2223</v>
      </c>
      <c r="H921" s="85" t="s">
        <v>2332</v>
      </c>
      <c r="I921" s="23" t="s">
        <v>24</v>
      </c>
      <c r="J921" s="44">
        <v>450</v>
      </c>
      <c r="K921" s="45">
        <v>0.25</v>
      </c>
      <c r="L921" s="46">
        <f t="shared" si="133"/>
        <v>112.5</v>
      </c>
      <c r="M921" s="47">
        <f t="shared" si="134"/>
        <v>337.5</v>
      </c>
      <c r="N921" s="48">
        <v>0.16</v>
      </c>
      <c r="O921" s="49">
        <f t="shared" si="136"/>
        <v>54</v>
      </c>
      <c r="P921" s="50">
        <f t="shared" si="137"/>
        <v>391.5</v>
      </c>
      <c r="Q921" s="23"/>
      <c r="R921" s="60"/>
      <c r="S921" s="61"/>
      <c r="T921" s="62">
        <f t="shared" si="132"/>
        <v>0</v>
      </c>
      <c r="U921" s="46">
        <f t="shared" si="132"/>
        <v>0</v>
      </c>
      <c r="V921" s="63">
        <f t="shared" si="131"/>
        <v>0</v>
      </c>
      <c r="W921" s="49">
        <f t="shared" si="135"/>
        <v>0</v>
      </c>
      <c r="X921" s="50">
        <f t="shared" si="138"/>
        <v>0</v>
      </c>
      <c r="Y921"/>
      <c r="Z921"/>
      <c r="AA921"/>
    </row>
    <row r="922" spans="1:27" s="51" customFormat="1" ht="18.600000000000001" hidden="1" customHeight="1" x14ac:dyDescent="0.25">
      <c r="A922" s="80" t="s">
        <v>16</v>
      </c>
      <c r="B922" s="20" t="s">
        <v>1933</v>
      </c>
      <c r="C922" s="21" t="s">
        <v>1934</v>
      </c>
      <c r="D922" s="20" t="s">
        <v>2333</v>
      </c>
      <c r="E922" s="22" t="s">
        <v>2334</v>
      </c>
      <c r="F922" s="22" t="s">
        <v>1937</v>
      </c>
      <c r="G922" s="22" t="s">
        <v>2223</v>
      </c>
      <c r="H922" s="83" t="s">
        <v>2335</v>
      </c>
      <c r="I922" s="23" t="s">
        <v>24</v>
      </c>
      <c r="J922" s="24">
        <v>450</v>
      </c>
      <c r="K922" s="25">
        <v>0.25</v>
      </c>
      <c r="L922" s="26">
        <f t="shared" si="133"/>
        <v>112.5</v>
      </c>
      <c r="M922" s="27">
        <f t="shared" si="134"/>
        <v>337.5</v>
      </c>
      <c r="N922" s="28">
        <v>0.16</v>
      </c>
      <c r="O922" s="29">
        <f t="shared" si="136"/>
        <v>54</v>
      </c>
      <c r="P922" s="30">
        <f t="shared" si="137"/>
        <v>391.5</v>
      </c>
      <c r="Q922" s="23"/>
      <c r="R922" s="52"/>
      <c r="S922" s="53"/>
      <c r="T922" s="54">
        <f t="shared" si="132"/>
        <v>0</v>
      </c>
      <c r="U922" s="26">
        <f t="shared" si="132"/>
        <v>0</v>
      </c>
      <c r="V922" s="55">
        <f t="shared" ref="V922:V985" si="139">+T922-U922</f>
        <v>0</v>
      </c>
      <c r="W922" s="29">
        <f t="shared" si="135"/>
        <v>0</v>
      </c>
      <c r="X922" s="30">
        <f t="shared" si="138"/>
        <v>0</v>
      </c>
      <c r="Y922"/>
      <c r="Z922"/>
      <c r="AA922"/>
    </row>
    <row r="923" spans="1:27" s="51" customFormat="1" ht="18.600000000000001" hidden="1" customHeight="1" x14ac:dyDescent="0.25">
      <c r="A923" s="81" t="s">
        <v>16</v>
      </c>
      <c r="B923" s="31" t="s">
        <v>1933</v>
      </c>
      <c r="C923" s="32" t="s">
        <v>1934</v>
      </c>
      <c r="D923" s="31" t="s">
        <v>2336</v>
      </c>
      <c r="E923" s="33" t="s">
        <v>2337</v>
      </c>
      <c r="F923" s="33" t="s">
        <v>1937</v>
      </c>
      <c r="G923" s="33" t="s">
        <v>2223</v>
      </c>
      <c r="H923" s="84" t="s">
        <v>2338</v>
      </c>
      <c r="I923" s="23" t="s">
        <v>24</v>
      </c>
      <c r="J923" s="34">
        <v>450</v>
      </c>
      <c r="K923" s="35">
        <v>0.25</v>
      </c>
      <c r="L923" s="36">
        <f t="shared" si="133"/>
        <v>112.5</v>
      </c>
      <c r="M923" s="37">
        <f t="shared" si="134"/>
        <v>337.5</v>
      </c>
      <c r="N923" s="38">
        <v>0.16</v>
      </c>
      <c r="O923" s="39">
        <f t="shared" si="136"/>
        <v>54</v>
      </c>
      <c r="P923" s="40">
        <f t="shared" si="137"/>
        <v>391.5</v>
      </c>
      <c r="Q923" s="23"/>
      <c r="R923" s="56"/>
      <c r="S923" s="57"/>
      <c r="T923" s="58">
        <f t="shared" si="132"/>
        <v>0</v>
      </c>
      <c r="U923" s="36">
        <f t="shared" si="132"/>
        <v>0</v>
      </c>
      <c r="V923" s="59">
        <f t="shared" si="139"/>
        <v>0</v>
      </c>
      <c r="W923" s="39">
        <f t="shared" si="135"/>
        <v>0</v>
      </c>
      <c r="X923" s="40">
        <f t="shared" si="138"/>
        <v>0</v>
      </c>
      <c r="Y923"/>
      <c r="Z923"/>
      <c r="AA923"/>
    </row>
    <row r="924" spans="1:27" s="51" customFormat="1" ht="18.600000000000001" hidden="1" customHeight="1" x14ac:dyDescent="0.25">
      <c r="A924" s="82" t="s">
        <v>16</v>
      </c>
      <c r="B924" s="41" t="s">
        <v>1933</v>
      </c>
      <c r="C924" s="42" t="s">
        <v>1934</v>
      </c>
      <c r="D924" s="41" t="s">
        <v>2339</v>
      </c>
      <c r="E924" s="43" t="s">
        <v>2340</v>
      </c>
      <c r="F924" s="43" t="s">
        <v>1937</v>
      </c>
      <c r="G924" s="43" t="s">
        <v>2223</v>
      </c>
      <c r="H924" s="85" t="s">
        <v>2341</v>
      </c>
      <c r="I924" s="23" t="s">
        <v>24</v>
      </c>
      <c r="J924" s="44">
        <v>450</v>
      </c>
      <c r="K924" s="45">
        <v>0.25</v>
      </c>
      <c r="L924" s="46">
        <f t="shared" si="133"/>
        <v>112.5</v>
      </c>
      <c r="M924" s="47">
        <f t="shared" si="134"/>
        <v>337.5</v>
      </c>
      <c r="N924" s="48">
        <v>0.16</v>
      </c>
      <c r="O924" s="49">
        <f t="shared" si="136"/>
        <v>54</v>
      </c>
      <c r="P924" s="50">
        <f t="shared" si="137"/>
        <v>391.5</v>
      </c>
      <c r="Q924" s="23"/>
      <c r="R924" s="60"/>
      <c r="S924" s="61"/>
      <c r="T924" s="62">
        <f t="shared" si="132"/>
        <v>0</v>
      </c>
      <c r="U924" s="46">
        <f t="shared" si="132"/>
        <v>0</v>
      </c>
      <c r="V924" s="63">
        <f t="shared" si="139"/>
        <v>0</v>
      </c>
      <c r="W924" s="49">
        <f t="shared" si="135"/>
        <v>0</v>
      </c>
      <c r="X924" s="50">
        <f t="shared" si="138"/>
        <v>0</v>
      </c>
      <c r="Y924"/>
      <c r="Z924"/>
      <c r="AA924"/>
    </row>
    <row r="925" spans="1:27" s="51" customFormat="1" ht="18.600000000000001" hidden="1" customHeight="1" x14ac:dyDescent="0.25">
      <c r="A925" s="80" t="s">
        <v>16</v>
      </c>
      <c r="B925" s="20" t="s">
        <v>1933</v>
      </c>
      <c r="C925" s="21" t="s">
        <v>1934</v>
      </c>
      <c r="D925" s="20" t="s">
        <v>2342</v>
      </c>
      <c r="E925" s="22" t="s">
        <v>2343</v>
      </c>
      <c r="F925" s="22" t="s">
        <v>1937</v>
      </c>
      <c r="G925" s="22" t="s">
        <v>2223</v>
      </c>
      <c r="H925" s="83" t="s">
        <v>2344</v>
      </c>
      <c r="I925" s="23" t="s">
        <v>24</v>
      </c>
      <c r="J925" s="24">
        <v>450</v>
      </c>
      <c r="K925" s="25">
        <v>0.25</v>
      </c>
      <c r="L925" s="26">
        <f t="shared" si="133"/>
        <v>112.5</v>
      </c>
      <c r="M925" s="27">
        <f t="shared" si="134"/>
        <v>337.5</v>
      </c>
      <c r="N925" s="28">
        <v>0.16</v>
      </c>
      <c r="O925" s="29">
        <f t="shared" si="136"/>
        <v>54</v>
      </c>
      <c r="P925" s="30">
        <f t="shared" si="137"/>
        <v>391.5</v>
      </c>
      <c r="Q925" s="23"/>
      <c r="R925" s="52"/>
      <c r="S925" s="53"/>
      <c r="T925" s="54">
        <f t="shared" si="132"/>
        <v>0</v>
      </c>
      <c r="U925" s="26">
        <f t="shared" si="132"/>
        <v>0</v>
      </c>
      <c r="V925" s="55">
        <f t="shared" si="139"/>
        <v>0</v>
      </c>
      <c r="W925" s="29">
        <f t="shared" si="135"/>
        <v>0</v>
      </c>
      <c r="X925" s="30">
        <f t="shared" si="138"/>
        <v>0</v>
      </c>
      <c r="Y925"/>
      <c r="Z925"/>
      <c r="AA925"/>
    </row>
    <row r="926" spans="1:27" s="51" customFormat="1" ht="18.600000000000001" hidden="1" customHeight="1" x14ac:dyDescent="0.25">
      <c r="A926" s="81" t="s">
        <v>16</v>
      </c>
      <c r="B926" s="31" t="s">
        <v>1933</v>
      </c>
      <c r="C926" s="32" t="s">
        <v>1934</v>
      </c>
      <c r="D926" s="31" t="s">
        <v>2345</v>
      </c>
      <c r="E926" s="33" t="s">
        <v>2346</v>
      </c>
      <c r="F926" s="33" t="s">
        <v>1937</v>
      </c>
      <c r="G926" s="33" t="s">
        <v>2223</v>
      </c>
      <c r="H926" s="84" t="s">
        <v>2347</v>
      </c>
      <c r="I926" s="23" t="s">
        <v>24</v>
      </c>
      <c r="J926" s="34">
        <v>1660</v>
      </c>
      <c r="K926" s="35">
        <v>0.25</v>
      </c>
      <c r="L926" s="36">
        <f t="shared" si="133"/>
        <v>415</v>
      </c>
      <c r="M926" s="37">
        <f t="shared" si="134"/>
        <v>1245</v>
      </c>
      <c r="N926" s="38">
        <v>0.16</v>
      </c>
      <c r="O926" s="39">
        <f t="shared" si="136"/>
        <v>199.20000000000002</v>
      </c>
      <c r="P926" s="40">
        <f t="shared" si="137"/>
        <v>1444.2</v>
      </c>
      <c r="Q926" s="23"/>
      <c r="R926" s="56"/>
      <c r="S926" s="57"/>
      <c r="T926" s="58">
        <f t="shared" si="132"/>
        <v>0</v>
      </c>
      <c r="U926" s="36">
        <f t="shared" si="132"/>
        <v>0</v>
      </c>
      <c r="V926" s="59">
        <f t="shared" si="139"/>
        <v>0</v>
      </c>
      <c r="W926" s="39">
        <f t="shared" si="135"/>
        <v>0</v>
      </c>
      <c r="X926" s="40">
        <f t="shared" si="138"/>
        <v>0</v>
      </c>
      <c r="Y926"/>
      <c r="Z926"/>
      <c r="AA926"/>
    </row>
    <row r="927" spans="1:27" s="51" customFormat="1" ht="18.600000000000001" hidden="1" customHeight="1" x14ac:dyDescent="0.25">
      <c r="A927" s="82" t="s">
        <v>16</v>
      </c>
      <c r="B927" s="41" t="s">
        <v>1933</v>
      </c>
      <c r="C927" s="42" t="s">
        <v>1934</v>
      </c>
      <c r="D927" s="41" t="s">
        <v>2348</v>
      </c>
      <c r="E927" s="43" t="s">
        <v>2349</v>
      </c>
      <c r="F927" s="43" t="s">
        <v>1937</v>
      </c>
      <c r="G927" s="43" t="s">
        <v>2223</v>
      </c>
      <c r="H927" s="85" t="s">
        <v>2350</v>
      </c>
      <c r="I927" s="23" t="s">
        <v>24</v>
      </c>
      <c r="J927" s="44">
        <v>450</v>
      </c>
      <c r="K927" s="45">
        <v>0.25</v>
      </c>
      <c r="L927" s="46">
        <f t="shared" si="133"/>
        <v>112.5</v>
      </c>
      <c r="M927" s="47">
        <f t="shared" si="134"/>
        <v>337.5</v>
      </c>
      <c r="N927" s="48">
        <v>0.16</v>
      </c>
      <c r="O927" s="49">
        <f t="shared" si="136"/>
        <v>54</v>
      </c>
      <c r="P927" s="50">
        <f t="shared" si="137"/>
        <v>391.5</v>
      </c>
      <c r="Q927" s="23"/>
      <c r="R927" s="60"/>
      <c r="S927" s="61"/>
      <c r="T927" s="62">
        <f t="shared" si="132"/>
        <v>0</v>
      </c>
      <c r="U927" s="46">
        <f t="shared" si="132"/>
        <v>0</v>
      </c>
      <c r="V927" s="63">
        <f t="shared" si="139"/>
        <v>0</v>
      </c>
      <c r="W927" s="49">
        <f t="shared" si="135"/>
        <v>0</v>
      </c>
      <c r="X927" s="50">
        <f t="shared" si="138"/>
        <v>0</v>
      </c>
      <c r="Y927"/>
      <c r="Z927"/>
      <c r="AA927"/>
    </row>
    <row r="928" spans="1:27" s="51" customFormat="1" ht="18.600000000000001" hidden="1" customHeight="1" x14ac:dyDescent="0.25">
      <c r="A928" s="80" t="s">
        <v>16</v>
      </c>
      <c r="B928" s="20" t="s">
        <v>1933</v>
      </c>
      <c r="C928" s="21" t="s">
        <v>1934</v>
      </c>
      <c r="D928" s="20" t="s">
        <v>2351</v>
      </c>
      <c r="E928" s="22" t="s">
        <v>2352</v>
      </c>
      <c r="F928" s="22" t="s">
        <v>1937</v>
      </c>
      <c r="G928" s="22" t="s">
        <v>2223</v>
      </c>
      <c r="H928" s="83" t="s">
        <v>2353</v>
      </c>
      <c r="I928" s="23" t="s">
        <v>24</v>
      </c>
      <c r="J928" s="24">
        <v>450</v>
      </c>
      <c r="K928" s="25">
        <v>0.25</v>
      </c>
      <c r="L928" s="26">
        <f t="shared" si="133"/>
        <v>112.5</v>
      </c>
      <c r="M928" s="27">
        <f t="shared" si="134"/>
        <v>337.5</v>
      </c>
      <c r="N928" s="28">
        <v>0.16</v>
      </c>
      <c r="O928" s="29">
        <f t="shared" si="136"/>
        <v>54</v>
      </c>
      <c r="P928" s="30">
        <f t="shared" si="137"/>
        <v>391.5</v>
      </c>
      <c r="Q928" s="23"/>
      <c r="R928" s="52"/>
      <c r="S928" s="53"/>
      <c r="T928" s="54">
        <f t="shared" si="132"/>
        <v>0</v>
      </c>
      <c r="U928" s="26">
        <f t="shared" si="132"/>
        <v>0</v>
      </c>
      <c r="V928" s="55">
        <f t="shared" si="139"/>
        <v>0</v>
      </c>
      <c r="W928" s="29">
        <f t="shared" si="135"/>
        <v>0</v>
      </c>
      <c r="X928" s="30">
        <f t="shared" si="138"/>
        <v>0</v>
      </c>
      <c r="Y928"/>
      <c r="Z928"/>
      <c r="AA928"/>
    </row>
    <row r="929" spans="1:27" s="51" customFormat="1" ht="18.600000000000001" hidden="1" customHeight="1" x14ac:dyDescent="0.25">
      <c r="A929" s="81" t="s">
        <v>16</v>
      </c>
      <c r="B929" s="31" t="s">
        <v>1933</v>
      </c>
      <c r="C929" s="32" t="s">
        <v>1934</v>
      </c>
      <c r="D929" s="31" t="s">
        <v>2354</v>
      </c>
      <c r="E929" s="33" t="s">
        <v>2355</v>
      </c>
      <c r="F929" s="33" t="s">
        <v>1937</v>
      </c>
      <c r="G929" s="33" t="s">
        <v>2223</v>
      </c>
      <c r="H929" s="84" t="s">
        <v>2356</v>
      </c>
      <c r="I929" s="23" t="s">
        <v>24</v>
      </c>
      <c r="J929" s="34">
        <v>1810</v>
      </c>
      <c r="K929" s="35">
        <v>0.25</v>
      </c>
      <c r="L929" s="36">
        <f t="shared" si="133"/>
        <v>452.5</v>
      </c>
      <c r="M929" s="37">
        <f t="shared" si="134"/>
        <v>1357.5</v>
      </c>
      <c r="N929" s="38">
        <v>0.16</v>
      </c>
      <c r="O929" s="39">
        <f t="shared" si="136"/>
        <v>217.20000000000002</v>
      </c>
      <c r="P929" s="40">
        <f t="shared" si="137"/>
        <v>1574.7</v>
      </c>
      <c r="Q929" s="23"/>
      <c r="R929" s="56"/>
      <c r="S929" s="57"/>
      <c r="T929" s="58">
        <f t="shared" si="132"/>
        <v>0</v>
      </c>
      <c r="U929" s="36">
        <f t="shared" si="132"/>
        <v>0</v>
      </c>
      <c r="V929" s="59">
        <f t="shared" si="139"/>
        <v>0</v>
      </c>
      <c r="W929" s="39">
        <f t="shared" si="135"/>
        <v>0</v>
      </c>
      <c r="X929" s="40">
        <f t="shared" si="138"/>
        <v>0</v>
      </c>
      <c r="Y929"/>
      <c r="Z929"/>
      <c r="AA929"/>
    </row>
    <row r="930" spans="1:27" s="51" customFormat="1" ht="18.600000000000001" hidden="1" customHeight="1" x14ac:dyDescent="0.25">
      <c r="A930" s="82" t="s">
        <v>16</v>
      </c>
      <c r="B930" s="41" t="s">
        <v>1933</v>
      </c>
      <c r="C930" s="42" t="s">
        <v>1934</v>
      </c>
      <c r="D930" s="41" t="s">
        <v>2357</v>
      </c>
      <c r="E930" s="43" t="s">
        <v>2358</v>
      </c>
      <c r="F930" s="43" t="s">
        <v>1937</v>
      </c>
      <c r="G930" s="43" t="s">
        <v>2223</v>
      </c>
      <c r="H930" s="85" t="s">
        <v>2359</v>
      </c>
      <c r="I930" s="23" t="s">
        <v>24</v>
      </c>
      <c r="J930" s="44">
        <v>1810</v>
      </c>
      <c r="K930" s="45">
        <v>0.25</v>
      </c>
      <c r="L930" s="46">
        <f t="shared" si="133"/>
        <v>452.5</v>
      </c>
      <c r="M930" s="47">
        <f t="shared" si="134"/>
        <v>1357.5</v>
      </c>
      <c r="N930" s="48">
        <v>0.16</v>
      </c>
      <c r="O930" s="49">
        <f t="shared" si="136"/>
        <v>217.20000000000002</v>
      </c>
      <c r="P930" s="50">
        <f t="shared" si="137"/>
        <v>1574.7</v>
      </c>
      <c r="Q930" s="23"/>
      <c r="R930" s="60"/>
      <c r="S930" s="61"/>
      <c r="T930" s="62">
        <f t="shared" ref="T930:U993" si="140">+S930*J930</f>
        <v>0</v>
      </c>
      <c r="U930" s="46">
        <f t="shared" si="140"/>
        <v>0</v>
      </c>
      <c r="V930" s="63">
        <f t="shared" si="139"/>
        <v>0</v>
      </c>
      <c r="W930" s="49">
        <f t="shared" si="135"/>
        <v>0</v>
      </c>
      <c r="X930" s="50">
        <f t="shared" si="138"/>
        <v>0</v>
      </c>
      <c r="Y930"/>
      <c r="Z930"/>
      <c r="AA930"/>
    </row>
    <row r="931" spans="1:27" s="51" customFormat="1" ht="18.600000000000001" hidden="1" customHeight="1" x14ac:dyDescent="0.25">
      <c r="A931" s="80" t="s">
        <v>16</v>
      </c>
      <c r="B931" s="20" t="s">
        <v>1933</v>
      </c>
      <c r="C931" s="21" t="s">
        <v>1934</v>
      </c>
      <c r="D931" s="20" t="s">
        <v>2360</v>
      </c>
      <c r="E931" s="22" t="s">
        <v>2361</v>
      </c>
      <c r="F931" s="22" t="s">
        <v>1937</v>
      </c>
      <c r="G931" s="22" t="s">
        <v>2223</v>
      </c>
      <c r="H931" s="83" t="s">
        <v>2362</v>
      </c>
      <c r="I931" s="23" t="s">
        <v>24</v>
      </c>
      <c r="J931" s="24">
        <v>450</v>
      </c>
      <c r="K931" s="25">
        <v>0.25</v>
      </c>
      <c r="L931" s="26">
        <f t="shared" si="133"/>
        <v>112.5</v>
      </c>
      <c r="M931" s="27">
        <f t="shared" si="134"/>
        <v>337.5</v>
      </c>
      <c r="N931" s="28">
        <v>0.16</v>
      </c>
      <c r="O931" s="29">
        <f t="shared" si="136"/>
        <v>54</v>
      </c>
      <c r="P931" s="30">
        <f t="shared" si="137"/>
        <v>391.5</v>
      </c>
      <c r="Q931" s="23"/>
      <c r="R931" s="52"/>
      <c r="S931" s="53"/>
      <c r="T931" s="54">
        <f t="shared" si="140"/>
        <v>0</v>
      </c>
      <c r="U931" s="26">
        <f t="shared" si="140"/>
        <v>0</v>
      </c>
      <c r="V931" s="55">
        <f t="shared" si="139"/>
        <v>0</v>
      </c>
      <c r="W931" s="29">
        <f t="shared" si="135"/>
        <v>0</v>
      </c>
      <c r="X931" s="30">
        <f t="shared" si="138"/>
        <v>0</v>
      </c>
      <c r="Y931"/>
      <c r="Z931"/>
      <c r="AA931"/>
    </row>
    <row r="932" spans="1:27" s="51" customFormat="1" ht="18.600000000000001" hidden="1" customHeight="1" x14ac:dyDescent="0.25">
      <c r="A932" s="81" t="s">
        <v>16</v>
      </c>
      <c r="B932" s="31" t="s">
        <v>1933</v>
      </c>
      <c r="C932" s="32" t="s">
        <v>1934</v>
      </c>
      <c r="D932" s="31" t="s">
        <v>2363</v>
      </c>
      <c r="E932" s="33" t="s">
        <v>2364</v>
      </c>
      <c r="F932" s="33" t="s">
        <v>1937</v>
      </c>
      <c r="G932" s="33" t="s">
        <v>2223</v>
      </c>
      <c r="H932" s="84" t="s">
        <v>2365</v>
      </c>
      <c r="I932" s="23" t="s">
        <v>24</v>
      </c>
      <c r="J932" s="34">
        <v>450</v>
      </c>
      <c r="K932" s="35">
        <v>0.25</v>
      </c>
      <c r="L932" s="36">
        <f t="shared" si="133"/>
        <v>112.5</v>
      </c>
      <c r="M932" s="37">
        <f t="shared" si="134"/>
        <v>337.5</v>
      </c>
      <c r="N932" s="38">
        <v>0.16</v>
      </c>
      <c r="O932" s="39">
        <f t="shared" si="136"/>
        <v>54</v>
      </c>
      <c r="P932" s="40">
        <f t="shared" si="137"/>
        <v>391.5</v>
      </c>
      <c r="Q932" s="23"/>
      <c r="R932" s="56"/>
      <c r="S932" s="57"/>
      <c r="T932" s="58">
        <f t="shared" si="140"/>
        <v>0</v>
      </c>
      <c r="U932" s="36">
        <f t="shared" si="140"/>
        <v>0</v>
      </c>
      <c r="V932" s="59">
        <f t="shared" si="139"/>
        <v>0</v>
      </c>
      <c r="W932" s="39">
        <f t="shared" si="135"/>
        <v>0</v>
      </c>
      <c r="X932" s="40">
        <f t="shared" si="138"/>
        <v>0</v>
      </c>
      <c r="Y932"/>
      <c r="Z932"/>
      <c r="AA932"/>
    </row>
    <row r="933" spans="1:27" s="51" customFormat="1" ht="18.600000000000001" hidden="1" customHeight="1" x14ac:dyDescent="0.25">
      <c r="A933" s="82" t="s">
        <v>16</v>
      </c>
      <c r="B933" s="41" t="s">
        <v>1933</v>
      </c>
      <c r="C933" s="42" t="s">
        <v>1934</v>
      </c>
      <c r="D933" s="41">
        <v>7427129409942</v>
      </c>
      <c r="E933" s="43" t="s">
        <v>2366</v>
      </c>
      <c r="F933" s="43" t="s">
        <v>1937</v>
      </c>
      <c r="G933" s="43" t="s">
        <v>2223</v>
      </c>
      <c r="H933" s="85" t="s">
        <v>2367</v>
      </c>
      <c r="I933" s="23" t="s">
        <v>24</v>
      </c>
      <c r="J933" s="44">
        <v>1810</v>
      </c>
      <c r="K933" s="45">
        <v>0.25</v>
      </c>
      <c r="L933" s="46">
        <f t="shared" si="133"/>
        <v>452.5</v>
      </c>
      <c r="M933" s="47">
        <f t="shared" si="134"/>
        <v>1357.5</v>
      </c>
      <c r="N933" s="48">
        <v>0.16</v>
      </c>
      <c r="O933" s="49">
        <f t="shared" si="136"/>
        <v>217.20000000000002</v>
      </c>
      <c r="P933" s="50">
        <f t="shared" si="137"/>
        <v>1574.7</v>
      </c>
      <c r="Q933" s="23"/>
      <c r="R933" s="60"/>
      <c r="S933" s="61"/>
      <c r="T933" s="62">
        <f t="shared" si="140"/>
        <v>0</v>
      </c>
      <c r="U933" s="46">
        <f t="shared" si="140"/>
        <v>0</v>
      </c>
      <c r="V933" s="63">
        <f t="shared" si="139"/>
        <v>0</v>
      </c>
      <c r="W933" s="49">
        <f t="shared" si="135"/>
        <v>0</v>
      </c>
      <c r="X933" s="50">
        <f t="shared" si="138"/>
        <v>0</v>
      </c>
      <c r="Y933"/>
      <c r="Z933"/>
      <c r="AA933"/>
    </row>
    <row r="934" spans="1:27" s="51" customFormat="1" ht="18.600000000000001" hidden="1" customHeight="1" x14ac:dyDescent="0.25">
      <c r="A934" s="80" t="s">
        <v>16</v>
      </c>
      <c r="B934" s="20" t="s">
        <v>1933</v>
      </c>
      <c r="C934" s="21" t="s">
        <v>1934</v>
      </c>
      <c r="D934" s="20">
        <v>8435635303776</v>
      </c>
      <c r="E934" s="22" t="s">
        <v>2368</v>
      </c>
      <c r="F934" s="22" t="s">
        <v>1937</v>
      </c>
      <c r="G934" s="22" t="s">
        <v>2223</v>
      </c>
      <c r="H934" s="83" t="s">
        <v>2369</v>
      </c>
      <c r="I934" s="23" t="s">
        <v>24</v>
      </c>
      <c r="J934" s="24">
        <v>1810</v>
      </c>
      <c r="K934" s="25">
        <v>0.25</v>
      </c>
      <c r="L934" s="26">
        <f t="shared" si="133"/>
        <v>452.5</v>
      </c>
      <c r="M934" s="27">
        <f t="shared" si="134"/>
        <v>1357.5</v>
      </c>
      <c r="N934" s="28">
        <v>0.16</v>
      </c>
      <c r="O934" s="29">
        <f t="shared" si="136"/>
        <v>217.20000000000002</v>
      </c>
      <c r="P934" s="30">
        <f t="shared" si="137"/>
        <v>1574.7</v>
      </c>
      <c r="Q934" s="23"/>
      <c r="R934" s="52"/>
      <c r="S934" s="53"/>
      <c r="T934" s="54">
        <f t="shared" si="140"/>
        <v>0</v>
      </c>
      <c r="U934" s="26">
        <f t="shared" si="140"/>
        <v>0</v>
      </c>
      <c r="V934" s="55">
        <f t="shared" si="139"/>
        <v>0</v>
      </c>
      <c r="W934" s="29">
        <f t="shared" si="135"/>
        <v>0</v>
      </c>
      <c r="X934" s="30">
        <f t="shared" si="138"/>
        <v>0</v>
      </c>
      <c r="Y934"/>
      <c r="Z934"/>
      <c r="AA934"/>
    </row>
    <row r="935" spans="1:27" s="51" customFormat="1" ht="18.600000000000001" hidden="1" customHeight="1" x14ac:dyDescent="0.25">
      <c r="A935" s="81" t="s">
        <v>16</v>
      </c>
      <c r="B935" s="31" t="s">
        <v>1933</v>
      </c>
      <c r="C935" s="32" t="s">
        <v>1934</v>
      </c>
      <c r="D935" s="31">
        <v>8435635303813</v>
      </c>
      <c r="E935" s="33" t="s">
        <v>2370</v>
      </c>
      <c r="F935" s="33" t="s">
        <v>1937</v>
      </c>
      <c r="G935" s="33" t="s">
        <v>2223</v>
      </c>
      <c r="H935" s="84" t="s">
        <v>2371</v>
      </c>
      <c r="I935" s="23" t="s">
        <v>24</v>
      </c>
      <c r="J935" s="34">
        <v>1810</v>
      </c>
      <c r="K935" s="35">
        <v>0.25</v>
      </c>
      <c r="L935" s="36">
        <f t="shared" si="133"/>
        <v>452.5</v>
      </c>
      <c r="M935" s="37">
        <f t="shared" si="134"/>
        <v>1357.5</v>
      </c>
      <c r="N935" s="38">
        <v>0.16</v>
      </c>
      <c r="O935" s="39">
        <f t="shared" si="136"/>
        <v>217.20000000000002</v>
      </c>
      <c r="P935" s="40">
        <f t="shared" si="137"/>
        <v>1574.7</v>
      </c>
      <c r="Q935" s="23"/>
      <c r="R935" s="56"/>
      <c r="S935" s="57"/>
      <c r="T935" s="58">
        <f t="shared" si="140"/>
        <v>0</v>
      </c>
      <c r="U935" s="36">
        <f t="shared" si="140"/>
        <v>0</v>
      </c>
      <c r="V935" s="59">
        <f t="shared" si="139"/>
        <v>0</v>
      </c>
      <c r="W935" s="39">
        <f t="shared" si="135"/>
        <v>0</v>
      </c>
      <c r="X935" s="40">
        <f t="shared" si="138"/>
        <v>0</v>
      </c>
      <c r="Y935"/>
      <c r="Z935"/>
      <c r="AA935"/>
    </row>
    <row r="936" spans="1:27" s="51" customFormat="1" ht="18.600000000000001" hidden="1" customHeight="1" x14ac:dyDescent="0.25">
      <c r="A936" s="82" t="s">
        <v>16</v>
      </c>
      <c r="B936" s="41" t="s">
        <v>1933</v>
      </c>
      <c r="C936" s="42" t="s">
        <v>1934</v>
      </c>
      <c r="D936" s="41">
        <v>8435635304322</v>
      </c>
      <c r="E936" s="43" t="s">
        <v>2372</v>
      </c>
      <c r="F936" s="43" t="s">
        <v>1937</v>
      </c>
      <c r="G936" s="43" t="s">
        <v>2223</v>
      </c>
      <c r="H936" s="85" t="s">
        <v>2373</v>
      </c>
      <c r="I936" s="23" t="s">
        <v>24</v>
      </c>
      <c r="J936" s="44">
        <v>450</v>
      </c>
      <c r="K936" s="45">
        <v>0.25</v>
      </c>
      <c r="L936" s="46">
        <f t="shared" si="133"/>
        <v>112.5</v>
      </c>
      <c r="M936" s="47">
        <f t="shared" si="134"/>
        <v>337.5</v>
      </c>
      <c r="N936" s="48">
        <v>0.16</v>
      </c>
      <c r="O936" s="49">
        <f t="shared" si="136"/>
        <v>54</v>
      </c>
      <c r="P936" s="50">
        <f t="shared" si="137"/>
        <v>391.5</v>
      </c>
      <c r="Q936" s="23"/>
      <c r="R936" s="60"/>
      <c r="S936" s="61"/>
      <c r="T936" s="62">
        <f t="shared" si="140"/>
        <v>0</v>
      </c>
      <c r="U936" s="46">
        <f t="shared" si="140"/>
        <v>0</v>
      </c>
      <c r="V936" s="63">
        <f t="shared" si="139"/>
        <v>0</v>
      </c>
      <c r="W936" s="49">
        <f t="shared" si="135"/>
        <v>0</v>
      </c>
      <c r="X936" s="50">
        <f t="shared" si="138"/>
        <v>0</v>
      </c>
      <c r="Y936"/>
      <c r="Z936"/>
      <c r="AA936"/>
    </row>
    <row r="937" spans="1:27" s="51" customFormat="1" ht="18.600000000000001" hidden="1" customHeight="1" x14ac:dyDescent="0.25">
      <c r="A937" s="80" t="s">
        <v>16</v>
      </c>
      <c r="B937" s="20" t="s">
        <v>1933</v>
      </c>
      <c r="C937" s="21" t="s">
        <v>1934</v>
      </c>
      <c r="D937" s="20">
        <v>8435635304339</v>
      </c>
      <c r="E937" s="22" t="s">
        <v>2374</v>
      </c>
      <c r="F937" s="22" t="s">
        <v>1937</v>
      </c>
      <c r="G937" s="22" t="s">
        <v>2223</v>
      </c>
      <c r="H937" s="83" t="s">
        <v>2375</v>
      </c>
      <c r="I937" s="23" t="s">
        <v>24</v>
      </c>
      <c r="J937" s="24">
        <v>450</v>
      </c>
      <c r="K937" s="25">
        <v>0.25</v>
      </c>
      <c r="L937" s="26">
        <f t="shared" si="133"/>
        <v>112.5</v>
      </c>
      <c r="M937" s="27">
        <f t="shared" si="134"/>
        <v>337.5</v>
      </c>
      <c r="N937" s="28">
        <v>0.16</v>
      </c>
      <c r="O937" s="29">
        <f t="shared" si="136"/>
        <v>54</v>
      </c>
      <c r="P937" s="30">
        <f t="shared" si="137"/>
        <v>391.5</v>
      </c>
      <c r="Q937" s="23"/>
      <c r="R937" s="52"/>
      <c r="S937" s="53"/>
      <c r="T937" s="54">
        <f t="shared" si="140"/>
        <v>0</v>
      </c>
      <c r="U937" s="26">
        <f t="shared" si="140"/>
        <v>0</v>
      </c>
      <c r="V937" s="55">
        <f t="shared" si="139"/>
        <v>0</v>
      </c>
      <c r="W937" s="29">
        <f t="shared" si="135"/>
        <v>0</v>
      </c>
      <c r="X937" s="30">
        <f t="shared" si="138"/>
        <v>0</v>
      </c>
      <c r="Y937"/>
      <c r="Z937"/>
      <c r="AA937"/>
    </row>
    <row r="938" spans="1:27" s="51" customFormat="1" ht="18.600000000000001" hidden="1" customHeight="1" x14ac:dyDescent="0.25">
      <c r="A938" s="81" t="s">
        <v>16</v>
      </c>
      <c r="B938" s="31" t="s">
        <v>1933</v>
      </c>
      <c r="C938" s="32" t="s">
        <v>1934</v>
      </c>
      <c r="D938" s="31">
        <v>8435635304605</v>
      </c>
      <c r="E938" s="33" t="s">
        <v>2376</v>
      </c>
      <c r="F938" s="33" t="s">
        <v>1937</v>
      </c>
      <c r="G938" s="33" t="s">
        <v>2223</v>
      </c>
      <c r="H938" s="84" t="s">
        <v>2377</v>
      </c>
      <c r="I938" s="23" t="s">
        <v>24</v>
      </c>
      <c r="J938" s="34">
        <v>1810</v>
      </c>
      <c r="K938" s="35">
        <v>0.25</v>
      </c>
      <c r="L938" s="36">
        <f t="shared" si="133"/>
        <v>452.5</v>
      </c>
      <c r="M938" s="37">
        <f t="shared" si="134"/>
        <v>1357.5</v>
      </c>
      <c r="N938" s="38">
        <v>0.16</v>
      </c>
      <c r="O938" s="39">
        <f t="shared" si="136"/>
        <v>217.20000000000002</v>
      </c>
      <c r="P938" s="40">
        <f t="shared" si="137"/>
        <v>1574.7</v>
      </c>
      <c r="Q938" s="23"/>
      <c r="R938" s="56"/>
      <c r="S938" s="57"/>
      <c r="T938" s="58">
        <f t="shared" si="140"/>
        <v>0</v>
      </c>
      <c r="U938" s="36">
        <f t="shared" si="140"/>
        <v>0</v>
      </c>
      <c r="V938" s="59">
        <f t="shared" si="139"/>
        <v>0</v>
      </c>
      <c r="W938" s="39">
        <f t="shared" si="135"/>
        <v>0</v>
      </c>
      <c r="X938" s="40">
        <f t="shared" si="138"/>
        <v>0</v>
      </c>
      <c r="Y938"/>
      <c r="Z938"/>
      <c r="AA938"/>
    </row>
    <row r="939" spans="1:27" s="51" customFormat="1" ht="18.600000000000001" hidden="1" customHeight="1" x14ac:dyDescent="0.25">
      <c r="A939" s="82" t="s">
        <v>16</v>
      </c>
      <c r="B939" s="41" t="s">
        <v>1933</v>
      </c>
      <c r="C939" s="42" t="s">
        <v>1934</v>
      </c>
      <c r="D939" s="41">
        <v>8435635305664</v>
      </c>
      <c r="E939" s="43" t="s">
        <v>2378</v>
      </c>
      <c r="F939" s="43" t="s">
        <v>1937</v>
      </c>
      <c r="G939" s="43" t="s">
        <v>2223</v>
      </c>
      <c r="H939" s="85" t="s">
        <v>2379</v>
      </c>
      <c r="I939" s="23" t="s">
        <v>24</v>
      </c>
      <c r="J939" s="44">
        <v>1810</v>
      </c>
      <c r="K939" s="45">
        <v>0.25</v>
      </c>
      <c r="L939" s="46">
        <f t="shared" si="133"/>
        <v>452.5</v>
      </c>
      <c r="M939" s="47">
        <f t="shared" si="134"/>
        <v>1357.5</v>
      </c>
      <c r="N939" s="48">
        <v>0.16</v>
      </c>
      <c r="O939" s="49">
        <f t="shared" si="136"/>
        <v>217.20000000000002</v>
      </c>
      <c r="P939" s="50">
        <f t="shared" si="137"/>
        <v>1574.7</v>
      </c>
      <c r="Q939" s="23"/>
      <c r="R939" s="60"/>
      <c r="S939" s="61"/>
      <c r="T939" s="62">
        <f t="shared" si="140"/>
        <v>0</v>
      </c>
      <c r="U939" s="46">
        <f t="shared" si="140"/>
        <v>0</v>
      </c>
      <c r="V939" s="63">
        <f t="shared" si="139"/>
        <v>0</v>
      </c>
      <c r="W939" s="49">
        <f t="shared" si="135"/>
        <v>0</v>
      </c>
      <c r="X939" s="50">
        <f t="shared" si="138"/>
        <v>0</v>
      </c>
      <c r="Y939"/>
      <c r="Z939"/>
      <c r="AA939"/>
    </row>
    <row r="940" spans="1:27" s="51" customFormat="1" ht="18.600000000000001" hidden="1" customHeight="1" x14ac:dyDescent="0.25">
      <c r="A940" s="80" t="s">
        <v>16</v>
      </c>
      <c r="B940" s="20" t="s">
        <v>1933</v>
      </c>
      <c r="C940" s="21" t="s">
        <v>1934</v>
      </c>
      <c r="D940" s="20">
        <v>8435635305886</v>
      </c>
      <c r="E940" s="22" t="s">
        <v>2380</v>
      </c>
      <c r="F940" s="22" t="s">
        <v>1937</v>
      </c>
      <c r="G940" s="22" t="s">
        <v>2223</v>
      </c>
      <c r="H940" s="83" t="s">
        <v>2381</v>
      </c>
      <c r="I940" s="23" t="s">
        <v>24</v>
      </c>
      <c r="J940" s="24">
        <v>750</v>
      </c>
      <c r="K940" s="25">
        <v>0.25</v>
      </c>
      <c r="L940" s="26">
        <f t="shared" si="133"/>
        <v>187.5</v>
      </c>
      <c r="M940" s="27">
        <f t="shared" si="134"/>
        <v>562.5</v>
      </c>
      <c r="N940" s="28">
        <v>0.16</v>
      </c>
      <c r="O940" s="29">
        <f t="shared" si="136"/>
        <v>90</v>
      </c>
      <c r="P940" s="30">
        <f t="shared" si="137"/>
        <v>652.5</v>
      </c>
      <c r="Q940" s="23"/>
      <c r="R940" s="52"/>
      <c r="S940" s="53"/>
      <c r="T940" s="54">
        <f t="shared" si="140"/>
        <v>0</v>
      </c>
      <c r="U940" s="26">
        <f t="shared" si="140"/>
        <v>0</v>
      </c>
      <c r="V940" s="55">
        <f t="shared" si="139"/>
        <v>0</v>
      </c>
      <c r="W940" s="29">
        <f t="shared" si="135"/>
        <v>0</v>
      </c>
      <c r="X940" s="30">
        <f t="shared" si="138"/>
        <v>0</v>
      </c>
      <c r="Y940"/>
      <c r="Z940"/>
      <c r="AA940"/>
    </row>
    <row r="941" spans="1:27" s="51" customFormat="1" ht="18.600000000000001" hidden="1" customHeight="1" x14ac:dyDescent="0.25">
      <c r="A941" s="81" t="s">
        <v>16</v>
      </c>
      <c r="B941" s="31" t="s">
        <v>1933</v>
      </c>
      <c r="C941" s="32" t="s">
        <v>1934</v>
      </c>
      <c r="D941" s="31">
        <v>8435635306395</v>
      </c>
      <c r="E941" s="33" t="s">
        <v>2382</v>
      </c>
      <c r="F941" s="33" t="s">
        <v>1937</v>
      </c>
      <c r="G941" s="33" t="s">
        <v>2223</v>
      </c>
      <c r="H941" s="84" t="s">
        <v>2383</v>
      </c>
      <c r="I941" s="23" t="s">
        <v>24</v>
      </c>
      <c r="J941" s="34">
        <v>1810</v>
      </c>
      <c r="K941" s="35">
        <v>0.25</v>
      </c>
      <c r="L941" s="36">
        <f t="shared" si="133"/>
        <v>452.5</v>
      </c>
      <c r="M941" s="37">
        <f t="shared" si="134"/>
        <v>1357.5</v>
      </c>
      <c r="N941" s="38">
        <v>0.16</v>
      </c>
      <c r="O941" s="39">
        <f t="shared" si="136"/>
        <v>217.20000000000002</v>
      </c>
      <c r="P941" s="40">
        <f t="shared" si="137"/>
        <v>1574.7</v>
      </c>
      <c r="Q941" s="23"/>
      <c r="R941" s="56"/>
      <c r="S941" s="57"/>
      <c r="T941" s="58">
        <f t="shared" si="140"/>
        <v>0</v>
      </c>
      <c r="U941" s="36">
        <f t="shared" si="140"/>
        <v>0</v>
      </c>
      <c r="V941" s="59">
        <f t="shared" si="139"/>
        <v>0</v>
      </c>
      <c r="W941" s="39">
        <f t="shared" si="135"/>
        <v>0</v>
      </c>
      <c r="X941" s="40">
        <f t="shared" si="138"/>
        <v>0</v>
      </c>
      <c r="Y941"/>
      <c r="Z941"/>
      <c r="AA941"/>
    </row>
    <row r="942" spans="1:27" s="51" customFormat="1" ht="18.600000000000001" hidden="1" customHeight="1" x14ac:dyDescent="0.25">
      <c r="A942" s="82" t="s">
        <v>16</v>
      </c>
      <c r="B942" s="41" t="s">
        <v>1933</v>
      </c>
      <c r="C942" s="42" t="s">
        <v>1934</v>
      </c>
      <c r="D942" s="41">
        <v>8435635306401</v>
      </c>
      <c r="E942" s="43" t="s">
        <v>2384</v>
      </c>
      <c r="F942" s="43" t="s">
        <v>1937</v>
      </c>
      <c r="G942" s="43" t="s">
        <v>2223</v>
      </c>
      <c r="H942" s="85" t="s">
        <v>2385</v>
      </c>
      <c r="I942" s="23" t="s">
        <v>24</v>
      </c>
      <c r="J942" s="44">
        <v>2690</v>
      </c>
      <c r="K942" s="45">
        <v>0.25</v>
      </c>
      <c r="L942" s="46">
        <f t="shared" si="133"/>
        <v>672.5</v>
      </c>
      <c r="M942" s="47">
        <f t="shared" si="134"/>
        <v>2017.5</v>
      </c>
      <c r="N942" s="48">
        <v>0.16</v>
      </c>
      <c r="O942" s="49">
        <f t="shared" si="136"/>
        <v>322.8</v>
      </c>
      <c r="P942" s="50">
        <f t="shared" si="137"/>
        <v>2340.3000000000002</v>
      </c>
      <c r="Q942" s="23"/>
      <c r="R942" s="60"/>
      <c r="S942" s="61"/>
      <c r="T942" s="62">
        <f t="shared" si="140"/>
        <v>0</v>
      </c>
      <c r="U942" s="46">
        <f t="shared" si="140"/>
        <v>0</v>
      </c>
      <c r="V942" s="63">
        <f t="shared" si="139"/>
        <v>0</v>
      </c>
      <c r="W942" s="49">
        <f t="shared" si="135"/>
        <v>0</v>
      </c>
      <c r="X942" s="50">
        <f t="shared" si="138"/>
        <v>0</v>
      </c>
      <c r="Y942"/>
      <c r="Z942"/>
      <c r="AA942"/>
    </row>
    <row r="943" spans="1:27" s="51" customFormat="1" ht="18.600000000000001" hidden="1" customHeight="1" x14ac:dyDescent="0.25">
      <c r="A943" s="80" t="s">
        <v>16</v>
      </c>
      <c r="B943" s="20" t="s">
        <v>1933</v>
      </c>
      <c r="C943" s="21" t="s">
        <v>1934</v>
      </c>
      <c r="D943" s="20">
        <v>8435635306494</v>
      </c>
      <c r="E943" s="22" t="s">
        <v>2386</v>
      </c>
      <c r="F943" s="22" t="s">
        <v>1937</v>
      </c>
      <c r="G943" s="22" t="s">
        <v>2223</v>
      </c>
      <c r="H943" s="83" t="s">
        <v>2387</v>
      </c>
      <c r="I943" s="23" t="s">
        <v>24</v>
      </c>
      <c r="J943" s="24">
        <v>1810</v>
      </c>
      <c r="K943" s="25">
        <v>0.25</v>
      </c>
      <c r="L943" s="26">
        <f t="shared" si="133"/>
        <v>452.5</v>
      </c>
      <c r="M943" s="27">
        <f t="shared" si="134"/>
        <v>1357.5</v>
      </c>
      <c r="N943" s="28">
        <v>0.16</v>
      </c>
      <c r="O943" s="29">
        <f t="shared" si="136"/>
        <v>217.20000000000002</v>
      </c>
      <c r="P943" s="30">
        <f t="shared" si="137"/>
        <v>1574.7</v>
      </c>
      <c r="Q943" s="23"/>
      <c r="R943" s="52"/>
      <c r="S943" s="53"/>
      <c r="T943" s="54">
        <f t="shared" si="140"/>
        <v>0</v>
      </c>
      <c r="U943" s="26">
        <f t="shared" si="140"/>
        <v>0</v>
      </c>
      <c r="V943" s="55">
        <f t="shared" si="139"/>
        <v>0</v>
      </c>
      <c r="W943" s="29">
        <f t="shared" si="135"/>
        <v>0</v>
      </c>
      <c r="X943" s="30">
        <f t="shared" si="138"/>
        <v>0</v>
      </c>
      <c r="Y943"/>
      <c r="Z943"/>
      <c r="AA943"/>
    </row>
    <row r="944" spans="1:27" s="51" customFormat="1" ht="18.600000000000001" hidden="1" customHeight="1" x14ac:dyDescent="0.25">
      <c r="A944" s="81" t="s">
        <v>16</v>
      </c>
      <c r="B944" s="31" t="s">
        <v>1933</v>
      </c>
      <c r="C944" s="32" t="s">
        <v>1934</v>
      </c>
      <c r="D944" s="31" t="s">
        <v>2388</v>
      </c>
      <c r="E944" s="33" t="s">
        <v>2389</v>
      </c>
      <c r="F944" s="33" t="s">
        <v>1937</v>
      </c>
      <c r="G944" s="33" t="s">
        <v>2223</v>
      </c>
      <c r="H944" s="84" t="s">
        <v>2390</v>
      </c>
      <c r="I944" s="23" t="s">
        <v>24</v>
      </c>
      <c r="J944" s="34">
        <v>540</v>
      </c>
      <c r="K944" s="35">
        <v>0.25</v>
      </c>
      <c r="L944" s="36">
        <f t="shared" si="133"/>
        <v>135</v>
      </c>
      <c r="M944" s="37">
        <f t="shared" si="134"/>
        <v>405</v>
      </c>
      <c r="N944" s="38">
        <v>0.16</v>
      </c>
      <c r="O944" s="39">
        <f t="shared" si="136"/>
        <v>64.8</v>
      </c>
      <c r="P944" s="40">
        <f t="shared" si="137"/>
        <v>469.8</v>
      </c>
      <c r="Q944" s="23"/>
      <c r="R944" s="56"/>
      <c r="S944" s="57"/>
      <c r="T944" s="58">
        <f t="shared" si="140"/>
        <v>0</v>
      </c>
      <c r="U944" s="36">
        <f t="shared" si="140"/>
        <v>0</v>
      </c>
      <c r="V944" s="59">
        <f t="shared" si="139"/>
        <v>0</v>
      </c>
      <c r="W944" s="39">
        <f t="shared" si="135"/>
        <v>0</v>
      </c>
      <c r="X944" s="40">
        <f t="shared" si="138"/>
        <v>0</v>
      </c>
      <c r="Y944"/>
      <c r="Z944"/>
      <c r="AA944"/>
    </row>
    <row r="945" spans="1:27" s="51" customFormat="1" ht="18.600000000000001" hidden="1" customHeight="1" x14ac:dyDescent="0.25">
      <c r="A945" s="82" t="s">
        <v>16</v>
      </c>
      <c r="B945" s="41" t="s">
        <v>1933</v>
      </c>
      <c r="C945" s="42" t="s">
        <v>1934</v>
      </c>
      <c r="D945" s="41" t="s">
        <v>2391</v>
      </c>
      <c r="E945" s="43" t="s">
        <v>2392</v>
      </c>
      <c r="F945" s="43" t="s">
        <v>1937</v>
      </c>
      <c r="G945" s="43" t="s">
        <v>2223</v>
      </c>
      <c r="H945" s="85" t="s">
        <v>2393</v>
      </c>
      <c r="I945" s="23" t="s">
        <v>24</v>
      </c>
      <c r="J945" s="44">
        <v>930</v>
      </c>
      <c r="K945" s="45">
        <v>0.25</v>
      </c>
      <c r="L945" s="46">
        <f t="shared" si="133"/>
        <v>232.5</v>
      </c>
      <c r="M945" s="47">
        <f t="shared" si="134"/>
        <v>697.5</v>
      </c>
      <c r="N945" s="48">
        <v>0.16</v>
      </c>
      <c r="O945" s="49">
        <f t="shared" si="136"/>
        <v>111.60000000000001</v>
      </c>
      <c r="P945" s="50">
        <f t="shared" si="137"/>
        <v>809.1</v>
      </c>
      <c r="Q945" s="23"/>
      <c r="R945" s="60"/>
      <c r="S945" s="61"/>
      <c r="T945" s="62">
        <f t="shared" si="140"/>
        <v>0</v>
      </c>
      <c r="U945" s="46">
        <f t="shared" si="140"/>
        <v>0</v>
      </c>
      <c r="V945" s="63">
        <f t="shared" si="139"/>
        <v>0</v>
      </c>
      <c r="W945" s="49">
        <f t="shared" si="135"/>
        <v>0</v>
      </c>
      <c r="X945" s="50">
        <f t="shared" si="138"/>
        <v>0</v>
      </c>
      <c r="Y945"/>
      <c r="Z945"/>
      <c r="AA945"/>
    </row>
    <row r="946" spans="1:27" s="51" customFormat="1" ht="18.600000000000001" hidden="1" customHeight="1" x14ac:dyDescent="0.25">
      <c r="A946" s="80" t="s">
        <v>16</v>
      </c>
      <c r="B946" s="20" t="s">
        <v>1933</v>
      </c>
      <c r="C946" s="21" t="s">
        <v>1934</v>
      </c>
      <c r="D946" s="20" t="s">
        <v>2394</v>
      </c>
      <c r="E946" s="22" t="s">
        <v>2395</v>
      </c>
      <c r="F946" s="22" t="s">
        <v>1937</v>
      </c>
      <c r="G946" s="22" t="s">
        <v>2396</v>
      </c>
      <c r="H946" s="83" t="s">
        <v>2397</v>
      </c>
      <c r="I946" s="23" t="s">
        <v>24</v>
      </c>
      <c r="J946" s="24">
        <v>1660</v>
      </c>
      <c r="K946" s="25">
        <v>0.25</v>
      </c>
      <c r="L946" s="26">
        <f t="shared" si="133"/>
        <v>415</v>
      </c>
      <c r="M946" s="27">
        <f t="shared" si="134"/>
        <v>1245</v>
      </c>
      <c r="N946" s="28">
        <v>0.16</v>
      </c>
      <c r="O946" s="29">
        <f t="shared" si="136"/>
        <v>199.20000000000002</v>
      </c>
      <c r="P946" s="30">
        <f t="shared" si="137"/>
        <v>1444.2</v>
      </c>
      <c r="Q946" s="23"/>
      <c r="R946" s="52"/>
      <c r="S946" s="53"/>
      <c r="T946" s="54">
        <f t="shared" si="140"/>
        <v>0</v>
      </c>
      <c r="U946" s="26">
        <f t="shared" si="140"/>
        <v>0</v>
      </c>
      <c r="V946" s="55">
        <f t="shared" si="139"/>
        <v>0</v>
      </c>
      <c r="W946" s="29">
        <f t="shared" si="135"/>
        <v>0</v>
      </c>
      <c r="X946" s="30">
        <f t="shared" si="138"/>
        <v>0</v>
      </c>
      <c r="Y946"/>
      <c r="Z946"/>
      <c r="AA946"/>
    </row>
    <row r="947" spans="1:27" s="51" customFormat="1" ht="18.600000000000001" hidden="1" customHeight="1" x14ac:dyDescent="0.25">
      <c r="A947" s="81" t="s">
        <v>16</v>
      </c>
      <c r="B947" s="31" t="s">
        <v>1933</v>
      </c>
      <c r="C947" s="32" t="s">
        <v>1934</v>
      </c>
      <c r="D947" s="31" t="s">
        <v>2398</v>
      </c>
      <c r="E947" s="33" t="s">
        <v>2399</v>
      </c>
      <c r="F947" s="33" t="s">
        <v>1937</v>
      </c>
      <c r="G947" s="33" t="s">
        <v>2396</v>
      </c>
      <c r="H947" s="84" t="s">
        <v>2400</v>
      </c>
      <c r="I947" s="23" t="s">
        <v>24</v>
      </c>
      <c r="J947" s="34">
        <v>1360</v>
      </c>
      <c r="K947" s="35">
        <v>0.25</v>
      </c>
      <c r="L947" s="36">
        <f t="shared" si="133"/>
        <v>340</v>
      </c>
      <c r="M947" s="37">
        <f t="shared" si="134"/>
        <v>1020</v>
      </c>
      <c r="N947" s="38">
        <v>0.16</v>
      </c>
      <c r="O947" s="39">
        <f t="shared" si="136"/>
        <v>163.20000000000002</v>
      </c>
      <c r="P947" s="40">
        <f t="shared" si="137"/>
        <v>1183.2</v>
      </c>
      <c r="Q947" s="23"/>
      <c r="R947" s="56"/>
      <c r="S947" s="57"/>
      <c r="T947" s="58">
        <f t="shared" si="140"/>
        <v>0</v>
      </c>
      <c r="U947" s="36">
        <f t="shared" si="140"/>
        <v>0</v>
      </c>
      <c r="V947" s="59">
        <f t="shared" si="139"/>
        <v>0</v>
      </c>
      <c r="W947" s="39">
        <f t="shared" si="135"/>
        <v>0</v>
      </c>
      <c r="X947" s="40">
        <f t="shared" si="138"/>
        <v>0</v>
      </c>
      <c r="Y947"/>
      <c r="Z947"/>
      <c r="AA947"/>
    </row>
    <row r="948" spans="1:27" s="51" customFormat="1" ht="18.600000000000001" hidden="1" customHeight="1" x14ac:dyDescent="0.25">
      <c r="A948" s="82" t="s">
        <v>16</v>
      </c>
      <c r="B948" s="41" t="s">
        <v>1933</v>
      </c>
      <c r="C948" s="42" t="s">
        <v>1934</v>
      </c>
      <c r="D948" s="41" t="s">
        <v>2401</v>
      </c>
      <c r="E948" s="43" t="s">
        <v>2402</v>
      </c>
      <c r="F948" s="43" t="s">
        <v>1937</v>
      </c>
      <c r="G948" s="43" t="s">
        <v>2403</v>
      </c>
      <c r="H948" s="85" t="s">
        <v>2404</v>
      </c>
      <c r="I948" s="23" t="s">
        <v>24</v>
      </c>
      <c r="J948" s="44">
        <v>450</v>
      </c>
      <c r="K948" s="45">
        <v>0.25</v>
      </c>
      <c r="L948" s="46">
        <f t="shared" si="133"/>
        <v>112.5</v>
      </c>
      <c r="M948" s="47">
        <f t="shared" si="134"/>
        <v>337.5</v>
      </c>
      <c r="N948" s="48">
        <v>0.16</v>
      </c>
      <c r="O948" s="49">
        <f t="shared" si="136"/>
        <v>54</v>
      </c>
      <c r="P948" s="50">
        <f t="shared" si="137"/>
        <v>391.5</v>
      </c>
      <c r="Q948" s="23"/>
      <c r="R948" s="60"/>
      <c r="S948" s="61"/>
      <c r="T948" s="62">
        <f t="shared" si="140"/>
        <v>0</v>
      </c>
      <c r="U948" s="46">
        <f t="shared" si="140"/>
        <v>0</v>
      </c>
      <c r="V948" s="63">
        <f t="shared" si="139"/>
        <v>0</v>
      </c>
      <c r="W948" s="49">
        <f t="shared" si="135"/>
        <v>0</v>
      </c>
      <c r="X948" s="50">
        <f t="shared" si="138"/>
        <v>0</v>
      </c>
      <c r="Y948"/>
      <c r="Z948"/>
      <c r="AA948"/>
    </row>
    <row r="949" spans="1:27" s="51" customFormat="1" ht="18.600000000000001" hidden="1" customHeight="1" x14ac:dyDescent="0.25">
      <c r="A949" s="80" t="s">
        <v>16</v>
      </c>
      <c r="B949" s="20" t="s">
        <v>1933</v>
      </c>
      <c r="C949" s="21" t="s">
        <v>1934</v>
      </c>
      <c r="D949" s="20" t="s">
        <v>2405</v>
      </c>
      <c r="E949" s="22" t="s">
        <v>2406</v>
      </c>
      <c r="F949" s="22" t="s">
        <v>1937</v>
      </c>
      <c r="G949" s="22" t="s">
        <v>2403</v>
      </c>
      <c r="H949" s="83" t="s">
        <v>2407</v>
      </c>
      <c r="I949" s="23" t="s">
        <v>24</v>
      </c>
      <c r="J949" s="24">
        <v>450</v>
      </c>
      <c r="K949" s="25">
        <v>0.25</v>
      </c>
      <c r="L949" s="26">
        <f t="shared" si="133"/>
        <v>112.5</v>
      </c>
      <c r="M949" s="27">
        <f t="shared" si="134"/>
        <v>337.5</v>
      </c>
      <c r="N949" s="28">
        <v>0.16</v>
      </c>
      <c r="O949" s="29">
        <f t="shared" si="136"/>
        <v>54</v>
      </c>
      <c r="P949" s="30">
        <f t="shared" si="137"/>
        <v>391.5</v>
      </c>
      <c r="Q949" s="23"/>
      <c r="R949" s="52"/>
      <c r="S949" s="53"/>
      <c r="T949" s="54">
        <f t="shared" si="140"/>
        <v>0</v>
      </c>
      <c r="U949" s="26">
        <f t="shared" si="140"/>
        <v>0</v>
      </c>
      <c r="V949" s="55">
        <f t="shared" si="139"/>
        <v>0</v>
      </c>
      <c r="W949" s="29">
        <f t="shared" si="135"/>
        <v>0</v>
      </c>
      <c r="X949" s="30">
        <f t="shared" si="138"/>
        <v>0</v>
      </c>
      <c r="Y949"/>
      <c r="Z949"/>
      <c r="AA949"/>
    </row>
    <row r="950" spans="1:27" s="51" customFormat="1" ht="18.600000000000001" hidden="1" customHeight="1" x14ac:dyDescent="0.25">
      <c r="A950" s="81" t="s">
        <v>16</v>
      </c>
      <c r="B950" s="31" t="s">
        <v>1933</v>
      </c>
      <c r="C950" s="32" t="s">
        <v>1934</v>
      </c>
      <c r="D950" s="31" t="s">
        <v>2408</v>
      </c>
      <c r="E950" s="33" t="s">
        <v>2409</v>
      </c>
      <c r="F950" s="33" t="s">
        <v>1937</v>
      </c>
      <c r="G950" s="33" t="s">
        <v>2403</v>
      </c>
      <c r="H950" s="84" t="s">
        <v>2410</v>
      </c>
      <c r="I950" s="23" t="s">
        <v>24</v>
      </c>
      <c r="J950" s="34">
        <v>450</v>
      </c>
      <c r="K950" s="35">
        <v>0.25</v>
      </c>
      <c r="L950" s="36">
        <f t="shared" si="133"/>
        <v>112.5</v>
      </c>
      <c r="M950" s="37">
        <f t="shared" si="134"/>
        <v>337.5</v>
      </c>
      <c r="N950" s="38">
        <v>0.16</v>
      </c>
      <c r="O950" s="39">
        <f t="shared" si="136"/>
        <v>54</v>
      </c>
      <c r="P950" s="40">
        <f t="shared" si="137"/>
        <v>391.5</v>
      </c>
      <c r="Q950" s="23"/>
      <c r="R950" s="56"/>
      <c r="S950" s="57"/>
      <c r="T950" s="58">
        <f t="shared" si="140"/>
        <v>0</v>
      </c>
      <c r="U950" s="36">
        <f t="shared" si="140"/>
        <v>0</v>
      </c>
      <c r="V950" s="59">
        <f t="shared" si="139"/>
        <v>0</v>
      </c>
      <c r="W950" s="39">
        <f t="shared" si="135"/>
        <v>0</v>
      </c>
      <c r="X950" s="40">
        <f t="shared" si="138"/>
        <v>0</v>
      </c>
      <c r="Y950"/>
      <c r="Z950"/>
      <c r="AA950"/>
    </row>
    <row r="951" spans="1:27" s="51" customFormat="1" ht="18.600000000000001" hidden="1" customHeight="1" x14ac:dyDescent="0.25">
      <c r="A951" s="82" t="s">
        <v>16</v>
      </c>
      <c r="B951" s="41" t="s">
        <v>1933</v>
      </c>
      <c r="C951" s="42" t="s">
        <v>1934</v>
      </c>
      <c r="D951" s="41" t="s">
        <v>2411</v>
      </c>
      <c r="E951" s="43" t="s">
        <v>2412</v>
      </c>
      <c r="F951" s="43" t="s">
        <v>1937</v>
      </c>
      <c r="G951" s="43" t="s">
        <v>2403</v>
      </c>
      <c r="H951" s="85" t="s">
        <v>2413</v>
      </c>
      <c r="I951" s="23" t="s">
        <v>24</v>
      </c>
      <c r="J951" s="44">
        <v>450</v>
      </c>
      <c r="K951" s="45">
        <v>0.25</v>
      </c>
      <c r="L951" s="46">
        <f t="shared" si="133"/>
        <v>112.5</v>
      </c>
      <c r="M951" s="47">
        <f t="shared" si="134"/>
        <v>337.5</v>
      </c>
      <c r="N951" s="48">
        <v>0.16</v>
      </c>
      <c r="O951" s="49">
        <f t="shared" si="136"/>
        <v>54</v>
      </c>
      <c r="P951" s="50">
        <f t="shared" si="137"/>
        <v>391.5</v>
      </c>
      <c r="Q951" s="23"/>
      <c r="R951" s="60"/>
      <c r="S951" s="61"/>
      <c r="T951" s="62">
        <f t="shared" si="140"/>
        <v>0</v>
      </c>
      <c r="U951" s="46">
        <f t="shared" si="140"/>
        <v>0</v>
      </c>
      <c r="V951" s="63">
        <f t="shared" si="139"/>
        <v>0</v>
      </c>
      <c r="W951" s="49">
        <f t="shared" si="135"/>
        <v>0</v>
      </c>
      <c r="X951" s="50">
        <f t="shared" si="138"/>
        <v>0</v>
      </c>
      <c r="Y951"/>
      <c r="Z951"/>
      <c r="AA951"/>
    </row>
    <row r="952" spans="1:27" s="51" customFormat="1" ht="18.600000000000001" hidden="1" customHeight="1" x14ac:dyDescent="0.25">
      <c r="A952" s="80" t="s">
        <v>16</v>
      </c>
      <c r="B952" s="20" t="s">
        <v>1933</v>
      </c>
      <c r="C952" s="21" t="s">
        <v>1934</v>
      </c>
      <c r="D952" s="20" t="s">
        <v>2414</v>
      </c>
      <c r="E952" s="22" t="s">
        <v>2415</v>
      </c>
      <c r="F952" s="22" t="s">
        <v>1937</v>
      </c>
      <c r="G952" s="22" t="s">
        <v>2403</v>
      </c>
      <c r="H952" s="83" t="s">
        <v>2416</v>
      </c>
      <c r="I952" s="23" t="s">
        <v>24</v>
      </c>
      <c r="J952" s="24">
        <v>450</v>
      </c>
      <c r="K952" s="25">
        <v>0.25</v>
      </c>
      <c r="L952" s="26">
        <f t="shared" si="133"/>
        <v>112.5</v>
      </c>
      <c r="M952" s="27">
        <f t="shared" si="134"/>
        <v>337.5</v>
      </c>
      <c r="N952" s="28">
        <v>0.16</v>
      </c>
      <c r="O952" s="29">
        <f t="shared" si="136"/>
        <v>54</v>
      </c>
      <c r="P952" s="30">
        <f t="shared" si="137"/>
        <v>391.5</v>
      </c>
      <c r="Q952" s="23"/>
      <c r="R952" s="52"/>
      <c r="S952" s="53"/>
      <c r="T952" s="54">
        <f t="shared" si="140"/>
        <v>0</v>
      </c>
      <c r="U952" s="26">
        <f t="shared" si="140"/>
        <v>0</v>
      </c>
      <c r="V952" s="55">
        <f t="shared" si="139"/>
        <v>0</v>
      </c>
      <c r="W952" s="29">
        <f t="shared" si="135"/>
        <v>0</v>
      </c>
      <c r="X952" s="30">
        <f t="shared" si="138"/>
        <v>0</v>
      </c>
      <c r="Y952"/>
      <c r="Z952"/>
      <c r="AA952"/>
    </row>
    <row r="953" spans="1:27" s="51" customFormat="1" ht="18.600000000000001" hidden="1" customHeight="1" x14ac:dyDescent="0.25">
      <c r="A953" s="81" t="s">
        <v>16</v>
      </c>
      <c r="B953" s="31" t="s">
        <v>1933</v>
      </c>
      <c r="C953" s="32" t="s">
        <v>1934</v>
      </c>
      <c r="D953" s="31" t="s">
        <v>2417</v>
      </c>
      <c r="E953" s="33" t="s">
        <v>2418</v>
      </c>
      <c r="F953" s="33" t="s">
        <v>1937</v>
      </c>
      <c r="G953" s="33" t="s">
        <v>2403</v>
      </c>
      <c r="H953" s="84" t="s">
        <v>2419</v>
      </c>
      <c r="I953" s="23" t="s">
        <v>24</v>
      </c>
      <c r="J953" s="34">
        <v>450</v>
      </c>
      <c r="K953" s="35">
        <v>0.25</v>
      </c>
      <c r="L953" s="36">
        <f t="shared" si="133"/>
        <v>112.5</v>
      </c>
      <c r="M953" s="37">
        <f t="shared" si="134"/>
        <v>337.5</v>
      </c>
      <c r="N953" s="38">
        <v>0.16</v>
      </c>
      <c r="O953" s="39">
        <f t="shared" si="136"/>
        <v>54</v>
      </c>
      <c r="P953" s="40">
        <f t="shared" si="137"/>
        <v>391.5</v>
      </c>
      <c r="Q953" s="23"/>
      <c r="R953" s="56"/>
      <c r="S953" s="57"/>
      <c r="T953" s="58">
        <f t="shared" si="140"/>
        <v>0</v>
      </c>
      <c r="U953" s="36">
        <f t="shared" si="140"/>
        <v>0</v>
      </c>
      <c r="V953" s="59">
        <f t="shared" si="139"/>
        <v>0</v>
      </c>
      <c r="W953" s="39">
        <f t="shared" si="135"/>
        <v>0</v>
      </c>
      <c r="X953" s="40">
        <f t="shared" si="138"/>
        <v>0</v>
      </c>
      <c r="Y953"/>
      <c r="Z953"/>
      <c r="AA953"/>
    </row>
    <row r="954" spans="1:27" s="51" customFormat="1" ht="18.600000000000001" hidden="1" customHeight="1" x14ac:dyDescent="0.25">
      <c r="A954" s="82" t="s">
        <v>16</v>
      </c>
      <c r="B954" s="41" t="s">
        <v>1933</v>
      </c>
      <c r="C954" s="42" t="s">
        <v>1934</v>
      </c>
      <c r="D954" s="41" t="s">
        <v>2420</v>
      </c>
      <c r="E954" s="43" t="s">
        <v>2421</v>
      </c>
      <c r="F954" s="43" t="s">
        <v>1937</v>
      </c>
      <c r="G954" s="43" t="s">
        <v>2403</v>
      </c>
      <c r="H954" s="85" t="s">
        <v>2422</v>
      </c>
      <c r="I954" s="23" t="s">
        <v>24</v>
      </c>
      <c r="J954" s="44">
        <v>450</v>
      </c>
      <c r="K954" s="45">
        <v>0.25</v>
      </c>
      <c r="L954" s="46">
        <f t="shared" si="133"/>
        <v>112.5</v>
      </c>
      <c r="M954" s="47">
        <f t="shared" si="134"/>
        <v>337.5</v>
      </c>
      <c r="N954" s="48">
        <v>0.16</v>
      </c>
      <c r="O954" s="49">
        <f t="shared" si="136"/>
        <v>54</v>
      </c>
      <c r="P954" s="50">
        <f t="shared" si="137"/>
        <v>391.5</v>
      </c>
      <c r="Q954" s="23"/>
      <c r="R954" s="60"/>
      <c r="S954" s="61"/>
      <c r="T954" s="62">
        <f t="shared" si="140"/>
        <v>0</v>
      </c>
      <c r="U954" s="46">
        <f t="shared" si="140"/>
        <v>0</v>
      </c>
      <c r="V954" s="63">
        <f t="shared" si="139"/>
        <v>0</v>
      </c>
      <c r="W954" s="49">
        <f t="shared" si="135"/>
        <v>0</v>
      </c>
      <c r="X954" s="50">
        <f t="shared" si="138"/>
        <v>0</v>
      </c>
      <c r="Y954"/>
      <c r="Z954"/>
      <c r="AA954"/>
    </row>
    <row r="955" spans="1:27" s="51" customFormat="1" ht="18.600000000000001" hidden="1" customHeight="1" x14ac:dyDescent="0.25">
      <c r="A955" s="80" t="s">
        <v>16</v>
      </c>
      <c r="B955" s="20" t="s">
        <v>1933</v>
      </c>
      <c r="C955" s="21" t="s">
        <v>1934</v>
      </c>
      <c r="D955" s="20" t="s">
        <v>2423</v>
      </c>
      <c r="E955" s="22" t="s">
        <v>2424</v>
      </c>
      <c r="F955" s="22" t="s">
        <v>1937</v>
      </c>
      <c r="G955" s="22" t="s">
        <v>2403</v>
      </c>
      <c r="H955" s="83" t="s">
        <v>2425</v>
      </c>
      <c r="I955" s="23" t="s">
        <v>24</v>
      </c>
      <c r="J955" s="24">
        <v>450</v>
      </c>
      <c r="K955" s="25">
        <v>0.25</v>
      </c>
      <c r="L955" s="26">
        <f t="shared" si="133"/>
        <v>112.5</v>
      </c>
      <c r="M955" s="27">
        <f t="shared" si="134"/>
        <v>337.5</v>
      </c>
      <c r="N955" s="28">
        <v>0.16</v>
      </c>
      <c r="O955" s="29">
        <f t="shared" si="136"/>
        <v>54</v>
      </c>
      <c r="P955" s="30">
        <f t="shared" si="137"/>
        <v>391.5</v>
      </c>
      <c r="Q955" s="23"/>
      <c r="R955" s="52"/>
      <c r="S955" s="53"/>
      <c r="T955" s="54">
        <f t="shared" si="140"/>
        <v>0</v>
      </c>
      <c r="U955" s="26">
        <f t="shared" si="140"/>
        <v>0</v>
      </c>
      <c r="V955" s="55">
        <f t="shared" si="139"/>
        <v>0</v>
      </c>
      <c r="W955" s="29">
        <f t="shared" si="135"/>
        <v>0</v>
      </c>
      <c r="X955" s="30">
        <f t="shared" si="138"/>
        <v>0</v>
      </c>
      <c r="Y955"/>
      <c r="Z955"/>
      <c r="AA955"/>
    </row>
    <row r="956" spans="1:27" s="51" customFormat="1" ht="18.600000000000001" hidden="1" customHeight="1" x14ac:dyDescent="0.25">
      <c r="A956" s="81" t="s">
        <v>16</v>
      </c>
      <c r="B956" s="31" t="s">
        <v>1933</v>
      </c>
      <c r="C956" s="32" t="s">
        <v>1934</v>
      </c>
      <c r="D956" s="31" t="s">
        <v>2426</v>
      </c>
      <c r="E956" s="33" t="s">
        <v>2427</v>
      </c>
      <c r="F956" s="33" t="s">
        <v>1937</v>
      </c>
      <c r="G956" s="33" t="s">
        <v>2403</v>
      </c>
      <c r="H956" s="84" t="s">
        <v>2428</v>
      </c>
      <c r="I956" s="23" t="s">
        <v>24</v>
      </c>
      <c r="J956" s="34">
        <v>450</v>
      </c>
      <c r="K956" s="35">
        <v>0.25</v>
      </c>
      <c r="L956" s="36">
        <f t="shared" si="133"/>
        <v>112.5</v>
      </c>
      <c r="M956" s="37">
        <f t="shared" si="134"/>
        <v>337.5</v>
      </c>
      <c r="N956" s="38">
        <v>0.16</v>
      </c>
      <c r="O956" s="39">
        <f t="shared" si="136"/>
        <v>54</v>
      </c>
      <c r="P956" s="40">
        <f t="shared" si="137"/>
        <v>391.5</v>
      </c>
      <c r="Q956" s="23"/>
      <c r="R956" s="56"/>
      <c r="S956" s="57"/>
      <c r="T956" s="58">
        <f t="shared" si="140"/>
        <v>0</v>
      </c>
      <c r="U956" s="36">
        <f t="shared" si="140"/>
        <v>0</v>
      </c>
      <c r="V956" s="59">
        <f t="shared" si="139"/>
        <v>0</v>
      </c>
      <c r="W956" s="39">
        <f t="shared" si="135"/>
        <v>0</v>
      </c>
      <c r="X956" s="40">
        <f t="shared" si="138"/>
        <v>0</v>
      </c>
      <c r="Y956"/>
      <c r="Z956"/>
      <c r="AA956"/>
    </row>
    <row r="957" spans="1:27" s="51" customFormat="1" ht="18.600000000000001" hidden="1" customHeight="1" x14ac:dyDescent="0.25">
      <c r="A957" s="82" t="s">
        <v>16</v>
      </c>
      <c r="B957" s="41" t="s">
        <v>1933</v>
      </c>
      <c r="C957" s="42" t="s">
        <v>1934</v>
      </c>
      <c r="D957" s="41" t="s">
        <v>2429</v>
      </c>
      <c r="E957" s="43" t="s">
        <v>2430</v>
      </c>
      <c r="F957" s="43" t="s">
        <v>1937</v>
      </c>
      <c r="G957" s="43" t="s">
        <v>2403</v>
      </c>
      <c r="H957" s="85" t="s">
        <v>2431</v>
      </c>
      <c r="I957" s="23" t="s">
        <v>24</v>
      </c>
      <c r="J957" s="44">
        <v>450</v>
      </c>
      <c r="K957" s="45">
        <v>0.25</v>
      </c>
      <c r="L957" s="46">
        <f t="shared" si="133"/>
        <v>112.5</v>
      </c>
      <c r="M957" s="47">
        <f t="shared" si="134"/>
        <v>337.5</v>
      </c>
      <c r="N957" s="48">
        <v>0.16</v>
      </c>
      <c r="O957" s="49">
        <f t="shared" si="136"/>
        <v>54</v>
      </c>
      <c r="P957" s="50">
        <f t="shared" si="137"/>
        <v>391.5</v>
      </c>
      <c r="Q957" s="23"/>
      <c r="R957" s="60"/>
      <c r="S957" s="61"/>
      <c r="T957" s="62">
        <f t="shared" si="140"/>
        <v>0</v>
      </c>
      <c r="U957" s="46">
        <f t="shared" si="140"/>
        <v>0</v>
      </c>
      <c r="V957" s="63">
        <f t="shared" si="139"/>
        <v>0</v>
      </c>
      <c r="W957" s="49">
        <f t="shared" si="135"/>
        <v>0</v>
      </c>
      <c r="X957" s="50">
        <f t="shared" si="138"/>
        <v>0</v>
      </c>
      <c r="Y957"/>
      <c r="Z957"/>
      <c r="AA957"/>
    </row>
    <row r="958" spans="1:27" s="51" customFormat="1" ht="18.600000000000001" hidden="1" customHeight="1" x14ac:dyDescent="0.25">
      <c r="A958" s="80" t="s">
        <v>16</v>
      </c>
      <c r="B958" s="20" t="s">
        <v>1933</v>
      </c>
      <c r="C958" s="21" t="s">
        <v>1934</v>
      </c>
      <c r="D958" s="20" t="s">
        <v>2432</v>
      </c>
      <c r="E958" s="22" t="s">
        <v>2433</v>
      </c>
      <c r="F958" s="22" t="s">
        <v>1937</v>
      </c>
      <c r="G958" s="22" t="s">
        <v>2403</v>
      </c>
      <c r="H958" s="83" t="s">
        <v>2434</v>
      </c>
      <c r="I958" s="23" t="s">
        <v>24</v>
      </c>
      <c r="J958" s="24">
        <v>450</v>
      </c>
      <c r="K958" s="25">
        <v>0.25</v>
      </c>
      <c r="L958" s="26">
        <f t="shared" si="133"/>
        <v>112.5</v>
      </c>
      <c r="M958" s="27">
        <f t="shared" si="134"/>
        <v>337.5</v>
      </c>
      <c r="N958" s="28">
        <v>0.16</v>
      </c>
      <c r="O958" s="29">
        <f t="shared" si="136"/>
        <v>54</v>
      </c>
      <c r="P958" s="30">
        <f t="shared" si="137"/>
        <v>391.5</v>
      </c>
      <c r="Q958" s="23"/>
      <c r="R958" s="52"/>
      <c r="S958" s="53"/>
      <c r="T958" s="54">
        <f t="shared" si="140"/>
        <v>0</v>
      </c>
      <c r="U958" s="26">
        <f t="shared" si="140"/>
        <v>0</v>
      </c>
      <c r="V958" s="55">
        <f t="shared" si="139"/>
        <v>0</v>
      </c>
      <c r="W958" s="29">
        <f t="shared" si="135"/>
        <v>0</v>
      </c>
      <c r="X958" s="30">
        <f t="shared" si="138"/>
        <v>0</v>
      </c>
      <c r="Y958"/>
      <c r="Z958"/>
      <c r="AA958"/>
    </row>
    <row r="959" spans="1:27" s="51" customFormat="1" ht="18.600000000000001" hidden="1" customHeight="1" x14ac:dyDescent="0.25">
      <c r="A959" s="81" t="s">
        <v>16</v>
      </c>
      <c r="B959" s="31" t="s">
        <v>1933</v>
      </c>
      <c r="C959" s="32" t="s">
        <v>1934</v>
      </c>
      <c r="D959" s="31" t="s">
        <v>2435</v>
      </c>
      <c r="E959" s="33" t="s">
        <v>2436</v>
      </c>
      <c r="F959" s="33" t="s">
        <v>1937</v>
      </c>
      <c r="G959" s="33" t="s">
        <v>2403</v>
      </c>
      <c r="H959" s="84" t="s">
        <v>2437</v>
      </c>
      <c r="I959" s="23" t="s">
        <v>24</v>
      </c>
      <c r="J959" s="34">
        <v>450</v>
      </c>
      <c r="K959" s="35">
        <v>0.25</v>
      </c>
      <c r="L959" s="36">
        <f t="shared" si="133"/>
        <v>112.5</v>
      </c>
      <c r="M959" s="37">
        <f t="shared" si="134"/>
        <v>337.5</v>
      </c>
      <c r="N959" s="38">
        <v>0.16</v>
      </c>
      <c r="O959" s="39">
        <f t="shared" si="136"/>
        <v>54</v>
      </c>
      <c r="P959" s="40">
        <f t="shared" si="137"/>
        <v>391.5</v>
      </c>
      <c r="Q959" s="23"/>
      <c r="R959" s="56"/>
      <c r="S959" s="57"/>
      <c r="T959" s="58">
        <f t="shared" si="140"/>
        <v>0</v>
      </c>
      <c r="U959" s="36">
        <f t="shared" si="140"/>
        <v>0</v>
      </c>
      <c r="V959" s="59">
        <f t="shared" si="139"/>
        <v>0</v>
      </c>
      <c r="W959" s="39">
        <f t="shared" si="135"/>
        <v>0</v>
      </c>
      <c r="X959" s="40">
        <f t="shared" si="138"/>
        <v>0</v>
      </c>
      <c r="Y959"/>
      <c r="Z959"/>
      <c r="AA959"/>
    </row>
    <row r="960" spans="1:27" s="51" customFormat="1" ht="18.600000000000001" hidden="1" customHeight="1" x14ac:dyDescent="0.25">
      <c r="A960" s="82" t="s">
        <v>16</v>
      </c>
      <c r="B960" s="41" t="s">
        <v>1933</v>
      </c>
      <c r="C960" s="42" t="s">
        <v>1934</v>
      </c>
      <c r="D960" s="41" t="s">
        <v>2438</v>
      </c>
      <c r="E960" s="43" t="s">
        <v>2439</v>
      </c>
      <c r="F960" s="43" t="s">
        <v>1937</v>
      </c>
      <c r="G960" s="43" t="s">
        <v>2126</v>
      </c>
      <c r="H960" s="85" t="s">
        <v>2440</v>
      </c>
      <c r="I960" s="23" t="s">
        <v>24</v>
      </c>
      <c r="J960" s="44">
        <v>900</v>
      </c>
      <c r="K960" s="45">
        <v>0.25</v>
      </c>
      <c r="L960" s="46">
        <f t="shared" si="133"/>
        <v>225</v>
      </c>
      <c r="M960" s="47">
        <f t="shared" si="134"/>
        <v>675</v>
      </c>
      <c r="N960" s="48">
        <v>0.16</v>
      </c>
      <c r="O960" s="49">
        <f t="shared" si="136"/>
        <v>108</v>
      </c>
      <c r="P960" s="50">
        <f t="shared" si="137"/>
        <v>783</v>
      </c>
      <c r="Q960" s="23"/>
      <c r="R960" s="60"/>
      <c r="S960" s="61"/>
      <c r="T960" s="62">
        <f t="shared" si="140"/>
        <v>0</v>
      </c>
      <c r="U960" s="46">
        <f t="shared" si="140"/>
        <v>0</v>
      </c>
      <c r="V960" s="63">
        <f t="shared" si="139"/>
        <v>0</v>
      </c>
      <c r="W960" s="49">
        <f t="shared" si="135"/>
        <v>0</v>
      </c>
      <c r="X960" s="50">
        <f t="shared" si="138"/>
        <v>0</v>
      </c>
      <c r="Y960"/>
      <c r="Z960"/>
      <c r="AA960"/>
    </row>
    <row r="961" spans="1:27" s="51" customFormat="1" ht="18.600000000000001" hidden="1" customHeight="1" x14ac:dyDescent="0.25">
      <c r="A961" s="80" t="s">
        <v>16</v>
      </c>
      <c r="B961" s="20" t="s">
        <v>1933</v>
      </c>
      <c r="C961" s="21" t="s">
        <v>1934</v>
      </c>
      <c r="D961" s="20" t="s">
        <v>2441</v>
      </c>
      <c r="E961" s="22" t="s">
        <v>2442</v>
      </c>
      <c r="F961" s="22" t="s">
        <v>1937</v>
      </c>
      <c r="G961" s="22" t="s">
        <v>2126</v>
      </c>
      <c r="H961" s="83" t="s">
        <v>2443</v>
      </c>
      <c r="I961" s="23" t="s">
        <v>24</v>
      </c>
      <c r="J961" s="24">
        <v>900</v>
      </c>
      <c r="K961" s="25">
        <v>0.25</v>
      </c>
      <c r="L961" s="26">
        <f t="shared" si="133"/>
        <v>225</v>
      </c>
      <c r="M961" s="27">
        <f t="shared" si="134"/>
        <v>675</v>
      </c>
      <c r="N961" s="28">
        <v>0.16</v>
      </c>
      <c r="O961" s="29">
        <f t="shared" si="136"/>
        <v>108</v>
      </c>
      <c r="P961" s="30">
        <f t="shared" si="137"/>
        <v>783</v>
      </c>
      <c r="Q961" s="23"/>
      <c r="R961" s="52"/>
      <c r="S961" s="53"/>
      <c r="T961" s="54">
        <f t="shared" si="140"/>
        <v>0</v>
      </c>
      <c r="U961" s="26">
        <f t="shared" si="140"/>
        <v>0</v>
      </c>
      <c r="V961" s="55">
        <f t="shared" si="139"/>
        <v>0</v>
      </c>
      <c r="W961" s="29">
        <f t="shared" si="135"/>
        <v>0</v>
      </c>
      <c r="X961" s="30">
        <f t="shared" si="138"/>
        <v>0</v>
      </c>
      <c r="Y961"/>
      <c r="Z961"/>
      <c r="AA961"/>
    </row>
    <row r="962" spans="1:27" s="51" customFormat="1" ht="18.600000000000001" hidden="1" customHeight="1" x14ac:dyDescent="0.25">
      <c r="A962" s="81" t="s">
        <v>16</v>
      </c>
      <c r="B962" s="31" t="s">
        <v>1933</v>
      </c>
      <c r="C962" s="32" t="s">
        <v>1934</v>
      </c>
      <c r="D962" s="31" t="s">
        <v>2444</v>
      </c>
      <c r="E962" s="33" t="s">
        <v>2445</v>
      </c>
      <c r="F962" s="33" t="s">
        <v>1937</v>
      </c>
      <c r="G962" s="33" t="s">
        <v>2126</v>
      </c>
      <c r="H962" s="84" t="s">
        <v>2335</v>
      </c>
      <c r="I962" s="23" t="s">
        <v>24</v>
      </c>
      <c r="J962" s="34">
        <v>900</v>
      </c>
      <c r="K962" s="35">
        <v>0.25</v>
      </c>
      <c r="L962" s="36">
        <f t="shared" si="133"/>
        <v>225</v>
      </c>
      <c r="M962" s="37">
        <f t="shared" si="134"/>
        <v>675</v>
      </c>
      <c r="N962" s="38">
        <v>0.16</v>
      </c>
      <c r="O962" s="39">
        <f t="shared" si="136"/>
        <v>108</v>
      </c>
      <c r="P962" s="40">
        <f t="shared" si="137"/>
        <v>783</v>
      </c>
      <c r="Q962" s="23"/>
      <c r="R962" s="56"/>
      <c r="S962" s="57"/>
      <c r="T962" s="58">
        <f t="shared" si="140"/>
        <v>0</v>
      </c>
      <c r="U962" s="36">
        <f t="shared" si="140"/>
        <v>0</v>
      </c>
      <c r="V962" s="59">
        <f t="shared" si="139"/>
        <v>0</v>
      </c>
      <c r="W962" s="39">
        <f t="shared" si="135"/>
        <v>0</v>
      </c>
      <c r="X962" s="40">
        <f t="shared" si="138"/>
        <v>0</v>
      </c>
      <c r="Y962"/>
      <c r="Z962"/>
      <c r="AA962"/>
    </row>
    <row r="963" spans="1:27" s="51" customFormat="1" ht="18.600000000000001" hidden="1" customHeight="1" x14ac:dyDescent="0.25">
      <c r="A963" s="82" t="s">
        <v>16</v>
      </c>
      <c r="B963" s="41" t="s">
        <v>1933</v>
      </c>
      <c r="C963" s="42" t="s">
        <v>1934</v>
      </c>
      <c r="D963" s="41" t="s">
        <v>2446</v>
      </c>
      <c r="E963" s="43" t="s">
        <v>2447</v>
      </c>
      <c r="F963" s="43" t="s">
        <v>1937</v>
      </c>
      <c r="G963" s="43" t="s">
        <v>2126</v>
      </c>
      <c r="H963" s="85" t="s">
        <v>2448</v>
      </c>
      <c r="I963" s="23" t="s">
        <v>24</v>
      </c>
      <c r="J963" s="44">
        <v>1510</v>
      </c>
      <c r="K963" s="45">
        <v>0.25</v>
      </c>
      <c r="L963" s="46">
        <f t="shared" si="133"/>
        <v>377.5</v>
      </c>
      <c r="M963" s="47">
        <f t="shared" si="134"/>
        <v>1132.5</v>
      </c>
      <c r="N963" s="48">
        <v>0.16</v>
      </c>
      <c r="O963" s="49">
        <f t="shared" si="136"/>
        <v>181.20000000000002</v>
      </c>
      <c r="P963" s="50">
        <f t="shared" si="137"/>
        <v>1313.7</v>
      </c>
      <c r="Q963" s="23"/>
      <c r="R963" s="60"/>
      <c r="S963" s="61"/>
      <c r="T963" s="62">
        <f t="shared" si="140"/>
        <v>0</v>
      </c>
      <c r="U963" s="46">
        <f t="shared" si="140"/>
        <v>0</v>
      </c>
      <c r="V963" s="63">
        <f t="shared" si="139"/>
        <v>0</v>
      </c>
      <c r="W963" s="49">
        <f t="shared" si="135"/>
        <v>0</v>
      </c>
      <c r="X963" s="50">
        <f t="shared" si="138"/>
        <v>0</v>
      </c>
      <c r="Y963"/>
      <c r="Z963"/>
      <c r="AA963"/>
    </row>
    <row r="964" spans="1:27" s="51" customFormat="1" ht="18.600000000000001" hidden="1" customHeight="1" x14ac:dyDescent="0.25">
      <c r="A964" s="80" t="s">
        <v>16</v>
      </c>
      <c r="B964" s="20" t="s">
        <v>1933</v>
      </c>
      <c r="C964" s="21" t="s">
        <v>1934</v>
      </c>
      <c r="D964" s="20" t="s">
        <v>2449</v>
      </c>
      <c r="E964" s="22" t="s">
        <v>2450</v>
      </c>
      <c r="F964" s="22" t="s">
        <v>1937</v>
      </c>
      <c r="G964" s="22" t="s">
        <v>2126</v>
      </c>
      <c r="H964" s="83" t="s">
        <v>2451</v>
      </c>
      <c r="I964" s="23" t="s">
        <v>24</v>
      </c>
      <c r="J964" s="24">
        <v>1510</v>
      </c>
      <c r="K964" s="25">
        <v>0.25</v>
      </c>
      <c r="L964" s="26">
        <f t="shared" si="133"/>
        <v>377.5</v>
      </c>
      <c r="M964" s="27">
        <f t="shared" si="134"/>
        <v>1132.5</v>
      </c>
      <c r="N964" s="28">
        <v>0.16</v>
      </c>
      <c r="O964" s="29">
        <f t="shared" si="136"/>
        <v>181.20000000000002</v>
      </c>
      <c r="P964" s="30">
        <f t="shared" si="137"/>
        <v>1313.7</v>
      </c>
      <c r="Q964" s="23"/>
      <c r="R964" s="52"/>
      <c r="S964" s="53"/>
      <c r="T964" s="54">
        <f t="shared" si="140"/>
        <v>0</v>
      </c>
      <c r="U964" s="26">
        <f t="shared" si="140"/>
        <v>0</v>
      </c>
      <c r="V964" s="55">
        <f t="shared" si="139"/>
        <v>0</v>
      </c>
      <c r="W964" s="29">
        <f t="shared" si="135"/>
        <v>0</v>
      </c>
      <c r="X964" s="30">
        <f t="shared" si="138"/>
        <v>0</v>
      </c>
      <c r="Y964"/>
      <c r="Z964"/>
      <c r="AA964"/>
    </row>
    <row r="965" spans="1:27" s="51" customFormat="1" ht="18.600000000000001" hidden="1" customHeight="1" x14ac:dyDescent="0.25">
      <c r="A965" s="81" t="s">
        <v>16</v>
      </c>
      <c r="B965" s="31" t="s">
        <v>1933</v>
      </c>
      <c r="C965" s="32" t="s">
        <v>1934</v>
      </c>
      <c r="D965" s="31" t="s">
        <v>2452</v>
      </c>
      <c r="E965" s="33" t="s">
        <v>2453</v>
      </c>
      <c r="F965" s="33" t="s">
        <v>1937</v>
      </c>
      <c r="G965" s="33" t="s">
        <v>2223</v>
      </c>
      <c r="H965" s="84" t="s">
        <v>2454</v>
      </c>
      <c r="I965" s="23" t="s">
        <v>24</v>
      </c>
      <c r="J965" s="34">
        <v>750</v>
      </c>
      <c r="K965" s="35">
        <v>0.25</v>
      </c>
      <c r="L965" s="36">
        <f t="shared" si="133"/>
        <v>187.5</v>
      </c>
      <c r="M965" s="37">
        <f t="shared" si="134"/>
        <v>562.5</v>
      </c>
      <c r="N965" s="38">
        <v>0.16</v>
      </c>
      <c r="O965" s="39">
        <f t="shared" si="136"/>
        <v>90</v>
      </c>
      <c r="P965" s="40">
        <f t="shared" si="137"/>
        <v>652.5</v>
      </c>
      <c r="Q965" s="23"/>
      <c r="R965" s="56"/>
      <c r="S965" s="57"/>
      <c r="T965" s="58">
        <f t="shared" si="140"/>
        <v>0</v>
      </c>
      <c r="U965" s="36">
        <f t="shared" si="140"/>
        <v>0</v>
      </c>
      <c r="V965" s="59">
        <f t="shared" si="139"/>
        <v>0</v>
      </c>
      <c r="W965" s="39">
        <f t="shared" si="135"/>
        <v>0</v>
      </c>
      <c r="X965" s="40">
        <f t="shared" si="138"/>
        <v>0</v>
      </c>
      <c r="Y965"/>
      <c r="Z965"/>
      <c r="AA965"/>
    </row>
    <row r="966" spans="1:27" s="51" customFormat="1" ht="18.600000000000001" hidden="1" customHeight="1" x14ac:dyDescent="0.25">
      <c r="A966" s="82" t="s">
        <v>16</v>
      </c>
      <c r="B966" s="41" t="s">
        <v>1933</v>
      </c>
      <c r="C966" s="42" t="s">
        <v>1934</v>
      </c>
      <c r="D966" s="41" t="s">
        <v>2455</v>
      </c>
      <c r="E966" s="43" t="s">
        <v>2456</v>
      </c>
      <c r="F966" s="43" t="s">
        <v>1937</v>
      </c>
      <c r="G966" s="43" t="s">
        <v>2223</v>
      </c>
      <c r="H966" s="85" t="s">
        <v>2457</v>
      </c>
      <c r="I966" s="23" t="s">
        <v>24</v>
      </c>
      <c r="J966" s="44">
        <v>750</v>
      </c>
      <c r="K966" s="45">
        <v>0.25</v>
      </c>
      <c r="L966" s="46">
        <f t="shared" si="133"/>
        <v>187.5</v>
      </c>
      <c r="M966" s="47">
        <f t="shared" si="134"/>
        <v>562.5</v>
      </c>
      <c r="N966" s="48">
        <v>0.16</v>
      </c>
      <c r="O966" s="49">
        <f t="shared" si="136"/>
        <v>90</v>
      </c>
      <c r="P966" s="50">
        <f t="shared" si="137"/>
        <v>652.5</v>
      </c>
      <c r="Q966" s="23"/>
      <c r="R966" s="60"/>
      <c r="S966" s="61"/>
      <c r="T966" s="62">
        <f t="shared" si="140"/>
        <v>0</v>
      </c>
      <c r="U966" s="46">
        <f t="shared" si="140"/>
        <v>0</v>
      </c>
      <c r="V966" s="63">
        <f t="shared" si="139"/>
        <v>0</v>
      </c>
      <c r="W966" s="49">
        <f t="shared" si="135"/>
        <v>0</v>
      </c>
      <c r="X966" s="50">
        <f t="shared" si="138"/>
        <v>0</v>
      </c>
      <c r="Y966"/>
      <c r="Z966"/>
      <c r="AA966"/>
    </row>
    <row r="967" spans="1:27" s="51" customFormat="1" ht="18.600000000000001" hidden="1" customHeight="1" x14ac:dyDescent="0.25">
      <c r="A967" s="80" t="s">
        <v>16</v>
      </c>
      <c r="B967" s="20" t="s">
        <v>1933</v>
      </c>
      <c r="C967" s="21" t="s">
        <v>1934</v>
      </c>
      <c r="D967" s="20" t="s">
        <v>2458</v>
      </c>
      <c r="E967" s="22" t="s">
        <v>2459</v>
      </c>
      <c r="F967" s="22" t="s">
        <v>1937</v>
      </c>
      <c r="G967" s="22" t="s">
        <v>2223</v>
      </c>
      <c r="H967" s="83" t="s">
        <v>2460</v>
      </c>
      <c r="I967" s="23" t="s">
        <v>24</v>
      </c>
      <c r="J967" s="24">
        <v>750</v>
      </c>
      <c r="K967" s="25">
        <v>0.25</v>
      </c>
      <c r="L967" s="26">
        <f t="shared" si="133"/>
        <v>187.5</v>
      </c>
      <c r="M967" s="27">
        <f t="shared" si="134"/>
        <v>562.5</v>
      </c>
      <c r="N967" s="28">
        <v>0.16</v>
      </c>
      <c r="O967" s="29">
        <f t="shared" si="136"/>
        <v>90</v>
      </c>
      <c r="P967" s="30">
        <f t="shared" si="137"/>
        <v>652.5</v>
      </c>
      <c r="Q967" s="23"/>
      <c r="R967" s="52"/>
      <c r="S967" s="53"/>
      <c r="T967" s="54">
        <f t="shared" si="140"/>
        <v>0</v>
      </c>
      <c r="U967" s="26">
        <f t="shared" si="140"/>
        <v>0</v>
      </c>
      <c r="V967" s="55">
        <f t="shared" si="139"/>
        <v>0</v>
      </c>
      <c r="W967" s="29">
        <f t="shared" si="135"/>
        <v>0</v>
      </c>
      <c r="X967" s="30">
        <f t="shared" si="138"/>
        <v>0</v>
      </c>
      <c r="Y967"/>
      <c r="Z967"/>
      <c r="AA967"/>
    </row>
    <row r="968" spans="1:27" s="51" customFormat="1" ht="18.600000000000001" hidden="1" customHeight="1" x14ac:dyDescent="0.25">
      <c r="A968" s="81" t="s">
        <v>16</v>
      </c>
      <c r="B968" s="31" t="s">
        <v>1933</v>
      </c>
      <c r="C968" s="32" t="s">
        <v>1934</v>
      </c>
      <c r="D968" s="31" t="s">
        <v>2461</v>
      </c>
      <c r="E968" s="33" t="s">
        <v>2462</v>
      </c>
      <c r="F968" s="33" t="s">
        <v>1937</v>
      </c>
      <c r="G968" s="33" t="s">
        <v>2223</v>
      </c>
      <c r="H968" s="84" t="s">
        <v>2463</v>
      </c>
      <c r="I968" s="23" t="s">
        <v>24</v>
      </c>
      <c r="J968" s="34">
        <v>750</v>
      </c>
      <c r="K968" s="35">
        <v>0.25</v>
      </c>
      <c r="L968" s="36">
        <f t="shared" si="133"/>
        <v>187.5</v>
      </c>
      <c r="M968" s="37">
        <f t="shared" si="134"/>
        <v>562.5</v>
      </c>
      <c r="N968" s="38">
        <v>0.16</v>
      </c>
      <c r="O968" s="39">
        <f t="shared" si="136"/>
        <v>90</v>
      </c>
      <c r="P968" s="40">
        <f t="shared" si="137"/>
        <v>652.5</v>
      </c>
      <c r="Q968" s="23"/>
      <c r="R968" s="56"/>
      <c r="S968" s="57"/>
      <c r="T968" s="58">
        <f t="shared" si="140"/>
        <v>0</v>
      </c>
      <c r="U968" s="36">
        <f t="shared" si="140"/>
        <v>0</v>
      </c>
      <c r="V968" s="59">
        <f t="shared" si="139"/>
        <v>0</v>
      </c>
      <c r="W968" s="39">
        <f t="shared" si="135"/>
        <v>0</v>
      </c>
      <c r="X968" s="40">
        <f t="shared" si="138"/>
        <v>0</v>
      </c>
      <c r="Y968"/>
      <c r="Z968"/>
      <c r="AA968"/>
    </row>
    <row r="969" spans="1:27" s="51" customFormat="1" ht="18.600000000000001" hidden="1" customHeight="1" x14ac:dyDescent="0.25">
      <c r="A969" s="82" t="s">
        <v>16</v>
      </c>
      <c r="B969" s="41" t="s">
        <v>1933</v>
      </c>
      <c r="C969" s="42" t="s">
        <v>1934</v>
      </c>
      <c r="D969" s="41" t="s">
        <v>2464</v>
      </c>
      <c r="E969" s="43" t="s">
        <v>2465</v>
      </c>
      <c r="F969" s="43" t="s">
        <v>1937</v>
      </c>
      <c r="G969" s="43" t="s">
        <v>2223</v>
      </c>
      <c r="H969" s="85" t="s">
        <v>2466</v>
      </c>
      <c r="I969" s="23" t="s">
        <v>24</v>
      </c>
      <c r="J969" s="44">
        <v>750</v>
      </c>
      <c r="K969" s="45">
        <v>0.25</v>
      </c>
      <c r="L969" s="46">
        <f t="shared" si="133"/>
        <v>187.5</v>
      </c>
      <c r="M969" s="47">
        <f t="shared" si="134"/>
        <v>562.5</v>
      </c>
      <c r="N969" s="48">
        <v>0.16</v>
      </c>
      <c r="O969" s="49">
        <f t="shared" si="136"/>
        <v>90</v>
      </c>
      <c r="P969" s="50">
        <f t="shared" si="137"/>
        <v>652.5</v>
      </c>
      <c r="Q969" s="23"/>
      <c r="R969" s="60"/>
      <c r="S969" s="61"/>
      <c r="T969" s="62">
        <f t="shared" si="140"/>
        <v>0</v>
      </c>
      <c r="U969" s="46">
        <f t="shared" si="140"/>
        <v>0</v>
      </c>
      <c r="V969" s="63">
        <f t="shared" si="139"/>
        <v>0</v>
      </c>
      <c r="W969" s="49">
        <f t="shared" si="135"/>
        <v>0</v>
      </c>
      <c r="X969" s="50">
        <f t="shared" si="138"/>
        <v>0</v>
      </c>
      <c r="Y969"/>
      <c r="Z969"/>
      <c r="AA969"/>
    </row>
    <row r="970" spans="1:27" s="51" customFormat="1" ht="18.600000000000001" hidden="1" customHeight="1" x14ac:dyDescent="0.25">
      <c r="A970" s="80" t="s">
        <v>16</v>
      </c>
      <c r="B970" s="20" t="s">
        <v>1933</v>
      </c>
      <c r="C970" s="21" t="s">
        <v>1934</v>
      </c>
      <c r="D970" s="20">
        <v>8435635305343</v>
      </c>
      <c r="E970" s="22" t="s">
        <v>2467</v>
      </c>
      <c r="F970" s="22" t="s">
        <v>1937</v>
      </c>
      <c r="G970" s="22" t="s">
        <v>2223</v>
      </c>
      <c r="H970" s="83" t="s">
        <v>2468</v>
      </c>
      <c r="I970" s="23" t="s">
        <v>24</v>
      </c>
      <c r="J970" s="24">
        <v>750</v>
      </c>
      <c r="K970" s="25">
        <v>0.25</v>
      </c>
      <c r="L970" s="26">
        <f t="shared" ref="L970:L1033" si="141">+J970*K970</f>
        <v>187.5</v>
      </c>
      <c r="M970" s="27">
        <f t="shared" ref="M970:M1033" si="142">+J970-L970</f>
        <v>562.5</v>
      </c>
      <c r="N970" s="28">
        <v>0.16</v>
      </c>
      <c r="O970" s="29">
        <f t="shared" si="136"/>
        <v>90</v>
      </c>
      <c r="P970" s="30">
        <f t="shared" si="137"/>
        <v>652.5</v>
      </c>
      <c r="Q970" s="23"/>
      <c r="R970" s="52"/>
      <c r="S970" s="53"/>
      <c r="T970" s="54">
        <f t="shared" si="140"/>
        <v>0</v>
      </c>
      <c r="U970" s="26">
        <f t="shared" si="140"/>
        <v>0</v>
      </c>
      <c r="V970" s="55">
        <f t="shared" si="139"/>
        <v>0</v>
      </c>
      <c r="W970" s="29">
        <f t="shared" ref="W970:W1033" si="143">+V970*N970</f>
        <v>0</v>
      </c>
      <c r="X970" s="30">
        <f t="shared" si="138"/>
        <v>0</v>
      </c>
      <c r="Y970"/>
      <c r="Z970"/>
      <c r="AA970"/>
    </row>
    <row r="971" spans="1:27" s="51" customFormat="1" ht="18.600000000000001" hidden="1" customHeight="1" x14ac:dyDescent="0.25">
      <c r="A971" s="81" t="s">
        <v>16</v>
      </c>
      <c r="B971" s="31" t="s">
        <v>1933</v>
      </c>
      <c r="C971" s="32" t="s">
        <v>1934</v>
      </c>
      <c r="D971" s="31">
        <v>8435635305350</v>
      </c>
      <c r="E971" s="33" t="s">
        <v>2469</v>
      </c>
      <c r="F971" s="33" t="s">
        <v>1937</v>
      </c>
      <c r="G971" s="33" t="s">
        <v>2223</v>
      </c>
      <c r="H971" s="84" t="s">
        <v>2470</v>
      </c>
      <c r="I971" s="23" t="s">
        <v>24</v>
      </c>
      <c r="J971" s="34">
        <v>750</v>
      </c>
      <c r="K971" s="35">
        <v>0.25</v>
      </c>
      <c r="L971" s="36">
        <f t="shared" si="141"/>
        <v>187.5</v>
      </c>
      <c r="M971" s="37">
        <f t="shared" si="142"/>
        <v>562.5</v>
      </c>
      <c r="N971" s="38">
        <v>0.16</v>
      </c>
      <c r="O971" s="39">
        <f t="shared" ref="O971:O1034" si="144">+M971*N971</f>
        <v>90</v>
      </c>
      <c r="P971" s="40">
        <f t="shared" ref="P971:P1034" si="145">+M971+O971</f>
        <v>652.5</v>
      </c>
      <c r="Q971" s="23"/>
      <c r="R971" s="56"/>
      <c r="S971" s="57"/>
      <c r="T971" s="58">
        <f t="shared" si="140"/>
        <v>0</v>
      </c>
      <c r="U971" s="36">
        <f t="shared" si="140"/>
        <v>0</v>
      </c>
      <c r="V971" s="59">
        <f t="shared" si="139"/>
        <v>0</v>
      </c>
      <c r="W971" s="39">
        <f t="shared" si="143"/>
        <v>0</v>
      </c>
      <c r="X971" s="40">
        <f t="shared" ref="X971:X1034" si="146">+V971+W971</f>
        <v>0</v>
      </c>
      <c r="Y971"/>
      <c r="Z971"/>
      <c r="AA971"/>
    </row>
    <row r="972" spans="1:27" s="51" customFormat="1" ht="18.600000000000001" hidden="1" customHeight="1" x14ac:dyDescent="0.25">
      <c r="A972" s="82" t="s">
        <v>16</v>
      </c>
      <c r="B972" s="41" t="s">
        <v>1933</v>
      </c>
      <c r="C972" s="42" t="s">
        <v>1934</v>
      </c>
      <c r="D972" s="41">
        <v>8435635305367</v>
      </c>
      <c r="E972" s="43" t="s">
        <v>2471</v>
      </c>
      <c r="F972" s="43" t="s">
        <v>1937</v>
      </c>
      <c r="G972" s="43" t="s">
        <v>2223</v>
      </c>
      <c r="H972" s="85" t="s">
        <v>2472</v>
      </c>
      <c r="I972" s="23" t="s">
        <v>24</v>
      </c>
      <c r="J972" s="44">
        <v>750</v>
      </c>
      <c r="K972" s="45">
        <v>0.25</v>
      </c>
      <c r="L972" s="46">
        <f t="shared" si="141"/>
        <v>187.5</v>
      </c>
      <c r="M972" s="47">
        <f t="shared" si="142"/>
        <v>562.5</v>
      </c>
      <c r="N972" s="48">
        <v>0.16</v>
      </c>
      <c r="O972" s="49">
        <f t="shared" si="144"/>
        <v>90</v>
      </c>
      <c r="P972" s="50">
        <f t="shared" si="145"/>
        <v>652.5</v>
      </c>
      <c r="Q972" s="23"/>
      <c r="R972" s="60"/>
      <c r="S972" s="61"/>
      <c r="T972" s="62">
        <f t="shared" si="140"/>
        <v>0</v>
      </c>
      <c r="U972" s="46">
        <f t="shared" si="140"/>
        <v>0</v>
      </c>
      <c r="V972" s="63">
        <f t="shared" si="139"/>
        <v>0</v>
      </c>
      <c r="W972" s="49">
        <f t="shared" si="143"/>
        <v>0</v>
      </c>
      <c r="X972" s="50">
        <f t="shared" si="146"/>
        <v>0</v>
      </c>
      <c r="Y972"/>
      <c r="Z972"/>
      <c r="AA972"/>
    </row>
    <row r="973" spans="1:27" s="51" customFormat="1" ht="18.600000000000001" hidden="1" customHeight="1" x14ac:dyDescent="0.25">
      <c r="A973" s="80" t="s">
        <v>16</v>
      </c>
      <c r="B973" s="20" t="s">
        <v>1933</v>
      </c>
      <c r="C973" s="21" t="s">
        <v>1934</v>
      </c>
      <c r="D973" s="20">
        <v>8435635308368</v>
      </c>
      <c r="E973" s="22" t="s">
        <v>2473</v>
      </c>
      <c r="F973" s="22" t="s">
        <v>1937</v>
      </c>
      <c r="G973" s="22" t="s">
        <v>2474</v>
      </c>
      <c r="H973" s="83" t="s">
        <v>2475</v>
      </c>
      <c r="I973" s="23" t="s">
        <v>24</v>
      </c>
      <c r="J973" s="24">
        <v>1510</v>
      </c>
      <c r="K973" s="25">
        <v>0.25</v>
      </c>
      <c r="L973" s="26">
        <f t="shared" si="141"/>
        <v>377.5</v>
      </c>
      <c r="M973" s="27">
        <f t="shared" si="142"/>
        <v>1132.5</v>
      </c>
      <c r="N973" s="28">
        <v>0.16</v>
      </c>
      <c r="O973" s="29">
        <f t="shared" si="144"/>
        <v>181.20000000000002</v>
      </c>
      <c r="P973" s="30">
        <f t="shared" si="145"/>
        <v>1313.7</v>
      </c>
      <c r="Q973" s="23"/>
      <c r="R973" s="52"/>
      <c r="S973" s="53"/>
      <c r="T973" s="54">
        <f t="shared" si="140"/>
        <v>0</v>
      </c>
      <c r="U973" s="26">
        <f t="shared" si="140"/>
        <v>0</v>
      </c>
      <c r="V973" s="55">
        <f t="shared" si="139"/>
        <v>0</v>
      </c>
      <c r="W973" s="29">
        <f t="shared" si="143"/>
        <v>0</v>
      </c>
      <c r="X973" s="30">
        <f t="shared" si="146"/>
        <v>0</v>
      </c>
      <c r="Y973"/>
      <c r="Z973"/>
      <c r="AA973"/>
    </row>
    <row r="974" spans="1:27" s="51" customFormat="1" ht="18.600000000000001" hidden="1" customHeight="1" x14ac:dyDescent="0.25">
      <c r="A974" s="81" t="s">
        <v>16</v>
      </c>
      <c r="B974" s="31" t="s">
        <v>1933</v>
      </c>
      <c r="C974" s="32" t="s">
        <v>1934</v>
      </c>
      <c r="D974" s="31" t="s">
        <v>2476</v>
      </c>
      <c r="E974" s="33" t="s">
        <v>2477</v>
      </c>
      <c r="F974" s="33" t="s">
        <v>1937</v>
      </c>
      <c r="G974" s="33" t="s">
        <v>2478</v>
      </c>
      <c r="H974" s="84" t="s">
        <v>2479</v>
      </c>
      <c r="I974" s="23" t="s">
        <v>24</v>
      </c>
      <c r="J974" s="34">
        <v>1810</v>
      </c>
      <c r="K974" s="35">
        <v>0.25</v>
      </c>
      <c r="L974" s="36">
        <f t="shared" si="141"/>
        <v>452.5</v>
      </c>
      <c r="M974" s="37">
        <f t="shared" si="142"/>
        <v>1357.5</v>
      </c>
      <c r="N974" s="38">
        <v>0.16</v>
      </c>
      <c r="O974" s="39">
        <f t="shared" si="144"/>
        <v>217.20000000000002</v>
      </c>
      <c r="P974" s="40">
        <f t="shared" si="145"/>
        <v>1574.7</v>
      </c>
      <c r="Q974" s="23"/>
      <c r="R974" s="56"/>
      <c r="S974" s="57"/>
      <c r="T974" s="58">
        <f t="shared" si="140"/>
        <v>0</v>
      </c>
      <c r="U974" s="36">
        <f t="shared" si="140"/>
        <v>0</v>
      </c>
      <c r="V974" s="59">
        <f t="shared" si="139"/>
        <v>0</v>
      </c>
      <c r="W974" s="39">
        <f t="shared" si="143"/>
        <v>0</v>
      </c>
      <c r="X974" s="40">
        <f t="shared" si="146"/>
        <v>0</v>
      </c>
      <c r="Y974"/>
      <c r="Z974"/>
      <c r="AA974"/>
    </row>
    <row r="975" spans="1:27" s="51" customFormat="1" ht="18.600000000000001" hidden="1" customHeight="1" x14ac:dyDescent="0.25">
      <c r="A975" s="82" t="s">
        <v>16</v>
      </c>
      <c r="B975" s="41" t="s">
        <v>1933</v>
      </c>
      <c r="C975" s="42" t="s">
        <v>1934</v>
      </c>
      <c r="D975" s="41" t="s">
        <v>2480</v>
      </c>
      <c r="E975" s="43" t="s">
        <v>2481</v>
      </c>
      <c r="F975" s="43" t="s">
        <v>1937</v>
      </c>
      <c r="G975" s="43" t="s">
        <v>2478</v>
      </c>
      <c r="H975" s="85" t="s">
        <v>2482</v>
      </c>
      <c r="I975" s="23" t="s">
        <v>24</v>
      </c>
      <c r="J975" s="44">
        <v>480</v>
      </c>
      <c r="K975" s="45">
        <v>0.25</v>
      </c>
      <c r="L975" s="46">
        <f t="shared" si="141"/>
        <v>120</v>
      </c>
      <c r="M975" s="47">
        <f t="shared" si="142"/>
        <v>360</v>
      </c>
      <c r="N975" s="48">
        <v>0.16</v>
      </c>
      <c r="O975" s="49">
        <f t="shared" si="144"/>
        <v>57.6</v>
      </c>
      <c r="P975" s="50">
        <f t="shared" si="145"/>
        <v>417.6</v>
      </c>
      <c r="Q975" s="23"/>
      <c r="R975" s="60"/>
      <c r="S975" s="61"/>
      <c r="T975" s="62">
        <f t="shared" si="140"/>
        <v>0</v>
      </c>
      <c r="U975" s="46">
        <f t="shared" si="140"/>
        <v>0</v>
      </c>
      <c r="V975" s="63">
        <f t="shared" si="139"/>
        <v>0</v>
      </c>
      <c r="W975" s="49">
        <f t="shared" si="143"/>
        <v>0</v>
      </c>
      <c r="X975" s="50">
        <f t="shared" si="146"/>
        <v>0</v>
      </c>
      <c r="Y975"/>
      <c r="Z975"/>
      <c r="AA975"/>
    </row>
    <row r="976" spans="1:27" s="51" customFormat="1" ht="18.600000000000001" hidden="1" customHeight="1" x14ac:dyDescent="0.25">
      <c r="A976" s="80" t="s">
        <v>16</v>
      </c>
      <c r="B976" s="20" t="s">
        <v>1933</v>
      </c>
      <c r="C976" s="21" t="s">
        <v>1934</v>
      </c>
      <c r="D976" s="20" t="s">
        <v>2483</v>
      </c>
      <c r="E976" s="22" t="s">
        <v>2484</v>
      </c>
      <c r="F976" s="22" t="s">
        <v>1937</v>
      </c>
      <c r="G976" s="22" t="s">
        <v>2478</v>
      </c>
      <c r="H976" s="83" t="s">
        <v>2485</v>
      </c>
      <c r="I976" s="23" t="s">
        <v>24</v>
      </c>
      <c r="J976" s="24">
        <v>480</v>
      </c>
      <c r="K976" s="25">
        <v>0.25</v>
      </c>
      <c r="L976" s="26">
        <f t="shared" si="141"/>
        <v>120</v>
      </c>
      <c r="M976" s="27">
        <f t="shared" si="142"/>
        <v>360</v>
      </c>
      <c r="N976" s="28">
        <v>0.16</v>
      </c>
      <c r="O976" s="29">
        <f t="shared" si="144"/>
        <v>57.6</v>
      </c>
      <c r="P976" s="30">
        <f t="shared" si="145"/>
        <v>417.6</v>
      </c>
      <c r="Q976" s="23"/>
      <c r="R976" s="52"/>
      <c r="S976" s="53"/>
      <c r="T976" s="54">
        <f t="shared" si="140"/>
        <v>0</v>
      </c>
      <c r="U976" s="26">
        <f t="shared" si="140"/>
        <v>0</v>
      </c>
      <c r="V976" s="55">
        <f t="shared" si="139"/>
        <v>0</v>
      </c>
      <c r="W976" s="29">
        <f t="shared" si="143"/>
        <v>0</v>
      </c>
      <c r="X976" s="30">
        <f t="shared" si="146"/>
        <v>0</v>
      </c>
      <c r="Y976"/>
      <c r="Z976"/>
      <c r="AA976"/>
    </row>
    <row r="977" spans="1:27" s="51" customFormat="1" ht="18.600000000000001" hidden="1" customHeight="1" x14ac:dyDescent="0.25">
      <c r="A977" s="81" t="s">
        <v>16</v>
      </c>
      <c r="B977" s="31" t="s">
        <v>1933</v>
      </c>
      <c r="C977" s="32" t="s">
        <v>1934</v>
      </c>
      <c r="D977" s="31" t="s">
        <v>2486</v>
      </c>
      <c r="E977" s="33" t="s">
        <v>2487</v>
      </c>
      <c r="F977" s="33" t="s">
        <v>1937</v>
      </c>
      <c r="G977" s="33" t="s">
        <v>2478</v>
      </c>
      <c r="H977" s="84" t="s">
        <v>2488</v>
      </c>
      <c r="I977" s="23" t="s">
        <v>24</v>
      </c>
      <c r="J977" s="34">
        <v>480</v>
      </c>
      <c r="K977" s="35">
        <v>0.25</v>
      </c>
      <c r="L977" s="36">
        <f t="shared" si="141"/>
        <v>120</v>
      </c>
      <c r="M977" s="37">
        <f t="shared" si="142"/>
        <v>360</v>
      </c>
      <c r="N977" s="38">
        <v>0.16</v>
      </c>
      <c r="O977" s="39">
        <f t="shared" si="144"/>
        <v>57.6</v>
      </c>
      <c r="P977" s="40">
        <f t="shared" si="145"/>
        <v>417.6</v>
      </c>
      <c r="Q977" s="23"/>
      <c r="R977" s="56"/>
      <c r="S977" s="57"/>
      <c r="T977" s="58">
        <f t="shared" si="140"/>
        <v>0</v>
      </c>
      <c r="U977" s="36">
        <f t="shared" si="140"/>
        <v>0</v>
      </c>
      <c r="V977" s="59">
        <f t="shared" si="139"/>
        <v>0</v>
      </c>
      <c r="W977" s="39">
        <f t="shared" si="143"/>
        <v>0</v>
      </c>
      <c r="X977" s="40">
        <f t="shared" si="146"/>
        <v>0</v>
      </c>
      <c r="Y977"/>
      <c r="Z977"/>
      <c r="AA977"/>
    </row>
    <row r="978" spans="1:27" s="51" customFormat="1" ht="18.600000000000001" hidden="1" customHeight="1" x14ac:dyDescent="0.25">
      <c r="A978" s="82" t="s">
        <v>16</v>
      </c>
      <c r="B978" s="41" t="s">
        <v>1933</v>
      </c>
      <c r="C978" s="42" t="s">
        <v>1934</v>
      </c>
      <c r="D978" s="41" t="s">
        <v>2489</v>
      </c>
      <c r="E978" s="43" t="s">
        <v>2490</v>
      </c>
      <c r="F978" s="43" t="s">
        <v>1937</v>
      </c>
      <c r="G978" s="43" t="s">
        <v>2478</v>
      </c>
      <c r="H978" s="85" t="s">
        <v>2491</v>
      </c>
      <c r="I978" s="23" t="s">
        <v>24</v>
      </c>
      <c r="J978" s="44">
        <v>480</v>
      </c>
      <c r="K978" s="45">
        <v>0.25</v>
      </c>
      <c r="L978" s="46">
        <f t="shared" si="141"/>
        <v>120</v>
      </c>
      <c r="M978" s="47">
        <f t="shared" si="142"/>
        <v>360</v>
      </c>
      <c r="N978" s="48">
        <v>0.16</v>
      </c>
      <c r="O978" s="49">
        <f t="shared" si="144"/>
        <v>57.6</v>
      </c>
      <c r="P978" s="50">
        <f t="shared" si="145"/>
        <v>417.6</v>
      </c>
      <c r="Q978" s="23"/>
      <c r="R978" s="60"/>
      <c r="S978" s="61"/>
      <c r="T978" s="62">
        <f t="shared" si="140"/>
        <v>0</v>
      </c>
      <c r="U978" s="46">
        <f t="shared" si="140"/>
        <v>0</v>
      </c>
      <c r="V978" s="63">
        <f t="shared" si="139"/>
        <v>0</v>
      </c>
      <c r="W978" s="49">
        <f t="shared" si="143"/>
        <v>0</v>
      </c>
      <c r="X978" s="50">
        <f t="shared" si="146"/>
        <v>0</v>
      </c>
      <c r="Y978"/>
      <c r="Z978"/>
      <c r="AA978"/>
    </row>
    <row r="979" spans="1:27" s="51" customFormat="1" ht="18.600000000000001" hidden="1" customHeight="1" x14ac:dyDescent="0.25">
      <c r="A979" s="80" t="s">
        <v>16</v>
      </c>
      <c r="B979" s="20" t="s">
        <v>1933</v>
      </c>
      <c r="C979" s="21" t="s">
        <v>1934</v>
      </c>
      <c r="D979" s="20" t="s">
        <v>2492</v>
      </c>
      <c r="E979" s="22" t="s">
        <v>2493</v>
      </c>
      <c r="F979" s="22" t="s">
        <v>1937</v>
      </c>
      <c r="G979" s="22" t="s">
        <v>2183</v>
      </c>
      <c r="H979" s="83" t="s">
        <v>2494</v>
      </c>
      <c r="I979" s="23" t="s">
        <v>24</v>
      </c>
      <c r="J979" s="24">
        <v>1660</v>
      </c>
      <c r="K979" s="25">
        <v>0.25</v>
      </c>
      <c r="L979" s="26">
        <f t="shared" si="141"/>
        <v>415</v>
      </c>
      <c r="M979" s="27">
        <f t="shared" si="142"/>
        <v>1245</v>
      </c>
      <c r="N979" s="28">
        <v>0.16</v>
      </c>
      <c r="O979" s="29">
        <f t="shared" si="144"/>
        <v>199.20000000000002</v>
      </c>
      <c r="P979" s="30">
        <f t="shared" si="145"/>
        <v>1444.2</v>
      </c>
      <c r="Q979" s="23"/>
      <c r="R979" s="52"/>
      <c r="S979" s="53"/>
      <c r="T979" s="54">
        <f t="shared" si="140"/>
        <v>0</v>
      </c>
      <c r="U979" s="26">
        <f t="shared" si="140"/>
        <v>0</v>
      </c>
      <c r="V979" s="55">
        <f t="shared" si="139"/>
        <v>0</v>
      </c>
      <c r="W979" s="29">
        <f t="shared" si="143"/>
        <v>0</v>
      </c>
      <c r="X979" s="30">
        <f t="shared" si="146"/>
        <v>0</v>
      </c>
      <c r="Y979"/>
      <c r="Z979"/>
      <c r="AA979"/>
    </row>
    <row r="980" spans="1:27" s="51" customFormat="1" ht="18.600000000000001" hidden="1" customHeight="1" x14ac:dyDescent="0.25">
      <c r="A980" s="81" t="s">
        <v>16</v>
      </c>
      <c r="B980" s="31" t="s">
        <v>1933</v>
      </c>
      <c r="C980" s="32" t="s">
        <v>1934</v>
      </c>
      <c r="D980" s="31" t="s">
        <v>2495</v>
      </c>
      <c r="E980" s="33" t="s">
        <v>2496</v>
      </c>
      <c r="F980" s="33" t="s">
        <v>1937</v>
      </c>
      <c r="G980" s="33" t="s">
        <v>2183</v>
      </c>
      <c r="H980" s="84" t="s">
        <v>2497</v>
      </c>
      <c r="I980" s="23" t="s">
        <v>24</v>
      </c>
      <c r="J980" s="34">
        <v>450</v>
      </c>
      <c r="K980" s="35">
        <v>0.25</v>
      </c>
      <c r="L980" s="36">
        <f t="shared" si="141"/>
        <v>112.5</v>
      </c>
      <c r="M980" s="37">
        <f t="shared" si="142"/>
        <v>337.5</v>
      </c>
      <c r="N980" s="38">
        <v>0.16</v>
      </c>
      <c r="O980" s="39">
        <f t="shared" si="144"/>
        <v>54</v>
      </c>
      <c r="P980" s="40">
        <f t="shared" si="145"/>
        <v>391.5</v>
      </c>
      <c r="Q980" s="23"/>
      <c r="R980" s="56"/>
      <c r="S980" s="57"/>
      <c r="T980" s="58">
        <f t="shared" si="140"/>
        <v>0</v>
      </c>
      <c r="U980" s="36">
        <f t="shared" si="140"/>
        <v>0</v>
      </c>
      <c r="V980" s="59">
        <f t="shared" si="139"/>
        <v>0</v>
      </c>
      <c r="W980" s="39">
        <f t="shared" si="143"/>
        <v>0</v>
      </c>
      <c r="X980" s="40">
        <f t="shared" si="146"/>
        <v>0</v>
      </c>
      <c r="Y980"/>
      <c r="Z980"/>
      <c r="AA980"/>
    </row>
    <row r="981" spans="1:27" s="51" customFormat="1" ht="18.600000000000001" hidden="1" customHeight="1" x14ac:dyDescent="0.25">
      <c r="A981" s="82" t="s">
        <v>16</v>
      </c>
      <c r="B981" s="41" t="s">
        <v>1933</v>
      </c>
      <c r="C981" s="42" t="s">
        <v>1934</v>
      </c>
      <c r="D981" s="41" t="s">
        <v>2498</v>
      </c>
      <c r="E981" s="43" t="s">
        <v>2499</v>
      </c>
      <c r="F981" s="43" t="s">
        <v>1937</v>
      </c>
      <c r="G981" s="43" t="s">
        <v>2183</v>
      </c>
      <c r="H981" s="85" t="s">
        <v>2500</v>
      </c>
      <c r="I981" s="23" t="s">
        <v>24</v>
      </c>
      <c r="J981" s="44">
        <v>450</v>
      </c>
      <c r="K981" s="45">
        <v>0.25</v>
      </c>
      <c r="L981" s="46">
        <f t="shared" si="141"/>
        <v>112.5</v>
      </c>
      <c r="M981" s="47">
        <f t="shared" si="142"/>
        <v>337.5</v>
      </c>
      <c r="N981" s="48">
        <v>0.16</v>
      </c>
      <c r="O981" s="49">
        <f t="shared" si="144"/>
        <v>54</v>
      </c>
      <c r="P981" s="50">
        <f t="shared" si="145"/>
        <v>391.5</v>
      </c>
      <c r="Q981" s="23"/>
      <c r="R981" s="60"/>
      <c r="S981" s="61"/>
      <c r="T981" s="62">
        <f t="shared" si="140"/>
        <v>0</v>
      </c>
      <c r="U981" s="46">
        <f t="shared" si="140"/>
        <v>0</v>
      </c>
      <c r="V981" s="63">
        <f t="shared" si="139"/>
        <v>0</v>
      </c>
      <c r="W981" s="49">
        <f t="shared" si="143"/>
        <v>0</v>
      </c>
      <c r="X981" s="50">
        <f t="shared" si="146"/>
        <v>0</v>
      </c>
      <c r="Y981"/>
      <c r="Z981"/>
      <c r="AA981"/>
    </row>
    <row r="982" spans="1:27" s="51" customFormat="1" ht="18.600000000000001" hidden="1" customHeight="1" x14ac:dyDescent="0.25">
      <c r="A982" s="80" t="s">
        <v>16</v>
      </c>
      <c r="B982" s="20" t="s">
        <v>1933</v>
      </c>
      <c r="C982" s="21" t="s">
        <v>1934</v>
      </c>
      <c r="D982" s="20" t="s">
        <v>2501</v>
      </c>
      <c r="E982" s="22" t="s">
        <v>2502</v>
      </c>
      <c r="F982" s="22" t="s">
        <v>1937</v>
      </c>
      <c r="G982" s="22" t="s">
        <v>2183</v>
      </c>
      <c r="H982" s="83" t="s">
        <v>2503</v>
      </c>
      <c r="I982" s="23" t="s">
        <v>24</v>
      </c>
      <c r="J982" s="24">
        <v>450</v>
      </c>
      <c r="K982" s="25">
        <v>0.25</v>
      </c>
      <c r="L982" s="26">
        <f t="shared" si="141"/>
        <v>112.5</v>
      </c>
      <c r="M982" s="27">
        <f t="shared" si="142"/>
        <v>337.5</v>
      </c>
      <c r="N982" s="28">
        <v>0.16</v>
      </c>
      <c r="O982" s="29">
        <f t="shared" si="144"/>
        <v>54</v>
      </c>
      <c r="P982" s="30">
        <f t="shared" si="145"/>
        <v>391.5</v>
      </c>
      <c r="Q982" s="23"/>
      <c r="R982" s="52"/>
      <c r="S982" s="53"/>
      <c r="T982" s="54">
        <f t="shared" si="140"/>
        <v>0</v>
      </c>
      <c r="U982" s="26">
        <f t="shared" si="140"/>
        <v>0</v>
      </c>
      <c r="V982" s="55">
        <f t="shared" si="139"/>
        <v>0</v>
      </c>
      <c r="W982" s="29">
        <f t="shared" si="143"/>
        <v>0</v>
      </c>
      <c r="X982" s="30">
        <f t="shared" si="146"/>
        <v>0</v>
      </c>
      <c r="Y982"/>
      <c r="Z982"/>
      <c r="AA982"/>
    </row>
    <row r="983" spans="1:27" s="51" customFormat="1" ht="18.600000000000001" hidden="1" customHeight="1" x14ac:dyDescent="0.25">
      <c r="A983" s="81" t="s">
        <v>16</v>
      </c>
      <c r="B983" s="31" t="s">
        <v>1933</v>
      </c>
      <c r="C983" s="32" t="s">
        <v>1934</v>
      </c>
      <c r="D983" s="31" t="s">
        <v>2504</v>
      </c>
      <c r="E983" s="33" t="s">
        <v>2505</v>
      </c>
      <c r="F983" s="33" t="s">
        <v>1937</v>
      </c>
      <c r="G983" s="33" t="s">
        <v>2183</v>
      </c>
      <c r="H983" s="84" t="s">
        <v>2075</v>
      </c>
      <c r="I983" s="23" t="s">
        <v>24</v>
      </c>
      <c r="J983" s="34">
        <v>450</v>
      </c>
      <c r="K983" s="35">
        <v>0.25</v>
      </c>
      <c r="L983" s="36">
        <f t="shared" si="141"/>
        <v>112.5</v>
      </c>
      <c r="M983" s="37">
        <f t="shared" si="142"/>
        <v>337.5</v>
      </c>
      <c r="N983" s="38">
        <v>0.16</v>
      </c>
      <c r="O983" s="39">
        <f t="shared" si="144"/>
        <v>54</v>
      </c>
      <c r="P983" s="40">
        <f t="shared" si="145"/>
        <v>391.5</v>
      </c>
      <c r="Q983" s="23"/>
      <c r="R983" s="56"/>
      <c r="S983" s="57"/>
      <c r="T983" s="58">
        <f t="shared" si="140"/>
        <v>0</v>
      </c>
      <c r="U983" s="36">
        <f t="shared" si="140"/>
        <v>0</v>
      </c>
      <c r="V983" s="59">
        <f t="shared" si="139"/>
        <v>0</v>
      </c>
      <c r="W983" s="39">
        <f t="shared" si="143"/>
        <v>0</v>
      </c>
      <c r="X983" s="40">
        <f t="shared" si="146"/>
        <v>0</v>
      </c>
      <c r="Y983"/>
      <c r="Z983"/>
      <c r="AA983"/>
    </row>
    <row r="984" spans="1:27" s="51" customFormat="1" ht="18.600000000000001" hidden="1" customHeight="1" x14ac:dyDescent="0.25">
      <c r="A984" s="82" t="s">
        <v>16</v>
      </c>
      <c r="B984" s="41" t="s">
        <v>1933</v>
      </c>
      <c r="C984" s="42" t="s">
        <v>1934</v>
      </c>
      <c r="D984" s="41" t="s">
        <v>2506</v>
      </c>
      <c r="E984" s="43" t="s">
        <v>2507</v>
      </c>
      <c r="F984" s="43" t="s">
        <v>1937</v>
      </c>
      <c r="G984" s="43" t="s">
        <v>2183</v>
      </c>
      <c r="H984" s="85" t="s">
        <v>2508</v>
      </c>
      <c r="I984" s="23" t="s">
        <v>24</v>
      </c>
      <c r="J984" s="44">
        <v>450</v>
      </c>
      <c r="K984" s="45">
        <v>0.25</v>
      </c>
      <c r="L984" s="46">
        <f t="shared" si="141"/>
        <v>112.5</v>
      </c>
      <c r="M984" s="47">
        <f t="shared" si="142"/>
        <v>337.5</v>
      </c>
      <c r="N984" s="48">
        <v>0.16</v>
      </c>
      <c r="O984" s="49">
        <f t="shared" si="144"/>
        <v>54</v>
      </c>
      <c r="P984" s="50">
        <f t="shared" si="145"/>
        <v>391.5</v>
      </c>
      <c r="Q984" s="23"/>
      <c r="R984" s="60"/>
      <c r="S984" s="61"/>
      <c r="T984" s="62">
        <f t="shared" si="140"/>
        <v>0</v>
      </c>
      <c r="U984" s="46">
        <f t="shared" si="140"/>
        <v>0</v>
      </c>
      <c r="V984" s="63">
        <f t="shared" si="139"/>
        <v>0</v>
      </c>
      <c r="W984" s="49">
        <f t="shared" si="143"/>
        <v>0</v>
      </c>
      <c r="X984" s="50">
        <f t="shared" si="146"/>
        <v>0</v>
      </c>
      <c r="Y984"/>
      <c r="Z984"/>
      <c r="AA984"/>
    </row>
    <row r="985" spans="1:27" s="51" customFormat="1" ht="18.600000000000001" hidden="1" customHeight="1" x14ac:dyDescent="0.25">
      <c r="A985" s="80" t="s">
        <v>16</v>
      </c>
      <c r="B985" s="20" t="s">
        <v>1933</v>
      </c>
      <c r="C985" s="21" t="s">
        <v>1934</v>
      </c>
      <c r="D985" s="20" t="s">
        <v>2509</v>
      </c>
      <c r="E985" s="22" t="s">
        <v>2510</v>
      </c>
      <c r="F985" s="22" t="s">
        <v>1937</v>
      </c>
      <c r="G985" s="22" t="s">
        <v>2183</v>
      </c>
      <c r="H985" s="83" t="s">
        <v>2511</v>
      </c>
      <c r="I985" s="23" t="s">
        <v>24</v>
      </c>
      <c r="J985" s="24">
        <v>450</v>
      </c>
      <c r="K985" s="25">
        <v>0.25</v>
      </c>
      <c r="L985" s="26">
        <f t="shared" si="141"/>
        <v>112.5</v>
      </c>
      <c r="M985" s="27">
        <f t="shared" si="142"/>
        <v>337.5</v>
      </c>
      <c r="N985" s="28">
        <v>0.16</v>
      </c>
      <c r="O985" s="29">
        <f t="shared" si="144"/>
        <v>54</v>
      </c>
      <c r="P985" s="30">
        <f t="shared" si="145"/>
        <v>391.5</v>
      </c>
      <c r="Q985" s="23"/>
      <c r="R985" s="52"/>
      <c r="S985" s="53"/>
      <c r="T985" s="54">
        <f t="shared" si="140"/>
        <v>0</v>
      </c>
      <c r="U985" s="26">
        <f t="shared" si="140"/>
        <v>0</v>
      </c>
      <c r="V985" s="55">
        <f t="shared" si="139"/>
        <v>0</v>
      </c>
      <c r="W985" s="29">
        <f t="shared" si="143"/>
        <v>0</v>
      </c>
      <c r="X985" s="30">
        <f t="shared" si="146"/>
        <v>0</v>
      </c>
      <c r="Y985"/>
      <c r="Z985"/>
      <c r="AA985"/>
    </row>
    <row r="986" spans="1:27" s="51" customFormat="1" ht="18.600000000000001" hidden="1" customHeight="1" x14ac:dyDescent="0.25">
      <c r="A986" s="81" t="s">
        <v>16</v>
      </c>
      <c r="B986" s="31" t="s">
        <v>1933</v>
      </c>
      <c r="C986" s="32" t="s">
        <v>1934</v>
      </c>
      <c r="D986" s="31" t="s">
        <v>2512</v>
      </c>
      <c r="E986" s="33" t="s">
        <v>2513</v>
      </c>
      <c r="F986" s="33" t="s">
        <v>1937</v>
      </c>
      <c r="G986" s="33" t="s">
        <v>2183</v>
      </c>
      <c r="H986" s="84" t="s">
        <v>2514</v>
      </c>
      <c r="I986" s="23" t="s">
        <v>24</v>
      </c>
      <c r="J986" s="34">
        <v>450</v>
      </c>
      <c r="K986" s="35">
        <v>0.25</v>
      </c>
      <c r="L986" s="36">
        <f t="shared" si="141"/>
        <v>112.5</v>
      </c>
      <c r="M986" s="37">
        <f t="shared" si="142"/>
        <v>337.5</v>
      </c>
      <c r="N986" s="38">
        <v>0.16</v>
      </c>
      <c r="O986" s="39">
        <f t="shared" si="144"/>
        <v>54</v>
      </c>
      <c r="P986" s="40">
        <f t="shared" si="145"/>
        <v>391.5</v>
      </c>
      <c r="Q986" s="23"/>
      <c r="R986" s="56"/>
      <c r="S986" s="57"/>
      <c r="T986" s="58">
        <f t="shared" si="140"/>
        <v>0</v>
      </c>
      <c r="U986" s="36">
        <f t="shared" si="140"/>
        <v>0</v>
      </c>
      <c r="V986" s="59">
        <f t="shared" ref="V986:V1038" si="147">+T986-U986</f>
        <v>0</v>
      </c>
      <c r="W986" s="39">
        <f t="shared" si="143"/>
        <v>0</v>
      </c>
      <c r="X986" s="40">
        <f t="shared" si="146"/>
        <v>0</v>
      </c>
      <c r="Y986"/>
      <c r="Z986"/>
      <c r="AA986"/>
    </row>
    <row r="987" spans="1:27" s="51" customFormat="1" ht="18.600000000000001" hidden="1" customHeight="1" x14ac:dyDescent="0.25">
      <c r="A987" s="82" t="s">
        <v>16</v>
      </c>
      <c r="B987" s="41" t="s">
        <v>1933</v>
      </c>
      <c r="C987" s="42" t="s">
        <v>1934</v>
      </c>
      <c r="D987" s="41" t="s">
        <v>2515</v>
      </c>
      <c r="E987" s="43" t="s">
        <v>2516</v>
      </c>
      <c r="F987" s="43" t="s">
        <v>1937</v>
      </c>
      <c r="G987" s="43" t="s">
        <v>2183</v>
      </c>
      <c r="H987" s="85" t="s">
        <v>2517</v>
      </c>
      <c r="I987" s="23" t="s">
        <v>24</v>
      </c>
      <c r="J987" s="44">
        <v>450</v>
      </c>
      <c r="K987" s="45">
        <v>0.25</v>
      </c>
      <c r="L987" s="46">
        <f t="shared" si="141"/>
        <v>112.5</v>
      </c>
      <c r="M987" s="47">
        <f t="shared" si="142"/>
        <v>337.5</v>
      </c>
      <c r="N987" s="48">
        <v>0.16</v>
      </c>
      <c r="O987" s="49">
        <f t="shared" si="144"/>
        <v>54</v>
      </c>
      <c r="P987" s="50">
        <f t="shared" si="145"/>
        <v>391.5</v>
      </c>
      <c r="Q987" s="23"/>
      <c r="R987" s="60"/>
      <c r="S987" s="61"/>
      <c r="T987" s="62">
        <f t="shared" si="140"/>
        <v>0</v>
      </c>
      <c r="U987" s="46">
        <f t="shared" si="140"/>
        <v>0</v>
      </c>
      <c r="V987" s="63">
        <f t="shared" si="147"/>
        <v>0</v>
      </c>
      <c r="W987" s="49">
        <f t="shared" si="143"/>
        <v>0</v>
      </c>
      <c r="X987" s="50">
        <f t="shared" si="146"/>
        <v>0</v>
      </c>
      <c r="Y987"/>
      <c r="Z987"/>
      <c r="AA987"/>
    </row>
    <row r="988" spans="1:27" s="51" customFormat="1" ht="18.600000000000001" hidden="1" customHeight="1" x14ac:dyDescent="0.25">
      <c r="A988" s="80" t="s">
        <v>16</v>
      </c>
      <c r="B988" s="20" t="s">
        <v>1933</v>
      </c>
      <c r="C988" s="21" t="s">
        <v>1934</v>
      </c>
      <c r="D988" s="20" t="s">
        <v>2518</v>
      </c>
      <c r="E988" s="22" t="s">
        <v>2519</v>
      </c>
      <c r="F988" s="22" t="s">
        <v>1937</v>
      </c>
      <c r="G988" s="22" t="s">
        <v>2183</v>
      </c>
      <c r="H988" s="83" t="s">
        <v>2520</v>
      </c>
      <c r="I988" s="23" t="s">
        <v>24</v>
      </c>
      <c r="J988" s="24">
        <v>450</v>
      </c>
      <c r="K988" s="25">
        <v>0.25</v>
      </c>
      <c r="L988" s="26">
        <f t="shared" si="141"/>
        <v>112.5</v>
      </c>
      <c r="M988" s="27">
        <f t="shared" si="142"/>
        <v>337.5</v>
      </c>
      <c r="N988" s="28">
        <v>0.16</v>
      </c>
      <c r="O988" s="29">
        <f t="shared" si="144"/>
        <v>54</v>
      </c>
      <c r="P988" s="30">
        <f t="shared" si="145"/>
        <v>391.5</v>
      </c>
      <c r="Q988" s="23"/>
      <c r="R988" s="52"/>
      <c r="S988" s="53"/>
      <c r="T988" s="54">
        <f t="shared" si="140"/>
        <v>0</v>
      </c>
      <c r="U988" s="26">
        <f t="shared" si="140"/>
        <v>0</v>
      </c>
      <c r="V988" s="55">
        <f t="shared" si="147"/>
        <v>0</v>
      </c>
      <c r="W988" s="29">
        <f t="shared" si="143"/>
        <v>0</v>
      </c>
      <c r="X988" s="30">
        <f t="shared" si="146"/>
        <v>0</v>
      </c>
      <c r="Y988"/>
      <c r="Z988"/>
      <c r="AA988"/>
    </row>
    <row r="989" spans="1:27" s="51" customFormat="1" ht="18.600000000000001" hidden="1" customHeight="1" x14ac:dyDescent="0.25">
      <c r="A989" s="81" t="s">
        <v>16</v>
      </c>
      <c r="B989" s="31" t="s">
        <v>1933</v>
      </c>
      <c r="C989" s="32" t="s">
        <v>1934</v>
      </c>
      <c r="D989" s="31" t="s">
        <v>2521</v>
      </c>
      <c r="E989" s="33" t="s">
        <v>2522</v>
      </c>
      <c r="F989" s="33" t="s">
        <v>1937</v>
      </c>
      <c r="G989" s="33" t="s">
        <v>2183</v>
      </c>
      <c r="H989" s="84" t="s">
        <v>2523</v>
      </c>
      <c r="I989" s="23" t="s">
        <v>24</v>
      </c>
      <c r="J989" s="34">
        <v>450</v>
      </c>
      <c r="K989" s="35">
        <v>0.25</v>
      </c>
      <c r="L989" s="36">
        <f t="shared" si="141"/>
        <v>112.5</v>
      </c>
      <c r="M989" s="37">
        <f t="shared" si="142"/>
        <v>337.5</v>
      </c>
      <c r="N989" s="38">
        <v>0.16</v>
      </c>
      <c r="O989" s="39">
        <f t="shared" si="144"/>
        <v>54</v>
      </c>
      <c r="P989" s="40">
        <f t="shared" si="145"/>
        <v>391.5</v>
      </c>
      <c r="Q989" s="23"/>
      <c r="R989" s="56"/>
      <c r="S989" s="57"/>
      <c r="T989" s="58">
        <f t="shared" si="140"/>
        <v>0</v>
      </c>
      <c r="U989" s="36">
        <f t="shared" si="140"/>
        <v>0</v>
      </c>
      <c r="V989" s="59">
        <f t="shared" si="147"/>
        <v>0</v>
      </c>
      <c r="W989" s="39">
        <f t="shared" si="143"/>
        <v>0</v>
      </c>
      <c r="X989" s="40">
        <f t="shared" si="146"/>
        <v>0</v>
      </c>
      <c r="Y989"/>
      <c r="Z989"/>
      <c r="AA989"/>
    </row>
    <row r="990" spans="1:27" s="51" customFormat="1" ht="18.600000000000001" hidden="1" customHeight="1" x14ac:dyDescent="0.25">
      <c r="A990" s="82" t="s">
        <v>16</v>
      </c>
      <c r="B990" s="41" t="s">
        <v>1933</v>
      </c>
      <c r="C990" s="42" t="s">
        <v>1934</v>
      </c>
      <c r="D990" s="41" t="s">
        <v>2524</v>
      </c>
      <c r="E990" s="43" t="s">
        <v>2525</v>
      </c>
      <c r="F990" s="43" t="s">
        <v>1937</v>
      </c>
      <c r="G990" s="43" t="s">
        <v>2183</v>
      </c>
      <c r="H990" s="85" t="s">
        <v>2526</v>
      </c>
      <c r="I990" s="23" t="s">
        <v>24</v>
      </c>
      <c r="J990" s="44">
        <v>600</v>
      </c>
      <c r="K990" s="45">
        <v>0.25</v>
      </c>
      <c r="L990" s="46">
        <f t="shared" si="141"/>
        <v>150</v>
      </c>
      <c r="M990" s="47">
        <f t="shared" si="142"/>
        <v>450</v>
      </c>
      <c r="N990" s="48">
        <v>0.16</v>
      </c>
      <c r="O990" s="49">
        <f t="shared" si="144"/>
        <v>72</v>
      </c>
      <c r="P990" s="50">
        <f t="shared" si="145"/>
        <v>522</v>
      </c>
      <c r="Q990" s="23"/>
      <c r="R990" s="60"/>
      <c r="S990" s="61"/>
      <c r="T990" s="62">
        <f t="shared" si="140"/>
        <v>0</v>
      </c>
      <c r="U990" s="46">
        <f t="shared" si="140"/>
        <v>0</v>
      </c>
      <c r="V990" s="63">
        <f t="shared" si="147"/>
        <v>0</v>
      </c>
      <c r="W990" s="49">
        <f t="shared" si="143"/>
        <v>0</v>
      </c>
      <c r="X990" s="50">
        <f t="shared" si="146"/>
        <v>0</v>
      </c>
      <c r="Y990"/>
      <c r="Z990"/>
      <c r="AA990"/>
    </row>
    <row r="991" spans="1:27" s="51" customFormat="1" ht="18.600000000000001" hidden="1" customHeight="1" x14ac:dyDescent="0.25">
      <c r="A991" s="80" t="s">
        <v>16</v>
      </c>
      <c r="B991" s="20" t="s">
        <v>1933</v>
      </c>
      <c r="C991" s="21" t="s">
        <v>1934</v>
      </c>
      <c r="D991" s="20" t="s">
        <v>2527</v>
      </c>
      <c r="E991" s="22" t="s">
        <v>2528</v>
      </c>
      <c r="F991" s="22" t="s">
        <v>1937</v>
      </c>
      <c r="G991" s="22" t="s">
        <v>2183</v>
      </c>
      <c r="H991" s="83" t="s">
        <v>2529</v>
      </c>
      <c r="I991" s="23" t="s">
        <v>24</v>
      </c>
      <c r="J991" s="24">
        <v>600</v>
      </c>
      <c r="K991" s="25">
        <v>0.25</v>
      </c>
      <c r="L991" s="26">
        <f t="shared" si="141"/>
        <v>150</v>
      </c>
      <c r="M991" s="27">
        <f t="shared" si="142"/>
        <v>450</v>
      </c>
      <c r="N991" s="28">
        <v>0.16</v>
      </c>
      <c r="O991" s="29">
        <f t="shared" si="144"/>
        <v>72</v>
      </c>
      <c r="P991" s="30">
        <f t="shared" si="145"/>
        <v>522</v>
      </c>
      <c r="Q991" s="23"/>
      <c r="R991" s="52"/>
      <c r="S991" s="53"/>
      <c r="T991" s="54">
        <f t="shared" si="140"/>
        <v>0</v>
      </c>
      <c r="U991" s="26">
        <f t="shared" si="140"/>
        <v>0</v>
      </c>
      <c r="V991" s="55">
        <f t="shared" si="147"/>
        <v>0</v>
      </c>
      <c r="W991" s="29">
        <f t="shared" si="143"/>
        <v>0</v>
      </c>
      <c r="X991" s="30">
        <f t="shared" si="146"/>
        <v>0</v>
      </c>
      <c r="Y991"/>
      <c r="Z991"/>
      <c r="AA991"/>
    </row>
    <row r="992" spans="1:27" s="51" customFormat="1" ht="18.600000000000001" hidden="1" customHeight="1" x14ac:dyDescent="0.25">
      <c r="A992" s="81" t="s">
        <v>16</v>
      </c>
      <c r="B992" s="31" t="s">
        <v>1933</v>
      </c>
      <c r="C992" s="32" t="s">
        <v>1934</v>
      </c>
      <c r="D992" s="31" t="s">
        <v>2530</v>
      </c>
      <c r="E992" s="33" t="s">
        <v>2531</v>
      </c>
      <c r="F992" s="33" t="s">
        <v>1937</v>
      </c>
      <c r="G992" s="33" t="s">
        <v>2183</v>
      </c>
      <c r="H992" s="84" t="s">
        <v>2532</v>
      </c>
      <c r="I992" s="23" t="s">
        <v>24</v>
      </c>
      <c r="J992" s="34">
        <v>450</v>
      </c>
      <c r="K992" s="35">
        <v>0.25</v>
      </c>
      <c r="L992" s="36">
        <f t="shared" si="141"/>
        <v>112.5</v>
      </c>
      <c r="M992" s="37">
        <f t="shared" si="142"/>
        <v>337.5</v>
      </c>
      <c r="N992" s="38">
        <v>0.16</v>
      </c>
      <c r="O992" s="39">
        <f t="shared" si="144"/>
        <v>54</v>
      </c>
      <c r="P992" s="40">
        <f t="shared" si="145"/>
        <v>391.5</v>
      </c>
      <c r="Q992" s="23"/>
      <c r="R992" s="56"/>
      <c r="S992" s="57"/>
      <c r="T992" s="58">
        <f t="shared" si="140"/>
        <v>0</v>
      </c>
      <c r="U992" s="36">
        <f t="shared" si="140"/>
        <v>0</v>
      </c>
      <c r="V992" s="59">
        <f t="shared" si="147"/>
        <v>0</v>
      </c>
      <c r="W992" s="39">
        <f t="shared" si="143"/>
        <v>0</v>
      </c>
      <c r="X992" s="40">
        <f t="shared" si="146"/>
        <v>0</v>
      </c>
      <c r="Y992"/>
      <c r="Z992"/>
      <c r="AA992"/>
    </row>
    <row r="993" spans="1:27" s="51" customFormat="1" ht="18.600000000000001" hidden="1" customHeight="1" x14ac:dyDescent="0.25">
      <c r="A993" s="82" t="s">
        <v>16</v>
      </c>
      <c r="B993" s="41" t="s">
        <v>1933</v>
      </c>
      <c r="C993" s="42" t="s">
        <v>1934</v>
      </c>
      <c r="D993" s="41" t="s">
        <v>2533</v>
      </c>
      <c r="E993" s="43" t="s">
        <v>2534</v>
      </c>
      <c r="F993" s="43" t="s">
        <v>1937</v>
      </c>
      <c r="G993" s="43" t="s">
        <v>2183</v>
      </c>
      <c r="H993" s="85" t="s">
        <v>2535</v>
      </c>
      <c r="I993" s="23" t="s">
        <v>24</v>
      </c>
      <c r="J993" s="44">
        <v>450</v>
      </c>
      <c r="K993" s="45">
        <v>0.25</v>
      </c>
      <c r="L993" s="46">
        <f t="shared" si="141"/>
        <v>112.5</v>
      </c>
      <c r="M993" s="47">
        <f t="shared" si="142"/>
        <v>337.5</v>
      </c>
      <c r="N993" s="48">
        <v>0.16</v>
      </c>
      <c r="O993" s="49">
        <f t="shared" si="144"/>
        <v>54</v>
      </c>
      <c r="P993" s="50">
        <f t="shared" si="145"/>
        <v>391.5</v>
      </c>
      <c r="Q993" s="23"/>
      <c r="R993" s="60"/>
      <c r="S993" s="61"/>
      <c r="T993" s="62">
        <f t="shared" si="140"/>
        <v>0</v>
      </c>
      <c r="U993" s="46">
        <f t="shared" si="140"/>
        <v>0</v>
      </c>
      <c r="V993" s="63">
        <f t="shared" si="147"/>
        <v>0</v>
      </c>
      <c r="W993" s="49">
        <f t="shared" si="143"/>
        <v>0</v>
      </c>
      <c r="X993" s="50">
        <f t="shared" si="146"/>
        <v>0</v>
      </c>
      <c r="Y993"/>
      <c r="Z993"/>
      <c r="AA993"/>
    </row>
    <row r="994" spans="1:27" s="51" customFormat="1" ht="18.600000000000001" hidden="1" customHeight="1" x14ac:dyDescent="0.25">
      <c r="A994" s="80" t="s">
        <v>16</v>
      </c>
      <c r="B994" s="20" t="s">
        <v>1933</v>
      </c>
      <c r="C994" s="21" t="s">
        <v>1934</v>
      </c>
      <c r="D994" s="20" t="s">
        <v>2536</v>
      </c>
      <c r="E994" s="22" t="s">
        <v>2537</v>
      </c>
      <c r="F994" s="22" t="s">
        <v>1937</v>
      </c>
      <c r="G994" s="22" t="s">
        <v>2183</v>
      </c>
      <c r="H994" s="83" t="s">
        <v>2538</v>
      </c>
      <c r="I994" s="23" t="s">
        <v>24</v>
      </c>
      <c r="J994" s="24">
        <v>450</v>
      </c>
      <c r="K994" s="25">
        <v>0.25</v>
      </c>
      <c r="L994" s="26">
        <f t="shared" si="141"/>
        <v>112.5</v>
      </c>
      <c r="M994" s="27">
        <f t="shared" si="142"/>
        <v>337.5</v>
      </c>
      <c r="N994" s="28">
        <v>0.16</v>
      </c>
      <c r="O994" s="29">
        <f t="shared" si="144"/>
        <v>54</v>
      </c>
      <c r="P994" s="30">
        <f t="shared" si="145"/>
        <v>391.5</v>
      </c>
      <c r="Q994" s="23"/>
      <c r="R994" s="52"/>
      <c r="S994" s="53"/>
      <c r="T994" s="54">
        <f t="shared" ref="T994:U1038" si="148">+S994*J994</f>
        <v>0</v>
      </c>
      <c r="U994" s="26">
        <f t="shared" si="148"/>
        <v>0</v>
      </c>
      <c r="V994" s="55">
        <f t="shared" si="147"/>
        <v>0</v>
      </c>
      <c r="W994" s="29">
        <f t="shared" si="143"/>
        <v>0</v>
      </c>
      <c r="X994" s="30">
        <f t="shared" si="146"/>
        <v>0</v>
      </c>
      <c r="Y994"/>
      <c r="Z994"/>
      <c r="AA994"/>
    </row>
    <row r="995" spans="1:27" s="51" customFormat="1" ht="18.600000000000001" hidden="1" customHeight="1" x14ac:dyDescent="0.25">
      <c r="A995" s="81" t="s">
        <v>16</v>
      </c>
      <c r="B995" s="31" t="s">
        <v>1933</v>
      </c>
      <c r="C995" s="32" t="s">
        <v>1934</v>
      </c>
      <c r="D995" s="31" t="s">
        <v>2539</v>
      </c>
      <c r="E995" s="33" t="s">
        <v>2540</v>
      </c>
      <c r="F995" s="33" t="s">
        <v>1937</v>
      </c>
      <c r="G995" s="33" t="s">
        <v>2183</v>
      </c>
      <c r="H995" s="84" t="s">
        <v>2541</v>
      </c>
      <c r="I995" s="23" t="s">
        <v>24</v>
      </c>
      <c r="J995" s="34">
        <v>450</v>
      </c>
      <c r="K995" s="35">
        <v>0.25</v>
      </c>
      <c r="L995" s="36">
        <f t="shared" si="141"/>
        <v>112.5</v>
      </c>
      <c r="M995" s="37">
        <f t="shared" si="142"/>
        <v>337.5</v>
      </c>
      <c r="N995" s="38">
        <v>0.16</v>
      </c>
      <c r="O995" s="39">
        <f t="shared" si="144"/>
        <v>54</v>
      </c>
      <c r="P995" s="40">
        <f t="shared" si="145"/>
        <v>391.5</v>
      </c>
      <c r="Q995" s="23"/>
      <c r="R995" s="56"/>
      <c r="S995" s="57"/>
      <c r="T995" s="58">
        <f t="shared" si="148"/>
        <v>0</v>
      </c>
      <c r="U995" s="36">
        <f t="shared" si="148"/>
        <v>0</v>
      </c>
      <c r="V995" s="59">
        <f t="shared" si="147"/>
        <v>0</v>
      </c>
      <c r="W995" s="39">
        <f t="shared" si="143"/>
        <v>0</v>
      </c>
      <c r="X995" s="40">
        <f t="shared" si="146"/>
        <v>0</v>
      </c>
      <c r="Y995"/>
      <c r="Z995"/>
      <c r="AA995"/>
    </row>
    <row r="996" spans="1:27" s="51" customFormat="1" ht="18.600000000000001" hidden="1" customHeight="1" x14ac:dyDescent="0.25">
      <c r="A996" s="82" t="s">
        <v>16</v>
      </c>
      <c r="B996" s="41" t="s">
        <v>1933</v>
      </c>
      <c r="C996" s="42" t="s">
        <v>1934</v>
      </c>
      <c r="D996" s="41" t="s">
        <v>2542</v>
      </c>
      <c r="E996" s="43" t="s">
        <v>2543</v>
      </c>
      <c r="F996" s="43" t="s">
        <v>1937</v>
      </c>
      <c r="G996" s="43" t="s">
        <v>2183</v>
      </c>
      <c r="H996" s="85" t="s">
        <v>2544</v>
      </c>
      <c r="I996" s="23" t="s">
        <v>24</v>
      </c>
      <c r="J996" s="44">
        <v>450</v>
      </c>
      <c r="K996" s="45">
        <v>0.25</v>
      </c>
      <c r="L996" s="46">
        <f t="shared" si="141"/>
        <v>112.5</v>
      </c>
      <c r="M996" s="47">
        <f t="shared" si="142"/>
        <v>337.5</v>
      </c>
      <c r="N996" s="48">
        <v>0.16</v>
      </c>
      <c r="O996" s="49">
        <f t="shared" si="144"/>
        <v>54</v>
      </c>
      <c r="P996" s="50">
        <f t="shared" si="145"/>
        <v>391.5</v>
      </c>
      <c r="Q996" s="23"/>
      <c r="R996" s="60"/>
      <c r="S996" s="61"/>
      <c r="T996" s="62">
        <f t="shared" si="148"/>
        <v>0</v>
      </c>
      <c r="U996" s="46">
        <f t="shared" si="148"/>
        <v>0</v>
      </c>
      <c r="V996" s="63">
        <f t="shared" si="147"/>
        <v>0</v>
      </c>
      <c r="W996" s="49">
        <f t="shared" si="143"/>
        <v>0</v>
      </c>
      <c r="X996" s="50">
        <f t="shared" si="146"/>
        <v>0</v>
      </c>
      <c r="Y996"/>
      <c r="Z996"/>
      <c r="AA996"/>
    </row>
    <row r="997" spans="1:27" s="51" customFormat="1" ht="18.600000000000001" hidden="1" customHeight="1" x14ac:dyDescent="0.25">
      <c r="A997" s="80" t="s">
        <v>16</v>
      </c>
      <c r="B997" s="20" t="s">
        <v>1933</v>
      </c>
      <c r="C997" s="21" t="s">
        <v>1934</v>
      </c>
      <c r="D997" s="20" t="s">
        <v>2545</v>
      </c>
      <c r="E997" s="22" t="s">
        <v>2546</v>
      </c>
      <c r="F997" s="22" t="s">
        <v>1937</v>
      </c>
      <c r="G997" s="22" t="s">
        <v>2183</v>
      </c>
      <c r="H997" s="83" t="s">
        <v>2547</v>
      </c>
      <c r="I997" s="23" t="s">
        <v>24</v>
      </c>
      <c r="J997" s="24">
        <v>450</v>
      </c>
      <c r="K997" s="25">
        <v>0.25</v>
      </c>
      <c r="L997" s="26">
        <f t="shared" si="141"/>
        <v>112.5</v>
      </c>
      <c r="M997" s="27">
        <f t="shared" si="142"/>
        <v>337.5</v>
      </c>
      <c r="N997" s="28">
        <v>0.16</v>
      </c>
      <c r="O997" s="29">
        <f t="shared" si="144"/>
        <v>54</v>
      </c>
      <c r="P997" s="30">
        <f t="shared" si="145"/>
        <v>391.5</v>
      </c>
      <c r="Q997" s="23"/>
      <c r="R997" s="52"/>
      <c r="S997" s="53"/>
      <c r="T997" s="54">
        <f t="shared" si="148"/>
        <v>0</v>
      </c>
      <c r="U997" s="26">
        <f t="shared" si="148"/>
        <v>0</v>
      </c>
      <c r="V997" s="55">
        <f t="shared" si="147"/>
        <v>0</v>
      </c>
      <c r="W997" s="29">
        <f t="shared" si="143"/>
        <v>0</v>
      </c>
      <c r="X997" s="30">
        <f t="shared" si="146"/>
        <v>0</v>
      </c>
      <c r="Y997"/>
      <c r="Z997"/>
      <c r="AA997"/>
    </row>
    <row r="998" spans="1:27" s="51" customFormat="1" ht="18.600000000000001" hidden="1" customHeight="1" x14ac:dyDescent="0.25">
      <c r="A998" s="81" t="s">
        <v>16</v>
      </c>
      <c r="B998" s="31" t="s">
        <v>1933</v>
      </c>
      <c r="C998" s="32" t="s">
        <v>1934</v>
      </c>
      <c r="D998" s="31" t="s">
        <v>2548</v>
      </c>
      <c r="E998" s="33" t="s">
        <v>2549</v>
      </c>
      <c r="F998" s="33" t="s">
        <v>1937</v>
      </c>
      <c r="G998" s="33" t="s">
        <v>2183</v>
      </c>
      <c r="H998" s="84" t="s">
        <v>2550</v>
      </c>
      <c r="I998" s="23" t="s">
        <v>24</v>
      </c>
      <c r="J998" s="34">
        <v>450</v>
      </c>
      <c r="K998" s="35">
        <v>0.25</v>
      </c>
      <c r="L998" s="36">
        <f t="shared" si="141"/>
        <v>112.5</v>
      </c>
      <c r="M998" s="37">
        <f t="shared" si="142"/>
        <v>337.5</v>
      </c>
      <c r="N998" s="38">
        <v>0.16</v>
      </c>
      <c r="O998" s="39">
        <f t="shared" si="144"/>
        <v>54</v>
      </c>
      <c r="P998" s="40">
        <f t="shared" si="145"/>
        <v>391.5</v>
      </c>
      <c r="Q998" s="23"/>
      <c r="R998" s="56"/>
      <c r="S998" s="57"/>
      <c r="T998" s="58">
        <f t="shared" si="148"/>
        <v>0</v>
      </c>
      <c r="U998" s="36">
        <f t="shared" si="148"/>
        <v>0</v>
      </c>
      <c r="V998" s="59">
        <f t="shared" si="147"/>
        <v>0</v>
      </c>
      <c r="W998" s="39">
        <f t="shared" si="143"/>
        <v>0</v>
      </c>
      <c r="X998" s="40">
        <f t="shared" si="146"/>
        <v>0</v>
      </c>
      <c r="Y998"/>
      <c r="Z998"/>
      <c r="AA998"/>
    </row>
    <row r="999" spans="1:27" s="51" customFormat="1" ht="18.600000000000001" hidden="1" customHeight="1" x14ac:dyDescent="0.25">
      <c r="A999" s="82" t="s">
        <v>16</v>
      </c>
      <c r="B999" s="41" t="s">
        <v>1933</v>
      </c>
      <c r="C999" s="42" t="s">
        <v>1934</v>
      </c>
      <c r="D999" s="41" t="s">
        <v>2551</v>
      </c>
      <c r="E999" s="43" t="s">
        <v>2552</v>
      </c>
      <c r="F999" s="43" t="s">
        <v>1937</v>
      </c>
      <c r="G999" s="43" t="s">
        <v>2183</v>
      </c>
      <c r="H999" s="85" t="s">
        <v>2553</v>
      </c>
      <c r="I999" s="23" t="s">
        <v>24</v>
      </c>
      <c r="J999" s="44">
        <v>450</v>
      </c>
      <c r="K999" s="45">
        <v>0.25</v>
      </c>
      <c r="L999" s="46">
        <f t="shared" si="141"/>
        <v>112.5</v>
      </c>
      <c r="M999" s="47">
        <f t="shared" si="142"/>
        <v>337.5</v>
      </c>
      <c r="N999" s="48">
        <v>0.16</v>
      </c>
      <c r="O999" s="49">
        <f t="shared" si="144"/>
        <v>54</v>
      </c>
      <c r="P999" s="50">
        <f t="shared" si="145"/>
        <v>391.5</v>
      </c>
      <c r="Q999" s="23"/>
      <c r="R999" s="60"/>
      <c r="S999" s="61"/>
      <c r="T999" s="62">
        <f t="shared" si="148"/>
        <v>0</v>
      </c>
      <c r="U999" s="46">
        <f t="shared" si="148"/>
        <v>0</v>
      </c>
      <c r="V999" s="63">
        <f t="shared" si="147"/>
        <v>0</v>
      </c>
      <c r="W999" s="49">
        <f t="shared" si="143"/>
        <v>0</v>
      </c>
      <c r="X999" s="50">
        <f t="shared" si="146"/>
        <v>0</v>
      </c>
      <c r="Y999"/>
      <c r="Z999"/>
      <c r="AA999"/>
    </row>
    <row r="1000" spans="1:27" s="51" customFormat="1" ht="18.600000000000001" hidden="1" customHeight="1" x14ac:dyDescent="0.25">
      <c r="A1000" s="80" t="s">
        <v>16</v>
      </c>
      <c r="B1000" s="20" t="s">
        <v>1933</v>
      </c>
      <c r="C1000" s="21" t="s">
        <v>1934</v>
      </c>
      <c r="D1000" s="20" t="s">
        <v>2554</v>
      </c>
      <c r="E1000" s="22" t="s">
        <v>2555</v>
      </c>
      <c r="F1000" s="22" t="s">
        <v>1937</v>
      </c>
      <c r="G1000" s="22" t="s">
        <v>2183</v>
      </c>
      <c r="H1000" s="83" t="s">
        <v>2556</v>
      </c>
      <c r="I1000" s="23" t="s">
        <v>24</v>
      </c>
      <c r="J1000" s="24">
        <v>2570</v>
      </c>
      <c r="K1000" s="25">
        <v>0.25</v>
      </c>
      <c r="L1000" s="26">
        <f t="shared" si="141"/>
        <v>642.5</v>
      </c>
      <c r="M1000" s="27">
        <f t="shared" si="142"/>
        <v>1927.5</v>
      </c>
      <c r="N1000" s="28">
        <v>0.16</v>
      </c>
      <c r="O1000" s="29">
        <f t="shared" si="144"/>
        <v>308.40000000000003</v>
      </c>
      <c r="P1000" s="30">
        <f t="shared" si="145"/>
        <v>2235.9</v>
      </c>
      <c r="Q1000" s="23"/>
      <c r="R1000" s="52"/>
      <c r="S1000" s="53"/>
      <c r="T1000" s="54">
        <f t="shared" si="148"/>
        <v>0</v>
      </c>
      <c r="U1000" s="26">
        <f t="shared" si="148"/>
        <v>0</v>
      </c>
      <c r="V1000" s="55">
        <f t="shared" si="147"/>
        <v>0</v>
      </c>
      <c r="W1000" s="29">
        <f t="shared" si="143"/>
        <v>0</v>
      </c>
      <c r="X1000" s="30">
        <f t="shared" si="146"/>
        <v>0</v>
      </c>
      <c r="Y1000"/>
      <c r="Z1000"/>
      <c r="AA1000"/>
    </row>
    <row r="1001" spans="1:27" s="51" customFormat="1" ht="18.600000000000001" hidden="1" customHeight="1" x14ac:dyDescent="0.25">
      <c r="A1001" s="81" t="s">
        <v>16</v>
      </c>
      <c r="B1001" s="31" t="s">
        <v>1933</v>
      </c>
      <c r="C1001" s="32" t="s">
        <v>1934</v>
      </c>
      <c r="D1001" s="31" t="s">
        <v>2557</v>
      </c>
      <c r="E1001" s="33" t="s">
        <v>2558</v>
      </c>
      <c r="F1001" s="33" t="s">
        <v>1937</v>
      </c>
      <c r="G1001" s="33" t="s">
        <v>2183</v>
      </c>
      <c r="H1001" s="84" t="s">
        <v>2559</v>
      </c>
      <c r="I1001" s="23" t="s">
        <v>24</v>
      </c>
      <c r="J1001" s="34">
        <v>2570</v>
      </c>
      <c r="K1001" s="35">
        <v>0.25</v>
      </c>
      <c r="L1001" s="36">
        <f t="shared" si="141"/>
        <v>642.5</v>
      </c>
      <c r="M1001" s="37">
        <f t="shared" si="142"/>
        <v>1927.5</v>
      </c>
      <c r="N1001" s="38">
        <v>0.16</v>
      </c>
      <c r="O1001" s="39">
        <f t="shared" si="144"/>
        <v>308.40000000000003</v>
      </c>
      <c r="P1001" s="40">
        <f t="shared" si="145"/>
        <v>2235.9</v>
      </c>
      <c r="Q1001" s="23"/>
      <c r="R1001" s="56"/>
      <c r="S1001" s="57"/>
      <c r="T1001" s="58">
        <f t="shared" si="148"/>
        <v>0</v>
      </c>
      <c r="U1001" s="36">
        <f t="shared" si="148"/>
        <v>0</v>
      </c>
      <c r="V1001" s="59">
        <f t="shared" si="147"/>
        <v>0</v>
      </c>
      <c r="W1001" s="39">
        <f t="shared" si="143"/>
        <v>0</v>
      </c>
      <c r="X1001" s="40">
        <f t="shared" si="146"/>
        <v>0</v>
      </c>
      <c r="Y1001"/>
      <c r="Z1001"/>
      <c r="AA1001"/>
    </row>
    <row r="1002" spans="1:27" s="51" customFormat="1" ht="18.600000000000001" hidden="1" customHeight="1" x14ac:dyDescent="0.25">
      <c r="A1002" s="82" t="s">
        <v>16</v>
      </c>
      <c r="B1002" s="41" t="s">
        <v>1933</v>
      </c>
      <c r="C1002" s="42" t="s">
        <v>1934</v>
      </c>
      <c r="D1002" s="41" t="s">
        <v>2560</v>
      </c>
      <c r="E1002" s="43" t="s">
        <v>2561</v>
      </c>
      <c r="F1002" s="43" t="s">
        <v>1937</v>
      </c>
      <c r="G1002" s="43" t="s">
        <v>2183</v>
      </c>
      <c r="H1002" s="85" t="s">
        <v>2562</v>
      </c>
      <c r="I1002" s="23" t="s">
        <v>24</v>
      </c>
      <c r="J1002" s="44">
        <v>2570</v>
      </c>
      <c r="K1002" s="45">
        <v>0.25</v>
      </c>
      <c r="L1002" s="46">
        <f t="shared" si="141"/>
        <v>642.5</v>
      </c>
      <c r="M1002" s="47">
        <f t="shared" si="142"/>
        <v>1927.5</v>
      </c>
      <c r="N1002" s="48">
        <v>0.16</v>
      </c>
      <c r="O1002" s="49">
        <f t="shared" si="144"/>
        <v>308.40000000000003</v>
      </c>
      <c r="P1002" s="50">
        <f t="shared" si="145"/>
        <v>2235.9</v>
      </c>
      <c r="Q1002" s="23"/>
      <c r="R1002" s="60"/>
      <c r="S1002" s="61"/>
      <c r="T1002" s="62">
        <f t="shared" si="148"/>
        <v>0</v>
      </c>
      <c r="U1002" s="46">
        <f t="shared" si="148"/>
        <v>0</v>
      </c>
      <c r="V1002" s="63">
        <f t="shared" si="147"/>
        <v>0</v>
      </c>
      <c r="W1002" s="49">
        <f t="shared" si="143"/>
        <v>0</v>
      </c>
      <c r="X1002" s="50">
        <f t="shared" si="146"/>
        <v>0</v>
      </c>
      <c r="Y1002"/>
      <c r="Z1002"/>
      <c r="AA1002"/>
    </row>
    <row r="1003" spans="1:27" s="51" customFormat="1" ht="18.600000000000001" hidden="1" customHeight="1" x14ac:dyDescent="0.25">
      <c r="A1003" s="80" t="s">
        <v>16</v>
      </c>
      <c r="B1003" s="20" t="s">
        <v>1933</v>
      </c>
      <c r="C1003" s="21" t="s">
        <v>1934</v>
      </c>
      <c r="D1003" s="20" t="s">
        <v>2563</v>
      </c>
      <c r="E1003" s="22" t="s">
        <v>2564</v>
      </c>
      <c r="F1003" s="22" t="s">
        <v>1937</v>
      </c>
      <c r="G1003" s="22" t="s">
        <v>2183</v>
      </c>
      <c r="H1003" s="83" t="s">
        <v>2565</v>
      </c>
      <c r="I1003" s="23" t="s">
        <v>24</v>
      </c>
      <c r="J1003" s="24">
        <v>2574.7372340425536</v>
      </c>
      <c r="K1003" s="25">
        <v>0.25</v>
      </c>
      <c r="L1003" s="26">
        <f t="shared" si="141"/>
        <v>643.6843085106384</v>
      </c>
      <c r="M1003" s="27">
        <f t="shared" si="142"/>
        <v>1931.0529255319152</v>
      </c>
      <c r="N1003" s="28">
        <v>0.16</v>
      </c>
      <c r="O1003" s="29">
        <f t="shared" si="144"/>
        <v>308.96846808510645</v>
      </c>
      <c r="P1003" s="30">
        <f t="shared" si="145"/>
        <v>2240.0213936170217</v>
      </c>
      <c r="Q1003" s="23"/>
      <c r="R1003" s="52"/>
      <c r="S1003" s="53"/>
      <c r="T1003" s="54">
        <f t="shared" si="148"/>
        <v>0</v>
      </c>
      <c r="U1003" s="26">
        <f t="shared" si="148"/>
        <v>0</v>
      </c>
      <c r="V1003" s="55">
        <f t="shared" si="147"/>
        <v>0</v>
      </c>
      <c r="W1003" s="29">
        <f t="shared" si="143"/>
        <v>0</v>
      </c>
      <c r="X1003" s="30">
        <f t="shared" si="146"/>
        <v>0</v>
      </c>
      <c r="Y1003"/>
      <c r="Z1003"/>
      <c r="AA1003"/>
    </row>
    <row r="1004" spans="1:27" s="51" customFormat="1" ht="18.600000000000001" hidden="1" customHeight="1" x14ac:dyDescent="0.25">
      <c r="A1004" s="81" t="s">
        <v>16</v>
      </c>
      <c r="B1004" s="31" t="s">
        <v>1933</v>
      </c>
      <c r="C1004" s="32" t="s">
        <v>1934</v>
      </c>
      <c r="D1004" s="31" t="s">
        <v>2566</v>
      </c>
      <c r="E1004" s="33" t="s">
        <v>2567</v>
      </c>
      <c r="F1004" s="33" t="s">
        <v>1937</v>
      </c>
      <c r="G1004" s="33" t="s">
        <v>2183</v>
      </c>
      <c r="H1004" s="84" t="s">
        <v>2568</v>
      </c>
      <c r="I1004" s="23" t="s">
        <v>24</v>
      </c>
      <c r="J1004" s="34">
        <v>450</v>
      </c>
      <c r="K1004" s="35">
        <v>0.25</v>
      </c>
      <c r="L1004" s="36">
        <f t="shared" si="141"/>
        <v>112.5</v>
      </c>
      <c r="M1004" s="37">
        <f t="shared" si="142"/>
        <v>337.5</v>
      </c>
      <c r="N1004" s="38">
        <v>0.16</v>
      </c>
      <c r="O1004" s="39">
        <f t="shared" si="144"/>
        <v>54</v>
      </c>
      <c r="P1004" s="40">
        <f t="shared" si="145"/>
        <v>391.5</v>
      </c>
      <c r="Q1004" s="23"/>
      <c r="R1004" s="56"/>
      <c r="S1004" s="57"/>
      <c r="T1004" s="58">
        <f t="shared" si="148"/>
        <v>0</v>
      </c>
      <c r="U1004" s="36">
        <f t="shared" si="148"/>
        <v>0</v>
      </c>
      <c r="V1004" s="59">
        <f t="shared" si="147"/>
        <v>0</v>
      </c>
      <c r="W1004" s="39">
        <f t="shared" si="143"/>
        <v>0</v>
      </c>
      <c r="X1004" s="40">
        <f t="shared" si="146"/>
        <v>0</v>
      </c>
      <c r="Y1004"/>
      <c r="Z1004"/>
      <c r="AA1004"/>
    </row>
    <row r="1005" spans="1:27" s="51" customFormat="1" ht="18.600000000000001" hidden="1" customHeight="1" x14ac:dyDescent="0.25">
      <c r="A1005" s="82" t="s">
        <v>16</v>
      </c>
      <c r="B1005" s="41" t="s">
        <v>1933</v>
      </c>
      <c r="C1005" s="42" t="s">
        <v>1934</v>
      </c>
      <c r="D1005" s="41" t="s">
        <v>2569</v>
      </c>
      <c r="E1005" s="43" t="s">
        <v>2570</v>
      </c>
      <c r="F1005" s="43" t="s">
        <v>1937</v>
      </c>
      <c r="G1005" s="43" t="s">
        <v>2183</v>
      </c>
      <c r="H1005" s="85" t="s">
        <v>2571</v>
      </c>
      <c r="I1005" s="23" t="s">
        <v>24</v>
      </c>
      <c r="J1005" s="44">
        <v>450</v>
      </c>
      <c r="K1005" s="45">
        <v>0.25</v>
      </c>
      <c r="L1005" s="46">
        <f t="shared" si="141"/>
        <v>112.5</v>
      </c>
      <c r="M1005" s="47">
        <f t="shared" si="142"/>
        <v>337.5</v>
      </c>
      <c r="N1005" s="48">
        <v>0.16</v>
      </c>
      <c r="O1005" s="49">
        <f t="shared" si="144"/>
        <v>54</v>
      </c>
      <c r="P1005" s="50">
        <f t="shared" si="145"/>
        <v>391.5</v>
      </c>
      <c r="Q1005" s="23"/>
      <c r="R1005" s="60"/>
      <c r="S1005" s="61"/>
      <c r="T1005" s="62">
        <f t="shared" si="148"/>
        <v>0</v>
      </c>
      <c r="U1005" s="46">
        <f t="shared" si="148"/>
        <v>0</v>
      </c>
      <c r="V1005" s="63">
        <f t="shared" si="147"/>
        <v>0</v>
      </c>
      <c r="W1005" s="49">
        <f t="shared" si="143"/>
        <v>0</v>
      </c>
      <c r="X1005" s="50">
        <f t="shared" si="146"/>
        <v>0</v>
      </c>
      <c r="Y1005"/>
      <c r="Z1005"/>
      <c r="AA1005"/>
    </row>
    <row r="1006" spans="1:27" s="51" customFormat="1" ht="18.600000000000001" hidden="1" customHeight="1" x14ac:dyDescent="0.25">
      <c r="A1006" s="80" t="s">
        <v>16</v>
      </c>
      <c r="B1006" s="20" t="s">
        <v>1933</v>
      </c>
      <c r="C1006" s="21" t="s">
        <v>1934</v>
      </c>
      <c r="D1006" s="20" t="s">
        <v>2572</v>
      </c>
      <c r="E1006" s="22" t="s">
        <v>2573</v>
      </c>
      <c r="F1006" s="22" t="s">
        <v>1937</v>
      </c>
      <c r="G1006" s="22" t="s">
        <v>2183</v>
      </c>
      <c r="H1006" s="83" t="s">
        <v>2574</v>
      </c>
      <c r="I1006" s="23" t="s">
        <v>24</v>
      </c>
      <c r="J1006" s="24">
        <v>450</v>
      </c>
      <c r="K1006" s="25">
        <v>0.25</v>
      </c>
      <c r="L1006" s="26">
        <f t="shared" si="141"/>
        <v>112.5</v>
      </c>
      <c r="M1006" s="27">
        <f t="shared" si="142"/>
        <v>337.5</v>
      </c>
      <c r="N1006" s="28">
        <v>0.16</v>
      </c>
      <c r="O1006" s="29">
        <f t="shared" si="144"/>
        <v>54</v>
      </c>
      <c r="P1006" s="30">
        <f t="shared" si="145"/>
        <v>391.5</v>
      </c>
      <c r="Q1006" s="23"/>
      <c r="R1006" s="52"/>
      <c r="S1006" s="53"/>
      <c r="T1006" s="54">
        <f t="shared" si="148"/>
        <v>0</v>
      </c>
      <c r="U1006" s="26">
        <f t="shared" si="148"/>
        <v>0</v>
      </c>
      <c r="V1006" s="55">
        <f t="shared" si="147"/>
        <v>0</v>
      </c>
      <c r="W1006" s="29">
        <f t="shared" si="143"/>
        <v>0</v>
      </c>
      <c r="X1006" s="30">
        <f t="shared" si="146"/>
        <v>0</v>
      </c>
      <c r="Y1006"/>
      <c r="Z1006"/>
      <c r="AA1006"/>
    </row>
    <row r="1007" spans="1:27" s="51" customFormat="1" ht="18.600000000000001" hidden="1" customHeight="1" x14ac:dyDescent="0.25">
      <c r="A1007" s="81" t="s">
        <v>16</v>
      </c>
      <c r="B1007" s="31" t="s">
        <v>1933</v>
      </c>
      <c r="C1007" s="32" t="s">
        <v>1934</v>
      </c>
      <c r="D1007" s="31" t="s">
        <v>2575</v>
      </c>
      <c r="E1007" s="33" t="s">
        <v>2576</v>
      </c>
      <c r="F1007" s="33" t="s">
        <v>1937</v>
      </c>
      <c r="G1007" s="33" t="s">
        <v>2183</v>
      </c>
      <c r="H1007" s="84" t="s">
        <v>2577</v>
      </c>
      <c r="I1007" s="23" t="s">
        <v>24</v>
      </c>
      <c r="J1007" s="34">
        <v>450</v>
      </c>
      <c r="K1007" s="35">
        <v>0.25</v>
      </c>
      <c r="L1007" s="36">
        <f t="shared" si="141"/>
        <v>112.5</v>
      </c>
      <c r="M1007" s="37">
        <f t="shared" si="142"/>
        <v>337.5</v>
      </c>
      <c r="N1007" s="38">
        <v>0.16</v>
      </c>
      <c r="O1007" s="39">
        <f t="shared" si="144"/>
        <v>54</v>
      </c>
      <c r="P1007" s="40">
        <f t="shared" si="145"/>
        <v>391.5</v>
      </c>
      <c r="Q1007" s="23"/>
      <c r="R1007" s="56"/>
      <c r="S1007" s="57"/>
      <c r="T1007" s="58">
        <f t="shared" si="148"/>
        <v>0</v>
      </c>
      <c r="U1007" s="36">
        <f t="shared" si="148"/>
        <v>0</v>
      </c>
      <c r="V1007" s="59">
        <f t="shared" si="147"/>
        <v>0</v>
      </c>
      <c r="W1007" s="39">
        <f t="shared" si="143"/>
        <v>0</v>
      </c>
      <c r="X1007" s="40">
        <f t="shared" si="146"/>
        <v>0</v>
      </c>
      <c r="Y1007"/>
      <c r="Z1007"/>
      <c r="AA1007"/>
    </row>
    <row r="1008" spans="1:27" s="51" customFormat="1" ht="18.600000000000001" hidden="1" customHeight="1" x14ac:dyDescent="0.25">
      <c r="A1008" s="82" t="s">
        <v>16</v>
      </c>
      <c r="B1008" s="41" t="s">
        <v>1933</v>
      </c>
      <c r="C1008" s="42" t="s">
        <v>1934</v>
      </c>
      <c r="D1008" s="41" t="s">
        <v>2578</v>
      </c>
      <c r="E1008" s="43" t="s">
        <v>2579</v>
      </c>
      <c r="F1008" s="43" t="s">
        <v>1937</v>
      </c>
      <c r="G1008" s="43" t="s">
        <v>2183</v>
      </c>
      <c r="H1008" s="85" t="s">
        <v>2580</v>
      </c>
      <c r="I1008" s="23" t="s">
        <v>24</v>
      </c>
      <c r="J1008" s="44">
        <v>450</v>
      </c>
      <c r="K1008" s="45">
        <v>0.25</v>
      </c>
      <c r="L1008" s="46">
        <f t="shared" si="141"/>
        <v>112.5</v>
      </c>
      <c r="M1008" s="47">
        <f t="shared" si="142"/>
        <v>337.5</v>
      </c>
      <c r="N1008" s="48">
        <v>0.16</v>
      </c>
      <c r="O1008" s="49">
        <f t="shared" si="144"/>
        <v>54</v>
      </c>
      <c r="P1008" s="50">
        <f t="shared" si="145"/>
        <v>391.5</v>
      </c>
      <c r="Q1008" s="23"/>
      <c r="R1008" s="60"/>
      <c r="S1008" s="61"/>
      <c r="T1008" s="62">
        <f t="shared" si="148"/>
        <v>0</v>
      </c>
      <c r="U1008" s="46">
        <f t="shared" si="148"/>
        <v>0</v>
      </c>
      <c r="V1008" s="63">
        <f t="shared" si="147"/>
        <v>0</v>
      </c>
      <c r="W1008" s="49">
        <f t="shared" si="143"/>
        <v>0</v>
      </c>
      <c r="X1008" s="50">
        <f t="shared" si="146"/>
        <v>0</v>
      </c>
      <c r="Y1008"/>
      <c r="Z1008"/>
      <c r="AA1008"/>
    </row>
    <row r="1009" spans="1:27" s="51" customFormat="1" ht="18.600000000000001" hidden="1" customHeight="1" x14ac:dyDescent="0.25">
      <c r="A1009" s="80" t="s">
        <v>16</v>
      </c>
      <c r="B1009" s="20" t="s">
        <v>1933</v>
      </c>
      <c r="C1009" s="21" t="s">
        <v>1934</v>
      </c>
      <c r="D1009" s="20" t="s">
        <v>2581</v>
      </c>
      <c r="E1009" s="22" t="s">
        <v>2582</v>
      </c>
      <c r="F1009" s="22" t="s">
        <v>1937</v>
      </c>
      <c r="G1009" s="22" t="s">
        <v>2183</v>
      </c>
      <c r="H1009" s="83" t="s">
        <v>2583</v>
      </c>
      <c r="I1009" s="23" t="s">
        <v>24</v>
      </c>
      <c r="J1009" s="24">
        <v>450</v>
      </c>
      <c r="K1009" s="25">
        <v>0.25</v>
      </c>
      <c r="L1009" s="26">
        <f t="shared" si="141"/>
        <v>112.5</v>
      </c>
      <c r="M1009" s="27">
        <f t="shared" si="142"/>
        <v>337.5</v>
      </c>
      <c r="N1009" s="28">
        <v>0.16</v>
      </c>
      <c r="O1009" s="29">
        <f t="shared" si="144"/>
        <v>54</v>
      </c>
      <c r="P1009" s="30">
        <f t="shared" si="145"/>
        <v>391.5</v>
      </c>
      <c r="Q1009" s="23"/>
      <c r="R1009" s="52"/>
      <c r="S1009" s="53"/>
      <c r="T1009" s="54">
        <f t="shared" si="148"/>
        <v>0</v>
      </c>
      <c r="U1009" s="26">
        <f t="shared" si="148"/>
        <v>0</v>
      </c>
      <c r="V1009" s="55">
        <f t="shared" si="147"/>
        <v>0</v>
      </c>
      <c r="W1009" s="29">
        <f t="shared" si="143"/>
        <v>0</v>
      </c>
      <c r="X1009" s="30">
        <f t="shared" si="146"/>
        <v>0</v>
      </c>
      <c r="Y1009"/>
      <c r="Z1009"/>
      <c r="AA1009"/>
    </row>
    <row r="1010" spans="1:27" s="51" customFormat="1" ht="18.600000000000001" hidden="1" customHeight="1" x14ac:dyDescent="0.25">
      <c r="A1010" s="81" t="s">
        <v>16</v>
      </c>
      <c r="B1010" s="31" t="s">
        <v>1933</v>
      </c>
      <c r="C1010" s="32" t="s">
        <v>1934</v>
      </c>
      <c r="D1010" s="31" t="s">
        <v>2584</v>
      </c>
      <c r="E1010" s="33" t="s">
        <v>2585</v>
      </c>
      <c r="F1010" s="33" t="s">
        <v>1937</v>
      </c>
      <c r="G1010" s="33" t="s">
        <v>2183</v>
      </c>
      <c r="H1010" s="84" t="s">
        <v>2586</v>
      </c>
      <c r="I1010" s="23" t="s">
        <v>24</v>
      </c>
      <c r="J1010" s="34">
        <v>450</v>
      </c>
      <c r="K1010" s="35">
        <v>0.25</v>
      </c>
      <c r="L1010" s="36">
        <f t="shared" si="141"/>
        <v>112.5</v>
      </c>
      <c r="M1010" s="37">
        <f t="shared" si="142"/>
        <v>337.5</v>
      </c>
      <c r="N1010" s="38">
        <v>0.16</v>
      </c>
      <c r="O1010" s="39">
        <f t="shared" si="144"/>
        <v>54</v>
      </c>
      <c r="P1010" s="40">
        <f t="shared" si="145"/>
        <v>391.5</v>
      </c>
      <c r="Q1010" s="23"/>
      <c r="R1010" s="56"/>
      <c r="S1010" s="57"/>
      <c r="T1010" s="58">
        <f t="shared" si="148"/>
        <v>0</v>
      </c>
      <c r="U1010" s="36">
        <f t="shared" si="148"/>
        <v>0</v>
      </c>
      <c r="V1010" s="59">
        <f t="shared" si="147"/>
        <v>0</v>
      </c>
      <c r="W1010" s="39">
        <f t="shared" si="143"/>
        <v>0</v>
      </c>
      <c r="X1010" s="40">
        <f t="shared" si="146"/>
        <v>0</v>
      </c>
      <c r="Y1010"/>
      <c r="Z1010"/>
      <c r="AA1010"/>
    </row>
    <row r="1011" spans="1:27" s="51" customFormat="1" ht="18.600000000000001" hidden="1" customHeight="1" x14ac:dyDescent="0.25">
      <c r="A1011" s="82" t="s">
        <v>16</v>
      </c>
      <c r="B1011" s="41" t="s">
        <v>1933</v>
      </c>
      <c r="C1011" s="42" t="s">
        <v>1934</v>
      </c>
      <c r="D1011" s="41" t="s">
        <v>2587</v>
      </c>
      <c r="E1011" s="43" t="s">
        <v>2588</v>
      </c>
      <c r="F1011" s="43" t="s">
        <v>1937</v>
      </c>
      <c r="G1011" s="43" t="s">
        <v>2183</v>
      </c>
      <c r="H1011" s="85" t="s">
        <v>2589</v>
      </c>
      <c r="I1011" s="23" t="s">
        <v>24</v>
      </c>
      <c r="J1011" s="44">
        <v>450</v>
      </c>
      <c r="K1011" s="45">
        <v>0.25</v>
      </c>
      <c r="L1011" s="46">
        <f t="shared" si="141"/>
        <v>112.5</v>
      </c>
      <c r="M1011" s="47">
        <f t="shared" si="142"/>
        <v>337.5</v>
      </c>
      <c r="N1011" s="48">
        <v>0.16</v>
      </c>
      <c r="O1011" s="49">
        <f t="shared" si="144"/>
        <v>54</v>
      </c>
      <c r="P1011" s="50">
        <f t="shared" si="145"/>
        <v>391.5</v>
      </c>
      <c r="Q1011" s="23"/>
      <c r="R1011" s="60"/>
      <c r="S1011" s="61"/>
      <c r="T1011" s="62">
        <f t="shared" si="148"/>
        <v>0</v>
      </c>
      <c r="U1011" s="46">
        <f t="shared" si="148"/>
        <v>0</v>
      </c>
      <c r="V1011" s="63">
        <f t="shared" si="147"/>
        <v>0</v>
      </c>
      <c r="W1011" s="49">
        <f t="shared" si="143"/>
        <v>0</v>
      </c>
      <c r="X1011" s="50">
        <f t="shared" si="146"/>
        <v>0</v>
      </c>
      <c r="Y1011"/>
      <c r="Z1011"/>
      <c r="AA1011"/>
    </row>
    <row r="1012" spans="1:27" s="51" customFormat="1" ht="18.600000000000001" hidden="1" customHeight="1" x14ac:dyDescent="0.25">
      <c r="A1012" s="80" t="s">
        <v>16</v>
      </c>
      <c r="B1012" s="20" t="s">
        <v>1933</v>
      </c>
      <c r="C1012" s="21" t="s">
        <v>1934</v>
      </c>
      <c r="D1012" s="20" t="s">
        <v>2590</v>
      </c>
      <c r="E1012" s="22" t="s">
        <v>2591</v>
      </c>
      <c r="F1012" s="22" t="s">
        <v>1937</v>
      </c>
      <c r="G1012" s="22" t="s">
        <v>2183</v>
      </c>
      <c r="H1012" s="83" t="s">
        <v>2592</v>
      </c>
      <c r="I1012" s="23" t="s">
        <v>24</v>
      </c>
      <c r="J1012" s="24">
        <v>450</v>
      </c>
      <c r="K1012" s="25">
        <v>0.25</v>
      </c>
      <c r="L1012" s="26">
        <f t="shared" si="141"/>
        <v>112.5</v>
      </c>
      <c r="M1012" s="27">
        <f t="shared" si="142"/>
        <v>337.5</v>
      </c>
      <c r="N1012" s="28">
        <v>0.16</v>
      </c>
      <c r="O1012" s="29">
        <f t="shared" si="144"/>
        <v>54</v>
      </c>
      <c r="P1012" s="30">
        <f t="shared" si="145"/>
        <v>391.5</v>
      </c>
      <c r="Q1012" s="23"/>
      <c r="R1012" s="52"/>
      <c r="S1012" s="53"/>
      <c r="T1012" s="54">
        <f t="shared" si="148"/>
        <v>0</v>
      </c>
      <c r="U1012" s="26">
        <f t="shared" si="148"/>
        <v>0</v>
      </c>
      <c r="V1012" s="55">
        <f t="shared" si="147"/>
        <v>0</v>
      </c>
      <c r="W1012" s="29">
        <f t="shared" si="143"/>
        <v>0</v>
      </c>
      <c r="X1012" s="30">
        <f t="shared" si="146"/>
        <v>0</v>
      </c>
      <c r="Y1012"/>
      <c r="Z1012"/>
      <c r="AA1012"/>
    </row>
    <row r="1013" spans="1:27" s="51" customFormat="1" ht="18.600000000000001" hidden="1" customHeight="1" x14ac:dyDescent="0.25">
      <c r="A1013" s="81" t="s">
        <v>16</v>
      </c>
      <c r="B1013" s="31" t="s">
        <v>1933</v>
      </c>
      <c r="C1013" s="32" t="s">
        <v>1934</v>
      </c>
      <c r="D1013" s="31" t="s">
        <v>2593</v>
      </c>
      <c r="E1013" s="33" t="s">
        <v>2594</v>
      </c>
      <c r="F1013" s="33" t="s">
        <v>1937</v>
      </c>
      <c r="G1013" s="33" t="s">
        <v>2183</v>
      </c>
      <c r="H1013" s="84" t="s">
        <v>2595</v>
      </c>
      <c r="I1013" s="23" t="s">
        <v>24</v>
      </c>
      <c r="J1013" s="34">
        <v>450</v>
      </c>
      <c r="K1013" s="35">
        <v>0.25</v>
      </c>
      <c r="L1013" s="36">
        <f t="shared" si="141"/>
        <v>112.5</v>
      </c>
      <c r="M1013" s="37">
        <f t="shared" si="142"/>
        <v>337.5</v>
      </c>
      <c r="N1013" s="38">
        <v>0.16</v>
      </c>
      <c r="O1013" s="39">
        <f t="shared" si="144"/>
        <v>54</v>
      </c>
      <c r="P1013" s="40">
        <f t="shared" si="145"/>
        <v>391.5</v>
      </c>
      <c r="Q1013" s="23"/>
      <c r="R1013" s="56"/>
      <c r="S1013" s="57"/>
      <c r="T1013" s="58">
        <f t="shared" si="148"/>
        <v>0</v>
      </c>
      <c r="U1013" s="36">
        <f t="shared" si="148"/>
        <v>0</v>
      </c>
      <c r="V1013" s="59">
        <f t="shared" si="147"/>
        <v>0</v>
      </c>
      <c r="W1013" s="39">
        <f t="shared" si="143"/>
        <v>0</v>
      </c>
      <c r="X1013" s="40">
        <f t="shared" si="146"/>
        <v>0</v>
      </c>
      <c r="Y1013"/>
      <c r="Z1013"/>
      <c r="AA1013"/>
    </row>
    <row r="1014" spans="1:27" s="51" customFormat="1" ht="18.600000000000001" hidden="1" customHeight="1" x14ac:dyDescent="0.25">
      <c r="A1014" s="82" t="s">
        <v>16</v>
      </c>
      <c r="B1014" s="41" t="s">
        <v>1933</v>
      </c>
      <c r="C1014" s="42" t="s">
        <v>1934</v>
      </c>
      <c r="D1014" s="41" t="s">
        <v>2596</v>
      </c>
      <c r="E1014" s="43" t="s">
        <v>2597</v>
      </c>
      <c r="F1014" s="43" t="s">
        <v>1937</v>
      </c>
      <c r="G1014" s="43" t="s">
        <v>2183</v>
      </c>
      <c r="H1014" s="85" t="s">
        <v>2598</v>
      </c>
      <c r="I1014" s="23" t="s">
        <v>24</v>
      </c>
      <c r="J1014" s="44">
        <v>450</v>
      </c>
      <c r="K1014" s="45">
        <v>0.25</v>
      </c>
      <c r="L1014" s="46">
        <f t="shared" si="141"/>
        <v>112.5</v>
      </c>
      <c r="M1014" s="47">
        <f t="shared" si="142"/>
        <v>337.5</v>
      </c>
      <c r="N1014" s="48">
        <v>0.16</v>
      </c>
      <c r="O1014" s="49">
        <f t="shared" si="144"/>
        <v>54</v>
      </c>
      <c r="P1014" s="50">
        <f t="shared" si="145"/>
        <v>391.5</v>
      </c>
      <c r="Q1014" s="23"/>
      <c r="R1014" s="60"/>
      <c r="S1014" s="61"/>
      <c r="T1014" s="62">
        <f t="shared" si="148"/>
        <v>0</v>
      </c>
      <c r="U1014" s="46">
        <f t="shared" si="148"/>
        <v>0</v>
      </c>
      <c r="V1014" s="63">
        <f t="shared" si="147"/>
        <v>0</v>
      </c>
      <c r="W1014" s="49">
        <f t="shared" si="143"/>
        <v>0</v>
      </c>
      <c r="X1014" s="50">
        <f t="shared" si="146"/>
        <v>0</v>
      </c>
      <c r="Y1014"/>
      <c r="Z1014"/>
      <c r="AA1014"/>
    </row>
    <row r="1015" spans="1:27" s="51" customFormat="1" ht="18.600000000000001" hidden="1" customHeight="1" x14ac:dyDescent="0.25">
      <c r="A1015" s="80" t="s">
        <v>16</v>
      </c>
      <c r="B1015" s="20" t="s">
        <v>1933</v>
      </c>
      <c r="C1015" s="21" t="s">
        <v>1934</v>
      </c>
      <c r="D1015" s="20" t="s">
        <v>2599</v>
      </c>
      <c r="E1015" s="22" t="s">
        <v>2600</v>
      </c>
      <c r="F1015" s="22" t="s">
        <v>1937</v>
      </c>
      <c r="G1015" s="22" t="s">
        <v>1938</v>
      </c>
      <c r="H1015" s="83" t="s">
        <v>2601</v>
      </c>
      <c r="I1015" s="23" t="s">
        <v>24</v>
      </c>
      <c r="J1015" s="24">
        <v>2720</v>
      </c>
      <c r="K1015" s="25">
        <v>0.25</v>
      </c>
      <c r="L1015" s="26">
        <f t="shared" si="141"/>
        <v>680</v>
      </c>
      <c r="M1015" s="27">
        <f t="shared" si="142"/>
        <v>2040</v>
      </c>
      <c r="N1015" s="28">
        <v>0.16</v>
      </c>
      <c r="O1015" s="29">
        <f t="shared" si="144"/>
        <v>326.40000000000003</v>
      </c>
      <c r="P1015" s="30">
        <f t="shared" si="145"/>
        <v>2366.4</v>
      </c>
      <c r="Q1015" s="23"/>
      <c r="R1015" s="52"/>
      <c r="S1015" s="53"/>
      <c r="T1015" s="54">
        <f t="shared" si="148"/>
        <v>0</v>
      </c>
      <c r="U1015" s="26">
        <f t="shared" si="148"/>
        <v>0</v>
      </c>
      <c r="V1015" s="55">
        <f t="shared" si="147"/>
        <v>0</v>
      </c>
      <c r="W1015" s="29">
        <f t="shared" si="143"/>
        <v>0</v>
      </c>
      <c r="X1015" s="30">
        <f t="shared" si="146"/>
        <v>0</v>
      </c>
      <c r="Y1015"/>
      <c r="Z1015"/>
      <c r="AA1015"/>
    </row>
    <row r="1016" spans="1:27" s="51" customFormat="1" ht="18.600000000000001" hidden="1" customHeight="1" x14ac:dyDescent="0.25">
      <c r="A1016" s="81" t="s">
        <v>16</v>
      </c>
      <c r="B1016" s="31" t="s">
        <v>1933</v>
      </c>
      <c r="C1016" s="32" t="s">
        <v>1934</v>
      </c>
      <c r="D1016" s="31">
        <v>8435635303783</v>
      </c>
      <c r="E1016" s="33" t="s">
        <v>2602</v>
      </c>
      <c r="F1016" s="33" t="s">
        <v>1937</v>
      </c>
      <c r="G1016" s="33" t="s">
        <v>1938</v>
      </c>
      <c r="H1016" s="84" t="s">
        <v>2603</v>
      </c>
      <c r="I1016" s="23" t="s">
        <v>24</v>
      </c>
      <c r="J1016" s="34">
        <v>1510</v>
      </c>
      <c r="K1016" s="35">
        <v>0.25</v>
      </c>
      <c r="L1016" s="36">
        <f t="shared" si="141"/>
        <v>377.5</v>
      </c>
      <c r="M1016" s="37">
        <f t="shared" si="142"/>
        <v>1132.5</v>
      </c>
      <c r="N1016" s="38">
        <v>0.16</v>
      </c>
      <c r="O1016" s="39">
        <f t="shared" si="144"/>
        <v>181.20000000000002</v>
      </c>
      <c r="P1016" s="40">
        <f t="shared" si="145"/>
        <v>1313.7</v>
      </c>
      <c r="Q1016" s="23"/>
      <c r="R1016" s="56"/>
      <c r="S1016" s="57"/>
      <c r="T1016" s="58">
        <f t="shared" si="148"/>
        <v>0</v>
      </c>
      <c r="U1016" s="36">
        <f t="shared" si="148"/>
        <v>0</v>
      </c>
      <c r="V1016" s="59">
        <f t="shared" si="147"/>
        <v>0</v>
      </c>
      <c r="W1016" s="39">
        <f t="shared" si="143"/>
        <v>0</v>
      </c>
      <c r="X1016" s="40">
        <f t="shared" si="146"/>
        <v>0</v>
      </c>
      <c r="Y1016"/>
      <c r="Z1016"/>
      <c r="AA1016"/>
    </row>
    <row r="1017" spans="1:27" s="51" customFormat="1" ht="18.600000000000001" hidden="1" customHeight="1" x14ac:dyDescent="0.25">
      <c r="A1017" s="82" t="s">
        <v>16</v>
      </c>
      <c r="B1017" s="41" t="s">
        <v>1933</v>
      </c>
      <c r="C1017" s="42" t="s">
        <v>1934</v>
      </c>
      <c r="D1017" s="41">
        <v>8435635303806</v>
      </c>
      <c r="E1017" s="43" t="s">
        <v>2604</v>
      </c>
      <c r="F1017" s="43" t="s">
        <v>1937</v>
      </c>
      <c r="G1017" s="43" t="s">
        <v>1938</v>
      </c>
      <c r="H1017" s="85" t="s">
        <v>2605</v>
      </c>
      <c r="I1017" s="23" t="s">
        <v>24</v>
      </c>
      <c r="J1017" s="44">
        <v>5630</v>
      </c>
      <c r="K1017" s="45">
        <v>0.25</v>
      </c>
      <c r="L1017" s="46">
        <f t="shared" si="141"/>
        <v>1407.5</v>
      </c>
      <c r="M1017" s="47">
        <f t="shared" si="142"/>
        <v>4222.5</v>
      </c>
      <c r="N1017" s="48">
        <v>0.16</v>
      </c>
      <c r="O1017" s="49">
        <f t="shared" si="144"/>
        <v>675.6</v>
      </c>
      <c r="P1017" s="50">
        <f t="shared" si="145"/>
        <v>4898.1000000000004</v>
      </c>
      <c r="Q1017" s="23"/>
      <c r="R1017" s="60"/>
      <c r="S1017" s="61"/>
      <c r="T1017" s="62">
        <f t="shared" si="148"/>
        <v>0</v>
      </c>
      <c r="U1017" s="46">
        <f t="shared" si="148"/>
        <v>0</v>
      </c>
      <c r="V1017" s="63">
        <f t="shared" si="147"/>
        <v>0</v>
      </c>
      <c r="W1017" s="49">
        <f t="shared" si="143"/>
        <v>0</v>
      </c>
      <c r="X1017" s="50">
        <f t="shared" si="146"/>
        <v>0</v>
      </c>
      <c r="Y1017"/>
      <c r="Z1017"/>
      <c r="AA1017"/>
    </row>
    <row r="1018" spans="1:27" s="51" customFormat="1" ht="18.600000000000001" hidden="1" customHeight="1" x14ac:dyDescent="0.25">
      <c r="A1018" s="80" t="s">
        <v>16</v>
      </c>
      <c r="B1018" s="20" t="s">
        <v>1933</v>
      </c>
      <c r="C1018" s="21" t="s">
        <v>1934</v>
      </c>
      <c r="D1018" s="20">
        <v>8435635306418</v>
      </c>
      <c r="E1018" s="22" t="s">
        <v>2606</v>
      </c>
      <c r="F1018" s="22" t="s">
        <v>1937</v>
      </c>
      <c r="G1018" s="22" t="s">
        <v>1938</v>
      </c>
      <c r="H1018" s="83" t="s">
        <v>2607</v>
      </c>
      <c r="I1018" s="23" t="s">
        <v>24</v>
      </c>
      <c r="J1018" s="24">
        <v>5630</v>
      </c>
      <c r="K1018" s="25">
        <v>0.25</v>
      </c>
      <c r="L1018" s="26">
        <f t="shared" si="141"/>
        <v>1407.5</v>
      </c>
      <c r="M1018" s="27">
        <f t="shared" si="142"/>
        <v>4222.5</v>
      </c>
      <c r="N1018" s="28">
        <v>0.16</v>
      </c>
      <c r="O1018" s="29">
        <f t="shared" si="144"/>
        <v>675.6</v>
      </c>
      <c r="P1018" s="30">
        <f t="shared" si="145"/>
        <v>4898.1000000000004</v>
      </c>
      <c r="Q1018" s="23"/>
      <c r="R1018" s="52"/>
      <c r="S1018" s="53"/>
      <c r="T1018" s="54">
        <f t="shared" si="148"/>
        <v>0</v>
      </c>
      <c r="U1018" s="26">
        <f t="shared" si="148"/>
        <v>0</v>
      </c>
      <c r="V1018" s="55">
        <f t="shared" si="147"/>
        <v>0</v>
      </c>
      <c r="W1018" s="29">
        <f t="shared" si="143"/>
        <v>0</v>
      </c>
      <c r="X1018" s="30">
        <f t="shared" si="146"/>
        <v>0</v>
      </c>
      <c r="Y1018"/>
      <c r="Z1018"/>
      <c r="AA1018"/>
    </row>
    <row r="1019" spans="1:27" s="51" customFormat="1" ht="18.600000000000001" hidden="1" customHeight="1" x14ac:dyDescent="0.25">
      <c r="A1019" s="81" t="s">
        <v>16</v>
      </c>
      <c r="B1019" s="31" t="s">
        <v>1933</v>
      </c>
      <c r="C1019" s="32" t="s">
        <v>1934</v>
      </c>
      <c r="D1019" s="31">
        <v>8435635309778</v>
      </c>
      <c r="E1019" s="33" t="s">
        <v>2608</v>
      </c>
      <c r="F1019" s="33" t="s">
        <v>1937</v>
      </c>
      <c r="G1019" s="33" t="s">
        <v>2609</v>
      </c>
      <c r="H1019" s="84" t="s">
        <v>2610</v>
      </c>
      <c r="I1019" s="23" t="s">
        <v>24</v>
      </c>
      <c r="J1019" s="34">
        <v>1810</v>
      </c>
      <c r="K1019" s="35">
        <v>0.25</v>
      </c>
      <c r="L1019" s="36">
        <f t="shared" si="141"/>
        <v>452.5</v>
      </c>
      <c r="M1019" s="37">
        <f t="shared" si="142"/>
        <v>1357.5</v>
      </c>
      <c r="N1019" s="38">
        <v>0.16</v>
      </c>
      <c r="O1019" s="39">
        <f t="shared" si="144"/>
        <v>217.20000000000002</v>
      </c>
      <c r="P1019" s="40">
        <f t="shared" si="145"/>
        <v>1574.7</v>
      </c>
      <c r="Q1019" s="23"/>
      <c r="R1019" s="56"/>
      <c r="S1019" s="57"/>
      <c r="T1019" s="58">
        <f t="shared" si="148"/>
        <v>0</v>
      </c>
      <c r="U1019" s="36">
        <f t="shared" si="148"/>
        <v>0</v>
      </c>
      <c r="V1019" s="59">
        <f t="shared" si="147"/>
        <v>0</v>
      </c>
      <c r="W1019" s="39">
        <f t="shared" si="143"/>
        <v>0</v>
      </c>
      <c r="X1019" s="40">
        <f t="shared" si="146"/>
        <v>0</v>
      </c>
      <c r="Y1019"/>
      <c r="Z1019"/>
      <c r="AA1019"/>
    </row>
    <row r="1020" spans="1:27" s="51" customFormat="1" ht="18.600000000000001" hidden="1" customHeight="1" x14ac:dyDescent="0.25">
      <c r="A1020" s="82" t="s">
        <v>16</v>
      </c>
      <c r="B1020" s="41" t="s">
        <v>1933</v>
      </c>
      <c r="C1020" s="42" t="s">
        <v>1934</v>
      </c>
      <c r="D1020" s="41">
        <v>8435635305879</v>
      </c>
      <c r="E1020" s="43" t="s">
        <v>2611</v>
      </c>
      <c r="F1020" s="43" t="s">
        <v>1937</v>
      </c>
      <c r="G1020" s="43" t="s">
        <v>1938</v>
      </c>
      <c r="H1020" s="85" t="s">
        <v>2612</v>
      </c>
      <c r="I1020" s="23" t="s">
        <v>24</v>
      </c>
      <c r="J1020" s="44">
        <v>2120</v>
      </c>
      <c r="K1020" s="45">
        <v>0.25</v>
      </c>
      <c r="L1020" s="46">
        <f t="shared" si="141"/>
        <v>530</v>
      </c>
      <c r="M1020" s="47">
        <f t="shared" si="142"/>
        <v>1590</v>
      </c>
      <c r="N1020" s="48">
        <v>0.16</v>
      </c>
      <c r="O1020" s="49">
        <f t="shared" si="144"/>
        <v>254.4</v>
      </c>
      <c r="P1020" s="50">
        <f t="shared" si="145"/>
        <v>1844.4</v>
      </c>
      <c r="Q1020" s="23"/>
      <c r="R1020" s="60"/>
      <c r="S1020" s="61"/>
      <c r="T1020" s="62">
        <f t="shared" si="148"/>
        <v>0</v>
      </c>
      <c r="U1020" s="46">
        <f t="shared" si="148"/>
        <v>0</v>
      </c>
      <c r="V1020" s="63">
        <f t="shared" si="147"/>
        <v>0</v>
      </c>
      <c r="W1020" s="49">
        <f t="shared" si="143"/>
        <v>0</v>
      </c>
      <c r="X1020" s="50">
        <f t="shared" si="146"/>
        <v>0</v>
      </c>
      <c r="Y1020"/>
      <c r="Z1020"/>
      <c r="AA1020"/>
    </row>
    <row r="1021" spans="1:27" s="51" customFormat="1" ht="18.600000000000001" hidden="1" customHeight="1" x14ac:dyDescent="0.25">
      <c r="A1021" s="80" t="s">
        <v>16</v>
      </c>
      <c r="B1021" s="20" t="s">
        <v>1933</v>
      </c>
      <c r="C1021" s="21" t="s">
        <v>1934</v>
      </c>
      <c r="D1021" s="20">
        <v>8435635306586</v>
      </c>
      <c r="E1021" s="22" t="s">
        <v>2613</v>
      </c>
      <c r="F1021" s="22" t="s">
        <v>1937</v>
      </c>
      <c r="G1021" s="22" t="s">
        <v>1938</v>
      </c>
      <c r="H1021" s="83" t="s">
        <v>2614</v>
      </c>
      <c r="I1021" s="23" t="s">
        <v>24</v>
      </c>
      <c r="J1021" s="24">
        <v>1660</v>
      </c>
      <c r="K1021" s="25">
        <v>0.25</v>
      </c>
      <c r="L1021" s="26">
        <f t="shared" si="141"/>
        <v>415</v>
      </c>
      <c r="M1021" s="27">
        <f t="shared" si="142"/>
        <v>1245</v>
      </c>
      <c r="N1021" s="28">
        <v>0.16</v>
      </c>
      <c r="O1021" s="29">
        <f t="shared" si="144"/>
        <v>199.20000000000002</v>
      </c>
      <c r="P1021" s="30">
        <f t="shared" si="145"/>
        <v>1444.2</v>
      </c>
      <c r="Q1021" s="23"/>
      <c r="R1021" s="52"/>
      <c r="S1021" s="53"/>
      <c r="T1021" s="54">
        <f t="shared" si="148"/>
        <v>0</v>
      </c>
      <c r="U1021" s="26">
        <f t="shared" si="148"/>
        <v>0</v>
      </c>
      <c r="V1021" s="55">
        <f t="shared" si="147"/>
        <v>0</v>
      </c>
      <c r="W1021" s="29">
        <f t="shared" si="143"/>
        <v>0</v>
      </c>
      <c r="X1021" s="30">
        <f t="shared" si="146"/>
        <v>0</v>
      </c>
      <c r="Y1021"/>
      <c r="Z1021"/>
      <c r="AA1021"/>
    </row>
    <row r="1022" spans="1:27" s="51" customFormat="1" ht="18.600000000000001" hidden="1" customHeight="1" x14ac:dyDescent="0.25">
      <c r="A1022" s="81" t="s">
        <v>16</v>
      </c>
      <c r="B1022" s="31" t="s">
        <v>1933</v>
      </c>
      <c r="C1022" s="32" t="s">
        <v>1934</v>
      </c>
      <c r="D1022" s="31">
        <v>8435635304421</v>
      </c>
      <c r="E1022" s="33" t="s">
        <v>2615</v>
      </c>
      <c r="F1022" s="33" t="s">
        <v>1937</v>
      </c>
      <c r="G1022" s="33" t="s">
        <v>1938</v>
      </c>
      <c r="H1022" s="84" t="s">
        <v>2616</v>
      </c>
      <c r="I1022" s="23" t="s">
        <v>24</v>
      </c>
      <c r="J1022" s="34">
        <v>1510</v>
      </c>
      <c r="K1022" s="35">
        <v>0.25</v>
      </c>
      <c r="L1022" s="36">
        <f t="shared" si="141"/>
        <v>377.5</v>
      </c>
      <c r="M1022" s="37">
        <f t="shared" si="142"/>
        <v>1132.5</v>
      </c>
      <c r="N1022" s="38">
        <v>0.16</v>
      </c>
      <c r="O1022" s="39">
        <f t="shared" si="144"/>
        <v>181.20000000000002</v>
      </c>
      <c r="P1022" s="40">
        <f t="shared" si="145"/>
        <v>1313.7</v>
      </c>
      <c r="Q1022" s="23"/>
      <c r="R1022" s="56"/>
      <c r="S1022" s="57"/>
      <c r="T1022" s="58">
        <f t="shared" si="148"/>
        <v>0</v>
      </c>
      <c r="U1022" s="36">
        <f t="shared" si="148"/>
        <v>0</v>
      </c>
      <c r="V1022" s="59">
        <f t="shared" si="147"/>
        <v>0</v>
      </c>
      <c r="W1022" s="39">
        <f t="shared" si="143"/>
        <v>0</v>
      </c>
      <c r="X1022" s="40">
        <f t="shared" si="146"/>
        <v>0</v>
      </c>
      <c r="Y1022"/>
      <c r="Z1022"/>
      <c r="AA1022"/>
    </row>
    <row r="1023" spans="1:27" s="51" customFormat="1" ht="18.600000000000001" hidden="1" customHeight="1" x14ac:dyDescent="0.25">
      <c r="A1023" s="82" t="s">
        <v>16</v>
      </c>
      <c r="B1023" s="41" t="s">
        <v>1933</v>
      </c>
      <c r="C1023" s="42" t="s">
        <v>1934</v>
      </c>
      <c r="D1023" s="41">
        <v>8435635304438</v>
      </c>
      <c r="E1023" s="43" t="s">
        <v>2617</v>
      </c>
      <c r="F1023" s="43" t="s">
        <v>1937</v>
      </c>
      <c r="G1023" s="43" t="s">
        <v>1938</v>
      </c>
      <c r="H1023" s="85" t="s">
        <v>2618</v>
      </c>
      <c r="I1023" s="23" t="s">
        <v>24</v>
      </c>
      <c r="J1023" s="44">
        <v>1510</v>
      </c>
      <c r="K1023" s="45">
        <v>0.25</v>
      </c>
      <c r="L1023" s="46">
        <f t="shared" si="141"/>
        <v>377.5</v>
      </c>
      <c r="M1023" s="47">
        <f t="shared" si="142"/>
        <v>1132.5</v>
      </c>
      <c r="N1023" s="48">
        <v>0.16</v>
      </c>
      <c r="O1023" s="49">
        <f t="shared" si="144"/>
        <v>181.20000000000002</v>
      </c>
      <c r="P1023" s="50">
        <f t="shared" si="145"/>
        <v>1313.7</v>
      </c>
      <c r="Q1023" s="23"/>
      <c r="R1023" s="60"/>
      <c r="S1023" s="61"/>
      <c r="T1023" s="62">
        <f t="shared" si="148"/>
        <v>0</v>
      </c>
      <c r="U1023" s="46">
        <f t="shared" si="148"/>
        <v>0</v>
      </c>
      <c r="V1023" s="63">
        <f t="shared" si="147"/>
        <v>0</v>
      </c>
      <c r="W1023" s="49">
        <f t="shared" si="143"/>
        <v>0</v>
      </c>
      <c r="X1023" s="50">
        <f t="shared" si="146"/>
        <v>0</v>
      </c>
      <c r="Y1023"/>
      <c r="Z1023"/>
      <c r="AA1023"/>
    </row>
    <row r="1024" spans="1:27" s="51" customFormat="1" ht="18.600000000000001" hidden="1" customHeight="1" x14ac:dyDescent="0.25">
      <c r="A1024" s="80" t="s">
        <v>16</v>
      </c>
      <c r="B1024" s="20" t="s">
        <v>1933</v>
      </c>
      <c r="C1024" s="21" t="s">
        <v>1934</v>
      </c>
      <c r="D1024" s="20">
        <v>8435635304445</v>
      </c>
      <c r="E1024" s="22" t="s">
        <v>2619</v>
      </c>
      <c r="F1024" s="22" t="s">
        <v>1937</v>
      </c>
      <c r="G1024" s="22" t="s">
        <v>1938</v>
      </c>
      <c r="H1024" s="83" t="s">
        <v>2620</v>
      </c>
      <c r="I1024" s="23" t="s">
        <v>24</v>
      </c>
      <c r="J1024" s="24">
        <v>1510</v>
      </c>
      <c r="K1024" s="25">
        <v>0.25</v>
      </c>
      <c r="L1024" s="26">
        <f t="shared" si="141"/>
        <v>377.5</v>
      </c>
      <c r="M1024" s="27">
        <f t="shared" si="142"/>
        <v>1132.5</v>
      </c>
      <c r="N1024" s="28">
        <v>0.16</v>
      </c>
      <c r="O1024" s="29">
        <f t="shared" si="144"/>
        <v>181.20000000000002</v>
      </c>
      <c r="P1024" s="30">
        <f t="shared" si="145"/>
        <v>1313.7</v>
      </c>
      <c r="Q1024" s="23"/>
      <c r="R1024" s="52"/>
      <c r="S1024" s="53"/>
      <c r="T1024" s="54">
        <f t="shared" si="148"/>
        <v>0</v>
      </c>
      <c r="U1024" s="26">
        <f t="shared" si="148"/>
        <v>0</v>
      </c>
      <c r="V1024" s="55">
        <f t="shared" si="147"/>
        <v>0</v>
      </c>
      <c r="W1024" s="29">
        <f t="shared" si="143"/>
        <v>0</v>
      </c>
      <c r="X1024" s="30">
        <f t="shared" si="146"/>
        <v>0</v>
      </c>
      <c r="Y1024"/>
      <c r="Z1024"/>
      <c r="AA1024"/>
    </row>
    <row r="1025" spans="1:27" s="51" customFormat="1" ht="18.600000000000001" hidden="1" customHeight="1" x14ac:dyDescent="0.25">
      <c r="A1025" s="81" t="s">
        <v>16</v>
      </c>
      <c r="B1025" s="31" t="s">
        <v>1933</v>
      </c>
      <c r="C1025" s="32" t="s">
        <v>1934</v>
      </c>
      <c r="D1025" s="31">
        <v>8435635304452</v>
      </c>
      <c r="E1025" s="33" t="s">
        <v>2621</v>
      </c>
      <c r="F1025" s="33" t="s">
        <v>1937</v>
      </c>
      <c r="G1025" s="33" t="s">
        <v>1938</v>
      </c>
      <c r="H1025" s="84" t="s">
        <v>2622</v>
      </c>
      <c r="I1025" s="23" t="s">
        <v>24</v>
      </c>
      <c r="J1025" s="34">
        <v>1510</v>
      </c>
      <c r="K1025" s="35">
        <v>0.25</v>
      </c>
      <c r="L1025" s="36">
        <f t="shared" si="141"/>
        <v>377.5</v>
      </c>
      <c r="M1025" s="37">
        <f t="shared" si="142"/>
        <v>1132.5</v>
      </c>
      <c r="N1025" s="38">
        <v>0.16</v>
      </c>
      <c r="O1025" s="39">
        <f t="shared" si="144"/>
        <v>181.20000000000002</v>
      </c>
      <c r="P1025" s="40">
        <f t="shared" si="145"/>
        <v>1313.7</v>
      </c>
      <c r="Q1025" s="23"/>
      <c r="R1025" s="56"/>
      <c r="S1025" s="57"/>
      <c r="T1025" s="58">
        <f t="shared" si="148"/>
        <v>0</v>
      </c>
      <c r="U1025" s="36">
        <f t="shared" si="148"/>
        <v>0</v>
      </c>
      <c r="V1025" s="59">
        <f t="shared" si="147"/>
        <v>0</v>
      </c>
      <c r="W1025" s="39">
        <f t="shared" si="143"/>
        <v>0</v>
      </c>
      <c r="X1025" s="40">
        <f t="shared" si="146"/>
        <v>0</v>
      </c>
      <c r="Y1025"/>
      <c r="Z1025"/>
      <c r="AA1025"/>
    </row>
    <row r="1026" spans="1:27" s="51" customFormat="1" ht="18.600000000000001" hidden="1" customHeight="1" x14ac:dyDescent="0.25">
      <c r="A1026" s="82" t="s">
        <v>16</v>
      </c>
      <c r="B1026" s="41" t="s">
        <v>1933</v>
      </c>
      <c r="C1026" s="42" t="s">
        <v>1934</v>
      </c>
      <c r="D1026" s="41">
        <v>8435635304469</v>
      </c>
      <c r="E1026" s="43" t="s">
        <v>2623</v>
      </c>
      <c r="F1026" s="43" t="s">
        <v>1937</v>
      </c>
      <c r="G1026" s="43" t="s">
        <v>1938</v>
      </c>
      <c r="H1026" s="85" t="s">
        <v>2624</v>
      </c>
      <c r="I1026" s="23" t="s">
        <v>24</v>
      </c>
      <c r="J1026" s="44">
        <v>1510</v>
      </c>
      <c r="K1026" s="45">
        <v>0.25</v>
      </c>
      <c r="L1026" s="46">
        <f t="shared" si="141"/>
        <v>377.5</v>
      </c>
      <c r="M1026" s="47">
        <f t="shared" si="142"/>
        <v>1132.5</v>
      </c>
      <c r="N1026" s="48">
        <v>0.16</v>
      </c>
      <c r="O1026" s="49">
        <f t="shared" si="144"/>
        <v>181.20000000000002</v>
      </c>
      <c r="P1026" s="50">
        <f t="shared" si="145"/>
        <v>1313.7</v>
      </c>
      <c r="Q1026" s="23"/>
      <c r="R1026" s="60"/>
      <c r="S1026" s="61"/>
      <c r="T1026" s="62">
        <f t="shared" si="148"/>
        <v>0</v>
      </c>
      <c r="U1026" s="46">
        <f t="shared" si="148"/>
        <v>0</v>
      </c>
      <c r="V1026" s="63">
        <f t="shared" si="147"/>
        <v>0</v>
      </c>
      <c r="W1026" s="49">
        <f t="shared" si="143"/>
        <v>0</v>
      </c>
      <c r="X1026" s="50">
        <f t="shared" si="146"/>
        <v>0</v>
      </c>
      <c r="Y1026"/>
      <c r="Z1026"/>
      <c r="AA1026"/>
    </row>
    <row r="1027" spans="1:27" s="51" customFormat="1" ht="18.600000000000001" hidden="1" customHeight="1" x14ac:dyDescent="0.25">
      <c r="A1027" s="80" t="s">
        <v>16</v>
      </c>
      <c r="B1027" s="20" t="s">
        <v>1933</v>
      </c>
      <c r="C1027" s="21" t="s">
        <v>1934</v>
      </c>
      <c r="D1027" s="20">
        <v>8435635304476</v>
      </c>
      <c r="E1027" s="22" t="s">
        <v>2625</v>
      </c>
      <c r="F1027" s="22" t="s">
        <v>1937</v>
      </c>
      <c r="G1027" s="22" t="s">
        <v>1938</v>
      </c>
      <c r="H1027" s="83" t="s">
        <v>2626</v>
      </c>
      <c r="I1027" s="23" t="s">
        <v>24</v>
      </c>
      <c r="J1027" s="24">
        <v>1510</v>
      </c>
      <c r="K1027" s="25">
        <v>0.25</v>
      </c>
      <c r="L1027" s="26">
        <f t="shared" si="141"/>
        <v>377.5</v>
      </c>
      <c r="M1027" s="27">
        <f t="shared" si="142"/>
        <v>1132.5</v>
      </c>
      <c r="N1027" s="28">
        <v>0.16</v>
      </c>
      <c r="O1027" s="29">
        <f t="shared" si="144"/>
        <v>181.20000000000002</v>
      </c>
      <c r="P1027" s="30">
        <f t="shared" si="145"/>
        <v>1313.7</v>
      </c>
      <c r="Q1027" s="23"/>
      <c r="R1027" s="52"/>
      <c r="S1027" s="53"/>
      <c r="T1027" s="54">
        <f t="shared" si="148"/>
        <v>0</v>
      </c>
      <c r="U1027" s="26">
        <f t="shared" si="148"/>
        <v>0</v>
      </c>
      <c r="V1027" s="55">
        <f t="shared" si="147"/>
        <v>0</v>
      </c>
      <c r="W1027" s="29">
        <f t="shared" si="143"/>
        <v>0</v>
      </c>
      <c r="X1027" s="30">
        <f t="shared" si="146"/>
        <v>0</v>
      </c>
      <c r="Y1027"/>
      <c r="Z1027"/>
      <c r="AA1027"/>
    </row>
    <row r="1028" spans="1:27" s="51" customFormat="1" ht="18.600000000000001" hidden="1" customHeight="1" x14ac:dyDescent="0.25">
      <c r="A1028" s="81" t="s">
        <v>16</v>
      </c>
      <c r="B1028" s="31" t="s">
        <v>1933</v>
      </c>
      <c r="C1028" s="32" t="s">
        <v>1934</v>
      </c>
      <c r="D1028" s="31">
        <v>8435635304483</v>
      </c>
      <c r="E1028" s="33" t="s">
        <v>2627</v>
      </c>
      <c r="F1028" s="33" t="s">
        <v>1937</v>
      </c>
      <c r="G1028" s="33" t="s">
        <v>1938</v>
      </c>
      <c r="H1028" s="84" t="s">
        <v>2628</v>
      </c>
      <c r="I1028" s="23" t="s">
        <v>24</v>
      </c>
      <c r="J1028" s="34">
        <v>1510</v>
      </c>
      <c r="K1028" s="35">
        <v>0.25</v>
      </c>
      <c r="L1028" s="36">
        <f t="shared" si="141"/>
        <v>377.5</v>
      </c>
      <c r="M1028" s="37">
        <f t="shared" si="142"/>
        <v>1132.5</v>
      </c>
      <c r="N1028" s="38">
        <v>0.16</v>
      </c>
      <c r="O1028" s="39">
        <f t="shared" si="144"/>
        <v>181.20000000000002</v>
      </c>
      <c r="P1028" s="40">
        <f t="shared" si="145"/>
        <v>1313.7</v>
      </c>
      <c r="Q1028" s="23"/>
      <c r="R1028" s="56"/>
      <c r="S1028" s="57"/>
      <c r="T1028" s="58">
        <f t="shared" si="148"/>
        <v>0</v>
      </c>
      <c r="U1028" s="36">
        <f t="shared" si="148"/>
        <v>0</v>
      </c>
      <c r="V1028" s="59">
        <f t="shared" si="147"/>
        <v>0</v>
      </c>
      <c r="W1028" s="39">
        <f t="shared" si="143"/>
        <v>0</v>
      </c>
      <c r="X1028" s="40">
        <f t="shared" si="146"/>
        <v>0</v>
      </c>
      <c r="Y1028"/>
      <c r="Z1028"/>
      <c r="AA1028"/>
    </row>
    <row r="1029" spans="1:27" s="51" customFormat="1" ht="18.600000000000001" hidden="1" customHeight="1" x14ac:dyDescent="0.25">
      <c r="A1029" s="82" t="s">
        <v>16</v>
      </c>
      <c r="B1029" s="41" t="s">
        <v>1933</v>
      </c>
      <c r="C1029" s="42" t="s">
        <v>1934</v>
      </c>
      <c r="D1029" s="41">
        <v>8435635304490</v>
      </c>
      <c r="E1029" s="43" t="s">
        <v>2629</v>
      </c>
      <c r="F1029" s="43" t="s">
        <v>1937</v>
      </c>
      <c r="G1029" s="43" t="s">
        <v>1938</v>
      </c>
      <c r="H1029" s="85" t="s">
        <v>2630</v>
      </c>
      <c r="I1029" s="23" t="s">
        <v>24</v>
      </c>
      <c r="J1029" s="44">
        <v>1510</v>
      </c>
      <c r="K1029" s="45">
        <v>0.25</v>
      </c>
      <c r="L1029" s="46">
        <f t="shared" si="141"/>
        <v>377.5</v>
      </c>
      <c r="M1029" s="47">
        <f t="shared" si="142"/>
        <v>1132.5</v>
      </c>
      <c r="N1029" s="48">
        <v>0.16</v>
      </c>
      <c r="O1029" s="49">
        <f t="shared" si="144"/>
        <v>181.20000000000002</v>
      </c>
      <c r="P1029" s="50">
        <f t="shared" si="145"/>
        <v>1313.7</v>
      </c>
      <c r="Q1029" s="23"/>
      <c r="R1029" s="60"/>
      <c r="S1029" s="61"/>
      <c r="T1029" s="62">
        <f t="shared" si="148"/>
        <v>0</v>
      </c>
      <c r="U1029" s="46">
        <f t="shared" si="148"/>
        <v>0</v>
      </c>
      <c r="V1029" s="63">
        <f t="shared" si="147"/>
        <v>0</v>
      </c>
      <c r="W1029" s="49">
        <f t="shared" si="143"/>
        <v>0</v>
      </c>
      <c r="X1029" s="50">
        <f t="shared" si="146"/>
        <v>0</v>
      </c>
      <c r="Y1029"/>
      <c r="Z1029"/>
      <c r="AA1029"/>
    </row>
    <row r="1030" spans="1:27" s="51" customFormat="1" ht="18.600000000000001" hidden="1" customHeight="1" x14ac:dyDescent="0.25">
      <c r="A1030" s="80" t="s">
        <v>16</v>
      </c>
      <c r="B1030" s="20" t="s">
        <v>1933</v>
      </c>
      <c r="C1030" s="21" t="s">
        <v>1934</v>
      </c>
      <c r="D1030" s="20">
        <v>8435635304506</v>
      </c>
      <c r="E1030" s="22" t="s">
        <v>2631</v>
      </c>
      <c r="F1030" s="22" t="s">
        <v>1937</v>
      </c>
      <c r="G1030" s="22" t="s">
        <v>1938</v>
      </c>
      <c r="H1030" s="83" t="s">
        <v>2632</v>
      </c>
      <c r="I1030" s="23" t="s">
        <v>24</v>
      </c>
      <c r="J1030" s="24">
        <v>1510</v>
      </c>
      <c r="K1030" s="25">
        <v>0.25</v>
      </c>
      <c r="L1030" s="26">
        <f t="shared" si="141"/>
        <v>377.5</v>
      </c>
      <c r="M1030" s="27">
        <f t="shared" si="142"/>
        <v>1132.5</v>
      </c>
      <c r="N1030" s="28">
        <v>0.16</v>
      </c>
      <c r="O1030" s="29">
        <f t="shared" si="144"/>
        <v>181.20000000000002</v>
      </c>
      <c r="P1030" s="30">
        <f t="shared" si="145"/>
        <v>1313.7</v>
      </c>
      <c r="Q1030" s="23"/>
      <c r="R1030" s="52"/>
      <c r="S1030" s="53"/>
      <c r="T1030" s="54">
        <f t="shared" si="148"/>
        <v>0</v>
      </c>
      <c r="U1030" s="26">
        <f t="shared" si="148"/>
        <v>0</v>
      </c>
      <c r="V1030" s="55">
        <f t="shared" si="147"/>
        <v>0</v>
      </c>
      <c r="W1030" s="29">
        <f t="shared" si="143"/>
        <v>0</v>
      </c>
      <c r="X1030" s="30">
        <f t="shared" si="146"/>
        <v>0</v>
      </c>
      <c r="Y1030"/>
      <c r="Z1030"/>
      <c r="AA1030"/>
    </row>
    <row r="1031" spans="1:27" s="51" customFormat="1" ht="18.600000000000001" hidden="1" customHeight="1" x14ac:dyDescent="0.25">
      <c r="A1031" s="81" t="s">
        <v>16</v>
      </c>
      <c r="B1031" s="31" t="s">
        <v>1933</v>
      </c>
      <c r="C1031" s="32" t="s">
        <v>1934</v>
      </c>
      <c r="D1031" s="31">
        <v>8435635304513</v>
      </c>
      <c r="E1031" s="33" t="s">
        <v>2633</v>
      </c>
      <c r="F1031" s="33" t="s">
        <v>1937</v>
      </c>
      <c r="G1031" s="33" t="s">
        <v>1938</v>
      </c>
      <c r="H1031" s="84" t="s">
        <v>2634</v>
      </c>
      <c r="I1031" s="23" t="s">
        <v>24</v>
      </c>
      <c r="J1031" s="34">
        <v>1510</v>
      </c>
      <c r="K1031" s="35">
        <v>0.25</v>
      </c>
      <c r="L1031" s="36">
        <f t="shared" si="141"/>
        <v>377.5</v>
      </c>
      <c r="M1031" s="37">
        <f t="shared" si="142"/>
        <v>1132.5</v>
      </c>
      <c r="N1031" s="38">
        <v>0.16</v>
      </c>
      <c r="O1031" s="39">
        <f t="shared" si="144"/>
        <v>181.20000000000002</v>
      </c>
      <c r="P1031" s="40">
        <f t="shared" si="145"/>
        <v>1313.7</v>
      </c>
      <c r="Q1031" s="23"/>
      <c r="R1031" s="56"/>
      <c r="S1031" s="57"/>
      <c r="T1031" s="58">
        <f t="shared" si="148"/>
        <v>0</v>
      </c>
      <c r="U1031" s="36">
        <f t="shared" si="148"/>
        <v>0</v>
      </c>
      <c r="V1031" s="59">
        <f t="shared" si="147"/>
        <v>0</v>
      </c>
      <c r="W1031" s="39">
        <f t="shared" si="143"/>
        <v>0</v>
      </c>
      <c r="X1031" s="40">
        <f t="shared" si="146"/>
        <v>0</v>
      </c>
      <c r="Y1031"/>
      <c r="Z1031"/>
      <c r="AA1031"/>
    </row>
    <row r="1032" spans="1:27" s="51" customFormat="1" ht="18.600000000000001" hidden="1" customHeight="1" x14ac:dyDescent="0.25">
      <c r="A1032" s="82" t="s">
        <v>16</v>
      </c>
      <c r="B1032" s="41" t="s">
        <v>1933</v>
      </c>
      <c r="C1032" s="42" t="s">
        <v>1934</v>
      </c>
      <c r="D1032" s="41">
        <v>8435635304520</v>
      </c>
      <c r="E1032" s="43" t="s">
        <v>2635</v>
      </c>
      <c r="F1032" s="43" t="s">
        <v>1937</v>
      </c>
      <c r="G1032" s="43" t="s">
        <v>1938</v>
      </c>
      <c r="H1032" s="85" t="s">
        <v>2636</v>
      </c>
      <c r="I1032" s="23" t="s">
        <v>24</v>
      </c>
      <c r="J1032" s="44">
        <v>1510</v>
      </c>
      <c r="K1032" s="45">
        <v>0.25</v>
      </c>
      <c r="L1032" s="46">
        <f t="shared" si="141"/>
        <v>377.5</v>
      </c>
      <c r="M1032" s="47">
        <f t="shared" si="142"/>
        <v>1132.5</v>
      </c>
      <c r="N1032" s="48">
        <v>0.16</v>
      </c>
      <c r="O1032" s="49">
        <f t="shared" si="144"/>
        <v>181.20000000000002</v>
      </c>
      <c r="P1032" s="50">
        <f t="shared" si="145"/>
        <v>1313.7</v>
      </c>
      <c r="Q1032" s="23"/>
      <c r="R1032" s="60"/>
      <c r="S1032" s="61"/>
      <c r="T1032" s="62">
        <f t="shared" si="148"/>
        <v>0</v>
      </c>
      <c r="U1032" s="46">
        <f t="shared" si="148"/>
        <v>0</v>
      </c>
      <c r="V1032" s="63">
        <f t="shared" si="147"/>
        <v>0</v>
      </c>
      <c r="W1032" s="49">
        <f t="shared" si="143"/>
        <v>0</v>
      </c>
      <c r="X1032" s="50">
        <f t="shared" si="146"/>
        <v>0</v>
      </c>
      <c r="Y1032"/>
      <c r="Z1032"/>
      <c r="AA1032"/>
    </row>
    <row r="1033" spans="1:27" s="51" customFormat="1" ht="18.600000000000001" hidden="1" customHeight="1" x14ac:dyDescent="0.25">
      <c r="A1033" s="80" t="s">
        <v>16</v>
      </c>
      <c r="B1033" s="20" t="s">
        <v>1933</v>
      </c>
      <c r="C1033" s="21" t="s">
        <v>1934</v>
      </c>
      <c r="D1033" s="20">
        <v>8435635304537</v>
      </c>
      <c r="E1033" s="22" t="s">
        <v>2637</v>
      </c>
      <c r="F1033" s="22" t="s">
        <v>1937</v>
      </c>
      <c r="G1033" s="22" t="s">
        <v>1938</v>
      </c>
      <c r="H1033" s="83" t="s">
        <v>2638</v>
      </c>
      <c r="I1033" s="23" t="s">
        <v>24</v>
      </c>
      <c r="J1033" s="24">
        <v>1510</v>
      </c>
      <c r="K1033" s="25">
        <v>0.25</v>
      </c>
      <c r="L1033" s="26">
        <f t="shared" si="141"/>
        <v>377.5</v>
      </c>
      <c r="M1033" s="27">
        <f t="shared" si="142"/>
        <v>1132.5</v>
      </c>
      <c r="N1033" s="28">
        <v>0.16</v>
      </c>
      <c r="O1033" s="29">
        <f t="shared" si="144"/>
        <v>181.20000000000002</v>
      </c>
      <c r="P1033" s="30">
        <f t="shared" si="145"/>
        <v>1313.7</v>
      </c>
      <c r="Q1033" s="23"/>
      <c r="R1033" s="52"/>
      <c r="S1033" s="53"/>
      <c r="T1033" s="54">
        <f t="shared" si="148"/>
        <v>0</v>
      </c>
      <c r="U1033" s="26">
        <f t="shared" si="148"/>
        <v>0</v>
      </c>
      <c r="V1033" s="55">
        <f t="shared" si="147"/>
        <v>0</v>
      </c>
      <c r="W1033" s="29">
        <f t="shared" si="143"/>
        <v>0</v>
      </c>
      <c r="X1033" s="30">
        <f t="shared" si="146"/>
        <v>0</v>
      </c>
      <c r="Y1033"/>
      <c r="Z1033"/>
      <c r="AA1033"/>
    </row>
    <row r="1034" spans="1:27" s="51" customFormat="1" ht="18.600000000000001" hidden="1" customHeight="1" x14ac:dyDescent="0.25">
      <c r="A1034" s="81" t="s">
        <v>16</v>
      </c>
      <c r="B1034" s="31" t="s">
        <v>1933</v>
      </c>
      <c r="C1034" s="32" t="s">
        <v>1934</v>
      </c>
      <c r="D1034" s="31" t="s">
        <v>2639</v>
      </c>
      <c r="E1034" s="33" t="s">
        <v>2640</v>
      </c>
      <c r="F1034" s="33" t="s">
        <v>1937</v>
      </c>
      <c r="G1034" s="33" t="s">
        <v>1938</v>
      </c>
      <c r="H1034" s="84" t="s">
        <v>2641</v>
      </c>
      <c r="I1034" s="23" t="s">
        <v>24</v>
      </c>
      <c r="J1034" s="34">
        <v>1510</v>
      </c>
      <c r="K1034" s="35">
        <v>0.25</v>
      </c>
      <c r="L1034" s="36">
        <f t="shared" ref="L1034:L1038" si="149">+J1034*K1034</f>
        <v>377.5</v>
      </c>
      <c r="M1034" s="37">
        <f t="shared" ref="M1034:M1038" si="150">+J1034-L1034</f>
        <v>1132.5</v>
      </c>
      <c r="N1034" s="38">
        <v>0.16</v>
      </c>
      <c r="O1034" s="39">
        <f t="shared" si="144"/>
        <v>181.20000000000002</v>
      </c>
      <c r="P1034" s="40">
        <f t="shared" si="145"/>
        <v>1313.7</v>
      </c>
      <c r="Q1034" s="23"/>
      <c r="R1034" s="56"/>
      <c r="S1034" s="57"/>
      <c r="T1034" s="58">
        <f t="shared" si="148"/>
        <v>0</v>
      </c>
      <c r="U1034" s="36">
        <f t="shared" si="148"/>
        <v>0</v>
      </c>
      <c r="V1034" s="59">
        <f t="shared" si="147"/>
        <v>0</v>
      </c>
      <c r="W1034" s="39">
        <f t="shared" ref="W1034:W1038" si="151">+V1034*N1034</f>
        <v>0</v>
      </c>
      <c r="X1034" s="40">
        <f t="shared" si="146"/>
        <v>0</v>
      </c>
      <c r="Y1034"/>
      <c r="Z1034"/>
      <c r="AA1034"/>
    </row>
    <row r="1035" spans="1:27" s="51" customFormat="1" ht="18.600000000000001" hidden="1" customHeight="1" x14ac:dyDescent="0.25">
      <c r="A1035" s="82" t="s">
        <v>16</v>
      </c>
      <c r="B1035" s="41" t="s">
        <v>1933</v>
      </c>
      <c r="C1035" s="42" t="s">
        <v>1934</v>
      </c>
      <c r="D1035" s="41" t="s">
        <v>2642</v>
      </c>
      <c r="E1035" s="43" t="s">
        <v>2643</v>
      </c>
      <c r="F1035" s="43" t="s">
        <v>1937</v>
      </c>
      <c r="G1035" s="43" t="s">
        <v>2644</v>
      </c>
      <c r="H1035" s="85" t="s">
        <v>2645</v>
      </c>
      <c r="I1035" s="23" t="s">
        <v>24</v>
      </c>
      <c r="J1035" s="44">
        <v>1690</v>
      </c>
      <c r="K1035" s="45">
        <v>0.25</v>
      </c>
      <c r="L1035" s="46">
        <f t="shared" si="149"/>
        <v>422.5</v>
      </c>
      <c r="M1035" s="47">
        <f t="shared" si="150"/>
        <v>1267.5</v>
      </c>
      <c r="N1035" s="48">
        <v>0.16</v>
      </c>
      <c r="O1035" s="49">
        <f t="shared" ref="O1035:O1038" si="152">+M1035*N1035</f>
        <v>202.8</v>
      </c>
      <c r="P1035" s="50">
        <f t="shared" ref="P1035:P1038" si="153">+M1035+O1035</f>
        <v>1470.3</v>
      </c>
      <c r="Q1035" s="23"/>
      <c r="R1035" s="60"/>
      <c r="S1035" s="61"/>
      <c r="T1035" s="62">
        <f t="shared" si="148"/>
        <v>0</v>
      </c>
      <c r="U1035" s="46">
        <f t="shared" si="148"/>
        <v>0</v>
      </c>
      <c r="V1035" s="63">
        <f t="shared" si="147"/>
        <v>0</v>
      </c>
      <c r="W1035" s="49">
        <f t="shared" si="151"/>
        <v>0</v>
      </c>
      <c r="X1035" s="50">
        <f t="shared" ref="X1035:X1038" si="154">+V1035+W1035</f>
        <v>0</v>
      </c>
      <c r="Y1035"/>
      <c r="Z1035"/>
      <c r="AA1035"/>
    </row>
    <row r="1036" spans="1:27" s="51" customFormat="1" ht="18.600000000000001" hidden="1" customHeight="1" x14ac:dyDescent="0.25">
      <c r="A1036" s="80" t="s">
        <v>16</v>
      </c>
      <c r="B1036" s="20" t="s">
        <v>1933</v>
      </c>
      <c r="C1036" s="21" t="s">
        <v>1934</v>
      </c>
      <c r="D1036" s="20" t="s">
        <v>2646</v>
      </c>
      <c r="E1036" s="22" t="s">
        <v>2647</v>
      </c>
      <c r="F1036" s="22" t="s">
        <v>1937</v>
      </c>
      <c r="G1036" s="22" t="s">
        <v>1938</v>
      </c>
      <c r="H1036" s="83" t="s">
        <v>2648</v>
      </c>
      <c r="I1036" s="23" t="s">
        <v>24</v>
      </c>
      <c r="J1036" s="24">
        <v>1510</v>
      </c>
      <c r="K1036" s="25">
        <v>0.25</v>
      </c>
      <c r="L1036" s="26">
        <f t="shared" si="149"/>
        <v>377.5</v>
      </c>
      <c r="M1036" s="27">
        <f t="shared" si="150"/>
        <v>1132.5</v>
      </c>
      <c r="N1036" s="28">
        <v>0.16</v>
      </c>
      <c r="O1036" s="29">
        <f t="shared" si="152"/>
        <v>181.20000000000002</v>
      </c>
      <c r="P1036" s="30">
        <f t="shared" si="153"/>
        <v>1313.7</v>
      </c>
      <c r="Q1036" s="23"/>
      <c r="R1036" s="52"/>
      <c r="S1036" s="53"/>
      <c r="T1036" s="54">
        <f t="shared" si="148"/>
        <v>0</v>
      </c>
      <c r="U1036" s="26">
        <f t="shared" si="148"/>
        <v>0</v>
      </c>
      <c r="V1036" s="55">
        <f t="shared" si="147"/>
        <v>0</v>
      </c>
      <c r="W1036" s="29">
        <f t="shared" si="151"/>
        <v>0</v>
      </c>
      <c r="X1036" s="30">
        <f t="shared" si="154"/>
        <v>0</v>
      </c>
      <c r="Y1036"/>
      <c r="Z1036"/>
      <c r="AA1036"/>
    </row>
    <row r="1037" spans="1:27" s="51" customFormat="1" ht="18.600000000000001" hidden="1" customHeight="1" x14ac:dyDescent="0.25">
      <c r="A1037" s="81" t="s">
        <v>16</v>
      </c>
      <c r="B1037" s="31" t="s">
        <v>1933</v>
      </c>
      <c r="C1037" s="32" t="s">
        <v>1934</v>
      </c>
      <c r="D1037" s="31">
        <v>8435635307002</v>
      </c>
      <c r="E1037" s="33" t="s">
        <v>2649</v>
      </c>
      <c r="F1037" s="33" t="s">
        <v>1937</v>
      </c>
      <c r="G1037" s="33" t="s">
        <v>2105</v>
      </c>
      <c r="H1037" s="84" t="s">
        <v>2650</v>
      </c>
      <c r="I1037" s="23" t="s">
        <v>24</v>
      </c>
      <c r="J1037" s="34">
        <v>900</v>
      </c>
      <c r="K1037" s="35">
        <v>0.25</v>
      </c>
      <c r="L1037" s="36">
        <f t="shared" si="149"/>
        <v>225</v>
      </c>
      <c r="M1037" s="37">
        <f t="shared" si="150"/>
        <v>675</v>
      </c>
      <c r="N1037" s="38">
        <v>0.16</v>
      </c>
      <c r="O1037" s="39">
        <f t="shared" si="152"/>
        <v>108</v>
      </c>
      <c r="P1037" s="40">
        <f t="shared" si="153"/>
        <v>783</v>
      </c>
      <c r="Q1037" s="23"/>
      <c r="R1037" s="56"/>
      <c r="S1037" s="57"/>
      <c r="T1037" s="58">
        <f t="shared" si="148"/>
        <v>0</v>
      </c>
      <c r="U1037" s="36">
        <f t="shared" si="148"/>
        <v>0</v>
      </c>
      <c r="V1037" s="59">
        <f t="shared" si="147"/>
        <v>0</v>
      </c>
      <c r="W1037" s="39">
        <f t="shared" si="151"/>
        <v>0</v>
      </c>
      <c r="X1037" s="40">
        <f t="shared" si="154"/>
        <v>0</v>
      </c>
      <c r="Y1037"/>
      <c r="Z1037"/>
      <c r="AA1037"/>
    </row>
    <row r="1038" spans="1:27" s="51" customFormat="1" ht="18.600000000000001" hidden="1" customHeight="1" x14ac:dyDescent="0.25">
      <c r="A1038" s="82" t="s">
        <v>16</v>
      </c>
      <c r="B1038" s="41" t="s">
        <v>1933</v>
      </c>
      <c r="C1038" s="42" t="s">
        <v>1934</v>
      </c>
      <c r="D1038" s="41">
        <v>8435635307019</v>
      </c>
      <c r="E1038" s="43" t="s">
        <v>2651</v>
      </c>
      <c r="F1038" s="43" t="s">
        <v>1937</v>
      </c>
      <c r="G1038" s="43" t="s">
        <v>2105</v>
      </c>
      <c r="H1038" s="85" t="s">
        <v>2652</v>
      </c>
      <c r="I1038" s="23" t="s">
        <v>24</v>
      </c>
      <c r="J1038" s="44">
        <v>900</v>
      </c>
      <c r="K1038" s="45">
        <v>0.25</v>
      </c>
      <c r="L1038" s="46">
        <f t="shared" si="149"/>
        <v>225</v>
      </c>
      <c r="M1038" s="47">
        <f t="shared" si="150"/>
        <v>675</v>
      </c>
      <c r="N1038" s="48">
        <v>0.16</v>
      </c>
      <c r="O1038" s="49">
        <f t="shared" si="152"/>
        <v>108</v>
      </c>
      <c r="P1038" s="50">
        <f t="shared" si="153"/>
        <v>783</v>
      </c>
      <c r="Q1038" s="23"/>
      <c r="R1038" s="60"/>
      <c r="S1038" s="61"/>
      <c r="T1038" s="62">
        <f t="shared" si="148"/>
        <v>0</v>
      </c>
      <c r="U1038" s="46">
        <f t="shared" si="148"/>
        <v>0</v>
      </c>
      <c r="V1038" s="63">
        <f t="shared" si="147"/>
        <v>0</v>
      </c>
      <c r="W1038" s="49">
        <f t="shared" si="151"/>
        <v>0</v>
      </c>
      <c r="X1038" s="50">
        <f t="shared" si="154"/>
        <v>0</v>
      </c>
      <c r="Y1038"/>
      <c r="Z1038"/>
      <c r="AA1038"/>
    </row>
    <row r="1039" spans="1:27" s="51" customFormat="1" ht="18.600000000000001" hidden="1" customHeight="1" x14ac:dyDescent="0.25">
      <c r="A1039" s="80" t="s">
        <v>9065</v>
      </c>
      <c r="B1039" s="20" t="s">
        <v>9065</v>
      </c>
      <c r="C1039" s="21" t="s">
        <v>9066</v>
      </c>
      <c r="D1039" s="20"/>
      <c r="E1039" s="22" t="s">
        <v>9067</v>
      </c>
      <c r="F1039" s="22" t="s">
        <v>1937</v>
      </c>
      <c r="G1039" s="22"/>
      <c r="H1039" s="83" t="s">
        <v>9068</v>
      </c>
      <c r="I1039" s="23" t="s">
        <v>24</v>
      </c>
      <c r="J1039" s="24">
        <v>500</v>
      </c>
      <c r="K1039" s="25">
        <v>0.2</v>
      </c>
      <c r="L1039" s="26">
        <f t="shared" ref="L1039:L1061" si="155">+J1039*K1039</f>
        <v>100</v>
      </c>
      <c r="M1039" s="27">
        <f t="shared" ref="M1039:M1061" si="156">+J1039-L1039</f>
        <v>400</v>
      </c>
      <c r="N1039" s="28">
        <v>0.16</v>
      </c>
      <c r="O1039" s="29">
        <f t="shared" ref="O1039:O1062" si="157">+M1039*N1039</f>
        <v>64</v>
      </c>
      <c r="P1039" s="30">
        <f t="shared" ref="P1039:P1062" si="158">+M1039+O1039</f>
        <v>464</v>
      </c>
      <c r="Q1039" s="23"/>
      <c r="R1039" s="52"/>
      <c r="S1039" s="53"/>
      <c r="T1039" s="54">
        <f t="shared" ref="T1039:U1047" si="159">+S1039*J1039</f>
        <v>0</v>
      </c>
      <c r="U1039" s="26">
        <f t="shared" si="159"/>
        <v>0</v>
      </c>
      <c r="V1039" s="55">
        <f t="shared" ref="V1039:V1077" si="160">+T1039-U1039</f>
        <v>0</v>
      </c>
      <c r="W1039" s="29">
        <f t="shared" ref="W1039:W1061" si="161">+V1039*N1039</f>
        <v>0</v>
      </c>
      <c r="X1039" s="30">
        <f t="shared" ref="X1039:X1062" si="162">+V1039+W1039</f>
        <v>0</v>
      </c>
      <c r="Y1039"/>
      <c r="Z1039"/>
      <c r="AA1039"/>
    </row>
    <row r="1040" spans="1:27" s="51" customFormat="1" ht="18.600000000000001" hidden="1" customHeight="1" x14ac:dyDescent="0.25">
      <c r="A1040" s="81" t="s">
        <v>9065</v>
      </c>
      <c r="B1040" s="31" t="s">
        <v>9065</v>
      </c>
      <c r="C1040" s="32" t="s">
        <v>9066</v>
      </c>
      <c r="D1040" s="31"/>
      <c r="E1040" s="33" t="s">
        <v>9069</v>
      </c>
      <c r="F1040" s="33" t="s">
        <v>1937</v>
      </c>
      <c r="G1040" s="33"/>
      <c r="H1040" s="84" t="s">
        <v>9070</v>
      </c>
      <c r="I1040" s="23" t="s">
        <v>24</v>
      </c>
      <c r="J1040" s="34">
        <v>950</v>
      </c>
      <c r="K1040" s="35">
        <v>0.2</v>
      </c>
      <c r="L1040" s="36">
        <f t="shared" si="155"/>
        <v>190</v>
      </c>
      <c r="M1040" s="37">
        <f t="shared" si="156"/>
        <v>760</v>
      </c>
      <c r="N1040" s="38">
        <v>0.16</v>
      </c>
      <c r="O1040" s="39">
        <f t="shared" si="157"/>
        <v>121.60000000000001</v>
      </c>
      <c r="P1040" s="40">
        <f t="shared" si="158"/>
        <v>881.6</v>
      </c>
      <c r="Q1040" s="23"/>
      <c r="R1040" s="56"/>
      <c r="S1040" s="57"/>
      <c r="T1040" s="58">
        <f t="shared" si="159"/>
        <v>0</v>
      </c>
      <c r="U1040" s="36">
        <f t="shared" si="159"/>
        <v>0</v>
      </c>
      <c r="V1040" s="59">
        <f t="shared" si="160"/>
        <v>0</v>
      </c>
      <c r="W1040" s="39">
        <f t="shared" si="161"/>
        <v>0</v>
      </c>
      <c r="X1040" s="40">
        <f t="shared" si="162"/>
        <v>0</v>
      </c>
      <c r="Y1040"/>
      <c r="Z1040"/>
      <c r="AA1040"/>
    </row>
    <row r="1041" spans="1:27" s="51" customFormat="1" ht="18.600000000000001" hidden="1" customHeight="1" x14ac:dyDescent="0.25">
      <c r="A1041" s="82" t="s">
        <v>9065</v>
      </c>
      <c r="B1041" s="41" t="s">
        <v>9065</v>
      </c>
      <c r="C1041" s="42" t="s">
        <v>9066</v>
      </c>
      <c r="D1041" s="41"/>
      <c r="E1041" s="43" t="s">
        <v>9071</v>
      </c>
      <c r="F1041" s="43" t="s">
        <v>1937</v>
      </c>
      <c r="G1041" s="43"/>
      <c r="H1041" s="85" t="s">
        <v>9072</v>
      </c>
      <c r="I1041" s="23" t="s">
        <v>24</v>
      </c>
      <c r="J1041" s="44">
        <v>470</v>
      </c>
      <c r="K1041" s="45">
        <v>0.2</v>
      </c>
      <c r="L1041" s="46">
        <f t="shared" si="155"/>
        <v>94</v>
      </c>
      <c r="M1041" s="47">
        <f t="shared" si="156"/>
        <v>376</v>
      </c>
      <c r="N1041" s="48">
        <v>0.16</v>
      </c>
      <c r="O1041" s="49">
        <f t="shared" si="157"/>
        <v>60.160000000000004</v>
      </c>
      <c r="P1041" s="50">
        <f t="shared" si="158"/>
        <v>436.16</v>
      </c>
      <c r="Q1041" s="23"/>
      <c r="R1041" s="60"/>
      <c r="S1041" s="61"/>
      <c r="T1041" s="62">
        <f t="shared" si="159"/>
        <v>0</v>
      </c>
      <c r="U1041" s="46">
        <f t="shared" si="159"/>
        <v>0</v>
      </c>
      <c r="V1041" s="63">
        <f t="shared" si="160"/>
        <v>0</v>
      </c>
      <c r="W1041" s="49">
        <f t="shared" si="161"/>
        <v>0</v>
      </c>
      <c r="X1041" s="50">
        <f t="shared" si="162"/>
        <v>0</v>
      </c>
      <c r="Y1041"/>
      <c r="Z1041"/>
      <c r="AA1041"/>
    </row>
    <row r="1042" spans="1:27" s="51" customFormat="1" ht="18.600000000000001" hidden="1" customHeight="1" x14ac:dyDescent="0.25">
      <c r="A1042" s="80" t="s">
        <v>9065</v>
      </c>
      <c r="B1042" s="20" t="s">
        <v>9065</v>
      </c>
      <c r="C1042" s="21" t="s">
        <v>9066</v>
      </c>
      <c r="D1042" s="20"/>
      <c r="E1042" s="22" t="s">
        <v>9073</v>
      </c>
      <c r="F1042" s="22" t="s">
        <v>1937</v>
      </c>
      <c r="G1042" s="22"/>
      <c r="H1042" s="83" t="s">
        <v>9074</v>
      </c>
      <c r="I1042" s="23" t="s">
        <v>24</v>
      </c>
      <c r="J1042" s="24">
        <v>470</v>
      </c>
      <c r="K1042" s="25">
        <v>0.2</v>
      </c>
      <c r="L1042" s="26">
        <f t="shared" si="155"/>
        <v>94</v>
      </c>
      <c r="M1042" s="27">
        <f t="shared" si="156"/>
        <v>376</v>
      </c>
      <c r="N1042" s="28">
        <v>0.16</v>
      </c>
      <c r="O1042" s="29">
        <f t="shared" si="157"/>
        <v>60.160000000000004</v>
      </c>
      <c r="P1042" s="30">
        <f t="shared" si="158"/>
        <v>436.16</v>
      </c>
      <c r="Q1042" s="23"/>
      <c r="R1042" s="52"/>
      <c r="S1042" s="53"/>
      <c r="T1042" s="54">
        <f t="shared" si="159"/>
        <v>0</v>
      </c>
      <c r="U1042" s="26">
        <f t="shared" si="159"/>
        <v>0</v>
      </c>
      <c r="V1042" s="55">
        <f t="shared" si="160"/>
        <v>0</v>
      </c>
      <c r="W1042" s="29">
        <f t="shared" si="161"/>
        <v>0</v>
      </c>
      <c r="X1042" s="30">
        <f t="shared" si="162"/>
        <v>0</v>
      </c>
      <c r="Y1042"/>
      <c r="Z1042"/>
      <c r="AA1042"/>
    </row>
    <row r="1043" spans="1:27" s="51" customFormat="1" ht="18.600000000000001" hidden="1" customHeight="1" x14ac:dyDescent="0.25">
      <c r="A1043" s="81" t="s">
        <v>9065</v>
      </c>
      <c r="B1043" s="31" t="s">
        <v>9065</v>
      </c>
      <c r="C1043" s="32" t="s">
        <v>9066</v>
      </c>
      <c r="D1043" s="31"/>
      <c r="E1043" s="33" t="s">
        <v>9075</v>
      </c>
      <c r="F1043" s="33" t="s">
        <v>1937</v>
      </c>
      <c r="G1043" s="33"/>
      <c r="H1043" s="84" t="s">
        <v>9076</v>
      </c>
      <c r="I1043" s="23" t="s">
        <v>24</v>
      </c>
      <c r="J1043" s="34">
        <v>600</v>
      </c>
      <c r="K1043" s="35">
        <v>0.2</v>
      </c>
      <c r="L1043" s="36">
        <f t="shared" si="155"/>
        <v>120</v>
      </c>
      <c r="M1043" s="37">
        <f t="shared" si="156"/>
        <v>480</v>
      </c>
      <c r="N1043" s="38">
        <v>0.16</v>
      </c>
      <c r="O1043" s="39">
        <f t="shared" si="157"/>
        <v>76.8</v>
      </c>
      <c r="P1043" s="40">
        <f t="shared" si="158"/>
        <v>556.79999999999995</v>
      </c>
      <c r="Q1043" s="23"/>
      <c r="R1043" s="56"/>
      <c r="S1043" s="57"/>
      <c r="T1043" s="58">
        <f t="shared" si="159"/>
        <v>0</v>
      </c>
      <c r="U1043" s="36">
        <f t="shared" si="159"/>
        <v>0</v>
      </c>
      <c r="V1043" s="59">
        <f t="shared" si="160"/>
        <v>0</v>
      </c>
      <c r="W1043" s="39">
        <f t="shared" si="161"/>
        <v>0</v>
      </c>
      <c r="X1043" s="40">
        <f t="shared" si="162"/>
        <v>0</v>
      </c>
      <c r="Y1043"/>
      <c r="Z1043"/>
      <c r="AA1043"/>
    </row>
    <row r="1044" spans="1:27" s="51" customFormat="1" ht="18.600000000000001" hidden="1" customHeight="1" x14ac:dyDescent="0.25">
      <c r="A1044" s="82" t="s">
        <v>9065</v>
      </c>
      <c r="B1044" s="41" t="s">
        <v>9065</v>
      </c>
      <c r="C1044" s="42" t="s">
        <v>9066</v>
      </c>
      <c r="D1044" s="41"/>
      <c r="E1044" s="43" t="s">
        <v>9077</v>
      </c>
      <c r="F1044" s="43" t="s">
        <v>1937</v>
      </c>
      <c r="G1044" s="43"/>
      <c r="H1044" s="85" t="s">
        <v>9078</v>
      </c>
      <c r="I1044" s="23" t="s">
        <v>24</v>
      </c>
      <c r="J1044" s="44">
        <v>600</v>
      </c>
      <c r="K1044" s="45">
        <v>0.2</v>
      </c>
      <c r="L1044" s="46">
        <f t="shared" si="155"/>
        <v>120</v>
      </c>
      <c r="M1044" s="47">
        <f t="shared" si="156"/>
        <v>480</v>
      </c>
      <c r="N1044" s="48">
        <v>0.16</v>
      </c>
      <c r="O1044" s="49">
        <f t="shared" si="157"/>
        <v>76.8</v>
      </c>
      <c r="P1044" s="50">
        <f t="shared" si="158"/>
        <v>556.79999999999995</v>
      </c>
      <c r="Q1044" s="23"/>
      <c r="R1044" s="60"/>
      <c r="S1044" s="61"/>
      <c r="T1044" s="62">
        <f t="shared" si="159"/>
        <v>0</v>
      </c>
      <c r="U1044" s="46">
        <f t="shared" si="159"/>
        <v>0</v>
      </c>
      <c r="V1044" s="63">
        <f t="shared" si="160"/>
        <v>0</v>
      </c>
      <c r="W1044" s="49">
        <f t="shared" si="161"/>
        <v>0</v>
      </c>
      <c r="X1044" s="50">
        <f t="shared" si="162"/>
        <v>0</v>
      </c>
      <c r="Y1044"/>
      <c r="Z1044"/>
      <c r="AA1044"/>
    </row>
    <row r="1045" spans="1:27" s="51" customFormat="1" ht="18.600000000000001" hidden="1" customHeight="1" x14ac:dyDescent="0.25">
      <c r="A1045" s="80" t="s">
        <v>9065</v>
      </c>
      <c r="B1045" s="20" t="s">
        <v>9065</v>
      </c>
      <c r="C1045" s="21" t="s">
        <v>9066</v>
      </c>
      <c r="D1045" s="20"/>
      <c r="E1045" s="22" t="s">
        <v>9079</v>
      </c>
      <c r="F1045" s="22" t="s">
        <v>1937</v>
      </c>
      <c r="G1045" s="22"/>
      <c r="H1045" s="83" t="s">
        <v>9080</v>
      </c>
      <c r="I1045" s="23" t="s">
        <v>24</v>
      </c>
      <c r="J1045" s="24">
        <v>850</v>
      </c>
      <c r="K1045" s="25">
        <v>0.2</v>
      </c>
      <c r="L1045" s="26">
        <f t="shared" si="155"/>
        <v>170</v>
      </c>
      <c r="M1045" s="27">
        <f t="shared" si="156"/>
        <v>680</v>
      </c>
      <c r="N1045" s="28">
        <v>0.16</v>
      </c>
      <c r="O1045" s="29">
        <f t="shared" si="157"/>
        <v>108.8</v>
      </c>
      <c r="P1045" s="30">
        <f t="shared" si="158"/>
        <v>788.8</v>
      </c>
      <c r="Q1045" s="23"/>
      <c r="R1045" s="52"/>
      <c r="S1045" s="53"/>
      <c r="T1045" s="54">
        <f t="shared" si="159"/>
        <v>0</v>
      </c>
      <c r="U1045" s="26">
        <f t="shared" si="159"/>
        <v>0</v>
      </c>
      <c r="V1045" s="55">
        <f t="shared" si="160"/>
        <v>0</v>
      </c>
      <c r="W1045" s="29">
        <f t="shared" si="161"/>
        <v>0</v>
      </c>
      <c r="X1045" s="30">
        <f t="shared" si="162"/>
        <v>0</v>
      </c>
      <c r="Y1045"/>
      <c r="Z1045"/>
      <c r="AA1045"/>
    </row>
    <row r="1046" spans="1:27" s="51" customFormat="1" ht="18.600000000000001" hidden="1" customHeight="1" x14ac:dyDescent="0.25">
      <c r="A1046" s="81" t="s">
        <v>9065</v>
      </c>
      <c r="B1046" s="31" t="s">
        <v>9065</v>
      </c>
      <c r="C1046" s="32" t="s">
        <v>9066</v>
      </c>
      <c r="D1046" s="31"/>
      <c r="E1046" s="33" t="s">
        <v>9081</v>
      </c>
      <c r="F1046" s="33" t="s">
        <v>1937</v>
      </c>
      <c r="G1046" s="33"/>
      <c r="H1046" s="84" t="s">
        <v>9082</v>
      </c>
      <c r="I1046" s="23" t="s">
        <v>24</v>
      </c>
      <c r="J1046" s="34">
        <v>630</v>
      </c>
      <c r="K1046" s="35">
        <v>0.2</v>
      </c>
      <c r="L1046" s="36">
        <f t="shared" si="155"/>
        <v>126</v>
      </c>
      <c r="M1046" s="37">
        <f t="shared" si="156"/>
        <v>504</v>
      </c>
      <c r="N1046" s="38">
        <v>0.16</v>
      </c>
      <c r="O1046" s="39">
        <f t="shared" si="157"/>
        <v>80.64</v>
      </c>
      <c r="P1046" s="40">
        <f t="shared" si="158"/>
        <v>584.64</v>
      </c>
      <c r="Q1046" s="23"/>
      <c r="R1046" s="56"/>
      <c r="S1046" s="57"/>
      <c r="T1046" s="58">
        <f t="shared" si="159"/>
        <v>0</v>
      </c>
      <c r="U1046" s="36">
        <f t="shared" si="159"/>
        <v>0</v>
      </c>
      <c r="V1046" s="59">
        <f t="shared" si="160"/>
        <v>0</v>
      </c>
      <c r="W1046" s="39">
        <f t="shared" si="161"/>
        <v>0</v>
      </c>
      <c r="X1046" s="40">
        <f t="shared" si="162"/>
        <v>0</v>
      </c>
      <c r="Y1046"/>
      <c r="Z1046"/>
      <c r="AA1046"/>
    </row>
    <row r="1047" spans="1:27" s="51" customFormat="1" ht="18.600000000000001" hidden="1" customHeight="1" x14ac:dyDescent="0.25">
      <c r="A1047" s="82" t="s">
        <v>9065</v>
      </c>
      <c r="B1047" s="41" t="s">
        <v>9065</v>
      </c>
      <c r="C1047" s="42" t="s">
        <v>9066</v>
      </c>
      <c r="D1047" s="41"/>
      <c r="E1047" s="43" t="s">
        <v>9083</v>
      </c>
      <c r="F1047" s="43" t="s">
        <v>1937</v>
      </c>
      <c r="G1047" s="43"/>
      <c r="H1047" s="85" t="s">
        <v>9084</v>
      </c>
      <c r="I1047" s="23" t="s">
        <v>24</v>
      </c>
      <c r="J1047" s="44">
        <v>720</v>
      </c>
      <c r="K1047" s="45">
        <v>0.2</v>
      </c>
      <c r="L1047" s="46">
        <f t="shared" si="155"/>
        <v>144</v>
      </c>
      <c r="M1047" s="47">
        <f t="shared" si="156"/>
        <v>576</v>
      </c>
      <c r="N1047" s="48">
        <v>0.16</v>
      </c>
      <c r="O1047" s="49">
        <f t="shared" si="157"/>
        <v>92.16</v>
      </c>
      <c r="P1047" s="50">
        <f t="shared" si="158"/>
        <v>668.16</v>
      </c>
      <c r="Q1047" s="23"/>
      <c r="R1047" s="60"/>
      <c r="S1047" s="61"/>
      <c r="T1047" s="62">
        <f t="shared" si="159"/>
        <v>0</v>
      </c>
      <c r="U1047" s="46">
        <f t="shared" si="159"/>
        <v>0</v>
      </c>
      <c r="V1047" s="63">
        <f t="shared" si="160"/>
        <v>0</v>
      </c>
      <c r="W1047" s="49">
        <f t="shared" si="161"/>
        <v>0</v>
      </c>
      <c r="X1047" s="50">
        <f t="shared" si="162"/>
        <v>0</v>
      </c>
      <c r="Y1047"/>
      <c r="Z1047"/>
      <c r="AA1047"/>
    </row>
    <row r="1048" spans="1:27" s="51" customFormat="1" ht="18.600000000000001" hidden="1" customHeight="1" x14ac:dyDescent="0.25">
      <c r="A1048" s="80" t="s">
        <v>9065</v>
      </c>
      <c r="B1048" s="20" t="s">
        <v>9065</v>
      </c>
      <c r="C1048" s="21" t="s">
        <v>9066</v>
      </c>
      <c r="D1048" s="20"/>
      <c r="E1048" s="22" t="s">
        <v>9085</v>
      </c>
      <c r="F1048" s="22" t="s">
        <v>1937</v>
      </c>
      <c r="G1048" s="22"/>
      <c r="H1048" s="83" t="s">
        <v>9086</v>
      </c>
      <c r="I1048" s="23" t="s">
        <v>24</v>
      </c>
      <c r="J1048" s="24">
        <v>350</v>
      </c>
      <c r="K1048" s="25">
        <v>0.2</v>
      </c>
      <c r="L1048" s="26">
        <f t="shared" si="155"/>
        <v>70</v>
      </c>
      <c r="M1048" s="27">
        <f t="shared" si="156"/>
        <v>280</v>
      </c>
      <c r="N1048" s="28">
        <v>0.16</v>
      </c>
      <c r="O1048" s="29">
        <f t="shared" si="157"/>
        <v>44.800000000000004</v>
      </c>
      <c r="P1048" s="30">
        <f t="shared" si="158"/>
        <v>324.8</v>
      </c>
      <c r="Q1048" s="23"/>
      <c r="R1048" s="52"/>
      <c r="S1048" s="53"/>
      <c r="T1048" s="54">
        <f t="shared" ref="T1048:U1063" si="163">+S1048*J1048</f>
        <v>0</v>
      </c>
      <c r="U1048" s="26">
        <f t="shared" si="163"/>
        <v>0</v>
      </c>
      <c r="V1048" s="55">
        <f t="shared" si="160"/>
        <v>0</v>
      </c>
      <c r="W1048" s="29">
        <f t="shared" si="161"/>
        <v>0</v>
      </c>
      <c r="X1048" s="30">
        <f t="shared" si="162"/>
        <v>0</v>
      </c>
      <c r="Y1048"/>
      <c r="Z1048"/>
      <c r="AA1048"/>
    </row>
    <row r="1049" spans="1:27" s="51" customFormat="1" ht="18.600000000000001" hidden="1" customHeight="1" x14ac:dyDescent="0.25">
      <c r="A1049" s="81" t="s">
        <v>9065</v>
      </c>
      <c r="B1049" s="31" t="s">
        <v>9065</v>
      </c>
      <c r="C1049" s="32" t="s">
        <v>9066</v>
      </c>
      <c r="D1049" s="31"/>
      <c r="E1049" s="33" t="s">
        <v>9087</v>
      </c>
      <c r="F1049" s="33" t="s">
        <v>1937</v>
      </c>
      <c r="G1049" s="33"/>
      <c r="H1049" s="84" t="s">
        <v>9088</v>
      </c>
      <c r="I1049" s="23" t="s">
        <v>24</v>
      </c>
      <c r="J1049" s="34">
        <v>300</v>
      </c>
      <c r="K1049" s="35">
        <v>0.2</v>
      </c>
      <c r="L1049" s="36">
        <f t="shared" si="155"/>
        <v>60</v>
      </c>
      <c r="M1049" s="37">
        <f t="shared" si="156"/>
        <v>240</v>
      </c>
      <c r="N1049" s="38">
        <v>0.16</v>
      </c>
      <c r="O1049" s="39">
        <f t="shared" si="157"/>
        <v>38.4</v>
      </c>
      <c r="P1049" s="40">
        <f t="shared" si="158"/>
        <v>278.39999999999998</v>
      </c>
      <c r="Q1049" s="23"/>
      <c r="R1049" s="56"/>
      <c r="S1049" s="57"/>
      <c r="T1049" s="58">
        <f t="shared" si="163"/>
        <v>0</v>
      </c>
      <c r="U1049" s="36">
        <f t="shared" si="163"/>
        <v>0</v>
      </c>
      <c r="V1049" s="59">
        <f t="shared" si="160"/>
        <v>0</v>
      </c>
      <c r="W1049" s="39">
        <f t="shared" si="161"/>
        <v>0</v>
      </c>
      <c r="X1049" s="40">
        <f t="shared" si="162"/>
        <v>0</v>
      </c>
      <c r="Y1049"/>
      <c r="Z1049"/>
      <c r="AA1049"/>
    </row>
    <row r="1050" spans="1:27" s="51" customFormat="1" ht="18.600000000000001" hidden="1" customHeight="1" x14ac:dyDescent="0.25">
      <c r="A1050" s="82" t="s">
        <v>9065</v>
      </c>
      <c r="B1050" s="41" t="s">
        <v>9065</v>
      </c>
      <c r="C1050" s="42" t="s">
        <v>9066</v>
      </c>
      <c r="D1050" s="41"/>
      <c r="E1050" s="43" t="s">
        <v>9089</v>
      </c>
      <c r="F1050" s="43" t="s">
        <v>1937</v>
      </c>
      <c r="G1050" s="43"/>
      <c r="H1050" s="85" t="s">
        <v>9090</v>
      </c>
      <c r="I1050" s="23" t="s">
        <v>24</v>
      </c>
      <c r="J1050" s="44">
        <v>300</v>
      </c>
      <c r="K1050" s="45">
        <v>0.2</v>
      </c>
      <c r="L1050" s="46">
        <f t="shared" si="155"/>
        <v>60</v>
      </c>
      <c r="M1050" s="47">
        <f t="shared" si="156"/>
        <v>240</v>
      </c>
      <c r="N1050" s="48">
        <v>0.16</v>
      </c>
      <c r="O1050" s="49">
        <f t="shared" si="157"/>
        <v>38.4</v>
      </c>
      <c r="P1050" s="50">
        <f t="shared" si="158"/>
        <v>278.39999999999998</v>
      </c>
      <c r="Q1050" s="23"/>
      <c r="R1050" s="60"/>
      <c r="S1050" s="61"/>
      <c r="T1050" s="62">
        <f t="shared" si="163"/>
        <v>0</v>
      </c>
      <c r="U1050" s="46">
        <f t="shared" si="163"/>
        <v>0</v>
      </c>
      <c r="V1050" s="63">
        <f t="shared" si="160"/>
        <v>0</v>
      </c>
      <c r="W1050" s="49">
        <f t="shared" si="161"/>
        <v>0</v>
      </c>
      <c r="X1050" s="50">
        <f t="shared" si="162"/>
        <v>0</v>
      </c>
      <c r="Y1050"/>
      <c r="Z1050"/>
      <c r="AA1050"/>
    </row>
    <row r="1051" spans="1:27" s="51" customFormat="1" ht="18.600000000000001" hidden="1" customHeight="1" x14ac:dyDescent="0.25">
      <c r="A1051" s="80" t="s">
        <v>9065</v>
      </c>
      <c r="B1051" s="20" t="s">
        <v>9065</v>
      </c>
      <c r="C1051" s="21" t="s">
        <v>9066</v>
      </c>
      <c r="D1051" s="20"/>
      <c r="E1051" s="22" t="s">
        <v>9091</v>
      </c>
      <c r="F1051" s="22" t="s">
        <v>1937</v>
      </c>
      <c r="G1051" s="22"/>
      <c r="H1051" s="83" t="s">
        <v>9092</v>
      </c>
      <c r="I1051" s="23" t="s">
        <v>24</v>
      </c>
      <c r="J1051" s="24">
        <v>300</v>
      </c>
      <c r="K1051" s="25">
        <v>0.2</v>
      </c>
      <c r="L1051" s="26">
        <f t="shared" si="155"/>
        <v>60</v>
      </c>
      <c r="M1051" s="27">
        <f t="shared" si="156"/>
        <v>240</v>
      </c>
      <c r="N1051" s="28">
        <v>0.16</v>
      </c>
      <c r="O1051" s="29">
        <f t="shared" si="157"/>
        <v>38.4</v>
      </c>
      <c r="P1051" s="30">
        <f t="shared" si="158"/>
        <v>278.39999999999998</v>
      </c>
      <c r="Q1051" s="23"/>
      <c r="R1051" s="52"/>
      <c r="S1051" s="53"/>
      <c r="T1051" s="54">
        <f t="shared" si="163"/>
        <v>0</v>
      </c>
      <c r="U1051" s="26">
        <f t="shared" si="163"/>
        <v>0</v>
      </c>
      <c r="V1051" s="55">
        <f t="shared" si="160"/>
        <v>0</v>
      </c>
      <c r="W1051" s="29">
        <f t="shared" si="161"/>
        <v>0</v>
      </c>
      <c r="X1051" s="30">
        <f t="shared" si="162"/>
        <v>0</v>
      </c>
      <c r="Y1051"/>
      <c r="Z1051"/>
      <c r="AA1051"/>
    </row>
    <row r="1052" spans="1:27" s="51" customFormat="1" ht="18.600000000000001" hidden="1" customHeight="1" x14ac:dyDescent="0.25">
      <c r="A1052" s="81" t="s">
        <v>9065</v>
      </c>
      <c r="B1052" s="31" t="s">
        <v>9065</v>
      </c>
      <c r="C1052" s="32" t="s">
        <v>9066</v>
      </c>
      <c r="D1052" s="31"/>
      <c r="E1052" s="33" t="s">
        <v>9093</v>
      </c>
      <c r="F1052" s="33" t="s">
        <v>1937</v>
      </c>
      <c r="G1052" s="33"/>
      <c r="H1052" s="84" t="s">
        <v>9094</v>
      </c>
      <c r="I1052" s="23" t="s">
        <v>24</v>
      </c>
      <c r="J1052" s="34">
        <v>730</v>
      </c>
      <c r="K1052" s="35">
        <v>0.2</v>
      </c>
      <c r="L1052" s="36">
        <f t="shared" si="155"/>
        <v>146</v>
      </c>
      <c r="M1052" s="37">
        <f t="shared" si="156"/>
        <v>584</v>
      </c>
      <c r="N1052" s="38">
        <v>0.16</v>
      </c>
      <c r="O1052" s="39">
        <f t="shared" si="157"/>
        <v>93.44</v>
      </c>
      <c r="P1052" s="40">
        <f t="shared" si="158"/>
        <v>677.44</v>
      </c>
      <c r="Q1052" s="23"/>
      <c r="R1052" s="56"/>
      <c r="S1052" s="57"/>
      <c r="T1052" s="58">
        <f t="shared" si="163"/>
        <v>0</v>
      </c>
      <c r="U1052" s="36">
        <f t="shared" si="163"/>
        <v>0</v>
      </c>
      <c r="V1052" s="59">
        <f t="shared" si="160"/>
        <v>0</v>
      </c>
      <c r="W1052" s="39">
        <f t="shared" si="161"/>
        <v>0</v>
      </c>
      <c r="X1052" s="40">
        <f t="shared" si="162"/>
        <v>0</v>
      </c>
      <c r="Y1052"/>
      <c r="Z1052"/>
      <c r="AA1052"/>
    </row>
    <row r="1053" spans="1:27" s="51" customFormat="1" ht="18.600000000000001" hidden="1" customHeight="1" x14ac:dyDescent="0.25">
      <c r="A1053" s="82" t="s">
        <v>9065</v>
      </c>
      <c r="B1053" s="41" t="s">
        <v>9065</v>
      </c>
      <c r="C1053" s="42" t="s">
        <v>9066</v>
      </c>
      <c r="D1053" s="41"/>
      <c r="E1053" s="43" t="s">
        <v>9095</v>
      </c>
      <c r="F1053" s="43" t="s">
        <v>1937</v>
      </c>
      <c r="G1053" s="43"/>
      <c r="H1053" s="85" t="s">
        <v>9096</v>
      </c>
      <c r="I1053" s="23" t="s">
        <v>24</v>
      </c>
      <c r="J1053" s="44">
        <v>730</v>
      </c>
      <c r="K1053" s="45">
        <v>0.2</v>
      </c>
      <c r="L1053" s="46">
        <f t="shared" si="155"/>
        <v>146</v>
      </c>
      <c r="M1053" s="47">
        <f t="shared" si="156"/>
        <v>584</v>
      </c>
      <c r="N1053" s="48">
        <v>0.16</v>
      </c>
      <c r="O1053" s="49">
        <f t="shared" si="157"/>
        <v>93.44</v>
      </c>
      <c r="P1053" s="50">
        <f t="shared" si="158"/>
        <v>677.44</v>
      </c>
      <c r="Q1053" s="23"/>
      <c r="R1053" s="60"/>
      <c r="S1053" s="61"/>
      <c r="T1053" s="62">
        <f t="shared" si="163"/>
        <v>0</v>
      </c>
      <c r="U1053" s="46">
        <f t="shared" si="163"/>
        <v>0</v>
      </c>
      <c r="V1053" s="63">
        <f t="shared" si="160"/>
        <v>0</v>
      </c>
      <c r="W1053" s="49">
        <f t="shared" si="161"/>
        <v>0</v>
      </c>
      <c r="X1053" s="50">
        <f t="shared" si="162"/>
        <v>0</v>
      </c>
      <c r="Y1053"/>
      <c r="Z1053"/>
      <c r="AA1053"/>
    </row>
    <row r="1054" spans="1:27" s="51" customFormat="1" ht="18.600000000000001" hidden="1" customHeight="1" x14ac:dyDescent="0.25">
      <c r="A1054" s="80" t="s">
        <v>9065</v>
      </c>
      <c r="B1054" s="20" t="s">
        <v>9065</v>
      </c>
      <c r="C1054" s="21" t="s">
        <v>9066</v>
      </c>
      <c r="D1054" s="20"/>
      <c r="E1054" s="22" t="s">
        <v>9097</v>
      </c>
      <c r="F1054" s="22" t="s">
        <v>1937</v>
      </c>
      <c r="G1054" s="22"/>
      <c r="H1054" s="83" t="s">
        <v>9098</v>
      </c>
      <c r="I1054" s="23" t="s">
        <v>24</v>
      </c>
      <c r="J1054" s="24">
        <v>730</v>
      </c>
      <c r="K1054" s="25">
        <v>0.2</v>
      </c>
      <c r="L1054" s="26">
        <f t="shared" si="155"/>
        <v>146</v>
      </c>
      <c r="M1054" s="27">
        <f t="shared" si="156"/>
        <v>584</v>
      </c>
      <c r="N1054" s="28">
        <v>0.16</v>
      </c>
      <c r="O1054" s="29">
        <f t="shared" si="157"/>
        <v>93.44</v>
      </c>
      <c r="P1054" s="30">
        <f t="shared" si="158"/>
        <v>677.44</v>
      </c>
      <c r="Q1054" s="23"/>
      <c r="R1054" s="52"/>
      <c r="S1054" s="53"/>
      <c r="T1054" s="54">
        <f t="shared" si="163"/>
        <v>0</v>
      </c>
      <c r="U1054" s="26">
        <f t="shared" si="163"/>
        <v>0</v>
      </c>
      <c r="V1054" s="55">
        <f t="shared" si="160"/>
        <v>0</v>
      </c>
      <c r="W1054" s="29">
        <f t="shared" si="161"/>
        <v>0</v>
      </c>
      <c r="X1054" s="30">
        <f t="shared" si="162"/>
        <v>0</v>
      </c>
      <c r="Y1054"/>
      <c r="Z1054"/>
      <c r="AA1054"/>
    </row>
    <row r="1055" spans="1:27" s="51" customFormat="1" ht="18.600000000000001" hidden="1" customHeight="1" x14ac:dyDescent="0.25">
      <c r="A1055" s="81" t="s">
        <v>9065</v>
      </c>
      <c r="B1055" s="31" t="s">
        <v>9065</v>
      </c>
      <c r="C1055" s="32" t="s">
        <v>9066</v>
      </c>
      <c r="D1055" s="31"/>
      <c r="E1055" s="33" t="s">
        <v>9099</v>
      </c>
      <c r="F1055" s="33" t="s">
        <v>1937</v>
      </c>
      <c r="G1055" s="33"/>
      <c r="H1055" s="84" t="s">
        <v>9100</v>
      </c>
      <c r="I1055" s="23" t="s">
        <v>24</v>
      </c>
      <c r="J1055" s="34">
        <v>730</v>
      </c>
      <c r="K1055" s="35">
        <v>0.2</v>
      </c>
      <c r="L1055" s="36">
        <f t="shared" si="155"/>
        <v>146</v>
      </c>
      <c r="M1055" s="37">
        <f t="shared" si="156"/>
        <v>584</v>
      </c>
      <c r="N1055" s="38">
        <v>0.16</v>
      </c>
      <c r="O1055" s="39">
        <f t="shared" si="157"/>
        <v>93.44</v>
      </c>
      <c r="P1055" s="40">
        <f t="shared" si="158"/>
        <v>677.44</v>
      </c>
      <c r="Q1055" s="23"/>
      <c r="R1055" s="56"/>
      <c r="S1055" s="57"/>
      <c r="T1055" s="58">
        <f t="shared" si="163"/>
        <v>0</v>
      </c>
      <c r="U1055" s="36">
        <f t="shared" si="163"/>
        <v>0</v>
      </c>
      <c r="V1055" s="59">
        <f t="shared" si="160"/>
        <v>0</v>
      </c>
      <c r="W1055" s="39">
        <f t="shared" si="161"/>
        <v>0</v>
      </c>
      <c r="X1055" s="40">
        <f t="shared" si="162"/>
        <v>0</v>
      </c>
      <c r="Y1055"/>
      <c r="Z1055"/>
      <c r="AA1055"/>
    </row>
    <row r="1056" spans="1:27" s="51" customFormat="1" ht="18.600000000000001" hidden="1" customHeight="1" x14ac:dyDescent="0.25">
      <c r="A1056" s="82" t="s">
        <v>9065</v>
      </c>
      <c r="B1056" s="41" t="s">
        <v>9065</v>
      </c>
      <c r="C1056" s="42" t="s">
        <v>9066</v>
      </c>
      <c r="D1056" s="41"/>
      <c r="E1056" s="43" t="s">
        <v>9101</v>
      </c>
      <c r="F1056" s="43" t="s">
        <v>1937</v>
      </c>
      <c r="G1056" s="43"/>
      <c r="H1056" s="85" t="s">
        <v>9102</v>
      </c>
      <c r="I1056" s="23" t="s">
        <v>24</v>
      </c>
      <c r="J1056" s="44">
        <v>310</v>
      </c>
      <c r="K1056" s="45">
        <v>0.2</v>
      </c>
      <c r="L1056" s="46">
        <f t="shared" si="155"/>
        <v>62</v>
      </c>
      <c r="M1056" s="47">
        <f t="shared" si="156"/>
        <v>248</v>
      </c>
      <c r="N1056" s="48">
        <v>0.16</v>
      </c>
      <c r="O1056" s="49">
        <f t="shared" si="157"/>
        <v>39.68</v>
      </c>
      <c r="P1056" s="50">
        <f t="shared" si="158"/>
        <v>287.68</v>
      </c>
      <c r="Q1056" s="23"/>
      <c r="R1056" s="60"/>
      <c r="S1056" s="61"/>
      <c r="T1056" s="62">
        <f t="shared" si="163"/>
        <v>0</v>
      </c>
      <c r="U1056" s="46">
        <f t="shared" si="163"/>
        <v>0</v>
      </c>
      <c r="V1056" s="63">
        <f t="shared" si="160"/>
        <v>0</v>
      </c>
      <c r="W1056" s="49">
        <f t="shared" si="161"/>
        <v>0</v>
      </c>
      <c r="X1056" s="50">
        <f t="shared" si="162"/>
        <v>0</v>
      </c>
      <c r="Y1056"/>
      <c r="Z1056"/>
      <c r="AA1056"/>
    </row>
    <row r="1057" spans="1:27" s="51" customFormat="1" ht="18.600000000000001" hidden="1" customHeight="1" x14ac:dyDescent="0.25">
      <c r="A1057" s="80" t="s">
        <v>9065</v>
      </c>
      <c r="B1057" s="20" t="s">
        <v>9065</v>
      </c>
      <c r="C1057" s="21" t="s">
        <v>9066</v>
      </c>
      <c r="D1057" s="20"/>
      <c r="E1057" s="22" t="s">
        <v>9103</v>
      </c>
      <c r="F1057" s="22" t="s">
        <v>1937</v>
      </c>
      <c r="G1057" s="22"/>
      <c r="H1057" s="83" t="s">
        <v>9104</v>
      </c>
      <c r="I1057" s="23" t="s">
        <v>24</v>
      </c>
      <c r="J1057" s="24">
        <v>310</v>
      </c>
      <c r="K1057" s="25">
        <v>0.2</v>
      </c>
      <c r="L1057" s="26">
        <f t="shared" si="155"/>
        <v>62</v>
      </c>
      <c r="M1057" s="27">
        <f t="shared" si="156"/>
        <v>248</v>
      </c>
      <c r="N1057" s="28">
        <v>0.16</v>
      </c>
      <c r="O1057" s="29">
        <f t="shared" si="157"/>
        <v>39.68</v>
      </c>
      <c r="P1057" s="30">
        <f t="shared" si="158"/>
        <v>287.68</v>
      </c>
      <c r="Q1057" s="23"/>
      <c r="R1057" s="52"/>
      <c r="S1057" s="53"/>
      <c r="T1057" s="54">
        <f t="shared" si="163"/>
        <v>0</v>
      </c>
      <c r="U1057" s="26">
        <f t="shared" si="163"/>
        <v>0</v>
      </c>
      <c r="V1057" s="55">
        <f t="shared" si="160"/>
        <v>0</v>
      </c>
      <c r="W1057" s="29">
        <f t="shared" si="161"/>
        <v>0</v>
      </c>
      <c r="X1057" s="30">
        <f t="shared" si="162"/>
        <v>0</v>
      </c>
      <c r="Y1057"/>
      <c r="Z1057"/>
      <c r="AA1057"/>
    </row>
    <row r="1058" spans="1:27" s="51" customFormat="1" ht="18.600000000000001" hidden="1" customHeight="1" x14ac:dyDescent="0.25">
      <c r="A1058" s="81" t="s">
        <v>9065</v>
      </c>
      <c r="B1058" s="31" t="s">
        <v>9065</v>
      </c>
      <c r="C1058" s="32" t="s">
        <v>9066</v>
      </c>
      <c r="D1058" s="31"/>
      <c r="E1058" s="33" t="s">
        <v>9105</v>
      </c>
      <c r="F1058" s="33" t="s">
        <v>1937</v>
      </c>
      <c r="G1058" s="33"/>
      <c r="H1058" s="84" t="s">
        <v>9106</v>
      </c>
      <c r="I1058" s="23" t="s">
        <v>24</v>
      </c>
      <c r="J1058" s="34">
        <v>180</v>
      </c>
      <c r="K1058" s="35">
        <v>0.2</v>
      </c>
      <c r="L1058" s="36">
        <f t="shared" si="155"/>
        <v>36</v>
      </c>
      <c r="M1058" s="37">
        <f t="shared" si="156"/>
        <v>144</v>
      </c>
      <c r="N1058" s="38">
        <v>0.16</v>
      </c>
      <c r="O1058" s="39">
        <f t="shared" si="157"/>
        <v>23.04</v>
      </c>
      <c r="P1058" s="40">
        <f t="shared" si="158"/>
        <v>167.04</v>
      </c>
      <c r="Q1058" s="23"/>
      <c r="R1058" s="56"/>
      <c r="S1058" s="57"/>
      <c r="T1058" s="58">
        <f t="shared" si="163"/>
        <v>0</v>
      </c>
      <c r="U1058" s="36">
        <f t="shared" si="163"/>
        <v>0</v>
      </c>
      <c r="V1058" s="59">
        <f t="shared" si="160"/>
        <v>0</v>
      </c>
      <c r="W1058" s="39">
        <f t="shared" si="161"/>
        <v>0</v>
      </c>
      <c r="X1058" s="40">
        <f t="shared" si="162"/>
        <v>0</v>
      </c>
      <c r="Y1058"/>
      <c r="Z1058"/>
      <c r="AA1058"/>
    </row>
    <row r="1059" spans="1:27" s="51" customFormat="1" ht="18.600000000000001" hidden="1" customHeight="1" x14ac:dyDescent="0.25">
      <c r="A1059" s="82" t="s">
        <v>9065</v>
      </c>
      <c r="B1059" s="41" t="s">
        <v>9065</v>
      </c>
      <c r="C1059" s="42" t="s">
        <v>9066</v>
      </c>
      <c r="D1059" s="41"/>
      <c r="E1059" s="43" t="s">
        <v>9107</v>
      </c>
      <c r="F1059" s="43" t="s">
        <v>1937</v>
      </c>
      <c r="G1059" s="43"/>
      <c r="H1059" s="85" t="s">
        <v>9108</v>
      </c>
      <c r="I1059" s="23" t="s">
        <v>24</v>
      </c>
      <c r="J1059" s="44">
        <v>180</v>
      </c>
      <c r="K1059" s="45">
        <v>0.2</v>
      </c>
      <c r="L1059" s="46">
        <f t="shared" si="155"/>
        <v>36</v>
      </c>
      <c r="M1059" s="47">
        <f t="shared" si="156"/>
        <v>144</v>
      </c>
      <c r="N1059" s="48">
        <v>0.16</v>
      </c>
      <c r="O1059" s="49">
        <f t="shared" si="157"/>
        <v>23.04</v>
      </c>
      <c r="P1059" s="50">
        <f t="shared" si="158"/>
        <v>167.04</v>
      </c>
      <c r="Q1059" s="23"/>
      <c r="R1059" s="60"/>
      <c r="S1059" s="61"/>
      <c r="T1059" s="62">
        <f t="shared" si="163"/>
        <v>0</v>
      </c>
      <c r="U1059" s="46">
        <f t="shared" si="163"/>
        <v>0</v>
      </c>
      <c r="V1059" s="63">
        <f t="shared" si="160"/>
        <v>0</v>
      </c>
      <c r="W1059" s="49">
        <f t="shared" si="161"/>
        <v>0</v>
      </c>
      <c r="X1059" s="50">
        <f t="shared" si="162"/>
        <v>0</v>
      </c>
      <c r="Y1059"/>
      <c r="Z1059"/>
      <c r="AA1059"/>
    </row>
    <row r="1060" spans="1:27" s="51" customFormat="1" ht="18.600000000000001" hidden="1" customHeight="1" x14ac:dyDescent="0.25">
      <c r="A1060" s="80" t="s">
        <v>9065</v>
      </c>
      <c r="B1060" s="20" t="s">
        <v>9065</v>
      </c>
      <c r="C1060" s="21" t="s">
        <v>9066</v>
      </c>
      <c r="D1060" s="20"/>
      <c r="E1060" s="22" t="s">
        <v>9109</v>
      </c>
      <c r="F1060" s="22" t="s">
        <v>1937</v>
      </c>
      <c r="G1060" s="22"/>
      <c r="H1060" s="83" t="s">
        <v>9110</v>
      </c>
      <c r="I1060" s="23" t="s">
        <v>24</v>
      </c>
      <c r="J1060" s="24">
        <v>180</v>
      </c>
      <c r="K1060" s="25">
        <v>0.2</v>
      </c>
      <c r="L1060" s="26">
        <f t="shared" si="155"/>
        <v>36</v>
      </c>
      <c r="M1060" s="27">
        <f t="shared" si="156"/>
        <v>144</v>
      </c>
      <c r="N1060" s="28">
        <v>0.16</v>
      </c>
      <c r="O1060" s="29">
        <f t="shared" si="157"/>
        <v>23.04</v>
      </c>
      <c r="P1060" s="30">
        <f t="shared" si="158"/>
        <v>167.04</v>
      </c>
      <c r="Q1060" s="23"/>
      <c r="R1060" s="52"/>
      <c r="S1060" s="53"/>
      <c r="T1060" s="54">
        <f t="shared" si="163"/>
        <v>0</v>
      </c>
      <c r="U1060" s="26">
        <f t="shared" si="163"/>
        <v>0</v>
      </c>
      <c r="V1060" s="55">
        <f t="shared" si="160"/>
        <v>0</v>
      </c>
      <c r="W1060" s="29">
        <f t="shared" si="161"/>
        <v>0</v>
      </c>
      <c r="X1060" s="30">
        <f t="shared" si="162"/>
        <v>0</v>
      </c>
      <c r="Y1060"/>
      <c r="Z1060"/>
      <c r="AA1060"/>
    </row>
    <row r="1061" spans="1:27" s="51" customFormat="1" ht="18.600000000000001" hidden="1" customHeight="1" x14ac:dyDescent="0.25">
      <c r="A1061" s="81" t="s">
        <v>9065</v>
      </c>
      <c r="B1061" s="31" t="s">
        <v>9065</v>
      </c>
      <c r="C1061" s="32" t="s">
        <v>9066</v>
      </c>
      <c r="D1061" s="31"/>
      <c r="E1061" s="33" t="s">
        <v>9111</v>
      </c>
      <c r="F1061" s="33" t="s">
        <v>1937</v>
      </c>
      <c r="G1061" s="33"/>
      <c r="H1061" s="84" t="s">
        <v>9112</v>
      </c>
      <c r="I1061" s="23" t="s">
        <v>24</v>
      </c>
      <c r="J1061" s="34">
        <v>180</v>
      </c>
      <c r="K1061" s="35">
        <v>0.2</v>
      </c>
      <c r="L1061" s="36">
        <f t="shared" si="155"/>
        <v>36</v>
      </c>
      <c r="M1061" s="37">
        <f t="shared" si="156"/>
        <v>144</v>
      </c>
      <c r="N1061" s="38">
        <v>0.16</v>
      </c>
      <c r="O1061" s="39">
        <f t="shared" si="157"/>
        <v>23.04</v>
      </c>
      <c r="P1061" s="40">
        <f t="shared" si="158"/>
        <v>167.04</v>
      </c>
      <c r="Q1061" s="23"/>
      <c r="R1061" s="56"/>
      <c r="S1061" s="57"/>
      <c r="T1061" s="58">
        <f t="shared" si="163"/>
        <v>0</v>
      </c>
      <c r="U1061" s="36">
        <f t="shared" si="163"/>
        <v>0</v>
      </c>
      <c r="V1061" s="59">
        <f t="shared" si="160"/>
        <v>0</v>
      </c>
      <c r="W1061" s="39">
        <f t="shared" si="161"/>
        <v>0</v>
      </c>
      <c r="X1061" s="40">
        <f t="shared" si="162"/>
        <v>0</v>
      </c>
      <c r="Y1061"/>
      <c r="Z1061"/>
      <c r="AA1061"/>
    </row>
    <row r="1062" spans="1:27" s="51" customFormat="1" ht="18.600000000000001" hidden="1" customHeight="1" x14ac:dyDescent="0.25">
      <c r="A1062" s="82" t="s">
        <v>9065</v>
      </c>
      <c r="B1062" s="41" t="s">
        <v>9065</v>
      </c>
      <c r="C1062" s="42" t="s">
        <v>9066</v>
      </c>
      <c r="D1062" s="41"/>
      <c r="E1062" s="43" t="s">
        <v>9113</v>
      </c>
      <c r="F1062" s="43" t="s">
        <v>1937</v>
      </c>
      <c r="G1062" s="43"/>
      <c r="H1062" s="85" t="s">
        <v>9114</v>
      </c>
      <c r="I1062" s="23" t="s">
        <v>24</v>
      </c>
      <c r="J1062" s="44">
        <v>180</v>
      </c>
      <c r="K1062" s="45">
        <v>0.2</v>
      </c>
      <c r="L1062" s="46">
        <f t="shared" ref="L1062:L1101" si="164">+J1062*K1062</f>
        <v>36</v>
      </c>
      <c r="M1062" s="47">
        <f t="shared" ref="M1062:M1101" si="165">+J1062-L1062</f>
        <v>144</v>
      </c>
      <c r="N1062" s="48">
        <v>0.16</v>
      </c>
      <c r="O1062" s="49">
        <f t="shared" si="157"/>
        <v>23.04</v>
      </c>
      <c r="P1062" s="50">
        <f t="shared" si="158"/>
        <v>167.04</v>
      </c>
      <c r="Q1062" s="23"/>
      <c r="R1062" s="60"/>
      <c r="S1062" s="61"/>
      <c r="T1062" s="62">
        <f t="shared" si="163"/>
        <v>0</v>
      </c>
      <c r="U1062" s="46">
        <f t="shared" si="163"/>
        <v>0</v>
      </c>
      <c r="V1062" s="63">
        <f t="shared" si="160"/>
        <v>0</v>
      </c>
      <c r="W1062" s="49">
        <f t="shared" ref="W1062:W1101" si="166">+V1062*N1062</f>
        <v>0</v>
      </c>
      <c r="X1062" s="50">
        <f t="shared" si="162"/>
        <v>0</v>
      </c>
      <c r="Y1062"/>
      <c r="Z1062"/>
      <c r="AA1062"/>
    </row>
    <row r="1063" spans="1:27" s="51" customFormat="1" ht="18.600000000000001" hidden="1" customHeight="1" x14ac:dyDescent="0.25">
      <c r="A1063" s="80" t="s">
        <v>9065</v>
      </c>
      <c r="B1063" s="20" t="s">
        <v>9065</v>
      </c>
      <c r="C1063" s="21" t="s">
        <v>9066</v>
      </c>
      <c r="D1063" s="20"/>
      <c r="E1063" s="22" t="s">
        <v>9115</v>
      </c>
      <c r="F1063" s="22" t="s">
        <v>1937</v>
      </c>
      <c r="G1063" s="22"/>
      <c r="H1063" s="83" t="s">
        <v>9116</v>
      </c>
      <c r="I1063" s="23" t="s">
        <v>24</v>
      </c>
      <c r="J1063" s="24">
        <v>180</v>
      </c>
      <c r="K1063" s="25">
        <v>0.2</v>
      </c>
      <c r="L1063" s="26">
        <f t="shared" si="164"/>
        <v>36</v>
      </c>
      <c r="M1063" s="27">
        <f t="shared" si="165"/>
        <v>144</v>
      </c>
      <c r="N1063" s="28">
        <v>0.16</v>
      </c>
      <c r="O1063" s="29">
        <f t="shared" ref="O1063:O1101" si="167">+M1063*N1063</f>
        <v>23.04</v>
      </c>
      <c r="P1063" s="30">
        <f t="shared" ref="P1063:P1101" si="168">+M1063+O1063</f>
        <v>167.04</v>
      </c>
      <c r="Q1063" s="23"/>
      <c r="R1063" s="52"/>
      <c r="S1063" s="53"/>
      <c r="T1063" s="54">
        <f t="shared" si="163"/>
        <v>0</v>
      </c>
      <c r="U1063" s="26">
        <f t="shared" si="163"/>
        <v>0</v>
      </c>
      <c r="V1063" s="55">
        <f t="shared" si="160"/>
        <v>0</v>
      </c>
      <c r="W1063" s="29">
        <f t="shared" si="166"/>
        <v>0</v>
      </c>
      <c r="X1063" s="30">
        <f t="shared" ref="X1063:X1101" si="169">+V1063+W1063</f>
        <v>0</v>
      </c>
      <c r="Y1063"/>
      <c r="Z1063"/>
      <c r="AA1063"/>
    </row>
    <row r="1064" spans="1:27" s="51" customFormat="1" ht="18.600000000000001" hidden="1" customHeight="1" x14ac:dyDescent="0.25">
      <c r="A1064" s="81" t="s">
        <v>9065</v>
      </c>
      <c r="B1064" s="31" t="s">
        <v>9065</v>
      </c>
      <c r="C1064" s="32" t="s">
        <v>9066</v>
      </c>
      <c r="D1064" s="31"/>
      <c r="E1064" s="33" t="s">
        <v>9117</v>
      </c>
      <c r="F1064" s="33" t="s">
        <v>1937</v>
      </c>
      <c r="G1064" s="33"/>
      <c r="H1064" s="84" t="s">
        <v>9118</v>
      </c>
      <c r="I1064" s="23" t="s">
        <v>24</v>
      </c>
      <c r="J1064" s="34">
        <v>180</v>
      </c>
      <c r="K1064" s="35">
        <v>0.2</v>
      </c>
      <c r="L1064" s="36">
        <f t="shared" si="164"/>
        <v>36</v>
      </c>
      <c r="M1064" s="37">
        <f t="shared" si="165"/>
        <v>144</v>
      </c>
      <c r="N1064" s="38">
        <v>0.16</v>
      </c>
      <c r="O1064" s="39">
        <f t="shared" si="167"/>
        <v>23.04</v>
      </c>
      <c r="P1064" s="40">
        <f t="shared" si="168"/>
        <v>167.04</v>
      </c>
      <c r="Q1064" s="23"/>
      <c r="R1064" s="56"/>
      <c r="S1064" s="57"/>
      <c r="T1064" s="58">
        <f t="shared" ref="T1064:U1101" si="170">+S1064*J1064</f>
        <v>0</v>
      </c>
      <c r="U1064" s="36">
        <f t="shared" si="170"/>
        <v>0</v>
      </c>
      <c r="V1064" s="59">
        <f t="shared" si="160"/>
        <v>0</v>
      </c>
      <c r="W1064" s="39">
        <f t="shared" si="166"/>
        <v>0</v>
      </c>
      <c r="X1064" s="40">
        <f t="shared" si="169"/>
        <v>0</v>
      </c>
      <c r="Y1064"/>
      <c r="Z1064"/>
      <c r="AA1064"/>
    </row>
    <row r="1065" spans="1:27" s="51" customFormat="1" ht="18.600000000000001" hidden="1" customHeight="1" x14ac:dyDescent="0.25">
      <c r="A1065" s="82" t="s">
        <v>9065</v>
      </c>
      <c r="B1065" s="41" t="s">
        <v>9065</v>
      </c>
      <c r="C1065" s="42" t="s">
        <v>9066</v>
      </c>
      <c r="D1065" s="41"/>
      <c r="E1065" s="43" t="s">
        <v>9119</v>
      </c>
      <c r="F1065" s="43" t="s">
        <v>1937</v>
      </c>
      <c r="G1065" s="43"/>
      <c r="H1065" s="85" t="s">
        <v>9120</v>
      </c>
      <c r="I1065" s="23" t="s">
        <v>24</v>
      </c>
      <c r="J1065" s="44">
        <v>180</v>
      </c>
      <c r="K1065" s="45">
        <v>0.2</v>
      </c>
      <c r="L1065" s="46">
        <f t="shared" si="164"/>
        <v>36</v>
      </c>
      <c r="M1065" s="47">
        <f t="shared" si="165"/>
        <v>144</v>
      </c>
      <c r="N1065" s="48">
        <v>0.16</v>
      </c>
      <c r="O1065" s="49">
        <f t="shared" si="167"/>
        <v>23.04</v>
      </c>
      <c r="P1065" s="50">
        <f t="shared" si="168"/>
        <v>167.04</v>
      </c>
      <c r="Q1065" s="23"/>
      <c r="R1065" s="60"/>
      <c r="S1065" s="61"/>
      <c r="T1065" s="62">
        <f t="shared" si="170"/>
        <v>0</v>
      </c>
      <c r="U1065" s="46">
        <f t="shared" si="170"/>
        <v>0</v>
      </c>
      <c r="V1065" s="63">
        <f t="shared" si="160"/>
        <v>0</v>
      </c>
      <c r="W1065" s="49">
        <f t="shared" si="166"/>
        <v>0</v>
      </c>
      <c r="X1065" s="50">
        <f t="shared" si="169"/>
        <v>0</v>
      </c>
      <c r="Y1065"/>
      <c r="Z1065"/>
      <c r="AA1065"/>
    </row>
    <row r="1066" spans="1:27" s="51" customFormat="1" ht="18.600000000000001" hidden="1" customHeight="1" x14ac:dyDescent="0.25">
      <c r="A1066" s="80" t="s">
        <v>9065</v>
      </c>
      <c r="B1066" s="20" t="s">
        <v>9065</v>
      </c>
      <c r="C1066" s="21" t="s">
        <v>9066</v>
      </c>
      <c r="D1066" s="20"/>
      <c r="E1066" s="22" t="s">
        <v>9121</v>
      </c>
      <c r="F1066" s="22" t="s">
        <v>1937</v>
      </c>
      <c r="G1066" s="22"/>
      <c r="H1066" s="83" t="s">
        <v>9122</v>
      </c>
      <c r="I1066" s="23" t="s">
        <v>24</v>
      </c>
      <c r="J1066" s="24">
        <v>180</v>
      </c>
      <c r="K1066" s="25">
        <v>0.2</v>
      </c>
      <c r="L1066" s="26">
        <f t="shared" si="164"/>
        <v>36</v>
      </c>
      <c r="M1066" s="27">
        <f t="shared" si="165"/>
        <v>144</v>
      </c>
      <c r="N1066" s="28">
        <v>0.16</v>
      </c>
      <c r="O1066" s="29">
        <f t="shared" si="167"/>
        <v>23.04</v>
      </c>
      <c r="P1066" s="30">
        <f t="shared" si="168"/>
        <v>167.04</v>
      </c>
      <c r="Q1066" s="23"/>
      <c r="R1066" s="52"/>
      <c r="S1066" s="53"/>
      <c r="T1066" s="54">
        <f t="shared" si="170"/>
        <v>0</v>
      </c>
      <c r="U1066" s="26">
        <f t="shared" si="170"/>
        <v>0</v>
      </c>
      <c r="V1066" s="55">
        <f t="shared" si="160"/>
        <v>0</v>
      </c>
      <c r="W1066" s="29">
        <f t="shared" si="166"/>
        <v>0</v>
      </c>
      <c r="X1066" s="30">
        <f t="shared" si="169"/>
        <v>0</v>
      </c>
      <c r="Y1066"/>
      <c r="Z1066"/>
      <c r="AA1066"/>
    </row>
    <row r="1067" spans="1:27" s="51" customFormat="1" ht="18.600000000000001" hidden="1" customHeight="1" x14ac:dyDescent="0.25">
      <c r="A1067" s="81" t="s">
        <v>9065</v>
      </c>
      <c r="B1067" s="31" t="s">
        <v>9065</v>
      </c>
      <c r="C1067" s="32" t="s">
        <v>9066</v>
      </c>
      <c r="D1067" s="31"/>
      <c r="E1067" s="33" t="s">
        <v>9123</v>
      </c>
      <c r="F1067" s="33" t="s">
        <v>1937</v>
      </c>
      <c r="G1067" s="33"/>
      <c r="H1067" s="84" t="s">
        <v>9124</v>
      </c>
      <c r="I1067" s="23" t="s">
        <v>24</v>
      </c>
      <c r="J1067" s="34">
        <v>180</v>
      </c>
      <c r="K1067" s="35">
        <v>0.2</v>
      </c>
      <c r="L1067" s="36">
        <f t="shared" si="164"/>
        <v>36</v>
      </c>
      <c r="M1067" s="37">
        <f t="shared" si="165"/>
        <v>144</v>
      </c>
      <c r="N1067" s="38">
        <v>0.16</v>
      </c>
      <c r="O1067" s="39">
        <f t="shared" si="167"/>
        <v>23.04</v>
      </c>
      <c r="P1067" s="40">
        <f t="shared" si="168"/>
        <v>167.04</v>
      </c>
      <c r="Q1067" s="23"/>
      <c r="R1067" s="56"/>
      <c r="S1067" s="57"/>
      <c r="T1067" s="58">
        <f t="shared" si="170"/>
        <v>0</v>
      </c>
      <c r="U1067" s="36">
        <f t="shared" si="170"/>
        <v>0</v>
      </c>
      <c r="V1067" s="59">
        <f t="shared" si="160"/>
        <v>0</v>
      </c>
      <c r="W1067" s="39">
        <f t="shared" si="166"/>
        <v>0</v>
      </c>
      <c r="X1067" s="40">
        <f t="shared" si="169"/>
        <v>0</v>
      </c>
      <c r="Y1067"/>
      <c r="Z1067"/>
      <c r="AA1067"/>
    </row>
    <row r="1068" spans="1:27" s="51" customFormat="1" ht="18.600000000000001" hidden="1" customHeight="1" x14ac:dyDescent="0.25">
      <c r="A1068" s="82" t="s">
        <v>9065</v>
      </c>
      <c r="B1068" s="41" t="s">
        <v>9065</v>
      </c>
      <c r="C1068" s="42" t="s">
        <v>9066</v>
      </c>
      <c r="D1068" s="41"/>
      <c r="E1068" s="43" t="s">
        <v>9125</v>
      </c>
      <c r="F1068" s="43" t="s">
        <v>1937</v>
      </c>
      <c r="G1068" s="43"/>
      <c r="H1068" s="85" t="s">
        <v>9126</v>
      </c>
      <c r="I1068" s="23" t="s">
        <v>24</v>
      </c>
      <c r="J1068" s="44">
        <v>180</v>
      </c>
      <c r="K1068" s="45">
        <v>0.2</v>
      </c>
      <c r="L1068" s="46">
        <f t="shared" si="164"/>
        <v>36</v>
      </c>
      <c r="M1068" s="47">
        <f t="shared" si="165"/>
        <v>144</v>
      </c>
      <c r="N1068" s="48">
        <v>0.16</v>
      </c>
      <c r="O1068" s="49">
        <f t="shared" si="167"/>
        <v>23.04</v>
      </c>
      <c r="P1068" s="50">
        <f t="shared" si="168"/>
        <v>167.04</v>
      </c>
      <c r="Q1068" s="23"/>
      <c r="R1068" s="60"/>
      <c r="S1068" s="61"/>
      <c r="T1068" s="62">
        <f t="shared" si="170"/>
        <v>0</v>
      </c>
      <c r="U1068" s="46">
        <f t="shared" si="170"/>
        <v>0</v>
      </c>
      <c r="V1068" s="63">
        <f t="shared" si="160"/>
        <v>0</v>
      </c>
      <c r="W1068" s="49">
        <f t="shared" si="166"/>
        <v>0</v>
      </c>
      <c r="X1068" s="50">
        <f t="shared" si="169"/>
        <v>0</v>
      </c>
      <c r="Y1068"/>
      <c r="Z1068"/>
      <c r="AA1068"/>
    </row>
    <row r="1069" spans="1:27" s="51" customFormat="1" ht="18.600000000000001" hidden="1" customHeight="1" x14ac:dyDescent="0.25">
      <c r="A1069" s="80" t="s">
        <v>9065</v>
      </c>
      <c r="B1069" s="20" t="s">
        <v>9065</v>
      </c>
      <c r="C1069" s="21" t="s">
        <v>9066</v>
      </c>
      <c r="D1069" s="20"/>
      <c r="E1069" s="22" t="s">
        <v>9127</v>
      </c>
      <c r="F1069" s="22" t="s">
        <v>1937</v>
      </c>
      <c r="G1069" s="22"/>
      <c r="H1069" s="83" t="s">
        <v>9128</v>
      </c>
      <c r="I1069" s="23" t="s">
        <v>24</v>
      </c>
      <c r="J1069" s="24">
        <v>180</v>
      </c>
      <c r="K1069" s="25">
        <v>0.2</v>
      </c>
      <c r="L1069" s="26">
        <f t="shared" si="164"/>
        <v>36</v>
      </c>
      <c r="M1069" s="27">
        <f t="shared" si="165"/>
        <v>144</v>
      </c>
      <c r="N1069" s="28">
        <v>0.16</v>
      </c>
      <c r="O1069" s="29">
        <f t="shared" si="167"/>
        <v>23.04</v>
      </c>
      <c r="P1069" s="30">
        <f t="shared" si="168"/>
        <v>167.04</v>
      </c>
      <c r="Q1069" s="23"/>
      <c r="R1069" s="52"/>
      <c r="S1069" s="53"/>
      <c r="T1069" s="54">
        <f t="shared" si="170"/>
        <v>0</v>
      </c>
      <c r="U1069" s="26">
        <f t="shared" si="170"/>
        <v>0</v>
      </c>
      <c r="V1069" s="55">
        <f t="shared" si="160"/>
        <v>0</v>
      </c>
      <c r="W1069" s="29">
        <f t="shared" si="166"/>
        <v>0</v>
      </c>
      <c r="X1069" s="30">
        <f t="shared" si="169"/>
        <v>0</v>
      </c>
      <c r="Y1069"/>
      <c r="Z1069"/>
      <c r="AA1069"/>
    </row>
    <row r="1070" spans="1:27" s="51" customFormat="1" ht="18.600000000000001" hidden="1" customHeight="1" x14ac:dyDescent="0.25">
      <c r="A1070" s="81" t="s">
        <v>9065</v>
      </c>
      <c r="B1070" s="31" t="s">
        <v>9065</v>
      </c>
      <c r="C1070" s="32" t="s">
        <v>9066</v>
      </c>
      <c r="D1070" s="31"/>
      <c r="E1070" s="33" t="s">
        <v>9129</v>
      </c>
      <c r="F1070" s="33" t="s">
        <v>1937</v>
      </c>
      <c r="G1070" s="33"/>
      <c r="H1070" s="84" t="s">
        <v>9130</v>
      </c>
      <c r="I1070" s="23" t="s">
        <v>24</v>
      </c>
      <c r="J1070" s="34">
        <v>180</v>
      </c>
      <c r="K1070" s="35">
        <v>0.2</v>
      </c>
      <c r="L1070" s="36">
        <f t="shared" si="164"/>
        <v>36</v>
      </c>
      <c r="M1070" s="37">
        <f t="shared" si="165"/>
        <v>144</v>
      </c>
      <c r="N1070" s="38">
        <v>0.16</v>
      </c>
      <c r="O1070" s="39">
        <f t="shared" si="167"/>
        <v>23.04</v>
      </c>
      <c r="P1070" s="40">
        <f t="shared" si="168"/>
        <v>167.04</v>
      </c>
      <c r="Q1070" s="23"/>
      <c r="R1070" s="56"/>
      <c r="S1070" s="57"/>
      <c r="T1070" s="58">
        <f t="shared" si="170"/>
        <v>0</v>
      </c>
      <c r="U1070" s="36">
        <f t="shared" si="170"/>
        <v>0</v>
      </c>
      <c r="V1070" s="59">
        <f t="shared" si="160"/>
        <v>0</v>
      </c>
      <c r="W1070" s="39">
        <f t="shared" si="166"/>
        <v>0</v>
      </c>
      <c r="X1070" s="40">
        <f t="shared" si="169"/>
        <v>0</v>
      </c>
      <c r="Y1070"/>
      <c r="Z1070"/>
      <c r="AA1070"/>
    </row>
    <row r="1071" spans="1:27" s="51" customFormat="1" ht="18.600000000000001" hidden="1" customHeight="1" x14ac:dyDescent="0.25">
      <c r="A1071" s="82" t="s">
        <v>9065</v>
      </c>
      <c r="B1071" s="41" t="s">
        <v>9065</v>
      </c>
      <c r="C1071" s="42" t="s">
        <v>9066</v>
      </c>
      <c r="D1071" s="41"/>
      <c r="E1071" s="43" t="s">
        <v>9131</v>
      </c>
      <c r="F1071" s="43" t="s">
        <v>1937</v>
      </c>
      <c r="G1071" s="43"/>
      <c r="H1071" s="85" t="s">
        <v>9132</v>
      </c>
      <c r="I1071" s="23" t="s">
        <v>24</v>
      </c>
      <c r="J1071" s="44">
        <v>180</v>
      </c>
      <c r="K1071" s="45">
        <v>0.2</v>
      </c>
      <c r="L1071" s="46">
        <f t="shared" si="164"/>
        <v>36</v>
      </c>
      <c r="M1071" s="47">
        <f t="shared" si="165"/>
        <v>144</v>
      </c>
      <c r="N1071" s="48">
        <v>0.16</v>
      </c>
      <c r="O1071" s="49">
        <f t="shared" si="167"/>
        <v>23.04</v>
      </c>
      <c r="P1071" s="50">
        <f t="shared" si="168"/>
        <v>167.04</v>
      </c>
      <c r="Q1071" s="23"/>
      <c r="R1071" s="60"/>
      <c r="S1071" s="61"/>
      <c r="T1071" s="62">
        <f t="shared" si="170"/>
        <v>0</v>
      </c>
      <c r="U1071" s="46">
        <f t="shared" si="170"/>
        <v>0</v>
      </c>
      <c r="V1071" s="63">
        <f t="shared" si="160"/>
        <v>0</v>
      </c>
      <c r="W1071" s="49">
        <f t="shared" si="166"/>
        <v>0</v>
      </c>
      <c r="X1071" s="50">
        <f t="shared" si="169"/>
        <v>0</v>
      </c>
      <c r="Y1071"/>
      <c r="Z1071"/>
      <c r="AA1071"/>
    </row>
    <row r="1072" spans="1:27" s="51" customFormat="1" ht="18.600000000000001" hidden="1" customHeight="1" x14ac:dyDescent="0.25">
      <c r="A1072" s="80" t="s">
        <v>9065</v>
      </c>
      <c r="B1072" s="20" t="s">
        <v>9065</v>
      </c>
      <c r="C1072" s="21" t="s">
        <v>9066</v>
      </c>
      <c r="D1072" s="20"/>
      <c r="E1072" s="22" t="s">
        <v>9133</v>
      </c>
      <c r="F1072" s="22" t="s">
        <v>1937</v>
      </c>
      <c r="G1072" s="22"/>
      <c r="H1072" s="83" t="s">
        <v>9134</v>
      </c>
      <c r="I1072" s="23" t="s">
        <v>24</v>
      </c>
      <c r="J1072" s="24">
        <v>180</v>
      </c>
      <c r="K1072" s="25">
        <v>0.2</v>
      </c>
      <c r="L1072" s="26">
        <f t="shared" si="164"/>
        <v>36</v>
      </c>
      <c r="M1072" s="27">
        <f t="shared" si="165"/>
        <v>144</v>
      </c>
      <c r="N1072" s="28">
        <v>0.16</v>
      </c>
      <c r="O1072" s="29">
        <f t="shared" si="167"/>
        <v>23.04</v>
      </c>
      <c r="P1072" s="30">
        <f t="shared" si="168"/>
        <v>167.04</v>
      </c>
      <c r="Q1072" s="23"/>
      <c r="R1072" s="52"/>
      <c r="S1072" s="53"/>
      <c r="T1072" s="54">
        <f t="shared" si="170"/>
        <v>0</v>
      </c>
      <c r="U1072" s="26">
        <f t="shared" si="170"/>
        <v>0</v>
      </c>
      <c r="V1072" s="55">
        <f t="shared" si="160"/>
        <v>0</v>
      </c>
      <c r="W1072" s="29">
        <f t="shared" si="166"/>
        <v>0</v>
      </c>
      <c r="X1072" s="30">
        <f t="shared" si="169"/>
        <v>0</v>
      </c>
      <c r="Y1072"/>
      <c r="Z1072"/>
      <c r="AA1072"/>
    </row>
    <row r="1073" spans="1:27" s="51" customFormat="1" ht="18.600000000000001" hidden="1" customHeight="1" x14ac:dyDescent="0.25">
      <c r="A1073" s="81" t="s">
        <v>9065</v>
      </c>
      <c r="B1073" s="31" t="s">
        <v>9065</v>
      </c>
      <c r="C1073" s="32" t="s">
        <v>9066</v>
      </c>
      <c r="D1073" s="31"/>
      <c r="E1073" s="33" t="s">
        <v>9135</v>
      </c>
      <c r="F1073" s="33" t="s">
        <v>1937</v>
      </c>
      <c r="G1073" s="33"/>
      <c r="H1073" s="84" t="s">
        <v>9136</v>
      </c>
      <c r="I1073" s="23" t="s">
        <v>24</v>
      </c>
      <c r="J1073" s="34">
        <v>280</v>
      </c>
      <c r="K1073" s="35">
        <v>0.2</v>
      </c>
      <c r="L1073" s="36">
        <f t="shared" si="164"/>
        <v>56</v>
      </c>
      <c r="M1073" s="37">
        <f t="shared" si="165"/>
        <v>224</v>
      </c>
      <c r="N1073" s="38">
        <v>0.16</v>
      </c>
      <c r="O1073" s="39">
        <f t="shared" si="167"/>
        <v>35.840000000000003</v>
      </c>
      <c r="P1073" s="40">
        <f t="shared" si="168"/>
        <v>259.84000000000003</v>
      </c>
      <c r="Q1073" s="23"/>
      <c r="R1073" s="56"/>
      <c r="S1073" s="57"/>
      <c r="T1073" s="58">
        <f t="shared" si="170"/>
        <v>0</v>
      </c>
      <c r="U1073" s="36">
        <f t="shared" si="170"/>
        <v>0</v>
      </c>
      <c r="V1073" s="59">
        <f t="shared" si="160"/>
        <v>0</v>
      </c>
      <c r="W1073" s="39">
        <f t="shared" si="166"/>
        <v>0</v>
      </c>
      <c r="X1073" s="40">
        <f t="shared" si="169"/>
        <v>0</v>
      </c>
      <c r="Y1073"/>
      <c r="Z1073"/>
      <c r="AA1073"/>
    </row>
    <row r="1074" spans="1:27" s="51" customFormat="1" ht="18.600000000000001" hidden="1" customHeight="1" x14ac:dyDescent="0.25">
      <c r="A1074" s="82" t="s">
        <v>9065</v>
      </c>
      <c r="B1074" s="41" t="s">
        <v>9065</v>
      </c>
      <c r="C1074" s="42" t="s">
        <v>9066</v>
      </c>
      <c r="D1074" s="41"/>
      <c r="E1074" s="43" t="s">
        <v>9137</v>
      </c>
      <c r="F1074" s="43" t="s">
        <v>1937</v>
      </c>
      <c r="G1074" s="43"/>
      <c r="H1074" s="85" t="s">
        <v>9138</v>
      </c>
      <c r="I1074" s="23" t="s">
        <v>24</v>
      </c>
      <c r="J1074" s="44">
        <v>280</v>
      </c>
      <c r="K1074" s="45">
        <v>0.2</v>
      </c>
      <c r="L1074" s="46">
        <f t="shared" si="164"/>
        <v>56</v>
      </c>
      <c r="M1074" s="47">
        <f t="shared" si="165"/>
        <v>224</v>
      </c>
      <c r="N1074" s="48">
        <v>0.16</v>
      </c>
      <c r="O1074" s="49">
        <f t="shared" si="167"/>
        <v>35.840000000000003</v>
      </c>
      <c r="P1074" s="50">
        <f t="shared" si="168"/>
        <v>259.84000000000003</v>
      </c>
      <c r="Q1074" s="23"/>
      <c r="R1074" s="60"/>
      <c r="S1074" s="61"/>
      <c r="T1074" s="62">
        <f t="shared" si="170"/>
        <v>0</v>
      </c>
      <c r="U1074" s="46">
        <f t="shared" si="170"/>
        <v>0</v>
      </c>
      <c r="V1074" s="63">
        <f t="shared" si="160"/>
        <v>0</v>
      </c>
      <c r="W1074" s="49">
        <f t="shared" si="166"/>
        <v>0</v>
      </c>
      <c r="X1074" s="50">
        <f t="shared" si="169"/>
        <v>0</v>
      </c>
      <c r="Y1074"/>
      <c r="Z1074"/>
      <c r="AA1074"/>
    </row>
    <row r="1075" spans="1:27" s="51" customFormat="1" ht="18.600000000000001" hidden="1" customHeight="1" x14ac:dyDescent="0.25">
      <c r="A1075" s="80" t="s">
        <v>9065</v>
      </c>
      <c r="B1075" s="20" t="s">
        <v>9065</v>
      </c>
      <c r="C1075" s="21" t="s">
        <v>9066</v>
      </c>
      <c r="D1075" s="20"/>
      <c r="E1075" s="22" t="s">
        <v>9139</v>
      </c>
      <c r="F1075" s="22" t="s">
        <v>1937</v>
      </c>
      <c r="G1075" s="22"/>
      <c r="H1075" s="83" t="s">
        <v>9140</v>
      </c>
      <c r="I1075" s="23" t="s">
        <v>24</v>
      </c>
      <c r="J1075" s="24">
        <v>300</v>
      </c>
      <c r="K1075" s="25">
        <v>0.2</v>
      </c>
      <c r="L1075" s="26">
        <f t="shared" si="164"/>
        <v>60</v>
      </c>
      <c r="M1075" s="27">
        <f t="shared" si="165"/>
        <v>240</v>
      </c>
      <c r="N1075" s="28">
        <v>0.16</v>
      </c>
      <c r="O1075" s="29">
        <f t="shared" si="167"/>
        <v>38.4</v>
      </c>
      <c r="P1075" s="30">
        <f t="shared" si="168"/>
        <v>278.39999999999998</v>
      </c>
      <c r="Q1075" s="23"/>
      <c r="R1075" s="52"/>
      <c r="S1075" s="53"/>
      <c r="T1075" s="54">
        <f t="shared" si="170"/>
        <v>0</v>
      </c>
      <c r="U1075" s="26">
        <f t="shared" si="170"/>
        <v>0</v>
      </c>
      <c r="V1075" s="55">
        <f t="shared" si="160"/>
        <v>0</v>
      </c>
      <c r="W1075" s="29">
        <f t="shared" si="166"/>
        <v>0</v>
      </c>
      <c r="X1075" s="30">
        <f t="shared" si="169"/>
        <v>0</v>
      </c>
      <c r="Y1075"/>
      <c r="Z1075"/>
      <c r="AA1075"/>
    </row>
    <row r="1076" spans="1:27" s="51" customFormat="1" ht="18.600000000000001" hidden="1" customHeight="1" x14ac:dyDescent="0.25">
      <c r="A1076" s="81" t="s">
        <v>9065</v>
      </c>
      <c r="B1076" s="31" t="s">
        <v>9065</v>
      </c>
      <c r="C1076" s="32" t="s">
        <v>9066</v>
      </c>
      <c r="D1076" s="31"/>
      <c r="E1076" s="33" t="s">
        <v>9141</v>
      </c>
      <c r="F1076" s="33" t="s">
        <v>1937</v>
      </c>
      <c r="G1076" s="33"/>
      <c r="H1076" s="84" t="s">
        <v>9142</v>
      </c>
      <c r="I1076" s="23" t="s">
        <v>24</v>
      </c>
      <c r="J1076" s="34">
        <v>280</v>
      </c>
      <c r="K1076" s="35">
        <v>0.2</v>
      </c>
      <c r="L1076" s="36">
        <f t="shared" si="164"/>
        <v>56</v>
      </c>
      <c r="M1076" s="37">
        <f t="shared" si="165"/>
        <v>224</v>
      </c>
      <c r="N1076" s="38">
        <v>0.16</v>
      </c>
      <c r="O1076" s="39">
        <f t="shared" si="167"/>
        <v>35.840000000000003</v>
      </c>
      <c r="P1076" s="40">
        <f t="shared" si="168"/>
        <v>259.84000000000003</v>
      </c>
      <c r="Q1076" s="23"/>
      <c r="R1076" s="56"/>
      <c r="S1076" s="57"/>
      <c r="T1076" s="58">
        <f t="shared" si="170"/>
        <v>0</v>
      </c>
      <c r="U1076" s="36">
        <f t="shared" si="170"/>
        <v>0</v>
      </c>
      <c r="V1076" s="59">
        <f t="shared" si="160"/>
        <v>0</v>
      </c>
      <c r="W1076" s="39">
        <f t="shared" si="166"/>
        <v>0</v>
      </c>
      <c r="X1076" s="40">
        <f t="shared" si="169"/>
        <v>0</v>
      </c>
      <c r="Y1076"/>
      <c r="Z1076"/>
      <c r="AA1076"/>
    </row>
    <row r="1077" spans="1:27" s="51" customFormat="1" ht="18.600000000000001" hidden="1" customHeight="1" x14ac:dyDescent="0.25">
      <c r="A1077" s="82" t="s">
        <v>9065</v>
      </c>
      <c r="B1077" s="41" t="s">
        <v>9065</v>
      </c>
      <c r="C1077" s="42" t="s">
        <v>9066</v>
      </c>
      <c r="D1077" s="41"/>
      <c r="E1077" s="43" t="s">
        <v>9143</v>
      </c>
      <c r="F1077" s="43" t="s">
        <v>1937</v>
      </c>
      <c r="G1077" s="43"/>
      <c r="H1077" s="85" t="s">
        <v>9144</v>
      </c>
      <c r="I1077" s="23" t="s">
        <v>24</v>
      </c>
      <c r="J1077" s="44">
        <v>550</v>
      </c>
      <c r="K1077" s="45">
        <v>0.2</v>
      </c>
      <c r="L1077" s="46">
        <f t="shared" si="164"/>
        <v>110</v>
      </c>
      <c r="M1077" s="47">
        <f t="shared" si="165"/>
        <v>440</v>
      </c>
      <c r="N1077" s="48">
        <v>0.16</v>
      </c>
      <c r="O1077" s="49">
        <f t="shared" si="167"/>
        <v>70.400000000000006</v>
      </c>
      <c r="P1077" s="50">
        <f t="shared" si="168"/>
        <v>510.4</v>
      </c>
      <c r="Q1077" s="23"/>
      <c r="R1077" s="60"/>
      <c r="S1077" s="61"/>
      <c r="T1077" s="62">
        <f t="shared" si="170"/>
        <v>0</v>
      </c>
      <c r="U1077" s="46">
        <f t="shared" si="170"/>
        <v>0</v>
      </c>
      <c r="V1077" s="63">
        <f t="shared" si="160"/>
        <v>0</v>
      </c>
      <c r="W1077" s="49">
        <f t="shared" si="166"/>
        <v>0</v>
      </c>
      <c r="X1077" s="50">
        <f t="shared" si="169"/>
        <v>0</v>
      </c>
      <c r="Y1077"/>
      <c r="Z1077"/>
      <c r="AA1077"/>
    </row>
    <row r="1078" spans="1:27" s="51" customFormat="1" ht="18.600000000000001" hidden="1" customHeight="1" x14ac:dyDescent="0.25">
      <c r="A1078" s="80" t="s">
        <v>9065</v>
      </c>
      <c r="B1078" s="20" t="s">
        <v>9065</v>
      </c>
      <c r="C1078" s="21" t="s">
        <v>9066</v>
      </c>
      <c r="D1078" s="20"/>
      <c r="E1078" s="22" t="s">
        <v>9145</v>
      </c>
      <c r="F1078" s="22" t="s">
        <v>1937</v>
      </c>
      <c r="G1078" s="22"/>
      <c r="H1078" s="83" t="s">
        <v>9146</v>
      </c>
      <c r="I1078" s="23" t="s">
        <v>24</v>
      </c>
      <c r="J1078" s="24">
        <v>300</v>
      </c>
      <c r="K1078" s="25">
        <v>0.2</v>
      </c>
      <c r="L1078" s="26">
        <f t="shared" si="164"/>
        <v>60</v>
      </c>
      <c r="M1078" s="27">
        <f t="shared" si="165"/>
        <v>240</v>
      </c>
      <c r="N1078" s="28">
        <v>0.16</v>
      </c>
      <c r="O1078" s="29">
        <f t="shared" si="167"/>
        <v>38.4</v>
      </c>
      <c r="P1078" s="30">
        <f t="shared" si="168"/>
        <v>278.39999999999998</v>
      </c>
      <c r="Q1078" s="23"/>
      <c r="R1078" s="52"/>
      <c r="S1078" s="53"/>
      <c r="T1078" s="54">
        <f t="shared" si="170"/>
        <v>0</v>
      </c>
      <c r="U1078" s="26">
        <f t="shared" si="170"/>
        <v>0</v>
      </c>
      <c r="V1078" s="55">
        <f t="shared" ref="V1078:V1101" si="171">+T1078-U1078</f>
        <v>0</v>
      </c>
      <c r="W1078" s="29">
        <f t="shared" si="166"/>
        <v>0</v>
      </c>
      <c r="X1078" s="30">
        <f t="shared" si="169"/>
        <v>0</v>
      </c>
      <c r="Y1078"/>
      <c r="Z1078"/>
      <c r="AA1078"/>
    </row>
    <row r="1079" spans="1:27" s="51" customFormat="1" ht="18.600000000000001" hidden="1" customHeight="1" x14ac:dyDescent="0.25">
      <c r="A1079" s="81" t="s">
        <v>9065</v>
      </c>
      <c r="B1079" s="31" t="s">
        <v>9065</v>
      </c>
      <c r="C1079" s="32" t="s">
        <v>9066</v>
      </c>
      <c r="D1079" s="31"/>
      <c r="E1079" s="33" t="s">
        <v>9147</v>
      </c>
      <c r="F1079" s="33" t="s">
        <v>1937</v>
      </c>
      <c r="G1079" s="33"/>
      <c r="H1079" s="84" t="s">
        <v>9148</v>
      </c>
      <c r="I1079" s="23" t="s">
        <v>24</v>
      </c>
      <c r="J1079" s="34">
        <v>300</v>
      </c>
      <c r="K1079" s="35">
        <v>0.2</v>
      </c>
      <c r="L1079" s="36">
        <f t="shared" si="164"/>
        <v>60</v>
      </c>
      <c r="M1079" s="37">
        <f t="shared" si="165"/>
        <v>240</v>
      </c>
      <c r="N1079" s="38">
        <v>0.16</v>
      </c>
      <c r="O1079" s="39">
        <f t="shared" si="167"/>
        <v>38.4</v>
      </c>
      <c r="P1079" s="40">
        <f t="shared" si="168"/>
        <v>278.39999999999998</v>
      </c>
      <c r="Q1079" s="23"/>
      <c r="R1079" s="56"/>
      <c r="S1079" s="57"/>
      <c r="T1079" s="58">
        <f t="shared" si="170"/>
        <v>0</v>
      </c>
      <c r="U1079" s="36">
        <f t="shared" si="170"/>
        <v>0</v>
      </c>
      <c r="V1079" s="59">
        <f t="shared" si="171"/>
        <v>0</v>
      </c>
      <c r="W1079" s="39">
        <f t="shared" si="166"/>
        <v>0</v>
      </c>
      <c r="X1079" s="40">
        <f t="shared" si="169"/>
        <v>0</v>
      </c>
      <c r="Y1079"/>
      <c r="Z1079"/>
      <c r="AA1079"/>
    </row>
    <row r="1080" spans="1:27" s="51" customFormat="1" ht="18.600000000000001" hidden="1" customHeight="1" x14ac:dyDescent="0.25">
      <c r="A1080" s="82" t="s">
        <v>9065</v>
      </c>
      <c r="B1080" s="41" t="s">
        <v>9065</v>
      </c>
      <c r="C1080" s="42" t="s">
        <v>9066</v>
      </c>
      <c r="D1080" s="41"/>
      <c r="E1080" s="43" t="s">
        <v>9149</v>
      </c>
      <c r="F1080" s="43" t="s">
        <v>1937</v>
      </c>
      <c r="G1080" s="43"/>
      <c r="H1080" s="85" t="s">
        <v>9150</v>
      </c>
      <c r="I1080" s="23" t="s">
        <v>24</v>
      </c>
      <c r="J1080" s="44">
        <v>300</v>
      </c>
      <c r="K1080" s="45">
        <v>0.2</v>
      </c>
      <c r="L1080" s="46">
        <f t="shared" si="164"/>
        <v>60</v>
      </c>
      <c r="M1080" s="47">
        <f t="shared" si="165"/>
        <v>240</v>
      </c>
      <c r="N1080" s="48">
        <v>0.16</v>
      </c>
      <c r="O1080" s="49">
        <f t="shared" si="167"/>
        <v>38.4</v>
      </c>
      <c r="P1080" s="50">
        <f t="shared" si="168"/>
        <v>278.39999999999998</v>
      </c>
      <c r="Q1080" s="23"/>
      <c r="R1080" s="60"/>
      <c r="S1080" s="61"/>
      <c r="T1080" s="62">
        <f t="shared" si="170"/>
        <v>0</v>
      </c>
      <c r="U1080" s="46">
        <f t="shared" si="170"/>
        <v>0</v>
      </c>
      <c r="V1080" s="63">
        <f t="shared" si="171"/>
        <v>0</v>
      </c>
      <c r="W1080" s="49">
        <f t="shared" si="166"/>
        <v>0</v>
      </c>
      <c r="X1080" s="50">
        <f t="shared" si="169"/>
        <v>0</v>
      </c>
      <c r="Y1080"/>
      <c r="Z1080"/>
      <c r="AA1080"/>
    </row>
    <row r="1081" spans="1:27" s="51" customFormat="1" ht="18.600000000000001" hidden="1" customHeight="1" x14ac:dyDescent="0.25">
      <c r="A1081" s="80" t="s">
        <v>9065</v>
      </c>
      <c r="B1081" s="20" t="s">
        <v>9065</v>
      </c>
      <c r="C1081" s="21" t="s">
        <v>9066</v>
      </c>
      <c r="D1081" s="20"/>
      <c r="E1081" s="22" t="s">
        <v>9151</v>
      </c>
      <c r="F1081" s="22" t="s">
        <v>1937</v>
      </c>
      <c r="G1081" s="22"/>
      <c r="H1081" s="83" t="s">
        <v>9152</v>
      </c>
      <c r="I1081" s="23" t="s">
        <v>24</v>
      </c>
      <c r="J1081" s="24">
        <v>300</v>
      </c>
      <c r="K1081" s="25">
        <v>0.2</v>
      </c>
      <c r="L1081" s="26">
        <f t="shared" si="164"/>
        <v>60</v>
      </c>
      <c r="M1081" s="27">
        <f t="shared" si="165"/>
        <v>240</v>
      </c>
      <c r="N1081" s="28">
        <v>0.16</v>
      </c>
      <c r="O1081" s="29">
        <f t="shared" si="167"/>
        <v>38.4</v>
      </c>
      <c r="P1081" s="30">
        <f t="shared" si="168"/>
        <v>278.39999999999998</v>
      </c>
      <c r="Q1081" s="23"/>
      <c r="R1081" s="52"/>
      <c r="S1081" s="53"/>
      <c r="T1081" s="54">
        <f t="shared" si="170"/>
        <v>0</v>
      </c>
      <c r="U1081" s="26">
        <f t="shared" si="170"/>
        <v>0</v>
      </c>
      <c r="V1081" s="55">
        <f t="shared" si="171"/>
        <v>0</v>
      </c>
      <c r="W1081" s="29">
        <f t="shared" si="166"/>
        <v>0</v>
      </c>
      <c r="X1081" s="30">
        <f t="shared" si="169"/>
        <v>0</v>
      </c>
      <c r="Y1081"/>
      <c r="Z1081"/>
      <c r="AA1081"/>
    </row>
    <row r="1082" spans="1:27" s="51" customFormat="1" ht="18.600000000000001" hidden="1" customHeight="1" x14ac:dyDescent="0.25">
      <c r="A1082" s="81" t="s">
        <v>9065</v>
      </c>
      <c r="B1082" s="31" t="s">
        <v>9065</v>
      </c>
      <c r="C1082" s="32" t="s">
        <v>9066</v>
      </c>
      <c r="D1082" s="31"/>
      <c r="E1082" s="33" t="s">
        <v>9153</v>
      </c>
      <c r="F1082" s="33" t="s">
        <v>1937</v>
      </c>
      <c r="G1082" s="33"/>
      <c r="H1082" s="84" t="s">
        <v>9154</v>
      </c>
      <c r="I1082" s="23" t="s">
        <v>24</v>
      </c>
      <c r="J1082" s="34">
        <v>300</v>
      </c>
      <c r="K1082" s="35">
        <v>0.2</v>
      </c>
      <c r="L1082" s="36">
        <f t="shared" si="164"/>
        <v>60</v>
      </c>
      <c r="M1082" s="37">
        <f t="shared" si="165"/>
        <v>240</v>
      </c>
      <c r="N1082" s="38">
        <v>0.16</v>
      </c>
      <c r="O1082" s="39">
        <f t="shared" si="167"/>
        <v>38.4</v>
      </c>
      <c r="P1082" s="40">
        <f t="shared" si="168"/>
        <v>278.39999999999998</v>
      </c>
      <c r="Q1082" s="23"/>
      <c r="R1082" s="56"/>
      <c r="S1082" s="57"/>
      <c r="T1082" s="58">
        <f t="shared" si="170"/>
        <v>0</v>
      </c>
      <c r="U1082" s="36">
        <f t="shared" si="170"/>
        <v>0</v>
      </c>
      <c r="V1082" s="59">
        <f t="shared" si="171"/>
        <v>0</v>
      </c>
      <c r="W1082" s="39">
        <f t="shared" si="166"/>
        <v>0</v>
      </c>
      <c r="X1082" s="40">
        <f t="shared" si="169"/>
        <v>0</v>
      </c>
      <c r="Y1082"/>
      <c r="Z1082"/>
      <c r="AA1082"/>
    </row>
    <row r="1083" spans="1:27" s="51" customFormat="1" ht="18.600000000000001" hidden="1" customHeight="1" x14ac:dyDescent="0.25">
      <c r="A1083" s="82" t="s">
        <v>9065</v>
      </c>
      <c r="B1083" s="41" t="s">
        <v>9065</v>
      </c>
      <c r="C1083" s="42" t="s">
        <v>9066</v>
      </c>
      <c r="D1083" s="41"/>
      <c r="E1083" s="43" t="s">
        <v>9155</v>
      </c>
      <c r="F1083" s="43" t="s">
        <v>1937</v>
      </c>
      <c r="G1083" s="43"/>
      <c r="H1083" s="85" t="s">
        <v>9156</v>
      </c>
      <c r="I1083" s="23" t="s">
        <v>24</v>
      </c>
      <c r="J1083" s="44">
        <v>300</v>
      </c>
      <c r="K1083" s="45">
        <v>0.2</v>
      </c>
      <c r="L1083" s="46">
        <f t="shared" si="164"/>
        <v>60</v>
      </c>
      <c r="M1083" s="47">
        <f t="shared" si="165"/>
        <v>240</v>
      </c>
      <c r="N1083" s="48">
        <v>0.16</v>
      </c>
      <c r="O1083" s="49">
        <f t="shared" si="167"/>
        <v>38.4</v>
      </c>
      <c r="P1083" s="50">
        <f t="shared" si="168"/>
        <v>278.39999999999998</v>
      </c>
      <c r="Q1083" s="23"/>
      <c r="R1083" s="60"/>
      <c r="S1083" s="61"/>
      <c r="T1083" s="62">
        <f t="shared" si="170"/>
        <v>0</v>
      </c>
      <c r="U1083" s="46">
        <f t="shared" si="170"/>
        <v>0</v>
      </c>
      <c r="V1083" s="63">
        <f t="shared" si="171"/>
        <v>0</v>
      </c>
      <c r="W1083" s="49">
        <f t="shared" si="166"/>
        <v>0</v>
      </c>
      <c r="X1083" s="50">
        <f t="shared" si="169"/>
        <v>0</v>
      </c>
      <c r="Y1083"/>
      <c r="Z1083"/>
      <c r="AA1083"/>
    </row>
    <row r="1084" spans="1:27" s="51" customFormat="1" ht="18.600000000000001" hidden="1" customHeight="1" x14ac:dyDescent="0.25">
      <c r="A1084" s="80" t="s">
        <v>9065</v>
      </c>
      <c r="B1084" s="20" t="s">
        <v>9065</v>
      </c>
      <c r="C1084" s="21" t="s">
        <v>9066</v>
      </c>
      <c r="D1084" s="20"/>
      <c r="E1084" s="22" t="s">
        <v>9157</v>
      </c>
      <c r="F1084" s="22" t="s">
        <v>1937</v>
      </c>
      <c r="G1084" s="22"/>
      <c r="H1084" s="83" t="s">
        <v>9158</v>
      </c>
      <c r="I1084" s="23" t="s">
        <v>24</v>
      </c>
      <c r="J1084" s="24">
        <v>300</v>
      </c>
      <c r="K1084" s="25">
        <v>0.2</v>
      </c>
      <c r="L1084" s="26">
        <f t="shared" si="164"/>
        <v>60</v>
      </c>
      <c r="M1084" s="27">
        <f t="shared" si="165"/>
        <v>240</v>
      </c>
      <c r="N1084" s="28">
        <v>0.16</v>
      </c>
      <c r="O1084" s="29">
        <f t="shared" si="167"/>
        <v>38.4</v>
      </c>
      <c r="P1084" s="30">
        <f t="shared" si="168"/>
        <v>278.39999999999998</v>
      </c>
      <c r="Q1084" s="23"/>
      <c r="R1084" s="52"/>
      <c r="S1084" s="53"/>
      <c r="T1084" s="54">
        <f t="shared" si="170"/>
        <v>0</v>
      </c>
      <c r="U1084" s="26">
        <f t="shared" si="170"/>
        <v>0</v>
      </c>
      <c r="V1084" s="55">
        <f t="shared" si="171"/>
        <v>0</v>
      </c>
      <c r="W1084" s="29">
        <f t="shared" si="166"/>
        <v>0</v>
      </c>
      <c r="X1084" s="30">
        <f t="shared" si="169"/>
        <v>0</v>
      </c>
      <c r="Y1084"/>
      <c r="Z1084"/>
      <c r="AA1084"/>
    </row>
    <row r="1085" spans="1:27" s="51" customFormat="1" ht="18.600000000000001" hidden="1" customHeight="1" x14ac:dyDescent="0.25">
      <c r="A1085" s="81" t="s">
        <v>9065</v>
      </c>
      <c r="B1085" s="31" t="s">
        <v>9065</v>
      </c>
      <c r="C1085" s="32" t="s">
        <v>9066</v>
      </c>
      <c r="D1085" s="31"/>
      <c r="E1085" s="33" t="s">
        <v>9159</v>
      </c>
      <c r="F1085" s="33" t="s">
        <v>1937</v>
      </c>
      <c r="G1085" s="33"/>
      <c r="H1085" s="84" t="s">
        <v>9160</v>
      </c>
      <c r="I1085" s="23" t="s">
        <v>24</v>
      </c>
      <c r="J1085" s="34">
        <v>300</v>
      </c>
      <c r="K1085" s="35">
        <v>0.2</v>
      </c>
      <c r="L1085" s="36">
        <f t="shared" si="164"/>
        <v>60</v>
      </c>
      <c r="M1085" s="37">
        <f t="shared" si="165"/>
        <v>240</v>
      </c>
      <c r="N1085" s="38">
        <v>0.16</v>
      </c>
      <c r="O1085" s="39">
        <f t="shared" si="167"/>
        <v>38.4</v>
      </c>
      <c r="P1085" s="40">
        <f t="shared" si="168"/>
        <v>278.39999999999998</v>
      </c>
      <c r="Q1085" s="23"/>
      <c r="R1085" s="56"/>
      <c r="S1085" s="57"/>
      <c r="T1085" s="58">
        <f t="shared" si="170"/>
        <v>0</v>
      </c>
      <c r="U1085" s="36">
        <f t="shared" si="170"/>
        <v>0</v>
      </c>
      <c r="V1085" s="59">
        <f t="shared" si="171"/>
        <v>0</v>
      </c>
      <c r="W1085" s="39">
        <f t="shared" si="166"/>
        <v>0</v>
      </c>
      <c r="X1085" s="40">
        <f t="shared" si="169"/>
        <v>0</v>
      </c>
      <c r="Y1085"/>
      <c r="Z1085"/>
      <c r="AA1085"/>
    </row>
    <row r="1086" spans="1:27" s="51" customFormat="1" ht="18.600000000000001" hidden="1" customHeight="1" x14ac:dyDescent="0.25">
      <c r="A1086" s="82" t="s">
        <v>9065</v>
      </c>
      <c r="B1086" s="41" t="s">
        <v>9065</v>
      </c>
      <c r="C1086" s="42" t="s">
        <v>9066</v>
      </c>
      <c r="D1086" s="41"/>
      <c r="E1086" s="43" t="s">
        <v>9161</v>
      </c>
      <c r="F1086" s="43" t="s">
        <v>1937</v>
      </c>
      <c r="G1086" s="43"/>
      <c r="H1086" s="85" t="s">
        <v>9162</v>
      </c>
      <c r="I1086" s="23" t="s">
        <v>24</v>
      </c>
      <c r="J1086" s="44">
        <v>300</v>
      </c>
      <c r="K1086" s="45">
        <v>0.2</v>
      </c>
      <c r="L1086" s="46">
        <f t="shared" si="164"/>
        <v>60</v>
      </c>
      <c r="M1086" s="47">
        <f t="shared" si="165"/>
        <v>240</v>
      </c>
      <c r="N1086" s="48">
        <v>0.16</v>
      </c>
      <c r="O1086" s="49">
        <f t="shared" si="167"/>
        <v>38.4</v>
      </c>
      <c r="P1086" s="50">
        <f t="shared" si="168"/>
        <v>278.39999999999998</v>
      </c>
      <c r="Q1086" s="23"/>
      <c r="R1086" s="60"/>
      <c r="S1086" s="61"/>
      <c r="T1086" s="62">
        <f t="shared" si="170"/>
        <v>0</v>
      </c>
      <c r="U1086" s="46">
        <f t="shared" si="170"/>
        <v>0</v>
      </c>
      <c r="V1086" s="63">
        <f t="shared" si="171"/>
        <v>0</v>
      </c>
      <c r="W1086" s="49">
        <f t="shared" si="166"/>
        <v>0</v>
      </c>
      <c r="X1086" s="50">
        <f t="shared" si="169"/>
        <v>0</v>
      </c>
      <c r="Y1086"/>
      <c r="Z1086"/>
      <c r="AA1086"/>
    </row>
    <row r="1087" spans="1:27" s="51" customFormat="1" ht="18.600000000000001" hidden="1" customHeight="1" x14ac:dyDescent="0.25">
      <c r="A1087" s="80" t="s">
        <v>9065</v>
      </c>
      <c r="B1087" s="20" t="s">
        <v>9065</v>
      </c>
      <c r="C1087" s="21" t="s">
        <v>9066</v>
      </c>
      <c r="D1087" s="20"/>
      <c r="E1087" s="22" t="s">
        <v>9163</v>
      </c>
      <c r="F1087" s="22" t="s">
        <v>1937</v>
      </c>
      <c r="G1087" s="22"/>
      <c r="H1087" s="83" t="s">
        <v>9164</v>
      </c>
      <c r="I1087" s="23" t="s">
        <v>24</v>
      </c>
      <c r="J1087" s="24">
        <v>155</v>
      </c>
      <c r="K1087" s="25">
        <v>0.2</v>
      </c>
      <c r="L1087" s="26">
        <f t="shared" si="164"/>
        <v>31</v>
      </c>
      <c r="M1087" s="27">
        <f t="shared" si="165"/>
        <v>124</v>
      </c>
      <c r="N1087" s="28">
        <v>0.16</v>
      </c>
      <c r="O1087" s="29">
        <f t="shared" si="167"/>
        <v>19.84</v>
      </c>
      <c r="P1087" s="30">
        <f t="shared" si="168"/>
        <v>143.84</v>
      </c>
      <c r="Q1087" s="23"/>
      <c r="R1087" s="52"/>
      <c r="S1087" s="53"/>
      <c r="T1087" s="54">
        <f t="shared" si="170"/>
        <v>0</v>
      </c>
      <c r="U1087" s="26">
        <f t="shared" si="170"/>
        <v>0</v>
      </c>
      <c r="V1087" s="55">
        <f t="shared" si="171"/>
        <v>0</v>
      </c>
      <c r="W1087" s="29">
        <f t="shared" si="166"/>
        <v>0</v>
      </c>
      <c r="X1087" s="30">
        <f t="shared" si="169"/>
        <v>0</v>
      </c>
      <c r="Y1087"/>
      <c r="Z1087"/>
      <c r="AA1087"/>
    </row>
    <row r="1088" spans="1:27" s="51" customFormat="1" ht="18.600000000000001" hidden="1" customHeight="1" x14ac:dyDescent="0.25">
      <c r="A1088" s="81" t="s">
        <v>9065</v>
      </c>
      <c r="B1088" s="31" t="s">
        <v>9065</v>
      </c>
      <c r="C1088" s="32" t="s">
        <v>9066</v>
      </c>
      <c r="D1088" s="31"/>
      <c r="E1088" s="33" t="s">
        <v>9165</v>
      </c>
      <c r="F1088" s="33" t="s">
        <v>1937</v>
      </c>
      <c r="G1088" s="33"/>
      <c r="H1088" s="84" t="s">
        <v>9166</v>
      </c>
      <c r="I1088" s="23" t="s">
        <v>24</v>
      </c>
      <c r="J1088" s="34">
        <v>155</v>
      </c>
      <c r="K1088" s="35">
        <v>0.2</v>
      </c>
      <c r="L1088" s="36">
        <f t="shared" si="164"/>
        <v>31</v>
      </c>
      <c r="M1088" s="37">
        <f t="shared" si="165"/>
        <v>124</v>
      </c>
      <c r="N1088" s="38">
        <v>0.16</v>
      </c>
      <c r="O1088" s="39">
        <f t="shared" si="167"/>
        <v>19.84</v>
      </c>
      <c r="P1088" s="40">
        <f t="shared" si="168"/>
        <v>143.84</v>
      </c>
      <c r="Q1088" s="23"/>
      <c r="R1088" s="56"/>
      <c r="S1088" s="57"/>
      <c r="T1088" s="58">
        <f t="shared" si="170"/>
        <v>0</v>
      </c>
      <c r="U1088" s="36">
        <f t="shared" si="170"/>
        <v>0</v>
      </c>
      <c r="V1088" s="59">
        <f t="shared" si="171"/>
        <v>0</v>
      </c>
      <c r="W1088" s="39">
        <f t="shared" si="166"/>
        <v>0</v>
      </c>
      <c r="X1088" s="40">
        <f t="shared" si="169"/>
        <v>0</v>
      </c>
      <c r="Y1088"/>
      <c r="Z1088"/>
      <c r="AA1088"/>
    </row>
    <row r="1089" spans="1:27" s="51" customFormat="1" ht="18.600000000000001" hidden="1" customHeight="1" x14ac:dyDescent="0.25">
      <c r="A1089" s="82" t="s">
        <v>9065</v>
      </c>
      <c r="B1089" s="41" t="s">
        <v>9065</v>
      </c>
      <c r="C1089" s="42" t="s">
        <v>9066</v>
      </c>
      <c r="D1089" s="41"/>
      <c r="E1089" s="43" t="s">
        <v>9167</v>
      </c>
      <c r="F1089" s="43" t="s">
        <v>1937</v>
      </c>
      <c r="G1089" s="43"/>
      <c r="H1089" s="85" t="s">
        <v>9168</v>
      </c>
      <c r="I1089" s="23" t="s">
        <v>24</v>
      </c>
      <c r="J1089" s="44">
        <v>500</v>
      </c>
      <c r="K1089" s="45">
        <v>0.2</v>
      </c>
      <c r="L1089" s="46">
        <f t="shared" si="164"/>
        <v>100</v>
      </c>
      <c r="M1089" s="47">
        <f t="shared" si="165"/>
        <v>400</v>
      </c>
      <c r="N1089" s="48">
        <v>0.16</v>
      </c>
      <c r="O1089" s="49">
        <f t="shared" si="167"/>
        <v>64</v>
      </c>
      <c r="P1089" s="50">
        <f t="shared" si="168"/>
        <v>464</v>
      </c>
      <c r="Q1089" s="23"/>
      <c r="R1089" s="60"/>
      <c r="S1089" s="61"/>
      <c r="T1089" s="62">
        <f t="shared" si="170"/>
        <v>0</v>
      </c>
      <c r="U1089" s="46">
        <f t="shared" si="170"/>
        <v>0</v>
      </c>
      <c r="V1089" s="63">
        <f t="shared" si="171"/>
        <v>0</v>
      </c>
      <c r="W1089" s="49">
        <f t="shared" si="166"/>
        <v>0</v>
      </c>
      <c r="X1089" s="50">
        <f t="shared" si="169"/>
        <v>0</v>
      </c>
      <c r="Y1089"/>
      <c r="Z1089"/>
      <c r="AA1089"/>
    </row>
    <row r="1090" spans="1:27" s="51" customFormat="1" ht="18.600000000000001" hidden="1" customHeight="1" x14ac:dyDescent="0.25">
      <c r="A1090" s="80" t="s">
        <v>9065</v>
      </c>
      <c r="B1090" s="20" t="s">
        <v>9065</v>
      </c>
      <c r="C1090" s="21" t="s">
        <v>9066</v>
      </c>
      <c r="D1090" s="20"/>
      <c r="E1090" s="22" t="s">
        <v>9169</v>
      </c>
      <c r="F1090" s="22" t="s">
        <v>1937</v>
      </c>
      <c r="G1090" s="22"/>
      <c r="H1090" s="83" t="s">
        <v>9170</v>
      </c>
      <c r="I1090" s="23" t="s">
        <v>24</v>
      </c>
      <c r="J1090" s="24">
        <v>500</v>
      </c>
      <c r="K1090" s="25">
        <v>0.2</v>
      </c>
      <c r="L1090" s="26">
        <f t="shared" si="164"/>
        <v>100</v>
      </c>
      <c r="M1090" s="27">
        <f t="shared" si="165"/>
        <v>400</v>
      </c>
      <c r="N1090" s="28">
        <v>0.16</v>
      </c>
      <c r="O1090" s="29">
        <f t="shared" si="167"/>
        <v>64</v>
      </c>
      <c r="P1090" s="30">
        <f t="shared" si="168"/>
        <v>464</v>
      </c>
      <c r="Q1090" s="23"/>
      <c r="R1090" s="52"/>
      <c r="S1090" s="53"/>
      <c r="T1090" s="54">
        <f t="shared" si="170"/>
        <v>0</v>
      </c>
      <c r="U1090" s="26">
        <f t="shared" si="170"/>
        <v>0</v>
      </c>
      <c r="V1090" s="55">
        <f t="shared" si="171"/>
        <v>0</v>
      </c>
      <c r="W1090" s="29">
        <f t="shared" si="166"/>
        <v>0</v>
      </c>
      <c r="X1090" s="30">
        <f t="shared" si="169"/>
        <v>0</v>
      </c>
      <c r="Y1090"/>
      <c r="Z1090"/>
      <c r="AA1090"/>
    </row>
    <row r="1091" spans="1:27" s="51" customFormat="1" ht="18.600000000000001" hidden="1" customHeight="1" x14ac:dyDescent="0.25">
      <c r="A1091" s="81" t="s">
        <v>9065</v>
      </c>
      <c r="B1091" s="31" t="s">
        <v>9065</v>
      </c>
      <c r="C1091" s="32" t="s">
        <v>9066</v>
      </c>
      <c r="D1091" s="31"/>
      <c r="E1091" s="33" t="s">
        <v>9171</v>
      </c>
      <c r="F1091" s="33" t="s">
        <v>1937</v>
      </c>
      <c r="G1091" s="33"/>
      <c r="H1091" s="84" t="s">
        <v>9172</v>
      </c>
      <c r="I1091" s="23" t="s">
        <v>24</v>
      </c>
      <c r="J1091" s="34">
        <v>620</v>
      </c>
      <c r="K1091" s="35">
        <v>0.2</v>
      </c>
      <c r="L1091" s="36">
        <f t="shared" si="164"/>
        <v>124</v>
      </c>
      <c r="M1091" s="37">
        <f t="shared" si="165"/>
        <v>496</v>
      </c>
      <c r="N1091" s="38">
        <v>0.16</v>
      </c>
      <c r="O1091" s="39">
        <f t="shared" si="167"/>
        <v>79.36</v>
      </c>
      <c r="P1091" s="40">
        <f t="shared" si="168"/>
        <v>575.36</v>
      </c>
      <c r="Q1091" s="23"/>
      <c r="R1091" s="56"/>
      <c r="S1091" s="57"/>
      <c r="T1091" s="58">
        <f t="shared" si="170"/>
        <v>0</v>
      </c>
      <c r="U1091" s="36">
        <f t="shared" si="170"/>
        <v>0</v>
      </c>
      <c r="V1091" s="59">
        <f t="shared" si="171"/>
        <v>0</v>
      </c>
      <c r="W1091" s="39">
        <f t="shared" si="166"/>
        <v>0</v>
      </c>
      <c r="X1091" s="40">
        <f t="shared" si="169"/>
        <v>0</v>
      </c>
      <c r="Y1091"/>
      <c r="Z1091"/>
      <c r="AA1091"/>
    </row>
    <row r="1092" spans="1:27" s="51" customFormat="1" ht="18.600000000000001" hidden="1" customHeight="1" x14ac:dyDescent="0.25">
      <c r="A1092" s="82" t="s">
        <v>9065</v>
      </c>
      <c r="B1092" s="41" t="s">
        <v>9065</v>
      </c>
      <c r="C1092" s="42" t="s">
        <v>9066</v>
      </c>
      <c r="D1092" s="41"/>
      <c r="E1092" s="43" t="s">
        <v>9173</v>
      </c>
      <c r="F1092" s="43" t="s">
        <v>1937</v>
      </c>
      <c r="G1092" s="43"/>
      <c r="H1092" s="85" t="s">
        <v>9174</v>
      </c>
      <c r="I1092" s="23" t="s">
        <v>24</v>
      </c>
      <c r="J1092" s="44">
        <v>280</v>
      </c>
      <c r="K1092" s="45">
        <v>0.2</v>
      </c>
      <c r="L1092" s="46">
        <f t="shared" si="164"/>
        <v>56</v>
      </c>
      <c r="M1092" s="47">
        <f t="shared" si="165"/>
        <v>224</v>
      </c>
      <c r="N1092" s="48">
        <v>0.16</v>
      </c>
      <c r="O1092" s="49">
        <f t="shared" si="167"/>
        <v>35.840000000000003</v>
      </c>
      <c r="P1092" s="50">
        <f t="shared" si="168"/>
        <v>259.84000000000003</v>
      </c>
      <c r="Q1092" s="23"/>
      <c r="R1092" s="60"/>
      <c r="S1092" s="61"/>
      <c r="T1092" s="62">
        <f t="shared" si="170"/>
        <v>0</v>
      </c>
      <c r="U1092" s="46">
        <f t="shared" si="170"/>
        <v>0</v>
      </c>
      <c r="V1092" s="63">
        <f t="shared" si="171"/>
        <v>0</v>
      </c>
      <c r="W1092" s="49">
        <f t="shared" si="166"/>
        <v>0</v>
      </c>
      <c r="X1092" s="50">
        <f t="shared" si="169"/>
        <v>0</v>
      </c>
      <c r="Y1092"/>
      <c r="Z1092"/>
      <c r="AA1092"/>
    </row>
    <row r="1093" spans="1:27" s="51" customFormat="1" ht="18.600000000000001" hidden="1" customHeight="1" x14ac:dyDescent="0.25">
      <c r="A1093" s="80" t="s">
        <v>9065</v>
      </c>
      <c r="B1093" s="20" t="s">
        <v>9065</v>
      </c>
      <c r="C1093" s="21" t="s">
        <v>9066</v>
      </c>
      <c r="D1093" s="20"/>
      <c r="E1093" s="22" t="s">
        <v>9175</v>
      </c>
      <c r="F1093" s="22" t="s">
        <v>1937</v>
      </c>
      <c r="G1093" s="22"/>
      <c r="H1093" s="83" t="s">
        <v>9176</v>
      </c>
      <c r="I1093" s="23" t="s">
        <v>24</v>
      </c>
      <c r="J1093" s="24">
        <v>310</v>
      </c>
      <c r="K1093" s="25">
        <v>0.2</v>
      </c>
      <c r="L1093" s="26">
        <f t="shared" si="164"/>
        <v>62</v>
      </c>
      <c r="M1093" s="27">
        <f t="shared" si="165"/>
        <v>248</v>
      </c>
      <c r="N1093" s="28">
        <v>0.16</v>
      </c>
      <c r="O1093" s="29">
        <f t="shared" si="167"/>
        <v>39.68</v>
      </c>
      <c r="P1093" s="30">
        <f t="shared" si="168"/>
        <v>287.68</v>
      </c>
      <c r="Q1093" s="23"/>
      <c r="R1093" s="52"/>
      <c r="S1093" s="53"/>
      <c r="T1093" s="54">
        <f t="shared" si="170"/>
        <v>0</v>
      </c>
      <c r="U1093" s="26">
        <f t="shared" si="170"/>
        <v>0</v>
      </c>
      <c r="V1093" s="55">
        <f t="shared" si="171"/>
        <v>0</v>
      </c>
      <c r="W1093" s="29">
        <f t="shared" si="166"/>
        <v>0</v>
      </c>
      <c r="X1093" s="30">
        <f t="shared" si="169"/>
        <v>0</v>
      </c>
      <c r="Y1093"/>
      <c r="Z1093"/>
      <c r="AA1093"/>
    </row>
    <row r="1094" spans="1:27" s="51" customFormat="1" ht="18.600000000000001" hidden="1" customHeight="1" x14ac:dyDescent="0.25">
      <c r="A1094" s="81" t="s">
        <v>9065</v>
      </c>
      <c r="B1094" s="31" t="s">
        <v>9065</v>
      </c>
      <c r="C1094" s="32" t="s">
        <v>9066</v>
      </c>
      <c r="D1094" s="31"/>
      <c r="E1094" s="33" t="s">
        <v>9177</v>
      </c>
      <c r="F1094" s="33" t="s">
        <v>1937</v>
      </c>
      <c r="G1094" s="33"/>
      <c r="H1094" s="84" t="s">
        <v>9178</v>
      </c>
      <c r="I1094" s="23" t="s">
        <v>24</v>
      </c>
      <c r="J1094" s="34">
        <v>190</v>
      </c>
      <c r="K1094" s="35">
        <v>0.2</v>
      </c>
      <c r="L1094" s="36">
        <f t="shared" si="164"/>
        <v>38</v>
      </c>
      <c r="M1094" s="37">
        <f t="shared" si="165"/>
        <v>152</v>
      </c>
      <c r="N1094" s="38">
        <v>0.16</v>
      </c>
      <c r="O1094" s="39">
        <f t="shared" si="167"/>
        <v>24.32</v>
      </c>
      <c r="P1094" s="40">
        <f t="shared" si="168"/>
        <v>176.32</v>
      </c>
      <c r="Q1094" s="23"/>
      <c r="R1094" s="56"/>
      <c r="S1094" s="57"/>
      <c r="T1094" s="58">
        <f t="shared" si="170"/>
        <v>0</v>
      </c>
      <c r="U1094" s="36">
        <f t="shared" si="170"/>
        <v>0</v>
      </c>
      <c r="V1094" s="59">
        <f t="shared" si="171"/>
        <v>0</v>
      </c>
      <c r="W1094" s="39">
        <f t="shared" si="166"/>
        <v>0</v>
      </c>
      <c r="X1094" s="40">
        <f t="shared" si="169"/>
        <v>0</v>
      </c>
      <c r="Y1094"/>
      <c r="Z1094"/>
      <c r="AA1094"/>
    </row>
    <row r="1095" spans="1:27" s="51" customFormat="1" ht="18.600000000000001" hidden="1" customHeight="1" x14ac:dyDescent="0.25">
      <c r="A1095" s="82" t="s">
        <v>9065</v>
      </c>
      <c r="B1095" s="41" t="s">
        <v>9065</v>
      </c>
      <c r="C1095" s="42" t="s">
        <v>9066</v>
      </c>
      <c r="D1095" s="41"/>
      <c r="E1095" s="43" t="s">
        <v>9179</v>
      </c>
      <c r="F1095" s="43" t="s">
        <v>1937</v>
      </c>
      <c r="G1095" s="43"/>
      <c r="H1095" s="85" t="s">
        <v>9180</v>
      </c>
      <c r="I1095" s="23" t="s">
        <v>24</v>
      </c>
      <c r="J1095" s="44">
        <v>410</v>
      </c>
      <c r="K1095" s="45">
        <v>0.2</v>
      </c>
      <c r="L1095" s="46">
        <f t="shared" si="164"/>
        <v>82</v>
      </c>
      <c r="M1095" s="47">
        <f t="shared" si="165"/>
        <v>328</v>
      </c>
      <c r="N1095" s="48">
        <v>0.16</v>
      </c>
      <c r="O1095" s="49">
        <f t="shared" si="167"/>
        <v>52.480000000000004</v>
      </c>
      <c r="P1095" s="50">
        <f t="shared" si="168"/>
        <v>380.48</v>
      </c>
      <c r="Q1095" s="23"/>
      <c r="R1095" s="60"/>
      <c r="S1095" s="61"/>
      <c r="T1095" s="62">
        <f t="shared" si="170"/>
        <v>0</v>
      </c>
      <c r="U1095" s="46">
        <f t="shared" si="170"/>
        <v>0</v>
      </c>
      <c r="V1095" s="63">
        <f t="shared" si="171"/>
        <v>0</v>
      </c>
      <c r="W1095" s="49">
        <f t="shared" si="166"/>
        <v>0</v>
      </c>
      <c r="X1095" s="50">
        <f t="shared" si="169"/>
        <v>0</v>
      </c>
      <c r="Y1095"/>
      <c r="Z1095"/>
      <c r="AA1095"/>
    </row>
    <row r="1096" spans="1:27" s="51" customFormat="1" ht="18.600000000000001" hidden="1" customHeight="1" x14ac:dyDescent="0.25">
      <c r="A1096" s="80" t="s">
        <v>9065</v>
      </c>
      <c r="B1096" s="20" t="s">
        <v>9065</v>
      </c>
      <c r="C1096" s="21" t="s">
        <v>9066</v>
      </c>
      <c r="D1096" s="20"/>
      <c r="E1096" s="22" t="s">
        <v>9181</v>
      </c>
      <c r="F1096" s="22" t="s">
        <v>1937</v>
      </c>
      <c r="G1096" s="22"/>
      <c r="H1096" s="83" t="s">
        <v>9182</v>
      </c>
      <c r="I1096" s="23" t="s">
        <v>24</v>
      </c>
      <c r="J1096" s="24">
        <v>410</v>
      </c>
      <c r="K1096" s="25">
        <v>0.2</v>
      </c>
      <c r="L1096" s="26">
        <f t="shared" si="164"/>
        <v>82</v>
      </c>
      <c r="M1096" s="27">
        <f t="shared" si="165"/>
        <v>328</v>
      </c>
      <c r="N1096" s="28">
        <v>0.16</v>
      </c>
      <c r="O1096" s="29">
        <f t="shared" si="167"/>
        <v>52.480000000000004</v>
      </c>
      <c r="P1096" s="30">
        <f t="shared" si="168"/>
        <v>380.48</v>
      </c>
      <c r="Q1096" s="23"/>
      <c r="R1096" s="52"/>
      <c r="S1096" s="53"/>
      <c r="T1096" s="54">
        <f t="shared" si="170"/>
        <v>0</v>
      </c>
      <c r="U1096" s="26">
        <f t="shared" si="170"/>
        <v>0</v>
      </c>
      <c r="V1096" s="55">
        <f t="shared" si="171"/>
        <v>0</v>
      </c>
      <c r="W1096" s="29">
        <f t="shared" si="166"/>
        <v>0</v>
      </c>
      <c r="X1096" s="30">
        <f t="shared" si="169"/>
        <v>0</v>
      </c>
      <c r="Y1096"/>
      <c r="Z1096"/>
      <c r="AA1096"/>
    </row>
    <row r="1097" spans="1:27" s="51" customFormat="1" ht="18.600000000000001" hidden="1" customHeight="1" x14ac:dyDescent="0.25">
      <c r="A1097" s="81" t="s">
        <v>9065</v>
      </c>
      <c r="B1097" s="31" t="s">
        <v>9065</v>
      </c>
      <c r="C1097" s="32" t="s">
        <v>9066</v>
      </c>
      <c r="D1097" s="31"/>
      <c r="E1097" s="33" t="s">
        <v>9183</v>
      </c>
      <c r="F1097" s="33" t="s">
        <v>1937</v>
      </c>
      <c r="G1097" s="33"/>
      <c r="H1097" s="84" t="s">
        <v>9184</v>
      </c>
      <c r="I1097" s="23" t="s">
        <v>24</v>
      </c>
      <c r="J1097" s="34">
        <v>410</v>
      </c>
      <c r="K1097" s="35">
        <v>0.2</v>
      </c>
      <c r="L1097" s="36">
        <f t="shared" si="164"/>
        <v>82</v>
      </c>
      <c r="M1097" s="37">
        <f t="shared" si="165"/>
        <v>328</v>
      </c>
      <c r="N1097" s="38">
        <v>0.16</v>
      </c>
      <c r="O1097" s="39">
        <f t="shared" si="167"/>
        <v>52.480000000000004</v>
      </c>
      <c r="P1097" s="40">
        <f t="shared" si="168"/>
        <v>380.48</v>
      </c>
      <c r="Q1097" s="23"/>
      <c r="R1097" s="56"/>
      <c r="S1097" s="57"/>
      <c r="T1097" s="58">
        <f t="shared" si="170"/>
        <v>0</v>
      </c>
      <c r="U1097" s="36">
        <f t="shared" si="170"/>
        <v>0</v>
      </c>
      <c r="V1097" s="59">
        <f t="shared" si="171"/>
        <v>0</v>
      </c>
      <c r="W1097" s="39">
        <f t="shared" si="166"/>
        <v>0</v>
      </c>
      <c r="X1097" s="40">
        <f t="shared" si="169"/>
        <v>0</v>
      </c>
      <c r="Y1097"/>
      <c r="Z1097"/>
      <c r="AA1097"/>
    </row>
    <row r="1098" spans="1:27" s="51" customFormat="1" ht="18.600000000000001" hidden="1" customHeight="1" x14ac:dyDescent="0.25">
      <c r="A1098" s="82" t="s">
        <v>9065</v>
      </c>
      <c r="B1098" s="41" t="s">
        <v>9065</v>
      </c>
      <c r="C1098" s="42" t="s">
        <v>9066</v>
      </c>
      <c r="D1098" s="41"/>
      <c r="E1098" s="43" t="s">
        <v>9185</v>
      </c>
      <c r="F1098" s="43" t="s">
        <v>1937</v>
      </c>
      <c r="G1098" s="43"/>
      <c r="H1098" s="85" t="s">
        <v>9186</v>
      </c>
      <c r="I1098" s="23" t="s">
        <v>24</v>
      </c>
      <c r="J1098" s="44">
        <v>410</v>
      </c>
      <c r="K1098" s="45">
        <v>0.2</v>
      </c>
      <c r="L1098" s="46">
        <f t="shared" si="164"/>
        <v>82</v>
      </c>
      <c r="M1098" s="47">
        <f t="shared" si="165"/>
        <v>328</v>
      </c>
      <c r="N1098" s="48">
        <v>0.16</v>
      </c>
      <c r="O1098" s="49">
        <f t="shared" si="167"/>
        <v>52.480000000000004</v>
      </c>
      <c r="P1098" s="50">
        <f t="shared" si="168"/>
        <v>380.48</v>
      </c>
      <c r="Q1098" s="23"/>
      <c r="R1098" s="60"/>
      <c r="S1098" s="61"/>
      <c r="T1098" s="62">
        <f t="shared" si="170"/>
        <v>0</v>
      </c>
      <c r="U1098" s="46">
        <f t="shared" si="170"/>
        <v>0</v>
      </c>
      <c r="V1098" s="63">
        <f t="shared" si="171"/>
        <v>0</v>
      </c>
      <c r="W1098" s="49">
        <f t="shared" si="166"/>
        <v>0</v>
      </c>
      <c r="X1098" s="50">
        <f t="shared" si="169"/>
        <v>0</v>
      </c>
      <c r="Y1098"/>
      <c r="Z1098"/>
      <c r="AA1098"/>
    </row>
    <row r="1099" spans="1:27" s="51" customFormat="1" ht="18.600000000000001" hidden="1" customHeight="1" x14ac:dyDescent="0.25">
      <c r="A1099" s="80" t="s">
        <v>9065</v>
      </c>
      <c r="B1099" s="20" t="s">
        <v>9065</v>
      </c>
      <c r="C1099" s="21" t="s">
        <v>9066</v>
      </c>
      <c r="D1099" s="20"/>
      <c r="E1099" s="22" t="s">
        <v>9187</v>
      </c>
      <c r="F1099" s="22" t="s">
        <v>1937</v>
      </c>
      <c r="G1099" s="22"/>
      <c r="H1099" s="83" t="s">
        <v>9188</v>
      </c>
      <c r="I1099" s="23" t="s">
        <v>24</v>
      </c>
      <c r="J1099" s="24">
        <v>410</v>
      </c>
      <c r="K1099" s="25">
        <v>0.2</v>
      </c>
      <c r="L1099" s="26">
        <f t="shared" si="164"/>
        <v>82</v>
      </c>
      <c r="M1099" s="27">
        <f t="shared" si="165"/>
        <v>328</v>
      </c>
      <c r="N1099" s="28">
        <v>0.16</v>
      </c>
      <c r="O1099" s="29">
        <f t="shared" si="167"/>
        <v>52.480000000000004</v>
      </c>
      <c r="P1099" s="30">
        <f t="shared" si="168"/>
        <v>380.48</v>
      </c>
      <c r="Q1099" s="23"/>
      <c r="R1099" s="52"/>
      <c r="S1099" s="53"/>
      <c r="T1099" s="54">
        <f t="shared" si="170"/>
        <v>0</v>
      </c>
      <c r="U1099" s="26">
        <f t="shared" si="170"/>
        <v>0</v>
      </c>
      <c r="V1099" s="55">
        <f t="shared" si="171"/>
        <v>0</v>
      </c>
      <c r="W1099" s="29">
        <f t="shared" si="166"/>
        <v>0</v>
      </c>
      <c r="X1099" s="30">
        <f t="shared" si="169"/>
        <v>0</v>
      </c>
      <c r="Y1099"/>
      <c r="Z1099"/>
      <c r="AA1099"/>
    </row>
    <row r="1100" spans="1:27" s="51" customFormat="1" ht="18.600000000000001" hidden="1" customHeight="1" x14ac:dyDescent="0.25">
      <c r="A1100" s="81" t="s">
        <v>9065</v>
      </c>
      <c r="B1100" s="31" t="s">
        <v>9065</v>
      </c>
      <c r="C1100" s="32" t="s">
        <v>9066</v>
      </c>
      <c r="D1100" s="31"/>
      <c r="E1100" s="33" t="s">
        <v>9189</v>
      </c>
      <c r="F1100" s="33" t="s">
        <v>1937</v>
      </c>
      <c r="G1100" s="33"/>
      <c r="H1100" s="84" t="s">
        <v>9190</v>
      </c>
      <c r="I1100" s="23" t="s">
        <v>24</v>
      </c>
      <c r="J1100" s="34">
        <v>410</v>
      </c>
      <c r="K1100" s="35">
        <v>0.2</v>
      </c>
      <c r="L1100" s="36">
        <f t="shared" si="164"/>
        <v>82</v>
      </c>
      <c r="M1100" s="37">
        <f t="shared" si="165"/>
        <v>328</v>
      </c>
      <c r="N1100" s="38">
        <v>0.16</v>
      </c>
      <c r="O1100" s="39">
        <f t="shared" si="167"/>
        <v>52.480000000000004</v>
      </c>
      <c r="P1100" s="40">
        <f t="shared" si="168"/>
        <v>380.48</v>
      </c>
      <c r="Q1100" s="23"/>
      <c r="R1100" s="56"/>
      <c r="S1100" s="57"/>
      <c r="T1100" s="58">
        <f t="shared" si="170"/>
        <v>0</v>
      </c>
      <c r="U1100" s="36">
        <f t="shared" si="170"/>
        <v>0</v>
      </c>
      <c r="V1100" s="59">
        <f t="shared" si="171"/>
        <v>0</v>
      </c>
      <c r="W1100" s="39">
        <f t="shared" si="166"/>
        <v>0</v>
      </c>
      <c r="X1100" s="40">
        <f t="shared" si="169"/>
        <v>0</v>
      </c>
      <c r="Y1100"/>
      <c r="Z1100"/>
      <c r="AA1100"/>
    </row>
    <row r="1101" spans="1:27" s="51" customFormat="1" ht="18.600000000000001" hidden="1" customHeight="1" x14ac:dyDescent="0.25">
      <c r="A1101" s="82" t="s">
        <v>9065</v>
      </c>
      <c r="B1101" s="41" t="s">
        <v>9065</v>
      </c>
      <c r="C1101" s="42" t="s">
        <v>9066</v>
      </c>
      <c r="D1101" s="41"/>
      <c r="E1101" s="43" t="s">
        <v>9191</v>
      </c>
      <c r="F1101" s="43" t="s">
        <v>1937</v>
      </c>
      <c r="G1101" s="43"/>
      <c r="H1101" s="85" t="s">
        <v>9192</v>
      </c>
      <c r="I1101" s="23" t="s">
        <v>24</v>
      </c>
      <c r="J1101" s="44">
        <v>410</v>
      </c>
      <c r="K1101" s="45">
        <v>0.2</v>
      </c>
      <c r="L1101" s="46">
        <f t="shared" si="164"/>
        <v>82</v>
      </c>
      <c r="M1101" s="47">
        <f t="shared" si="165"/>
        <v>328</v>
      </c>
      <c r="N1101" s="48">
        <v>0.16</v>
      </c>
      <c r="O1101" s="49">
        <f t="shared" si="167"/>
        <v>52.480000000000004</v>
      </c>
      <c r="P1101" s="50">
        <f t="shared" si="168"/>
        <v>380.48</v>
      </c>
      <c r="Q1101" s="23"/>
      <c r="R1101" s="60"/>
      <c r="S1101" s="61"/>
      <c r="T1101" s="62">
        <f t="shared" si="170"/>
        <v>0</v>
      </c>
      <c r="U1101" s="46">
        <f t="shared" si="170"/>
        <v>0</v>
      </c>
      <c r="V1101" s="63">
        <f t="shared" si="171"/>
        <v>0</v>
      </c>
      <c r="W1101" s="49">
        <f t="shared" si="166"/>
        <v>0</v>
      </c>
      <c r="X1101" s="50">
        <f t="shared" si="169"/>
        <v>0</v>
      </c>
      <c r="Y1101"/>
      <c r="Z1101"/>
      <c r="AA1101"/>
    </row>
    <row r="1102" spans="1:27" s="51" customFormat="1" ht="18.600000000000001" hidden="1" customHeight="1" x14ac:dyDescent="0.25">
      <c r="A1102" s="80" t="s">
        <v>9279</v>
      </c>
      <c r="B1102" s="20" t="s">
        <v>9280</v>
      </c>
      <c r="C1102" s="21" t="s">
        <v>1934</v>
      </c>
      <c r="D1102" s="20"/>
      <c r="E1102" s="22" t="s">
        <v>9259</v>
      </c>
      <c r="F1102" s="22" t="s">
        <v>9285</v>
      </c>
      <c r="G1102" s="22" t="s">
        <v>22</v>
      </c>
      <c r="H1102" s="83" t="s">
        <v>9195</v>
      </c>
      <c r="I1102" s="23" t="s">
        <v>24</v>
      </c>
      <c r="J1102" s="24">
        <v>3150</v>
      </c>
      <c r="K1102" s="25">
        <v>0.25</v>
      </c>
      <c r="L1102" s="26">
        <f t="shared" ref="L1102:L1165" si="172">+J1102*K1102</f>
        <v>787.5</v>
      </c>
      <c r="M1102" s="27">
        <f t="shared" ref="M1102:M1165" si="173">+J1102-L1102</f>
        <v>2362.5</v>
      </c>
      <c r="N1102" s="28">
        <v>0.16</v>
      </c>
      <c r="O1102" s="29">
        <f t="shared" ref="O1102:O1165" si="174">+M1102*N1102</f>
        <v>378</v>
      </c>
      <c r="P1102" s="30">
        <f t="shared" ref="P1102:P1165" si="175">+M1102+O1102</f>
        <v>2740.5</v>
      </c>
      <c r="Q1102" s="23"/>
      <c r="R1102" s="52"/>
      <c r="S1102" s="53"/>
      <c r="T1102" s="54">
        <f t="shared" ref="T1102:T1165" si="176">+S1102*J1102</f>
        <v>0</v>
      </c>
      <c r="U1102" s="26">
        <f t="shared" ref="U1102:U1165" si="177">+T1102*K1102</f>
        <v>0</v>
      </c>
      <c r="V1102" s="55">
        <f t="shared" ref="V1102:V1165" si="178">+T1102-U1102</f>
        <v>0</v>
      </c>
      <c r="W1102" s="29">
        <f t="shared" ref="W1102:W1165" si="179">+V1102*N1102</f>
        <v>0</v>
      </c>
      <c r="X1102" s="30">
        <f t="shared" ref="X1102:X1165" si="180">+V1102+W1102</f>
        <v>0</v>
      </c>
      <c r="Y1102"/>
      <c r="Z1102"/>
      <c r="AA1102"/>
    </row>
    <row r="1103" spans="1:27" s="51" customFormat="1" ht="18.600000000000001" hidden="1" customHeight="1" x14ac:dyDescent="0.25">
      <c r="A1103" s="81" t="s">
        <v>9279</v>
      </c>
      <c r="B1103" s="31" t="s">
        <v>9280</v>
      </c>
      <c r="C1103" s="32" t="s">
        <v>1934</v>
      </c>
      <c r="D1103" s="31"/>
      <c r="E1103" s="33" t="s">
        <v>9260</v>
      </c>
      <c r="F1103" s="33" t="s">
        <v>9285</v>
      </c>
      <c r="G1103" s="33" t="s">
        <v>22</v>
      </c>
      <c r="H1103" s="84" t="s">
        <v>9196</v>
      </c>
      <c r="I1103" s="23" t="s">
        <v>24</v>
      </c>
      <c r="J1103" s="34">
        <v>2300</v>
      </c>
      <c r="K1103" s="35">
        <v>0.25</v>
      </c>
      <c r="L1103" s="36">
        <f t="shared" si="172"/>
        <v>575</v>
      </c>
      <c r="M1103" s="37">
        <f t="shared" si="173"/>
        <v>1725</v>
      </c>
      <c r="N1103" s="38">
        <v>0.16</v>
      </c>
      <c r="O1103" s="39">
        <f t="shared" si="174"/>
        <v>276</v>
      </c>
      <c r="P1103" s="40">
        <f t="shared" si="175"/>
        <v>2001</v>
      </c>
      <c r="Q1103" s="23"/>
      <c r="R1103" s="56"/>
      <c r="S1103" s="57"/>
      <c r="T1103" s="58">
        <f t="shared" si="176"/>
        <v>0</v>
      </c>
      <c r="U1103" s="36">
        <f t="shared" si="177"/>
        <v>0</v>
      </c>
      <c r="V1103" s="59">
        <f t="shared" si="178"/>
        <v>0</v>
      </c>
      <c r="W1103" s="39">
        <f t="shared" si="179"/>
        <v>0</v>
      </c>
      <c r="X1103" s="40">
        <f t="shared" si="180"/>
        <v>0</v>
      </c>
      <c r="Y1103"/>
      <c r="Z1103"/>
      <c r="AA1103"/>
    </row>
    <row r="1104" spans="1:27" s="51" customFormat="1" ht="18.600000000000001" hidden="1" customHeight="1" x14ac:dyDescent="0.25">
      <c r="A1104" s="82" t="s">
        <v>9279</v>
      </c>
      <c r="B1104" s="41" t="s">
        <v>9280</v>
      </c>
      <c r="C1104" s="42" t="s">
        <v>1934</v>
      </c>
      <c r="D1104" s="41"/>
      <c r="E1104" s="43" t="s">
        <v>9261</v>
      </c>
      <c r="F1104" s="43" t="s">
        <v>9285</v>
      </c>
      <c r="G1104" s="43" t="s">
        <v>22</v>
      </c>
      <c r="H1104" s="85" t="s">
        <v>9197</v>
      </c>
      <c r="I1104" s="23" t="s">
        <v>24</v>
      </c>
      <c r="J1104" s="44">
        <v>1750</v>
      </c>
      <c r="K1104" s="45">
        <v>0.25</v>
      </c>
      <c r="L1104" s="46">
        <f t="shared" si="172"/>
        <v>437.5</v>
      </c>
      <c r="M1104" s="47">
        <f t="shared" si="173"/>
        <v>1312.5</v>
      </c>
      <c r="N1104" s="48">
        <v>0.16</v>
      </c>
      <c r="O1104" s="49">
        <f t="shared" si="174"/>
        <v>210</v>
      </c>
      <c r="P1104" s="50">
        <f t="shared" si="175"/>
        <v>1522.5</v>
      </c>
      <c r="Q1104" s="23"/>
      <c r="R1104" s="60"/>
      <c r="S1104" s="61"/>
      <c r="T1104" s="62">
        <f t="shared" si="176"/>
        <v>0</v>
      </c>
      <c r="U1104" s="46">
        <f t="shared" si="177"/>
        <v>0</v>
      </c>
      <c r="V1104" s="63">
        <f t="shared" si="178"/>
        <v>0</v>
      </c>
      <c r="W1104" s="49">
        <f t="shared" si="179"/>
        <v>0</v>
      </c>
      <c r="X1104" s="50">
        <f t="shared" si="180"/>
        <v>0</v>
      </c>
      <c r="Y1104"/>
      <c r="Z1104"/>
      <c r="AA1104"/>
    </row>
    <row r="1105" spans="1:27" s="51" customFormat="1" ht="18.600000000000001" hidden="1" customHeight="1" x14ac:dyDescent="0.25">
      <c r="A1105" s="80" t="s">
        <v>9279</v>
      </c>
      <c r="B1105" s="20" t="s">
        <v>9280</v>
      </c>
      <c r="C1105" s="21" t="s">
        <v>1934</v>
      </c>
      <c r="D1105" s="20"/>
      <c r="E1105" s="22" t="s">
        <v>9262</v>
      </c>
      <c r="F1105" s="22" t="s">
        <v>9285</v>
      </c>
      <c r="G1105" s="22" t="s">
        <v>22</v>
      </c>
      <c r="H1105" s="83" t="s">
        <v>9198</v>
      </c>
      <c r="I1105" s="23" t="s">
        <v>24</v>
      </c>
      <c r="J1105" s="24">
        <v>5300</v>
      </c>
      <c r="K1105" s="25">
        <v>0.25</v>
      </c>
      <c r="L1105" s="26">
        <f t="shared" si="172"/>
        <v>1325</v>
      </c>
      <c r="M1105" s="27">
        <f t="shared" si="173"/>
        <v>3975</v>
      </c>
      <c r="N1105" s="28">
        <v>0.16</v>
      </c>
      <c r="O1105" s="29">
        <f t="shared" si="174"/>
        <v>636</v>
      </c>
      <c r="P1105" s="30">
        <f t="shared" si="175"/>
        <v>4611</v>
      </c>
      <c r="Q1105" s="23"/>
      <c r="R1105" s="52"/>
      <c r="S1105" s="53"/>
      <c r="T1105" s="54">
        <f t="shared" si="176"/>
        <v>0</v>
      </c>
      <c r="U1105" s="26">
        <f t="shared" si="177"/>
        <v>0</v>
      </c>
      <c r="V1105" s="55">
        <f t="shared" si="178"/>
        <v>0</v>
      </c>
      <c r="W1105" s="29">
        <f t="shared" si="179"/>
        <v>0</v>
      </c>
      <c r="X1105" s="30">
        <f t="shared" si="180"/>
        <v>0</v>
      </c>
      <c r="Y1105"/>
      <c r="Z1105"/>
      <c r="AA1105"/>
    </row>
    <row r="1106" spans="1:27" s="51" customFormat="1" ht="18.600000000000001" hidden="1" customHeight="1" x14ac:dyDescent="0.25">
      <c r="A1106" s="81" t="s">
        <v>9279</v>
      </c>
      <c r="B1106" s="31" t="s">
        <v>9280</v>
      </c>
      <c r="C1106" s="32" t="s">
        <v>1934</v>
      </c>
      <c r="D1106" s="31"/>
      <c r="E1106" s="33" t="s">
        <v>9263</v>
      </c>
      <c r="F1106" s="33" t="s">
        <v>9285</v>
      </c>
      <c r="G1106" s="33" t="s">
        <v>22</v>
      </c>
      <c r="H1106" s="84" t="s">
        <v>9199</v>
      </c>
      <c r="I1106" s="23" t="s">
        <v>24</v>
      </c>
      <c r="J1106" s="34">
        <v>3650</v>
      </c>
      <c r="K1106" s="35">
        <v>0.25</v>
      </c>
      <c r="L1106" s="36">
        <f t="shared" si="172"/>
        <v>912.5</v>
      </c>
      <c r="M1106" s="37">
        <f t="shared" si="173"/>
        <v>2737.5</v>
      </c>
      <c r="N1106" s="38">
        <v>0.16</v>
      </c>
      <c r="O1106" s="39">
        <f t="shared" si="174"/>
        <v>438</v>
      </c>
      <c r="P1106" s="40">
        <f t="shared" si="175"/>
        <v>3175.5</v>
      </c>
      <c r="Q1106" s="23"/>
      <c r="R1106" s="56"/>
      <c r="S1106" s="57"/>
      <c r="T1106" s="58">
        <f t="shared" si="176"/>
        <v>0</v>
      </c>
      <c r="U1106" s="36">
        <f t="shared" si="177"/>
        <v>0</v>
      </c>
      <c r="V1106" s="59">
        <f t="shared" si="178"/>
        <v>0</v>
      </c>
      <c r="W1106" s="39">
        <f t="shared" si="179"/>
        <v>0</v>
      </c>
      <c r="X1106" s="40">
        <f t="shared" si="180"/>
        <v>0</v>
      </c>
      <c r="Y1106"/>
      <c r="Z1106"/>
      <c r="AA1106"/>
    </row>
    <row r="1107" spans="1:27" s="51" customFormat="1" ht="18.600000000000001" hidden="1" customHeight="1" x14ac:dyDescent="0.25">
      <c r="A1107" s="82" t="s">
        <v>9279</v>
      </c>
      <c r="B1107" s="41" t="s">
        <v>9280</v>
      </c>
      <c r="C1107" s="42" t="s">
        <v>1934</v>
      </c>
      <c r="D1107" s="41"/>
      <c r="E1107" s="43" t="s">
        <v>9264</v>
      </c>
      <c r="F1107" s="43" t="s">
        <v>9285</v>
      </c>
      <c r="G1107" s="43" t="s">
        <v>22</v>
      </c>
      <c r="H1107" s="85" t="s">
        <v>9200</v>
      </c>
      <c r="I1107" s="23" t="s">
        <v>24</v>
      </c>
      <c r="J1107" s="44">
        <v>2650</v>
      </c>
      <c r="K1107" s="45">
        <v>0.25</v>
      </c>
      <c r="L1107" s="46">
        <f t="shared" si="172"/>
        <v>662.5</v>
      </c>
      <c r="M1107" s="47">
        <f t="shared" si="173"/>
        <v>1987.5</v>
      </c>
      <c r="N1107" s="48">
        <v>0.16</v>
      </c>
      <c r="O1107" s="49">
        <f t="shared" si="174"/>
        <v>318</v>
      </c>
      <c r="P1107" s="50">
        <f t="shared" si="175"/>
        <v>2305.5</v>
      </c>
      <c r="Q1107" s="23"/>
      <c r="R1107" s="60"/>
      <c r="S1107" s="61"/>
      <c r="T1107" s="62">
        <f t="shared" si="176"/>
        <v>0</v>
      </c>
      <c r="U1107" s="46">
        <f t="shared" si="177"/>
        <v>0</v>
      </c>
      <c r="V1107" s="63">
        <f t="shared" si="178"/>
        <v>0</v>
      </c>
      <c r="W1107" s="49">
        <f t="shared" si="179"/>
        <v>0</v>
      </c>
      <c r="X1107" s="50">
        <f t="shared" si="180"/>
        <v>0</v>
      </c>
      <c r="Y1107"/>
      <c r="Z1107"/>
      <c r="AA1107"/>
    </row>
    <row r="1108" spans="1:27" s="51" customFormat="1" ht="18.600000000000001" hidden="1" customHeight="1" x14ac:dyDescent="0.25">
      <c r="A1108" s="80" t="s">
        <v>9279</v>
      </c>
      <c r="B1108" s="20" t="s">
        <v>9280</v>
      </c>
      <c r="C1108" s="21" t="s">
        <v>1934</v>
      </c>
      <c r="D1108" s="20"/>
      <c r="E1108" s="22" t="s">
        <v>9265</v>
      </c>
      <c r="F1108" s="22" t="s">
        <v>9285</v>
      </c>
      <c r="G1108" s="22" t="s">
        <v>22</v>
      </c>
      <c r="H1108" s="83" t="s">
        <v>9201</v>
      </c>
      <c r="I1108" s="23" t="s">
        <v>24</v>
      </c>
      <c r="J1108" s="24">
        <v>2300</v>
      </c>
      <c r="K1108" s="25">
        <v>0.25</v>
      </c>
      <c r="L1108" s="26">
        <f t="shared" si="172"/>
        <v>575</v>
      </c>
      <c r="M1108" s="27">
        <f t="shared" si="173"/>
        <v>1725</v>
      </c>
      <c r="N1108" s="28">
        <v>0.16</v>
      </c>
      <c r="O1108" s="29">
        <f t="shared" si="174"/>
        <v>276</v>
      </c>
      <c r="P1108" s="30">
        <f t="shared" si="175"/>
        <v>2001</v>
      </c>
      <c r="Q1108" s="23"/>
      <c r="R1108" s="52"/>
      <c r="S1108" s="53"/>
      <c r="T1108" s="54">
        <f t="shared" si="176"/>
        <v>0</v>
      </c>
      <c r="U1108" s="26">
        <f t="shared" si="177"/>
        <v>0</v>
      </c>
      <c r="V1108" s="55">
        <f t="shared" si="178"/>
        <v>0</v>
      </c>
      <c r="W1108" s="29">
        <f t="shared" si="179"/>
        <v>0</v>
      </c>
      <c r="X1108" s="30">
        <f t="shared" si="180"/>
        <v>0</v>
      </c>
      <c r="Y1108"/>
      <c r="Z1108"/>
      <c r="AA1108"/>
    </row>
    <row r="1109" spans="1:27" s="51" customFormat="1" ht="18.600000000000001" hidden="1" customHeight="1" x14ac:dyDescent="0.25">
      <c r="A1109" s="81" t="s">
        <v>9279</v>
      </c>
      <c r="B1109" s="31" t="s">
        <v>9280</v>
      </c>
      <c r="C1109" s="32" t="s">
        <v>1934</v>
      </c>
      <c r="D1109" s="31"/>
      <c r="E1109" s="33" t="s">
        <v>9266</v>
      </c>
      <c r="F1109" s="33" t="s">
        <v>9285</v>
      </c>
      <c r="G1109" s="33" t="s">
        <v>22</v>
      </c>
      <c r="H1109" s="84" t="s">
        <v>9202</v>
      </c>
      <c r="I1109" s="23" t="s">
        <v>24</v>
      </c>
      <c r="J1109" s="34">
        <v>2050</v>
      </c>
      <c r="K1109" s="35">
        <v>0.25</v>
      </c>
      <c r="L1109" s="36">
        <f t="shared" si="172"/>
        <v>512.5</v>
      </c>
      <c r="M1109" s="37">
        <f t="shared" si="173"/>
        <v>1537.5</v>
      </c>
      <c r="N1109" s="38">
        <v>0.16</v>
      </c>
      <c r="O1109" s="39">
        <f t="shared" si="174"/>
        <v>246</v>
      </c>
      <c r="P1109" s="40">
        <f t="shared" si="175"/>
        <v>1783.5</v>
      </c>
      <c r="Q1109" s="23"/>
      <c r="R1109" s="56"/>
      <c r="S1109" s="57"/>
      <c r="T1109" s="58">
        <f t="shared" si="176"/>
        <v>0</v>
      </c>
      <c r="U1109" s="36">
        <f t="shared" si="177"/>
        <v>0</v>
      </c>
      <c r="V1109" s="59">
        <f t="shared" si="178"/>
        <v>0</v>
      </c>
      <c r="W1109" s="39">
        <f t="shared" si="179"/>
        <v>0</v>
      </c>
      <c r="X1109" s="40">
        <f t="shared" si="180"/>
        <v>0</v>
      </c>
      <c r="Y1109"/>
      <c r="Z1109"/>
      <c r="AA1109"/>
    </row>
    <row r="1110" spans="1:27" s="51" customFormat="1" ht="18.600000000000001" hidden="1" customHeight="1" x14ac:dyDescent="0.25">
      <c r="A1110" s="82" t="s">
        <v>9279</v>
      </c>
      <c r="B1110" s="41" t="s">
        <v>9280</v>
      </c>
      <c r="C1110" s="42" t="s">
        <v>1934</v>
      </c>
      <c r="D1110" s="41"/>
      <c r="E1110" s="43" t="s">
        <v>9267</v>
      </c>
      <c r="F1110" s="43" t="s">
        <v>9285</v>
      </c>
      <c r="G1110" s="43" t="s">
        <v>22</v>
      </c>
      <c r="H1110" s="85" t="s">
        <v>9203</v>
      </c>
      <c r="I1110" s="23" t="s">
        <v>24</v>
      </c>
      <c r="J1110" s="44">
        <v>2300</v>
      </c>
      <c r="K1110" s="45">
        <v>0.25</v>
      </c>
      <c r="L1110" s="46">
        <f t="shared" si="172"/>
        <v>575</v>
      </c>
      <c r="M1110" s="47">
        <f t="shared" si="173"/>
        <v>1725</v>
      </c>
      <c r="N1110" s="48">
        <v>0.16</v>
      </c>
      <c r="O1110" s="49">
        <f t="shared" si="174"/>
        <v>276</v>
      </c>
      <c r="P1110" s="50">
        <f t="shared" si="175"/>
        <v>2001</v>
      </c>
      <c r="Q1110" s="23"/>
      <c r="R1110" s="60"/>
      <c r="S1110" s="61"/>
      <c r="T1110" s="62">
        <f t="shared" si="176"/>
        <v>0</v>
      </c>
      <c r="U1110" s="46">
        <f t="shared" si="177"/>
        <v>0</v>
      </c>
      <c r="V1110" s="63">
        <f t="shared" si="178"/>
        <v>0</v>
      </c>
      <c r="W1110" s="49">
        <f t="shared" si="179"/>
        <v>0</v>
      </c>
      <c r="X1110" s="50">
        <f t="shared" si="180"/>
        <v>0</v>
      </c>
      <c r="Y1110"/>
      <c r="Z1110"/>
      <c r="AA1110"/>
    </row>
    <row r="1111" spans="1:27" s="51" customFormat="1" ht="18.600000000000001" hidden="1" customHeight="1" x14ac:dyDescent="0.25">
      <c r="A1111" s="80" t="s">
        <v>9279</v>
      </c>
      <c r="B1111" s="20" t="s">
        <v>9280</v>
      </c>
      <c r="C1111" s="21" t="s">
        <v>1934</v>
      </c>
      <c r="D1111" s="20"/>
      <c r="E1111" s="22" t="s">
        <v>10066</v>
      </c>
      <c r="F1111" s="22" t="s">
        <v>9285</v>
      </c>
      <c r="G1111" s="22" t="s">
        <v>22</v>
      </c>
      <c r="H1111" s="83" t="s">
        <v>9204</v>
      </c>
      <c r="I1111" s="23" t="s">
        <v>24</v>
      </c>
      <c r="J1111" s="24">
        <v>2450</v>
      </c>
      <c r="K1111" s="25">
        <v>0.25</v>
      </c>
      <c r="L1111" s="26">
        <f t="shared" si="172"/>
        <v>612.5</v>
      </c>
      <c r="M1111" s="27">
        <f t="shared" si="173"/>
        <v>1837.5</v>
      </c>
      <c r="N1111" s="28">
        <v>0.16</v>
      </c>
      <c r="O1111" s="29">
        <f t="shared" si="174"/>
        <v>294</v>
      </c>
      <c r="P1111" s="30">
        <f t="shared" si="175"/>
        <v>2131.5</v>
      </c>
      <c r="Q1111" s="23"/>
      <c r="R1111" s="52"/>
      <c r="S1111" s="53"/>
      <c r="T1111" s="54">
        <f t="shared" si="176"/>
        <v>0</v>
      </c>
      <c r="U1111" s="26">
        <f t="shared" si="177"/>
        <v>0</v>
      </c>
      <c r="V1111" s="55">
        <f t="shared" si="178"/>
        <v>0</v>
      </c>
      <c r="W1111" s="29">
        <f t="shared" si="179"/>
        <v>0</v>
      </c>
      <c r="X1111" s="30">
        <f t="shared" si="180"/>
        <v>0</v>
      </c>
      <c r="Y1111"/>
      <c r="Z1111"/>
      <c r="AA1111"/>
    </row>
    <row r="1112" spans="1:27" s="51" customFormat="1" ht="18.600000000000001" hidden="1" customHeight="1" x14ac:dyDescent="0.25">
      <c r="A1112" s="81" t="s">
        <v>9279</v>
      </c>
      <c r="B1112" s="31" t="s">
        <v>9280</v>
      </c>
      <c r="C1112" s="32" t="s">
        <v>1934</v>
      </c>
      <c r="D1112" s="31"/>
      <c r="E1112" s="33" t="s">
        <v>9268</v>
      </c>
      <c r="F1112" s="33" t="s">
        <v>9285</v>
      </c>
      <c r="G1112" s="33" t="s">
        <v>22</v>
      </c>
      <c r="H1112" s="84" t="s">
        <v>9205</v>
      </c>
      <c r="I1112" s="23" t="s">
        <v>24</v>
      </c>
      <c r="J1112" s="34">
        <v>3600</v>
      </c>
      <c r="K1112" s="35">
        <v>0.25</v>
      </c>
      <c r="L1112" s="36">
        <f t="shared" si="172"/>
        <v>900</v>
      </c>
      <c r="M1112" s="37">
        <f t="shared" si="173"/>
        <v>2700</v>
      </c>
      <c r="N1112" s="38">
        <v>0.16</v>
      </c>
      <c r="O1112" s="39">
        <f t="shared" si="174"/>
        <v>432</v>
      </c>
      <c r="P1112" s="40">
        <f t="shared" si="175"/>
        <v>3132</v>
      </c>
      <c r="Q1112" s="23"/>
      <c r="R1112" s="56"/>
      <c r="S1112" s="57"/>
      <c r="T1112" s="58">
        <f t="shared" si="176"/>
        <v>0</v>
      </c>
      <c r="U1112" s="36">
        <f t="shared" si="177"/>
        <v>0</v>
      </c>
      <c r="V1112" s="59">
        <f t="shared" si="178"/>
        <v>0</v>
      </c>
      <c r="W1112" s="39">
        <f t="shared" si="179"/>
        <v>0</v>
      </c>
      <c r="X1112" s="40">
        <f t="shared" si="180"/>
        <v>0</v>
      </c>
      <c r="Y1112"/>
      <c r="Z1112"/>
      <c r="AA1112"/>
    </row>
    <row r="1113" spans="1:27" s="51" customFormat="1" ht="18.600000000000001" hidden="1" customHeight="1" x14ac:dyDescent="0.25">
      <c r="A1113" s="82" t="s">
        <v>9279</v>
      </c>
      <c r="B1113" s="41" t="s">
        <v>9280</v>
      </c>
      <c r="C1113" s="42" t="s">
        <v>1934</v>
      </c>
      <c r="D1113" s="41"/>
      <c r="E1113" s="43" t="s">
        <v>9269</v>
      </c>
      <c r="F1113" s="43" t="s">
        <v>9285</v>
      </c>
      <c r="G1113" s="43" t="s">
        <v>22</v>
      </c>
      <c r="H1113" s="85" t="s">
        <v>9206</v>
      </c>
      <c r="I1113" s="23" t="s">
        <v>24</v>
      </c>
      <c r="J1113" s="44">
        <v>4300</v>
      </c>
      <c r="K1113" s="45">
        <v>0.25</v>
      </c>
      <c r="L1113" s="46">
        <f t="shared" si="172"/>
        <v>1075</v>
      </c>
      <c r="M1113" s="47">
        <f t="shared" si="173"/>
        <v>3225</v>
      </c>
      <c r="N1113" s="48">
        <v>0.16</v>
      </c>
      <c r="O1113" s="49">
        <f t="shared" si="174"/>
        <v>516</v>
      </c>
      <c r="P1113" s="50">
        <f t="shared" si="175"/>
        <v>3741</v>
      </c>
      <c r="Q1113" s="23"/>
      <c r="R1113" s="60"/>
      <c r="S1113" s="61"/>
      <c r="T1113" s="62">
        <f t="shared" si="176"/>
        <v>0</v>
      </c>
      <c r="U1113" s="46">
        <f t="shared" si="177"/>
        <v>0</v>
      </c>
      <c r="V1113" s="63">
        <f t="shared" si="178"/>
        <v>0</v>
      </c>
      <c r="W1113" s="49">
        <f t="shared" si="179"/>
        <v>0</v>
      </c>
      <c r="X1113" s="50">
        <f t="shared" si="180"/>
        <v>0</v>
      </c>
      <c r="Y1113"/>
      <c r="Z1113"/>
      <c r="AA1113"/>
    </row>
    <row r="1114" spans="1:27" s="51" customFormat="1" ht="18.600000000000001" hidden="1" customHeight="1" x14ac:dyDescent="0.25">
      <c r="A1114" s="80" t="s">
        <v>9279</v>
      </c>
      <c r="B1114" s="20" t="s">
        <v>9280</v>
      </c>
      <c r="C1114" s="21" t="s">
        <v>1934</v>
      </c>
      <c r="D1114" s="20"/>
      <c r="E1114" s="22" t="s">
        <v>9270</v>
      </c>
      <c r="F1114" s="22" t="s">
        <v>9285</v>
      </c>
      <c r="G1114" s="22" t="s">
        <v>22</v>
      </c>
      <c r="H1114" s="83" t="s">
        <v>9207</v>
      </c>
      <c r="I1114" s="23" t="s">
        <v>24</v>
      </c>
      <c r="J1114" s="24">
        <v>4300</v>
      </c>
      <c r="K1114" s="25">
        <v>0.25</v>
      </c>
      <c r="L1114" s="26">
        <f t="shared" si="172"/>
        <v>1075</v>
      </c>
      <c r="M1114" s="27">
        <f t="shared" si="173"/>
        <v>3225</v>
      </c>
      <c r="N1114" s="28">
        <v>0.16</v>
      </c>
      <c r="O1114" s="29">
        <f t="shared" si="174"/>
        <v>516</v>
      </c>
      <c r="P1114" s="30">
        <f t="shared" si="175"/>
        <v>3741</v>
      </c>
      <c r="Q1114" s="23"/>
      <c r="R1114" s="52"/>
      <c r="S1114" s="53"/>
      <c r="T1114" s="54">
        <f t="shared" si="176"/>
        <v>0</v>
      </c>
      <c r="U1114" s="26">
        <f t="shared" si="177"/>
        <v>0</v>
      </c>
      <c r="V1114" s="55">
        <f t="shared" si="178"/>
        <v>0</v>
      </c>
      <c r="W1114" s="29">
        <f t="shared" si="179"/>
        <v>0</v>
      </c>
      <c r="X1114" s="30">
        <f t="shared" si="180"/>
        <v>0</v>
      </c>
      <c r="Y1114"/>
      <c r="Z1114"/>
      <c r="AA1114"/>
    </row>
    <row r="1115" spans="1:27" s="51" customFormat="1" ht="18.600000000000001" hidden="1" customHeight="1" x14ac:dyDescent="0.25">
      <c r="A1115" s="81" t="s">
        <v>9279</v>
      </c>
      <c r="B1115" s="31" t="s">
        <v>9281</v>
      </c>
      <c r="C1115" s="32" t="s">
        <v>9281</v>
      </c>
      <c r="D1115" s="31"/>
      <c r="E1115" s="33" t="s">
        <v>10004</v>
      </c>
      <c r="F1115" s="33" t="s">
        <v>9285</v>
      </c>
      <c r="G1115" s="33" t="s">
        <v>22</v>
      </c>
      <c r="H1115" s="84" t="s">
        <v>9208</v>
      </c>
      <c r="I1115" s="23" t="s">
        <v>24</v>
      </c>
      <c r="J1115" s="34">
        <v>1640</v>
      </c>
      <c r="K1115" s="35">
        <v>0.25</v>
      </c>
      <c r="L1115" s="36">
        <f t="shared" si="172"/>
        <v>410</v>
      </c>
      <c r="M1115" s="37">
        <f t="shared" si="173"/>
        <v>1230</v>
      </c>
      <c r="N1115" s="38">
        <v>0.16</v>
      </c>
      <c r="O1115" s="39">
        <f t="shared" si="174"/>
        <v>196.8</v>
      </c>
      <c r="P1115" s="40">
        <f t="shared" si="175"/>
        <v>1426.8</v>
      </c>
      <c r="Q1115" s="23"/>
      <c r="R1115" s="56"/>
      <c r="S1115" s="57"/>
      <c r="T1115" s="58">
        <f t="shared" si="176"/>
        <v>0</v>
      </c>
      <c r="U1115" s="36">
        <f t="shared" si="177"/>
        <v>0</v>
      </c>
      <c r="V1115" s="59">
        <f t="shared" si="178"/>
        <v>0</v>
      </c>
      <c r="W1115" s="39">
        <f t="shared" si="179"/>
        <v>0</v>
      </c>
      <c r="X1115" s="40">
        <f t="shared" si="180"/>
        <v>0</v>
      </c>
      <c r="Y1115"/>
      <c r="Z1115"/>
      <c r="AA1115"/>
    </row>
    <row r="1116" spans="1:27" s="51" customFormat="1" ht="18.600000000000001" hidden="1" customHeight="1" x14ac:dyDescent="0.25">
      <c r="A1116" s="82" t="s">
        <v>9279</v>
      </c>
      <c r="B1116" s="41" t="s">
        <v>9282</v>
      </c>
      <c r="C1116" s="42" t="s">
        <v>9283</v>
      </c>
      <c r="D1116" s="41"/>
      <c r="E1116" s="43" t="s">
        <v>9271</v>
      </c>
      <c r="F1116" s="43" t="s">
        <v>9286</v>
      </c>
      <c r="G1116" s="43" t="s">
        <v>9287</v>
      </c>
      <c r="H1116" s="85" t="s">
        <v>10056</v>
      </c>
      <c r="I1116" s="23" t="s">
        <v>24</v>
      </c>
      <c r="J1116" s="44">
        <v>2300</v>
      </c>
      <c r="K1116" s="45">
        <v>0.25</v>
      </c>
      <c r="L1116" s="46">
        <f t="shared" si="172"/>
        <v>575</v>
      </c>
      <c r="M1116" s="47">
        <f t="shared" si="173"/>
        <v>1725</v>
      </c>
      <c r="N1116" s="48">
        <v>0.16</v>
      </c>
      <c r="O1116" s="49">
        <f t="shared" si="174"/>
        <v>276</v>
      </c>
      <c r="P1116" s="50">
        <f t="shared" si="175"/>
        <v>2001</v>
      </c>
      <c r="Q1116" s="23"/>
      <c r="R1116" s="60"/>
      <c r="S1116" s="61"/>
      <c r="T1116" s="62">
        <f t="shared" si="176"/>
        <v>0</v>
      </c>
      <c r="U1116" s="46">
        <f t="shared" si="177"/>
        <v>0</v>
      </c>
      <c r="V1116" s="63">
        <f t="shared" si="178"/>
        <v>0</v>
      </c>
      <c r="W1116" s="49">
        <f t="shared" si="179"/>
        <v>0</v>
      </c>
      <c r="X1116" s="50">
        <f t="shared" si="180"/>
        <v>0</v>
      </c>
      <c r="Y1116"/>
      <c r="Z1116"/>
      <c r="AA1116"/>
    </row>
    <row r="1117" spans="1:27" s="51" customFormat="1" ht="18.600000000000001" hidden="1" customHeight="1" x14ac:dyDescent="0.25">
      <c r="A1117" s="80" t="s">
        <v>9279</v>
      </c>
      <c r="B1117" s="20" t="s">
        <v>9282</v>
      </c>
      <c r="C1117" s="21" t="s">
        <v>9283</v>
      </c>
      <c r="D1117" s="20"/>
      <c r="E1117" s="22" t="s">
        <v>9272</v>
      </c>
      <c r="F1117" s="22" t="s">
        <v>9286</v>
      </c>
      <c r="G1117" s="22" t="s">
        <v>9287</v>
      </c>
      <c r="H1117" s="83" t="s">
        <v>10057</v>
      </c>
      <c r="I1117" s="23" t="s">
        <v>24</v>
      </c>
      <c r="J1117" s="24">
        <v>2600</v>
      </c>
      <c r="K1117" s="25">
        <v>0.25</v>
      </c>
      <c r="L1117" s="26">
        <f t="shared" si="172"/>
        <v>650</v>
      </c>
      <c r="M1117" s="27">
        <f t="shared" si="173"/>
        <v>1950</v>
      </c>
      <c r="N1117" s="28">
        <v>0.16</v>
      </c>
      <c r="O1117" s="29">
        <f t="shared" si="174"/>
        <v>312</v>
      </c>
      <c r="P1117" s="30">
        <f t="shared" si="175"/>
        <v>2262</v>
      </c>
      <c r="Q1117" s="23"/>
      <c r="R1117" s="52"/>
      <c r="S1117" s="53"/>
      <c r="T1117" s="54">
        <f t="shared" si="176"/>
        <v>0</v>
      </c>
      <c r="U1117" s="26">
        <f t="shared" si="177"/>
        <v>0</v>
      </c>
      <c r="V1117" s="55">
        <f t="shared" si="178"/>
        <v>0</v>
      </c>
      <c r="W1117" s="29">
        <f t="shared" si="179"/>
        <v>0</v>
      </c>
      <c r="X1117" s="30">
        <f t="shared" si="180"/>
        <v>0</v>
      </c>
      <c r="Y1117"/>
      <c r="Z1117"/>
      <c r="AA1117"/>
    </row>
    <row r="1118" spans="1:27" s="51" customFormat="1" ht="18.600000000000001" hidden="1" customHeight="1" x14ac:dyDescent="0.25">
      <c r="A1118" s="81" t="s">
        <v>9279</v>
      </c>
      <c r="B1118" s="31" t="s">
        <v>9282</v>
      </c>
      <c r="C1118" s="32" t="s">
        <v>9283</v>
      </c>
      <c r="D1118" s="31"/>
      <c r="E1118" s="33" t="s">
        <v>9273</v>
      </c>
      <c r="F1118" s="33" t="s">
        <v>9286</v>
      </c>
      <c r="G1118" s="33" t="s">
        <v>9288</v>
      </c>
      <c r="H1118" s="84" t="s">
        <v>10058</v>
      </c>
      <c r="I1118" s="23" t="s">
        <v>24</v>
      </c>
      <c r="J1118" s="34">
        <v>1250</v>
      </c>
      <c r="K1118" s="35">
        <v>0.25</v>
      </c>
      <c r="L1118" s="36">
        <f t="shared" si="172"/>
        <v>312.5</v>
      </c>
      <c r="M1118" s="37">
        <f t="shared" si="173"/>
        <v>937.5</v>
      </c>
      <c r="N1118" s="38">
        <v>0.16</v>
      </c>
      <c r="O1118" s="39">
        <f t="shared" si="174"/>
        <v>150</v>
      </c>
      <c r="P1118" s="40">
        <f t="shared" si="175"/>
        <v>1087.5</v>
      </c>
      <c r="Q1118" s="23"/>
      <c r="R1118" s="56"/>
      <c r="S1118" s="57"/>
      <c r="T1118" s="58">
        <f t="shared" si="176"/>
        <v>0</v>
      </c>
      <c r="U1118" s="36">
        <f t="shared" si="177"/>
        <v>0</v>
      </c>
      <c r="V1118" s="59">
        <f t="shared" si="178"/>
        <v>0</v>
      </c>
      <c r="W1118" s="39">
        <f t="shared" si="179"/>
        <v>0</v>
      </c>
      <c r="X1118" s="40">
        <f t="shared" si="180"/>
        <v>0</v>
      </c>
      <c r="Y1118"/>
      <c r="Z1118"/>
      <c r="AA1118"/>
    </row>
    <row r="1119" spans="1:27" s="51" customFormat="1" ht="18.600000000000001" hidden="1" customHeight="1" x14ac:dyDescent="0.25">
      <c r="A1119" s="82" t="s">
        <v>9279</v>
      </c>
      <c r="B1119" s="41" t="s">
        <v>9282</v>
      </c>
      <c r="C1119" s="42" t="s">
        <v>9283</v>
      </c>
      <c r="D1119" s="41"/>
      <c r="E1119" s="43" t="s">
        <v>9274</v>
      </c>
      <c r="F1119" s="43" t="s">
        <v>9286</v>
      </c>
      <c r="G1119" s="43" t="s">
        <v>9288</v>
      </c>
      <c r="H1119" s="85" t="s">
        <v>10059</v>
      </c>
      <c r="I1119" s="23" t="s">
        <v>24</v>
      </c>
      <c r="J1119" s="44">
        <v>1250</v>
      </c>
      <c r="K1119" s="45">
        <v>0.25</v>
      </c>
      <c r="L1119" s="46">
        <f t="shared" si="172"/>
        <v>312.5</v>
      </c>
      <c r="M1119" s="47">
        <f t="shared" si="173"/>
        <v>937.5</v>
      </c>
      <c r="N1119" s="48">
        <v>0.16</v>
      </c>
      <c r="O1119" s="49">
        <f t="shared" si="174"/>
        <v>150</v>
      </c>
      <c r="P1119" s="50">
        <f t="shared" si="175"/>
        <v>1087.5</v>
      </c>
      <c r="Q1119" s="23"/>
      <c r="R1119" s="60"/>
      <c r="S1119" s="61"/>
      <c r="T1119" s="62">
        <f t="shared" si="176"/>
        <v>0</v>
      </c>
      <c r="U1119" s="46">
        <f t="shared" si="177"/>
        <v>0</v>
      </c>
      <c r="V1119" s="63">
        <f t="shared" si="178"/>
        <v>0</v>
      </c>
      <c r="W1119" s="49">
        <f t="shared" si="179"/>
        <v>0</v>
      </c>
      <c r="X1119" s="50">
        <f t="shared" si="180"/>
        <v>0</v>
      </c>
      <c r="Y1119"/>
      <c r="Z1119"/>
      <c r="AA1119"/>
    </row>
    <row r="1120" spans="1:27" s="51" customFormat="1" ht="18.600000000000001" hidden="1" customHeight="1" x14ac:dyDescent="0.25">
      <c r="A1120" s="80" t="s">
        <v>9279</v>
      </c>
      <c r="B1120" s="20" t="s">
        <v>9282</v>
      </c>
      <c r="C1120" s="21" t="s">
        <v>9283</v>
      </c>
      <c r="D1120" s="20"/>
      <c r="E1120" s="22" t="s">
        <v>9275</v>
      </c>
      <c r="F1120" s="22" t="s">
        <v>9286</v>
      </c>
      <c r="G1120" s="22" t="s">
        <v>9288</v>
      </c>
      <c r="H1120" s="83" t="s">
        <v>10060</v>
      </c>
      <c r="I1120" s="23" t="s">
        <v>24</v>
      </c>
      <c r="J1120" s="24">
        <v>1250</v>
      </c>
      <c r="K1120" s="25">
        <v>0.25</v>
      </c>
      <c r="L1120" s="26">
        <f t="shared" si="172"/>
        <v>312.5</v>
      </c>
      <c r="M1120" s="27">
        <f t="shared" si="173"/>
        <v>937.5</v>
      </c>
      <c r="N1120" s="28">
        <v>0.16</v>
      </c>
      <c r="O1120" s="29">
        <f t="shared" si="174"/>
        <v>150</v>
      </c>
      <c r="P1120" s="30">
        <f t="shared" si="175"/>
        <v>1087.5</v>
      </c>
      <c r="Q1120" s="23"/>
      <c r="R1120" s="52"/>
      <c r="S1120" s="53"/>
      <c r="T1120" s="54">
        <f t="shared" si="176"/>
        <v>0</v>
      </c>
      <c r="U1120" s="26">
        <f t="shared" si="177"/>
        <v>0</v>
      </c>
      <c r="V1120" s="55">
        <f t="shared" si="178"/>
        <v>0</v>
      </c>
      <c r="W1120" s="29">
        <f t="shared" si="179"/>
        <v>0</v>
      </c>
      <c r="X1120" s="30">
        <f t="shared" si="180"/>
        <v>0</v>
      </c>
      <c r="Y1120"/>
      <c r="Z1120"/>
      <c r="AA1120"/>
    </row>
    <row r="1121" spans="1:27" s="51" customFormat="1" ht="18.600000000000001" hidden="1" customHeight="1" x14ac:dyDescent="0.25">
      <c r="A1121" s="81" t="s">
        <v>9279</v>
      </c>
      <c r="B1121" s="31" t="s">
        <v>9282</v>
      </c>
      <c r="C1121" s="32" t="s">
        <v>9283</v>
      </c>
      <c r="D1121" s="31"/>
      <c r="E1121" s="33" t="s">
        <v>9276</v>
      </c>
      <c r="F1121" s="33" t="s">
        <v>9286</v>
      </c>
      <c r="G1121" s="33" t="s">
        <v>9288</v>
      </c>
      <c r="H1121" s="84" t="s">
        <v>10061</v>
      </c>
      <c r="I1121" s="23" t="s">
        <v>24</v>
      </c>
      <c r="J1121" s="34">
        <v>1250</v>
      </c>
      <c r="K1121" s="35">
        <v>0.25</v>
      </c>
      <c r="L1121" s="36">
        <f t="shared" si="172"/>
        <v>312.5</v>
      </c>
      <c r="M1121" s="37">
        <f t="shared" si="173"/>
        <v>937.5</v>
      </c>
      <c r="N1121" s="38">
        <v>0.16</v>
      </c>
      <c r="O1121" s="39">
        <f t="shared" si="174"/>
        <v>150</v>
      </c>
      <c r="P1121" s="40">
        <f t="shared" si="175"/>
        <v>1087.5</v>
      </c>
      <c r="Q1121" s="23"/>
      <c r="R1121" s="56"/>
      <c r="S1121" s="57"/>
      <c r="T1121" s="58">
        <f t="shared" si="176"/>
        <v>0</v>
      </c>
      <c r="U1121" s="36">
        <f t="shared" si="177"/>
        <v>0</v>
      </c>
      <c r="V1121" s="59">
        <f t="shared" si="178"/>
        <v>0</v>
      </c>
      <c r="W1121" s="39">
        <f t="shared" si="179"/>
        <v>0</v>
      </c>
      <c r="X1121" s="40">
        <f t="shared" si="180"/>
        <v>0</v>
      </c>
      <c r="Y1121"/>
      <c r="Z1121"/>
      <c r="AA1121"/>
    </row>
    <row r="1122" spans="1:27" s="51" customFormat="1" ht="18.600000000000001" hidden="1" customHeight="1" x14ac:dyDescent="0.25">
      <c r="A1122" s="82" t="s">
        <v>9279</v>
      </c>
      <c r="B1122" s="41" t="s">
        <v>9282</v>
      </c>
      <c r="C1122" s="42" t="s">
        <v>9283</v>
      </c>
      <c r="D1122" s="41"/>
      <c r="E1122" s="43" t="s">
        <v>9277</v>
      </c>
      <c r="F1122" s="43" t="s">
        <v>9286</v>
      </c>
      <c r="G1122" s="43" t="s">
        <v>9288</v>
      </c>
      <c r="H1122" s="85" t="s">
        <v>10062</v>
      </c>
      <c r="I1122" s="23" t="s">
        <v>24</v>
      </c>
      <c r="J1122" s="44">
        <v>1250</v>
      </c>
      <c r="K1122" s="45">
        <v>0.25</v>
      </c>
      <c r="L1122" s="46">
        <f t="shared" si="172"/>
        <v>312.5</v>
      </c>
      <c r="M1122" s="47">
        <f t="shared" si="173"/>
        <v>937.5</v>
      </c>
      <c r="N1122" s="48">
        <v>0.16</v>
      </c>
      <c r="O1122" s="49">
        <f t="shared" si="174"/>
        <v>150</v>
      </c>
      <c r="P1122" s="50">
        <f t="shared" si="175"/>
        <v>1087.5</v>
      </c>
      <c r="Q1122" s="23"/>
      <c r="R1122" s="60"/>
      <c r="S1122" s="61"/>
      <c r="T1122" s="62">
        <f t="shared" si="176"/>
        <v>0</v>
      </c>
      <c r="U1122" s="46">
        <f t="shared" si="177"/>
        <v>0</v>
      </c>
      <c r="V1122" s="63">
        <f t="shared" si="178"/>
        <v>0</v>
      </c>
      <c r="W1122" s="49">
        <f t="shared" si="179"/>
        <v>0</v>
      </c>
      <c r="X1122" s="50">
        <f t="shared" si="180"/>
        <v>0</v>
      </c>
      <c r="Y1122"/>
      <c r="Z1122"/>
      <c r="AA1122"/>
    </row>
    <row r="1123" spans="1:27" s="51" customFormat="1" ht="18.600000000000001" hidden="1" customHeight="1" x14ac:dyDescent="0.25">
      <c r="A1123" s="80" t="s">
        <v>9279</v>
      </c>
      <c r="B1123" s="20" t="s">
        <v>9282</v>
      </c>
      <c r="C1123" s="21" t="s">
        <v>9283</v>
      </c>
      <c r="D1123" s="20"/>
      <c r="E1123" s="22" t="s">
        <v>9278</v>
      </c>
      <c r="F1123" s="22" t="s">
        <v>9286</v>
      </c>
      <c r="G1123" s="22" t="s">
        <v>9288</v>
      </c>
      <c r="H1123" s="83" t="s">
        <v>10063</v>
      </c>
      <c r="I1123" s="23" t="s">
        <v>24</v>
      </c>
      <c r="J1123" s="24">
        <v>1250</v>
      </c>
      <c r="K1123" s="25">
        <v>0.25</v>
      </c>
      <c r="L1123" s="26">
        <f t="shared" si="172"/>
        <v>312.5</v>
      </c>
      <c r="M1123" s="27">
        <f t="shared" si="173"/>
        <v>937.5</v>
      </c>
      <c r="N1123" s="28">
        <v>0.16</v>
      </c>
      <c r="O1123" s="29">
        <f t="shared" si="174"/>
        <v>150</v>
      </c>
      <c r="P1123" s="30">
        <f t="shared" si="175"/>
        <v>1087.5</v>
      </c>
      <c r="Q1123" s="23"/>
      <c r="R1123" s="52"/>
      <c r="S1123" s="53"/>
      <c r="T1123" s="54">
        <f t="shared" si="176"/>
        <v>0</v>
      </c>
      <c r="U1123" s="26">
        <f t="shared" si="177"/>
        <v>0</v>
      </c>
      <c r="V1123" s="55">
        <f t="shared" si="178"/>
        <v>0</v>
      </c>
      <c r="W1123" s="29">
        <f t="shared" si="179"/>
        <v>0</v>
      </c>
      <c r="X1123" s="30">
        <f t="shared" si="180"/>
        <v>0</v>
      </c>
      <c r="Y1123"/>
      <c r="Z1123"/>
      <c r="AA1123"/>
    </row>
    <row r="1124" spans="1:27" s="51" customFormat="1" ht="18.600000000000001" hidden="1" customHeight="1" x14ac:dyDescent="0.25">
      <c r="A1124" s="81" t="s">
        <v>9279</v>
      </c>
      <c r="B1124" s="31" t="s">
        <v>9282</v>
      </c>
      <c r="C1124" s="32" t="s">
        <v>9284</v>
      </c>
      <c r="D1124" s="31"/>
      <c r="E1124" s="33" t="s">
        <v>10005</v>
      </c>
      <c r="F1124" s="33" t="s">
        <v>9286</v>
      </c>
      <c r="G1124" s="33" t="s">
        <v>22</v>
      </c>
      <c r="H1124" s="84" t="s">
        <v>9209</v>
      </c>
      <c r="I1124" s="23" t="s">
        <v>24</v>
      </c>
      <c r="J1124" s="34">
        <v>170</v>
      </c>
      <c r="K1124" s="35">
        <v>0.25</v>
      </c>
      <c r="L1124" s="36">
        <f t="shared" si="172"/>
        <v>42.5</v>
      </c>
      <c r="M1124" s="37">
        <f t="shared" si="173"/>
        <v>127.5</v>
      </c>
      <c r="N1124" s="38">
        <v>0.16</v>
      </c>
      <c r="O1124" s="39">
        <f t="shared" si="174"/>
        <v>20.400000000000002</v>
      </c>
      <c r="P1124" s="40">
        <f t="shared" si="175"/>
        <v>147.9</v>
      </c>
      <c r="Q1124" s="23"/>
      <c r="R1124" s="56"/>
      <c r="S1124" s="57"/>
      <c r="T1124" s="58">
        <f t="shared" si="176"/>
        <v>0</v>
      </c>
      <c r="U1124" s="36">
        <f t="shared" si="177"/>
        <v>0</v>
      </c>
      <c r="V1124" s="59">
        <f t="shared" si="178"/>
        <v>0</v>
      </c>
      <c r="W1124" s="39">
        <f t="shared" si="179"/>
        <v>0</v>
      </c>
      <c r="X1124" s="40">
        <f t="shared" si="180"/>
        <v>0</v>
      </c>
      <c r="Y1124"/>
      <c r="Z1124"/>
      <c r="AA1124"/>
    </row>
    <row r="1125" spans="1:27" s="51" customFormat="1" ht="18.600000000000001" hidden="1" customHeight="1" x14ac:dyDescent="0.25">
      <c r="A1125" s="82" t="s">
        <v>9279</v>
      </c>
      <c r="B1125" s="41" t="s">
        <v>9282</v>
      </c>
      <c r="C1125" s="42" t="s">
        <v>9284</v>
      </c>
      <c r="D1125" s="41"/>
      <c r="E1125" s="43" t="s">
        <v>10006</v>
      </c>
      <c r="F1125" s="43" t="s">
        <v>9286</v>
      </c>
      <c r="G1125" s="43" t="s">
        <v>22</v>
      </c>
      <c r="H1125" s="85" t="s">
        <v>9210</v>
      </c>
      <c r="I1125" s="23" t="s">
        <v>24</v>
      </c>
      <c r="J1125" s="44">
        <v>170</v>
      </c>
      <c r="K1125" s="45">
        <v>0.25</v>
      </c>
      <c r="L1125" s="46">
        <f t="shared" si="172"/>
        <v>42.5</v>
      </c>
      <c r="M1125" s="47">
        <f t="shared" si="173"/>
        <v>127.5</v>
      </c>
      <c r="N1125" s="48">
        <v>0.16</v>
      </c>
      <c r="O1125" s="49">
        <f t="shared" si="174"/>
        <v>20.400000000000002</v>
      </c>
      <c r="P1125" s="50">
        <f t="shared" si="175"/>
        <v>147.9</v>
      </c>
      <c r="Q1125" s="23"/>
      <c r="R1125" s="60"/>
      <c r="S1125" s="61"/>
      <c r="T1125" s="62">
        <f t="shared" si="176"/>
        <v>0</v>
      </c>
      <c r="U1125" s="46">
        <f t="shared" si="177"/>
        <v>0</v>
      </c>
      <c r="V1125" s="63">
        <f t="shared" si="178"/>
        <v>0</v>
      </c>
      <c r="W1125" s="49">
        <f t="shared" si="179"/>
        <v>0</v>
      </c>
      <c r="X1125" s="50">
        <f t="shared" si="180"/>
        <v>0</v>
      </c>
      <c r="Y1125"/>
      <c r="Z1125"/>
      <c r="AA1125"/>
    </row>
    <row r="1126" spans="1:27" s="51" customFormat="1" ht="18.600000000000001" hidden="1" customHeight="1" x14ac:dyDescent="0.25">
      <c r="A1126" s="80" t="s">
        <v>9279</v>
      </c>
      <c r="B1126" s="20" t="s">
        <v>9282</v>
      </c>
      <c r="C1126" s="21" t="s">
        <v>9284</v>
      </c>
      <c r="D1126" s="20"/>
      <c r="E1126" s="22" t="s">
        <v>10007</v>
      </c>
      <c r="F1126" s="22" t="s">
        <v>9286</v>
      </c>
      <c r="G1126" s="22" t="s">
        <v>22</v>
      </c>
      <c r="H1126" s="83" t="s">
        <v>9211</v>
      </c>
      <c r="I1126" s="23" t="s">
        <v>24</v>
      </c>
      <c r="J1126" s="24">
        <v>170</v>
      </c>
      <c r="K1126" s="25">
        <v>0.25</v>
      </c>
      <c r="L1126" s="26">
        <f t="shared" si="172"/>
        <v>42.5</v>
      </c>
      <c r="M1126" s="27">
        <f t="shared" si="173"/>
        <v>127.5</v>
      </c>
      <c r="N1126" s="28">
        <v>0.16</v>
      </c>
      <c r="O1126" s="29">
        <f t="shared" si="174"/>
        <v>20.400000000000002</v>
      </c>
      <c r="P1126" s="30">
        <f t="shared" si="175"/>
        <v>147.9</v>
      </c>
      <c r="Q1126" s="23"/>
      <c r="R1126" s="52"/>
      <c r="S1126" s="53"/>
      <c r="T1126" s="54">
        <f t="shared" si="176"/>
        <v>0</v>
      </c>
      <c r="U1126" s="26">
        <f t="shared" si="177"/>
        <v>0</v>
      </c>
      <c r="V1126" s="55">
        <f t="shared" si="178"/>
        <v>0</v>
      </c>
      <c r="W1126" s="29">
        <f t="shared" si="179"/>
        <v>0</v>
      </c>
      <c r="X1126" s="30">
        <f t="shared" si="180"/>
        <v>0</v>
      </c>
      <c r="Y1126"/>
      <c r="Z1126"/>
      <c r="AA1126"/>
    </row>
    <row r="1127" spans="1:27" s="51" customFormat="1" ht="18.600000000000001" hidden="1" customHeight="1" x14ac:dyDescent="0.25">
      <c r="A1127" s="81" t="s">
        <v>9279</v>
      </c>
      <c r="B1127" s="31" t="s">
        <v>9282</v>
      </c>
      <c r="C1127" s="32" t="s">
        <v>9284</v>
      </c>
      <c r="D1127" s="31"/>
      <c r="E1127" s="33" t="s">
        <v>10008</v>
      </c>
      <c r="F1127" s="33" t="s">
        <v>9286</v>
      </c>
      <c r="G1127" s="33" t="s">
        <v>22</v>
      </c>
      <c r="H1127" s="84" t="s">
        <v>9212</v>
      </c>
      <c r="I1127" s="23" t="s">
        <v>24</v>
      </c>
      <c r="J1127" s="34">
        <v>170</v>
      </c>
      <c r="K1127" s="35">
        <v>0.25</v>
      </c>
      <c r="L1127" s="36">
        <f t="shared" si="172"/>
        <v>42.5</v>
      </c>
      <c r="M1127" s="37">
        <f t="shared" si="173"/>
        <v>127.5</v>
      </c>
      <c r="N1127" s="38">
        <v>0.16</v>
      </c>
      <c r="O1127" s="39">
        <f t="shared" si="174"/>
        <v>20.400000000000002</v>
      </c>
      <c r="P1127" s="40">
        <f t="shared" si="175"/>
        <v>147.9</v>
      </c>
      <c r="Q1127" s="23"/>
      <c r="R1127" s="56"/>
      <c r="S1127" s="57"/>
      <c r="T1127" s="58">
        <f t="shared" si="176"/>
        <v>0</v>
      </c>
      <c r="U1127" s="36">
        <f t="shared" si="177"/>
        <v>0</v>
      </c>
      <c r="V1127" s="59">
        <f t="shared" si="178"/>
        <v>0</v>
      </c>
      <c r="W1127" s="39">
        <f t="shared" si="179"/>
        <v>0</v>
      </c>
      <c r="X1127" s="40">
        <f t="shared" si="180"/>
        <v>0</v>
      </c>
      <c r="Y1127"/>
      <c r="Z1127"/>
      <c r="AA1127"/>
    </row>
    <row r="1128" spans="1:27" s="51" customFormat="1" ht="18.600000000000001" hidden="1" customHeight="1" x14ac:dyDescent="0.25">
      <c r="A1128" s="82" t="s">
        <v>9279</v>
      </c>
      <c r="B1128" s="41" t="s">
        <v>9282</v>
      </c>
      <c r="C1128" s="42" t="s">
        <v>9284</v>
      </c>
      <c r="D1128" s="41"/>
      <c r="E1128" s="43" t="s">
        <v>10009</v>
      </c>
      <c r="F1128" s="43" t="s">
        <v>9286</v>
      </c>
      <c r="G1128" s="43" t="s">
        <v>22</v>
      </c>
      <c r="H1128" s="85" t="s">
        <v>9213</v>
      </c>
      <c r="I1128" s="23" t="s">
        <v>24</v>
      </c>
      <c r="J1128" s="44">
        <v>170</v>
      </c>
      <c r="K1128" s="45">
        <v>0.25</v>
      </c>
      <c r="L1128" s="46">
        <f t="shared" si="172"/>
        <v>42.5</v>
      </c>
      <c r="M1128" s="47">
        <f t="shared" si="173"/>
        <v>127.5</v>
      </c>
      <c r="N1128" s="48">
        <v>0.16</v>
      </c>
      <c r="O1128" s="49">
        <f t="shared" si="174"/>
        <v>20.400000000000002</v>
      </c>
      <c r="P1128" s="50">
        <f t="shared" si="175"/>
        <v>147.9</v>
      </c>
      <c r="Q1128" s="23"/>
      <c r="R1128" s="60"/>
      <c r="S1128" s="61"/>
      <c r="T1128" s="62">
        <f t="shared" si="176"/>
        <v>0</v>
      </c>
      <c r="U1128" s="46">
        <f t="shared" si="177"/>
        <v>0</v>
      </c>
      <c r="V1128" s="63">
        <f t="shared" si="178"/>
        <v>0</v>
      </c>
      <c r="W1128" s="49">
        <f t="shared" si="179"/>
        <v>0</v>
      </c>
      <c r="X1128" s="50">
        <f t="shared" si="180"/>
        <v>0</v>
      </c>
      <c r="Y1128"/>
      <c r="Z1128"/>
      <c r="AA1128"/>
    </row>
    <row r="1129" spans="1:27" s="51" customFormat="1" ht="18.600000000000001" hidden="1" customHeight="1" x14ac:dyDescent="0.25">
      <c r="A1129" s="80" t="s">
        <v>9279</v>
      </c>
      <c r="B1129" s="20" t="s">
        <v>9282</v>
      </c>
      <c r="C1129" s="21" t="s">
        <v>9284</v>
      </c>
      <c r="D1129" s="20"/>
      <c r="E1129" s="22" t="s">
        <v>10010</v>
      </c>
      <c r="F1129" s="22" t="s">
        <v>9286</v>
      </c>
      <c r="G1129" s="22" t="s">
        <v>22</v>
      </c>
      <c r="H1129" s="83" t="s">
        <v>9214</v>
      </c>
      <c r="I1129" s="23" t="s">
        <v>24</v>
      </c>
      <c r="J1129" s="24">
        <v>170</v>
      </c>
      <c r="K1129" s="25">
        <v>0.25</v>
      </c>
      <c r="L1129" s="26">
        <f t="shared" si="172"/>
        <v>42.5</v>
      </c>
      <c r="M1129" s="27">
        <f t="shared" si="173"/>
        <v>127.5</v>
      </c>
      <c r="N1129" s="28">
        <v>0.16</v>
      </c>
      <c r="O1129" s="29">
        <f t="shared" si="174"/>
        <v>20.400000000000002</v>
      </c>
      <c r="P1129" s="30">
        <f t="shared" si="175"/>
        <v>147.9</v>
      </c>
      <c r="Q1129" s="23"/>
      <c r="R1129" s="52"/>
      <c r="S1129" s="53"/>
      <c r="T1129" s="54">
        <f t="shared" si="176"/>
        <v>0</v>
      </c>
      <c r="U1129" s="26">
        <f t="shared" si="177"/>
        <v>0</v>
      </c>
      <c r="V1129" s="55">
        <f t="shared" si="178"/>
        <v>0</v>
      </c>
      <c r="W1129" s="29">
        <f t="shared" si="179"/>
        <v>0</v>
      </c>
      <c r="X1129" s="30">
        <f t="shared" si="180"/>
        <v>0</v>
      </c>
      <c r="Y1129"/>
      <c r="Z1129"/>
      <c r="AA1129"/>
    </row>
    <row r="1130" spans="1:27" s="51" customFormat="1" ht="18.600000000000001" hidden="1" customHeight="1" x14ac:dyDescent="0.25">
      <c r="A1130" s="81" t="s">
        <v>9279</v>
      </c>
      <c r="B1130" s="31" t="s">
        <v>9282</v>
      </c>
      <c r="C1130" s="32" t="s">
        <v>9284</v>
      </c>
      <c r="D1130" s="31"/>
      <c r="E1130" s="33" t="s">
        <v>10011</v>
      </c>
      <c r="F1130" s="33" t="s">
        <v>9286</v>
      </c>
      <c r="G1130" s="33" t="s">
        <v>22</v>
      </c>
      <c r="H1130" s="84" t="s">
        <v>9215</v>
      </c>
      <c r="I1130" s="23" t="s">
        <v>24</v>
      </c>
      <c r="J1130" s="34">
        <v>170</v>
      </c>
      <c r="K1130" s="35">
        <v>0.25</v>
      </c>
      <c r="L1130" s="36">
        <f t="shared" si="172"/>
        <v>42.5</v>
      </c>
      <c r="M1130" s="37">
        <f t="shared" si="173"/>
        <v>127.5</v>
      </c>
      <c r="N1130" s="38">
        <v>0.16</v>
      </c>
      <c r="O1130" s="39">
        <f t="shared" si="174"/>
        <v>20.400000000000002</v>
      </c>
      <c r="P1130" s="40">
        <f t="shared" si="175"/>
        <v>147.9</v>
      </c>
      <c r="Q1130" s="23"/>
      <c r="R1130" s="56"/>
      <c r="S1130" s="57"/>
      <c r="T1130" s="58">
        <f t="shared" si="176"/>
        <v>0</v>
      </c>
      <c r="U1130" s="36">
        <f t="shared" si="177"/>
        <v>0</v>
      </c>
      <c r="V1130" s="59">
        <f t="shared" si="178"/>
        <v>0</v>
      </c>
      <c r="W1130" s="39">
        <f t="shared" si="179"/>
        <v>0</v>
      </c>
      <c r="X1130" s="40">
        <f t="shared" si="180"/>
        <v>0</v>
      </c>
      <c r="Y1130"/>
      <c r="Z1130"/>
      <c r="AA1130"/>
    </row>
    <row r="1131" spans="1:27" s="51" customFormat="1" ht="18.600000000000001" hidden="1" customHeight="1" x14ac:dyDescent="0.25">
      <c r="A1131" s="82" t="s">
        <v>9279</v>
      </c>
      <c r="B1131" s="41" t="s">
        <v>9282</v>
      </c>
      <c r="C1131" s="42" t="s">
        <v>9284</v>
      </c>
      <c r="D1131" s="41"/>
      <c r="E1131" s="43" t="s">
        <v>10012</v>
      </c>
      <c r="F1131" s="43" t="s">
        <v>9286</v>
      </c>
      <c r="G1131" s="43" t="s">
        <v>22</v>
      </c>
      <c r="H1131" s="85" t="s">
        <v>9216</v>
      </c>
      <c r="I1131" s="23" t="s">
        <v>24</v>
      </c>
      <c r="J1131" s="44">
        <v>170</v>
      </c>
      <c r="K1131" s="45">
        <v>0.25</v>
      </c>
      <c r="L1131" s="46">
        <f t="shared" si="172"/>
        <v>42.5</v>
      </c>
      <c r="M1131" s="47">
        <f t="shared" si="173"/>
        <v>127.5</v>
      </c>
      <c r="N1131" s="48">
        <v>0.16</v>
      </c>
      <c r="O1131" s="49">
        <f t="shared" si="174"/>
        <v>20.400000000000002</v>
      </c>
      <c r="P1131" s="50">
        <f t="shared" si="175"/>
        <v>147.9</v>
      </c>
      <c r="Q1131" s="23"/>
      <c r="R1131" s="60"/>
      <c r="S1131" s="61"/>
      <c r="T1131" s="62">
        <f t="shared" si="176"/>
        <v>0</v>
      </c>
      <c r="U1131" s="46">
        <f t="shared" si="177"/>
        <v>0</v>
      </c>
      <c r="V1131" s="63">
        <f t="shared" si="178"/>
        <v>0</v>
      </c>
      <c r="W1131" s="49">
        <f t="shared" si="179"/>
        <v>0</v>
      </c>
      <c r="X1131" s="50">
        <f t="shared" si="180"/>
        <v>0</v>
      </c>
      <c r="Y1131"/>
      <c r="Z1131"/>
      <c r="AA1131"/>
    </row>
    <row r="1132" spans="1:27" s="51" customFormat="1" ht="18.600000000000001" hidden="1" customHeight="1" x14ac:dyDescent="0.25">
      <c r="A1132" s="80" t="s">
        <v>9279</v>
      </c>
      <c r="B1132" s="20" t="s">
        <v>9282</v>
      </c>
      <c r="C1132" s="21" t="s">
        <v>9284</v>
      </c>
      <c r="D1132" s="20"/>
      <c r="E1132" s="22" t="s">
        <v>10013</v>
      </c>
      <c r="F1132" s="22" t="s">
        <v>9286</v>
      </c>
      <c r="G1132" s="22" t="s">
        <v>22</v>
      </c>
      <c r="H1132" s="83" t="s">
        <v>9217</v>
      </c>
      <c r="I1132" s="23" t="s">
        <v>24</v>
      </c>
      <c r="J1132" s="24">
        <v>195</v>
      </c>
      <c r="K1132" s="25">
        <v>0.25</v>
      </c>
      <c r="L1132" s="26">
        <f t="shared" si="172"/>
        <v>48.75</v>
      </c>
      <c r="M1132" s="27">
        <f t="shared" si="173"/>
        <v>146.25</v>
      </c>
      <c r="N1132" s="28">
        <v>0.16</v>
      </c>
      <c r="O1132" s="29">
        <f t="shared" si="174"/>
        <v>23.400000000000002</v>
      </c>
      <c r="P1132" s="30">
        <f t="shared" si="175"/>
        <v>169.65</v>
      </c>
      <c r="Q1132" s="23"/>
      <c r="R1132" s="52"/>
      <c r="S1132" s="53"/>
      <c r="T1132" s="54">
        <f t="shared" si="176"/>
        <v>0</v>
      </c>
      <c r="U1132" s="26">
        <f t="shared" si="177"/>
        <v>0</v>
      </c>
      <c r="V1132" s="55">
        <f t="shared" si="178"/>
        <v>0</v>
      </c>
      <c r="W1132" s="29">
        <f t="shared" si="179"/>
        <v>0</v>
      </c>
      <c r="X1132" s="30">
        <f t="shared" si="180"/>
        <v>0</v>
      </c>
      <c r="Y1132"/>
      <c r="Z1132"/>
      <c r="AA1132"/>
    </row>
    <row r="1133" spans="1:27" s="51" customFormat="1" ht="18.600000000000001" hidden="1" customHeight="1" x14ac:dyDescent="0.25">
      <c r="A1133" s="81" t="s">
        <v>9279</v>
      </c>
      <c r="B1133" s="31" t="s">
        <v>9282</v>
      </c>
      <c r="C1133" s="32" t="s">
        <v>9284</v>
      </c>
      <c r="D1133" s="31"/>
      <c r="E1133" s="33" t="s">
        <v>10014</v>
      </c>
      <c r="F1133" s="33" t="s">
        <v>9286</v>
      </c>
      <c r="G1133" s="33" t="s">
        <v>22</v>
      </c>
      <c r="H1133" s="84" t="s">
        <v>9218</v>
      </c>
      <c r="I1133" s="23" t="s">
        <v>24</v>
      </c>
      <c r="J1133" s="34">
        <v>250</v>
      </c>
      <c r="K1133" s="35">
        <v>0.25</v>
      </c>
      <c r="L1133" s="36">
        <f t="shared" si="172"/>
        <v>62.5</v>
      </c>
      <c r="M1133" s="37">
        <f t="shared" si="173"/>
        <v>187.5</v>
      </c>
      <c r="N1133" s="38">
        <v>0.16</v>
      </c>
      <c r="O1133" s="39">
        <f t="shared" si="174"/>
        <v>30</v>
      </c>
      <c r="P1133" s="40">
        <f t="shared" si="175"/>
        <v>217.5</v>
      </c>
      <c r="Q1133" s="23"/>
      <c r="R1133" s="56"/>
      <c r="S1133" s="57"/>
      <c r="T1133" s="58">
        <f t="shared" si="176"/>
        <v>0</v>
      </c>
      <c r="U1133" s="36">
        <f t="shared" si="177"/>
        <v>0</v>
      </c>
      <c r="V1133" s="59">
        <f t="shared" si="178"/>
        <v>0</v>
      </c>
      <c r="W1133" s="39">
        <f t="shared" si="179"/>
        <v>0</v>
      </c>
      <c r="X1133" s="40">
        <f t="shared" si="180"/>
        <v>0</v>
      </c>
      <c r="Y1133"/>
      <c r="Z1133"/>
      <c r="AA1133"/>
    </row>
    <row r="1134" spans="1:27" s="51" customFormat="1" ht="18.600000000000001" hidden="1" customHeight="1" x14ac:dyDescent="0.25">
      <c r="A1134" s="82" t="s">
        <v>9279</v>
      </c>
      <c r="B1134" s="41" t="s">
        <v>9282</v>
      </c>
      <c r="C1134" s="42" t="s">
        <v>9284</v>
      </c>
      <c r="D1134" s="41"/>
      <c r="E1134" s="43" t="s">
        <v>10015</v>
      </c>
      <c r="F1134" s="43" t="s">
        <v>9286</v>
      </c>
      <c r="G1134" s="43" t="s">
        <v>22</v>
      </c>
      <c r="H1134" s="85" t="s">
        <v>9219</v>
      </c>
      <c r="I1134" s="23" t="s">
        <v>24</v>
      </c>
      <c r="J1134" s="44">
        <v>170</v>
      </c>
      <c r="K1134" s="45">
        <v>0.25</v>
      </c>
      <c r="L1134" s="46">
        <f t="shared" si="172"/>
        <v>42.5</v>
      </c>
      <c r="M1134" s="47">
        <f t="shared" si="173"/>
        <v>127.5</v>
      </c>
      <c r="N1134" s="48">
        <v>0.16</v>
      </c>
      <c r="O1134" s="49">
        <f t="shared" si="174"/>
        <v>20.400000000000002</v>
      </c>
      <c r="P1134" s="50">
        <f t="shared" si="175"/>
        <v>147.9</v>
      </c>
      <c r="Q1134" s="23"/>
      <c r="R1134" s="60"/>
      <c r="S1134" s="61"/>
      <c r="T1134" s="62">
        <f t="shared" si="176"/>
        <v>0</v>
      </c>
      <c r="U1134" s="46">
        <f t="shared" si="177"/>
        <v>0</v>
      </c>
      <c r="V1134" s="63">
        <f t="shared" si="178"/>
        <v>0</v>
      </c>
      <c r="W1134" s="49">
        <f t="shared" si="179"/>
        <v>0</v>
      </c>
      <c r="X1134" s="50">
        <f t="shared" si="180"/>
        <v>0</v>
      </c>
      <c r="Y1134"/>
      <c r="Z1134"/>
      <c r="AA1134"/>
    </row>
    <row r="1135" spans="1:27" s="51" customFormat="1" ht="18.600000000000001" hidden="1" customHeight="1" x14ac:dyDescent="0.25">
      <c r="A1135" s="80" t="s">
        <v>9279</v>
      </c>
      <c r="B1135" s="20" t="s">
        <v>9282</v>
      </c>
      <c r="C1135" s="21" t="s">
        <v>9284</v>
      </c>
      <c r="D1135" s="20"/>
      <c r="E1135" s="22" t="s">
        <v>10016</v>
      </c>
      <c r="F1135" s="22" t="s">
        <v>9286</v>
      </c>
      <c r="G1135" s="22" t="s">
        <v>22</v>
      </c>
      <c r="H1135" s="83" t="s">
        <v>9220</v>
      </c>
      <c r="I1135" s="23" t="s">
        <v>24</v>
      </c>
      <c r="J1135" s="24">
        <v>170</v>
      </c>
      <c r="K1135" s="25">
        <v>0.25</v>
      </c>
      <c r="L1135" s="26">
        <f t="shared" si="172"/>
        <v>42.5</v>
      </c>
      <c r="M1135" s="27">
        <f t="shared" si="173"/>
        <v>127.5</v>
      </c>
      <c r="N1135" s="28">
        <v>0.16</v>
      </c>
      <c r="O1135" s="29">
        <f t="shared" si="174"/>
        <v>20.400000000000002</v>
      </c>
      <c r="P1135" s="30">
        <f t="shared" si="175"/>
        <v>147.9</v>
      </c>
      <c r="Q1135" s="23"/>
      <c r="R1135" s="52"/>
      <c r="S1135" s="53"/>
      <c r="T1135" s="54">
        <f t="shared" si="176"/>
        <v>0</v>
      </c>
      <c r="U1135" s="26">
        <f t="shared" si="177"/>
        <v>0</v>
      </c>
      <c r="V1135" s="55">
        <f t="shared" si="178"/>
        <v>0</v>
      </c>
      <c r="W1135" s="29">
        <f t="shared" si="179"/>
        <v>0</v>
      </c>
      <c r="X1135" s="30">
        <f t="shared" si="180"/>
        <v>0</v>
      </c>
      <c r="Y1135"/>
      <c r="Z1135"/>
      <c r="AA1135"/>
    </row>
    <row r="1136" spans="1:27" s="51" customFormat="1" ht="18.600000000000001" hidden="1" customHeight="1" x14ac:dyDescent="0.25">
      <c r="A1136" s="81" t="s">
        <v>9279</v>
      </c>
      <c r="B1136" s="31" t="s">
        <v>9282</v>
      </c>
      <c r="C1136" s="32" t="s">
        <v>9284</v>
      </c>
      <c r="D1136" s="31"/>
      <c r="E1136" s="33" t="s">
        <v>10017</v>
      </c>
      <c r="F1136" s="33" t="s">
        <v>9286</v>
      </c>
      <c r="G1136" s="33" t="s">
        <v>22</v>
      </c>
      <c r="H1136" s="84" t="s">
        <v>9221</v>
      </c>
      <c r="I1136" s="23" t="s">
        <v>24</v>
      </c>
      <c r="J1136" s="34">
        <v>170</v>
      </c>
      <c r="K1136" s="35">
        <v>0.25</v>
      </c>
      <c r="L1136" s="36">
        <f t="shared" si="172"/>
        <v>42.5</v>
      </c>
      <c r="M1136" s="37">
        <f t="shared" si="173"/>
        <v>127.5</v>
      </c>
      <c r="N1136" s="38">
        <v>0.16</v>
      </c>
      <c r="O1136" s="39">
        <f t="shared" si="174"/>
        <v>20.400000000000002</v>
      </c>
      <c r="P1136" s="40">
        <f t="shared" si="175"/>
        <v>147.9</v>
      </c>
      <c r="Q1136" s="23"/>
      <c r="R1136" s="56"/>
      <c r="S1136" s="57"/>
      <c r="T1136" s="58">
        <f t="shared" si="176"/>
        <v>0</v>
      </c>
      <c r="U1136" s="36">
        <f t="shared" si="177"/>
        <v>0</v>
      </c>
      <c r="V1136" s="59">
        <f t="shared" si="178"/>
        <v>0</v>
      </c>
      <c r="W1136" s="39">
        <f t="shared" si="179"/>
        <v>0</v>
      </c>
      <c r="X1136" s="40">
        <f t="shared" si="180"/>
        <v>0</v>
      </c>
      <c r="Y1136"/>
      <c r="Z1136"/>
      <c r="AA1136"/>
    </row>
    <row r="1137" spans="1:27" s="51" customFormat="1" ht="18.600000000000001" hidden="1" customHeight="1" x14ac:dyDescent="0.25">
      <c r="A1137" s="82" t="s">
        <v>9279</v>
      </c>
      <c r="B1137" s="41" t="s">
        <v>9282</v>
      </c>
      <c r="C1137" s="42" t="s">
        <v>9284</v>
      </c>
      <c r="D1137" s="41"/>
      <c r="E1137" s="43" t="s">
        <v>10018</v>
      </c>
      <c r="F1137" s="43" t="s">
        <v>9286</v>
      </c>
      <c r="G1137" s="43" t="s">
        <v>22</v>
      </c>
      <c r="H1137" s="85" t="s">
        <v>9222</v>
      </c>
      <c r="I1137" s="23" t="s">
        <v>24</v>
      </c>
      <c r="J1137" s="44">
        <v>125</v>
      </c>
      <c r="K1137" s="45">
        <v>0.25</v>
      </c>
      <c r="L1137" s="46">
        <f t="shared" si="172"/>
        <v>31.25</v>
      </c>
      <c r="M1137" s="47">
        <f t="shared" si="173"/>
        <v>93.75</v>
      </c>
      <c r="N1137" s="48">
        <v>0.16</v>
      </c>
      <c r="O1137" s="49">
        <f t="shared" si="174"/>
        <v>15</v>
      </c>
      <c r="P1137" s="50">
        <f t="shared" si="175"/>
        <v>108.75</v>
      </c>
      <c r="Q1137" s="23"/>
      <c r="R1137" s="60"/>
      <c r="S1137" s="61"/>
      <c r="T1137" s="62">
        <f t="shared" si="176"/>
        <v>0</v>
      </c>
      <c r="U1137" s="46">
        <f t="shared" si="177"/>
        <v>0</v>
      </c>
      <c r="V1137" s="63">
        <f t="shared" si="178"/>
        <v>0</v>
      </c>
      <c r="W1137" s="49">
        <f t="shared" si="179"/>
        <v>0</v>
      </c>
      <c r="X1137" s="50">
        <f t="shared" si="180"/>
        <v>0</v>
      </c>
      <c r="Y1137"/>
      <c r="Z1137"/>
      <c r="AA1137"/>
    </row>
    <row r="1138" spans="1:27" s="51" customFormat="1" ht="18.600000000000001" hidden="1" customHeight="1" x14ac:dyDescent="0.25">
      <c r="A1138" s="80" t="s">
        <v>9279</v>
      </c>
      <c r="B1138" s="20" t="s">
        <v>9282</v>
      </c>
      <c r="C1138" s="21" t="s">
        <v>9284</v>
      </c>
      <c r="D1138" s="20"/>
      <c r="E1138" s="22" t="s">
        <v>10019</v>
      </c>
      <c r="F1138" s="22" t="s">
        <v>9286</v>
      </c>
      <c r="G1138" s="22" t="s">
        <v>22</v>
      </c>
      <c r="H1138" s="83" t="s">
        <v>9223</v>
      </c>
      <c r="I1138" s="23" t="s">
        <v>24</v>
      </c>
      <c r="J1138" s="24">
        <v>170</v>
      </c>
      <c r="K1138" s="25">
        <v>0.25</v>
      </c>
      <c r="L1138" s="26">
        <f t="shared" si="172"/>
        <v>42.5</v>
      </c>
      <c r="M1138" s="27">
        <f t="shared" si="173"/>
        <v>127.5</v>
      </c>
      <c r="N1138" s="28">
        <v>0.16</v>
      </c>
      <c r="O1138" s="29">
        <f t="shared" si="174"/>
        <v>20.400000000000002</v>
      </c>
      <c r="P1138" s="30">
        <f t="shared" si="175"/>
        <v>147.9</v>
      </c>
      <c r="Q1138" s="23"/>
      <c r="R1138" s="52"/>
      <c r="S1138" s="53"/>
      <c r="T1138" s="54">
        <f t="shared" si="176"/>
        <v>0</v>
      </c>
      <c r="U1138" s="26">
        <f t="shared" si="177"/>
        <v>0</v>
      </c>
      <c r="V1138" s="55">
        <f t="shared" si="178"/>
        <v>0</v>
      </c>
      <c r="W1138" s="29">
        <f t="shared" si="179"/>
        <v>0</v>
      </c>
      <c r="X1138" s="30">
        <f t="shared" si="180"/>
        <v>0</v>
      </c>
      <c r="Y1138"/>
      <c r="Z1138"/>
      <c r="AA1138"/>
    </row>
    <row r="1139" spans="1:27" s="51" customFormat="1" ht="18.600000000000001" hidden="1" customHeight="1" x14ac:dyDescent="0.25">
      <c r="A1139" s="81" t="s">
        <v>9279</v>
      </c>
      <c r="B1139" s="31" t="s">
        <v>9282</v>
      </c>
      <c r="C1139" s="32" t="s">
        <v>9284</v>
      </c>
      <c r="D1139" s="31"/>
      <c r="E1139" s="33" t="s">
        <v>10020</v>
      </c>
      <c r="F1139" s="33" t="s">
        <v>9286</v>
      </c>
      <c r="G1139" s="33" t="s">
        <v>22</v>
      </c>
      <c r="H1139" s="84" t="s">
        <v>9224</v>
      </c>
      <c r="I1139" s="23" t="s">
        <v>24</v>
      </c>
      <c r="J1139" s="34">
        <v>170</v>
      </c>
      <c r="K1139" s="35">
        <v>0.25</v>
      </c>
      <c r="L1139" s="36">
        <f t="shared" si="172"/>
        <v>42.5</v>
      </c>
      <c r="M1139" s="37">
        <f t="shared" si="173"/>
        <v>127.5</v>
      </c>
      <c r="N1139" s="38">
        <v>0.16</v>
      </c>
      <c r="O1139" s="39">
        <f t="shared" si="174"/>
        <v>20.400000000000002</v>
      </c>
      <c r="P1139" s="40">
        <f t="shared" si="175"/>
        <v>147.9</v>
      </c>
      <c r="Q1139" s="23"/>
      <c r="R1139" s="56"/>
      <c r="S1139" s="57"/>
      <c r="T1139" s="58">
        <f t="shared" si="176"/>
        <v>0</v>
      </c>
      <c r="U1139" s="36">
        <f t="shared" si="177"/>
        <v>0</v>
      </c>
      <c r="V1139" s="59">
        <f t="shared" si="178"/>
        <v>0</v>
      </c>
      <c r="W1139" s="39">
        <f t="shared" si="179"/>
        <v>0</v>
      </c>
      <c r="X1139" s="40">
        <f t="shared" si="180"/>
        <v>0</v>
      </c>
      <c r="Y1139"/>
      <c r="Z1139"/>
      <c r="AA1139"/>
    </row>
    <row r="1140" spans="1:27" s="51" customFormat="1" ht="18.600000000000001" hidden="1" customHeight="1" x14ac:dyDescent="0.25">
      <c r="A1140" s="82" t="s">
        <v>9279</v>
      </c>
      <c r="B1140" s="41" t="s">
        <v>9282</v>
      </c>
      <c r="C1140" s="42" t="s">
        <v>9284</v>
      </c>
      <c r="D1140" s="41"/>
      <c r="E1140" s="43" t="s">
        <v>10021</v>
      </c>
      <c r="F1140" s="43" t="s">
        <v>9286</v>
      </c>
      <c r="G1140" s="43" t="s">
        <v>22</v>
      </c>
      <c r="H1140" s="85" t="s">
        <v>9225</v>
      </c>
      <c r="I1140" s="23" t="s">
        <v>24</v>
      </c>
      <c r="J1140" s="44">
        <v>170</v>
      </c>
      <c r="K1140" s="45">
        <v>0.25</v>
      </c>
      <c r="L1140" s="46">
        <f t="shared" si="172"/>
        <v>42.5</v>
      </c>
      <c r="M1140" s="47">
        <f t="shared" si="173"/>
        <v>127.5</v>
      </c>
      <c r="N1140" s="48">
        <v>0.16</v>
      </c>
      <c r="O1140" s="49">
        <f t="shared" si="174"/>
        <v>20.400000000000002</v>
      </c>
      <c r="P1140" s="50">
        <f t="shared" si="175"/>
        <v>147.9</v>
      </c>
      <c r="Q1140" s="23"/>
      <c r="R1140" s="60"/>
      <c r="S1140" s="61"/>
      <c r="T1140" s="62">
        <f t="shared" si="176"/>
        <v>0</v>
      </c>
      <c r="U1140" s="46">
        <f t="shared" si="177"/>
        <v>0</v>
      </c>
      <c r="V1140" s="63">
        <f t="shared" si="178"/>
        <v>0</v>
      </c>
      <c r="W1140" s="49">
        <f t="shared" si="179"/>
        <v>0</v>
      </c>
      <c r="X1140" s="50">
        <f t="shared" si="180"/>
        <v>0</v>
      </c>
      <c r="Y1140"/>
      <c r="Z1140"/>
      <c r="AA1140"/>
    </row>
    <row r="1141" spans="1:27" s="51" customFormat="1" ht="18.600000000000001" hidden="1" customHeight="1" x14ac:dyDescent="0.25">
      <c r="A1141" s="80" t="s">
        <v>9279</v>
      </c>
      <c r="B1141" s="20" t="s">
        <v>9282</v>
      </c>
      <c r="C1141" s="21" t="s">
        <v>9284</v>
      </c>
      <c r="D1141" s="20"/>
      <c r="E1141" s="22" t="s">
        <v>10022</v>
      </c>
      <c r="F1141" s="22" t="s">
        <v>9286</v>
      </c>
      <c r="G1141" s="22" t="s">
        <v>22</v>
      </c>
      <c r="H1141" s="83" t="s">
        <v>9226</v>
      </c>
      <c r="I1141" s="23" t="s">
        <v>24</v>
      </c>
      <c r="J1141" s="24">
        <v>170</v>
      </c>
      <c r="K1141" s="25">
        <v>0.25</v>
      </c>
      <c r="L1141" s="26">
        <f t="shared" si="172"/>
        <v>42.5</v>
      </c>
      <c r="M1141" s="27">
        <f t="shared" si="173"/>
        <v>127.5</v>
      </c>
      <c r="N1141" s="28">
        <v>0.16</v>
      </c>
      <c r="O1141" s="29">
        <f t="shared" si="174"/>
        <v>20.400000000000002</v>
      </c>
      <c r="P1141" s="30">
        <f t="shared" si="175"/>
        <v>147.9</v>
      </c>
      <c r="Q1141" s="23"/>
      <c r="R1141" s="52"/>
      <c r="S1141" s="53"/>
      <c r="T1141" s="54">
        <f t="shared" si="176"/>
        <v>0</v>
      </c>
      <c r="U1141" s="26">
        <f t="shared" si="177"/>
        <v>0</v>
      </c>
      <c r="V1141" s="55">
        <f t="shared" si="178"/>
        <v>0</v>
      </c>
      <c r="W1141" s="29">
        <f t="shared" si="179"/>
        <v>0</v>
      </c>
      <c r="X1141" s="30">
        <f t="shared" si="180"/>
        <v>0</v>
      </c>
      <c r="Y1141"/>
      <c r="Z1141"/>
      <c r="AA1141"/>
    </row>
    <row r="1142" spans="1:27" s="51" customFormat="1" ht="18.600000000000001" hidden="1" customHeight="1" x14ac:dyDescent="0.25">
      <c r="A1142" s="81" t="s">
        <v>9279</v>
      </c>
      <c r="B1142" s="31" t="s">
        <v>9282</v>
      </c>
      <c r="C1142" s="32" t="s">
        <v>9284</v>
      </c>
      <c r="D1142" s="31"/>
      <c r="E1142" s="33" t="s">
        <v>10023</v>
      </c>
      <c r="F1142" s="33" t="s">
        <v>9286</v>
      </c>
      <c r="G1142" s="33" t="s">
        <v>22</v>
      </c>
      <c r="H1142" s="84" t="s">
        <v>9227</v>
      </c>
      <c r="I1142" s="23" t="s">
        <v>24</v>
      </c>
      <c r="J1142" s="34">
        <v>250</v>
      </c>
      <c r="K1142" s="35">
        <v>0.25</v>
      </c>
      <c r="L1142" s="36">
        <f t="shared" si="172"/>
        <v>62.5</v>
      </c>
      <c r="M1142" s="37">
        <f t="shared" si="173"/>
        <v>187.5</v>
      </c>
      <c r="N1142" s="38">
        <v>0.16</v>
      </c>
      <c r="O1142" s="39">
        <f t="shared" si="174"/>
        <v>30</v>
      </c>
      <c r="P1142" s="40">
        <f t="shared" si="175"/>
        <v>217.5</v>
      </c>
      <c r="Q1142" s="23"/>
      <c r="R1142" s="56"/>
      <c r="S1142" s="57"/>
      <c r="T1142" s="58">
        <f t="shared" si="176"/>
        <v>0</v>
      </c>
      <c r="U1142" s="36">
        <f t="shared" si="177"/>
        <v>0</v>
      </c>
      <c r="V1142" s="59">
        <f t="shared" si="178"/>
        <v>0</v>
      </c>
      <c r="W1142" s="39">
        <f t="shared" si="179"/>
        <v>0</v>
      </c>
      <c r="X1142" s="40">
        <f t="shared" si="180"/>
        <v>0</v>
      </c>
      <c r="Y1142"/>
      <c r="Z1142"/>
      <c r="AA1142"/>
    </row>
    <row r="1143" spans="1:27" s="51" customFormat="1" ht="18.600000000000001" hidden="1" customHeight="1" x14ac:dyDescent="0.25">
      <c r="A1143" s="82" t="s">
        <v>9279</v>
      </c>
      <c r="B1143" s="41" t="s">
        <v>9282</v>
      </c>
      <c r="C1143" s="42" t="s">
        <v>9284</v>
      </c>
      <c r="D1143" s="41"/>
      <c r="E1143" s="43" t="s">
        <v>10024</v>
      </c>
      <c r="F1143" s="43" t="s">
        <v>9286</v>
      </c>
      <c r="G1143" s="43" t="s">
        <v>22</v>
      </c>
      <c r="H1143" s="85" t="s">
        <v>9228</v>
      </c>
      <c r="I1143" s="23" t="s">
        <v>24</v>
      </c>
      <c r="J1143" s="44">
        <v>195</v>
      </c>
      <c r="K1143" s="45">
        <v>0.25</v>
      </c>
      <c r="L1143" s="46">
        <f t="shared" si="172"/>
        <v>48.75</v>
      </c>
      <c r="M1143" s="47">
        <f t="shared" si="173"/>
        <v>146.25</v>
      </c>
      <c r="N1143" s="48">
        <v>0.16</v>
      </c>
      <c r="O1143" s="49">
        <f t="shared" si="174"/>
        <v>23.400000000000002</v>
      </c>
      <c r="P1143" s="50">
        <f t="shared" si="175"/>
        <v>169.65</v>
      </c>
      <c r="Q1143" s="23"/>
      <c r="R1143" s="60"/>
      <c r="S1143" s="61"/>
      <c r="T1143" s="62">
        <f t="shared" si="176"/>
        <v>0</v>
      </c>
      <c r="U1143" s="46">
        <f t="shared" si="177"/>
        <v>0</v>
      </c>
      <c r="V1143" s="63">
        <f t="shared" si="178"/>
        <v>0</v>
      </c>
      <c r="W1143" s="49">
        <f t="shared" si="179"/>
        <v>0</v>
      </c>
      <c r="X1143" s="50">
        <f t="shared" si="180"/>
        <v>0</v>
      </c>
      <c r="Y1143"/>
      <c r="Z1143"/>
      <c r="AA1143"/>
    </row>
    <row r="1144" spans="1:27" s="51" customFormat="1" ht="18.600000000000001" hidden="1" customHeight="1" x14ac:dyDescent="0.25">
      <c r="A1144" s="80" t="s">
        <v>9279</v>
      </c>
      <c r="B1144" s="20" t="s">
        <v>9282</v>
      </c>
      <c r="C1144" s="21" t="s">
        <v>9284</v>
      </c>
      <c r="D1144" s="20"/>
      <c r="E1144" s="22" t="s">
        <v>10025</v>
      </c>
      <c r="F1144" s="22" t="s">
        <v>9286</v>
      </c>
      <c r="G1144" s="22" t="s">
        <v>22</v>
      </c>
      <c r="H1144" s="83" t="s">
        <v>9229</v>
      </c>
      <c r="I1144" s="23" t="s">
        <v>24</v>
      </c>
      <c r="J1144" s="24">
        <v>195</v>
      </c>
      <c r="K1144" s="25">
        <v>0.25</v>
      </c>
      <c r="L1144" s="26">
        <f t="shared" si="172"/>
        <v>48.75</v>
      </c>
      <c r="M1144" s="27">
        <f t="shared" si="173"/>
        <v>146.25</v>
      </c>
      <c r="N1144" s="28">
        <v>0.16</v>
      </c>
      <c r="O1144" s="29">
        <f t="shared" si="174"/>
        <v>23.400000000000002</v>
      </c>
      <c r="P1144" s="30">
        <f t="shared" si="175"/>
        <v>169.65</v>
      </c>
      <c r="Q1144" s="23"/>
      <c r="R1144" s="52"/>
      <c r="S1144" s="53"/>
      <c r="T1144" s="54">
        <f t="shared" si="176"/>
        <v>0</v>
      </c>
      <c r="U1144" s="26">
        <f t="shared" si="177"/>
        <v>0</v>
      </c>
      <c r="V1144" s="55">
        <f t="shared" si="178"/>
        <v>0</v>
      </c>
      <c r="W1144" s="29">
        <f t="shared" si="179"/>
        <v>0</v>
      </c>
      <c r="X1144" s="30">
        <f t="shared" si="180"/>
        <v>0</v>
      </c>
      <c r="Y1144"/>
      <c r="Z1144"/>
      <c r="AA1144"/>
    </row>
    <row r="1145" spans="1:27" s="51" customFormat="1" ht="18.600000000000001" hidden="1" customHeight="1" x14ac:dyDescent="0.25">
      <c r="A1145" s="81" t="s">
        <v>9279</v>
      </c>
      <c r="B1145" s="31" t="s">
        <v>9282</v>
      </c>
      <c r="C1145" s="32" t="s">
        <v>9284</v>
      </c>
      <c r="D1145" s="31"/>
      <c r="E1145" s="33" t="s">
        <v>10026</v>
      </c>
      <c r="F1145" s="33" t="s">
        <v>9286</v>
      </c>
      <c r="G1145" s="33" t="s">
        <v>22</v>
      </c>
      <c r="H1145" s="84" t="s">
        <v>9230</v>
      </c>
      <c r="I1145" s="23" t="s">
        <v>24</v>
      </c>
      <c r="J1145" s="34">
        <v>250</v>
      </c>
      <c r="K1145" s="35">
        <v>0.25</v>
      </c>
      <c r="L1145" s="36">
        <f t="shared" si="172"/>
        <v>62.5</v>
      </c>
      <c r="M1145" s="37">
        <f t="shared" si="173"/>
        <v>187.5</v>
      </c>
      <c r="N1145" s="38">
        <v>0.16</v>
      </c>
      <c r="O1145" s="39">
        <f t="shared" si="174"/>
        <v>30</v>
      </c>
      <c r="P1145" s="40">
        <f t="shared" si="175"/>
        <v>217.5</v>
      </c>
      <c r="Q1145" s="23"/>
      <c r="R1145" s="56"/>
      <c r="S1145" s="57"/>
      <c r="T1145" s="58">
        <f t="shared" si="176"/>
        <v>0</v>
      </c>
      <c r="U1145" s="36">
        <f t="shared" si="177"/>
        <v>0</v>
      </c>
      <c r="V1145" s="59">
        <f t="shared" si="178"/>
        <v>0</v>
      </c>
      <c r="W1145" s="39">
        <f t="shared" si="179"/>
        <v>0</v>
      </c>
      <c r="X1145" s="40">
        <f t="shared" si="180"/>
        <v>0</v>
      </c>
      <c r="Y1145"/>
      <c r="Z1145"/>
      <c r="AA1145"/>
    </row>
    <row r="1146" spans="1:27" s="51" customFormat="1" ht="18.600000000000001" hidden="1" customHeight="1" x14ac:dyDescent="0.25">
      <c r="A1146" s="82" t="s">
        <v>9279</v>
      </c>
      <c r="B1146" s="41" t="s">
        <v>9282</v>
      </c>
      <c r="C1146" s="42" t="s">
        <v>9284</v>
      </c>
      <c r="D1146" s="41"/>
      <c r="E1146" s="43" t="s">
        <v>10027</v>
      </c>
      <c r="F1146" s="43" t="s">
        <v>9286</v>
      </c>
      <c r="G1146" s="43" t="s">
        <v>22</v>
      </c>
      <c r="H1146" s="85" t="s">
        <v>9231</v>
      </c>
      <c r="I1146" s="23" t="s">
        <v>24</v>
      </c>
      <c r="J1146" s="44">
        <v>170</v>
      </c>
      <c r="K1146" s="45">
        <v>0.25</v>
      </c>
      <c r="L1146" s="46">
        <f t="shared" si="172"/>
        <v>42.5</v>
      </c>
      <c r="M1146" s="47">
        <f t="shared" si="173"/>
        <v>127.5</v>
      </c>
      <c r="N1146" s="48">
        <v>0.16</v>
      </c>
      <c r="O1146" s="49">
        <f t="shared" si="174"/>
        <v>20.400000000000002</v>
      </c>
      <c r="P1146" s="50">
        <f t="shared" si="175"/>
        <v>147.9</v>
      </c>
      <c r="Q1146" s="23"/>
      <c r="R1146" s="60"/>
      <c r="S1146" s="61"/>
      <c r="T1146" s="62">
        <f t="shared" si="176"/>
        <v>0</v>
      </c>
      <c r="U1146" s="46">
        <f t="shared" si="177"/>
        <v>0</v>
      </c>
      <c r="V1146" s="63">
        <f t="shared" si="178"/>
        <v>0</v>
      </c>
      <c r="W1146" s="49">
        <f t="shared" si="179"/>
        <v>0</v>
      </c>
      <c r="X1146" s="50">
        <f t="shared" si="180"/>
        <v>0</v>
      </c>
      <c r="Y1146"/>
      <c r="Z1146"/>
      <c r="AA1146"/>
    </row>
    <row r="1147" spans="1:27" s="51" customFormat="1" ht="18.600000000000001" hidden="1" customHeight="1" x14ac:dyDescent="0.25">
      <c r="A1147" s="80" t="s">
        <v>9279</v>
      </c>
      <c r="B1147" s="20" t="s">
        <v>9282</v>
      </c>
      <c r="C1147" s="21" t="s">
        <v>9284</v>
      </c>
      <c r="D1147" s="20"/>
      <c r="E1147" s="22" t="s">
        <v>10028</v>
      </c>
      <c r="F1147" s="22" t="s">
        <v>9286</v>
      </c>
      <c r="G1147" s="22" t="s">
        <v>22</v>
      </c>
      <c r="H1147" s="83" t="s">
        <v>9232</v>
      </c>
      <c r="I1147" s="23" t="s">
        <v>24</v>
      </c>
      <c r="J1147" s="24">
        <v>170</v>
      </c>
      <c r="K1147" s="25">
        <v>0.25</v>
      </c>
      <c r="L1147" s="26">
        <f t="shared" si="172"/>
        <v>42.5</v>
      </c>
      <c r="M1147" s="27">
        <f t="shared" si="173"/>
        <v>127.5</v>
      </c>
      <c r="N1147" s="28">
        <v>0.16</v>
      </c>
      <c r="O1147" s="29">
        <f t="shared" si="174"/>
        <v>20.400000000000002</v>
      </c>
      <c r="P1147" s="30">
        <f t="shared" si="175"/>
        <v>147.9</v>
      </c>
      <c r="Q1147" s="23"/>
      <c r="R1147" s="52"/>
      <c r="S1147" s="53"/>
      <c r="T1147" s="54">
        <f t="shared" si="176"/>
        <v>0</v>
      </c>
      <c r="U1147" s="26">
        <f t="shared" si="177"/>
        <v>0</v>
      </c>
      <c r="V1147" s="55">
        <f t="shared" si="178"/>
        <v>0</v>
      </c>
      <c r="W1147" s="29">
        <f t="shared" si="179"/>
        <v>0</v>
      </c>
      <c r="X1147" s="30">
        <f t="shared" si="180"/>
        <v>0</v>
      </c>
      <c r="Y1147"/>
      <c r="Z1147"/>
      <c r="AA1147"/>
    </row>
    <row r="1148" spans="1:27" s="51" customFormat="1" ht="18.600000000000001" hidden="1" customHeight="1" x14ac:dyDescent="0.25">
      <c r="A1148" s="81" t="s">
        <v>9279</v>
      </c>
      <c r="B1148" s="31" t="s">
        <v>9282</v>
      </c>
      <c r="C1148" s="32" t="s">
        <v>9284</v>
      </c>
      <c r="D1148" s="31"/>
      <c r="E1148" s="33" t="s">
        <v>10029</v>
      </c>
      <c r="F1148" s="33" t="s">
        <v>9286</v>
      </c>
      <c r="G1148" s="33" t="s">
        <v>22</v>
      </c>
      <c r="H1148" s="84" t="s">
        <v>9233</v>
      </c>
      <c r="I1148" s="23" t="s">
        <v>24</v>
      </c>
      <c r="J1148" s="34">
        <v>250</v>
      </c>
      <c r="K1148" s="35">
        <v>0.25</v>
      </c>
      <c r="L1148" s="36">
        <f t="shared" si="172"/>
        <v>62.5</v>
      </c>
      <c r="M1148" s="37">
        <f t="shared" si="173"/>
        <v>187.5</v>
      </c>
      <c r="N1148" s="38">
        <v>0.16</v>
      </c>
      <c r="O1148" s="39">
        <f t="shared" si="174"/>
        <v>30</v>
      </c>
      <c r="P1148" s="40">
        <f t="shared" si="175"/>
        <v>217.5</v>
      </c>
      <c r="Q1148" s="23"/>
      <c r="R1148" s="56"/>
      <c r="S1148" s="57"/>
      <c r="T1148" s="58">
        <f t="shared" si="176"/>
        <v>0</v>
      </c>
      <c r="U1148" s="36">
        <f t="shared" si="177"/>
        <v>0</v>
      </c>
      <c r="V1148" s="59">
        <f t="shared" si="178"/>
        <v>0</v>
      </c>
      <c r="W1148" s="39">
        <f t="shared" si="179"/>
        <v>0</v>
      </c>
      <c r="X1148" s="40">
        <f t="shared" si="180"/>
        <v>0</v>
      </c>
      <c r="Y1148"/>
      <c r="Z1148"/>
      <c r="AA1148"/>
    </row>
    <row r="1149" spans="1:27" s="51" customFormat="1" ht="18.600000000000001" hidden="1" customHeight="1" x14ac:dyDescent="0.25">
      <c r="A1149" s="82" t="s">
        <v>9279</v>
      </c>
      <c r="B1149" s="41" t="s">
        <v>9282</v>
      </c>
      <c r="C1149" s="42" t="s">
        <v>9284</v>
      </c>
      <c r="D1149" s="41"/>
      <c r="E1149" s="43" t="s">
        <v>10030</v>
      </c>
      <c r="F1149" s="43" t="s">
        <v>9286</v>
      </c>
      <c r="G1149" s="43" t="s">
        <v>22</v>
      </c>
      <c r="H1149" s="85" t="s">
        <v>9234</v>
      </c>
      <c r="I1149" s="23" t="s">
        <v>24</v>
      </c>
      <c r="J1149" s="44">
        <v>250</v>
      </c>
      <c r="K1149" s="45">
        <v>0.25</v>
      </c>
      <c r="L1149" s="46">
        <f t="shared" si="172"/>
        <v>62.5</v>
      </c>
      <c r="M1149" s="47">
        <f t="shared" si="173"/>
        <v>187.5</v>
      </c>
      <c r="N1149" s="48">
        <v>0.16</v>
      </c>
      <c r="O1149" s="49">
        <f t="shared" si="174"/>
        <v>30</v>
      </c>
      <c r="P1149" s="50">
        <f t="shared" si="175"/>
        <v>217.5</v>
      </c>
      <c r="Q1149" s="23"/>
      <c r="R1149" s="60"/>
      <c r="S1149" s="61"/>
      <c r="T1149" s="62">
        <f t="shared" si="176"/>
        <v>0</v>
      </c>
      <c r="U1149" s="46">
        <f t="shared" si="177"/>
        <v>0</v>
      </c>
      <c r="V1149" s="63">
        <f t="shared" si="178"/>
        <v>0</v>
      </c>
      <c r="W1149" s="49">
        <f t="shared" si="179"/>
        <v>0</v>
      </c>
      <c r="X1149" s="50">
        <f t="shared" si="180"/>
        <v>0</v>
      </c>
      <c r="Y1149"/>
      <c r="Z1149"/>
      <c r="AA1149"/>
    </row>
    <row r="1150" spans="1:27" s="51" customFormat="1" ht="18.600000000000001" hidden="1" customHeight="1" x14ac:dyDescent="0.25">
      <c r="A1150" s="80" t="s">
        <v>9279</v>
      </c>
      <c r="B1150" s="20" t="s">
        <v>9282</v>
      </c>
      <c r="C1150" s="21" t="s">
        <v>9284</v>
      </c>
      <c r="D1150" s="20"/>
      <c r="E1150" s="22" t="s">
        <v>10031</v>
      </c>
      <c r="F1150" s="22" t="s">
        <v>9286</v>
      </c>
      <c r="G1150" s="22" t="s">
        <v>22</v>
      </c>
      <c r="H1150" s="83" t="s">
        <v>9235</v>
      </c>
      <c r="I1150" s="23" t="s">
        <v>24</v>
      </c>
      <c r="J1150" s="24">
        <v>170</v>
      </c>
      <c r="K1150" s="25">
        <v>0.25</v>
      </c>
      <c r="L1150" s="26">
        <f t="shared" si="172"/>
        <v>42.5</v>
      </c>
      <c r="M1150" s="27">
        <f t="shared" si="173"/>
        <v>127.5</v>
      </c>
      <c r="N1150" s="28">
        <v>0.16</v>
      </c>
      <c r="O1150" s="29">
        <f t="shared" si="174"/>
        <v>20.400000000000002</v>
      </c>
      <c r="P1150" s="30">
        <f t="shared" si="175"/>
        <v>147.9</v>
      </c>
      <c r="Q1150" s="23"/>
      <c r="R1150" s="52"/>
      <c r="S1150" s="53"/>
      <c r="T1150" s="54">
        <f t="shared" si="176"/>
        <v>0</v>
      </c>
      <c r="U1150" s="26">
        <f t="shared" si="177"/>
        <v>0</v>
      </c>
      <c r="V1150" s="55">
        <f t="shared" si="178"/>
        <v>0</v>
      </c>
      <c r="W1150" s="29">
        <f t="shared" si="179"/>
        <v>0</v>
      </c>
      <c r="X1150" s="30">
        <f t="shared" si="180"/>
        <v>0</v>
      </c>
      <c r="Y1150"/>
      <c r="Z1150"/>
      <c r="AA1150"/>
    </row>
    <row r="1151" spans="1:27" s="51" customFormat="1" ht="18.600000000000001" hidden="1" customHeight="1" x14ac:dyDescent="0.25">
      <c r="A1151" s="81" t="s">
        <v>9279</v>
      </c>
      <c r="B1151" s="31" t="s">
        <v>9282</v>
      </c>
      <c r="C1151" s="32" t="s">
        <v>9284</v>
      </c>
      <c r="D1151" s="31"/>
      <c r="E1151" s="33" t="s">
        <v>10032</v>
      </c>
      <c r="F1151" s="33" t="s">
        <v>9286</v>
      </c>
      <c r="G1151" s="33" t="s">
        <v>22</v>
      </c>
      <c r="H1151" s="84" t="s">
        <v>9236</v>
      </c>
      <c r="I1151" s="23" t="s">
        <v>24</v>
      </c>
      <c r="J1151" s="34">
        <v>170</v>
      </c>
      <c r="K1151" s="35">
        <v>0.25</v>
      </c>
      <c r="L1151" s="36">
        <f t="shared" si="172"/>
        <v>42.5</v>
      </c>
      <c r="M1151" s="37">
        <f t="shared" si="173"/>
        <v>127.5</v>
      </c>
      <c r="N1151" s="38">
        <v>0.16</v>
      </c>
      <c r="O1151" s="39">
        <f t="shared" si="174"/>
        <v>20.400000000000002</v>
      </c>
      <c r="P1151" s="40">
        <f t="shared" si="175"/>
        <v>147.9</v>
      </c>
      <c r="Q1151" s="23"/>
      <c r="R1151" s="56"/>
      <c r="S1151" s="57"/>
      <c r="T1151" s="58">
        <f t="shared" si="176"/>
        <v>0</v>
      </c>
      <c r="U1151" s="36">
        <f t="shared" si="177"/>
        <v>0</v>
      </c>
      <c r="V1151" s="59">
        <f t="shared" si="178"/>
        <v>0</v>
      </c>
      <c r="W1151" s="39">
        <f t="shared" si="179"/>
        <v>0</v>
      </c>
      <c r="X1151" s="40">
        <f t="shared" si="180"/>
        <v>0</v>
      </c>
      <c r="Y1151"/>
      <c r="Z1151"/>
      <c r="AA1151"/>
    </row>
    <row r="1152" spans="1:27" s="51" customFormat="1" ht="18.600000000000001" hidden="1" customHeight="1" x14ac:dyDescent="0.25">
      <c r="A1152" s="82" t="s">
        <v>9279</v>
      </c>
      <c r="B1152" s="41" t="s">
        <v>9282</v>
      </c>
      <c r="C1152" s="42" t="s">
        <v>9284</v>
      </c>
      <c r="D1152" s="41"/>
      <c r="E1152" s="43" t="s">
        <v>10033</v>
      </c>
      <c r="F1152" s="43" t="s">
        <v>9286</v>
      </c>
      <c r="G1152" s="43" t="s">
        <v>22</v>
      </c>
      <c r="H1152" s="85" t="s">
        <v>9237</v>
      </c>
      <c r="I1152" s="23" t="s">
        <v>24</v>
      </c>
      <c r="J1152" s="44">
        <v>210</v>
      </c>
      <c r="K1152" s="45">
        <v>0.25</v>
      </c>
      <c r="L1152" s="46">
        <f t="shared" si="172"/>
        <v>52.5</v>
      </c>
      <c r="M1152" s="47">
        <f t="shared" si="173"/>
        <v>157.5</v>
      </c>
      <c r="N1152" s="48">
        <v>0.16</v>
      </c>
      <c r="O1152" s="49">
        <f t="shared" si="174"/>
        <v>25.2</v>
      </c>
      <c r="P1152" s="50">
        <f t="shared" si="175"/>
        <v>182.7</v>
      </c>
      <c r="Q1152" s="23"/>
      <c r="R1152" s="60"/>
      <c r="S1152" s="61"/>
      <c r="T1152" s="62">
        <f t="shared" si="176"/>
        <v>0</v>
      </c>
      <c r="U1152" s="46">
        <f t="shared" si="177"/>
        <v>0</v>
      </c>
      <c r="V1152" s="63">
        <f t="shared" si="178"/>
        <v>0</v>
      </c>
      <c r="W1152" s="49">
        <f t="shared" si="179"/>
        <v>0</v>
      </c>
      <c r="X1152" s="50">
        <f t="shared" si="180"/>
        <v>0</v>
      </c>
      <c r="Y1152"/>
      <c r="Z1152"/>
      <c r="AA1152"/>
    </row>
    <row r="1153" spans="1:27" s="51" customFormat="1" ht="18.600000000000001" hidden="1" customHeight="1" x14ac:dyDescent="0.25">
      <c r="A1153" s="80" t="s">
        <v>9279</v>
      </c>
      <c r="B1153" s="20" t="s">
        <v>9282</v>
      </c>
      <c r="C1153" s="21" t="s">
        <v>9284</v>
      </c>
      <c r="D1153" s="20"/>
      <c r="E1153" s="22" t="s">
        <v>10034</v>
      </c>
      <c r="F1153" s="22" t="s">
        <v>9286</v>
      </c>
      <c r="G1153" s="22" t="s">
        <v>22</v>
      </c>
      <c r="H1153" s="83" t="s">
        <v>9238</v>
      </c>
      <c r="I1153" s="23" t="s">
        <v>24</v>
      </c>
      <c r="J1153" s="24">
        <v>210</v>
      </c>
      <c r="K1153" s="25">
        <v>0.25</v>
      </c>
      <c r="L1153" s="26">
        <f t="shared" si="172"/>
        <v>52.5</v>
      </c>
      <c r="M1153" s="27">
        <f t="shared" si="173"/>
        <v>157.5</v>
      </c>
      <c r="N1153" s="28">
        <v>0.16</v>
      </c>
      <c r="O1153" s="29">
        <f t="shared" si="174"/>
        <v>25.2</v>
      </c>
      <c r="P1153" s="30">
        <f t="shared" si="175"/>
        <v>182.7</v>
      </c>
      <c r="Q1153" s="23"/>
      <c r="R1153" s="52"/>
      <c r="S1153" s="53"/>
      <c r="T1153" s="54">
        <f t="shared" si="176"/>
        <v>0</v>
      </c>
      <c r="U1153" s="26">
        <f t="shared" si="177"/>
        <v>0</v>
      </c>
      <c r="V1153" s="55">
        <f t="shared" si="178"/>
        <v>0</v>
      </c>
      <c r="W1153" s="29">
        <f t="shared" si="179"/>
        <v>0</v>
      </c>
      <c r="X1153" s="30">
        <f t="shared" si="180"/>
        <v>0</v>
      </c>
      <c r="Y1153"/>
      <c r="Z1153"/>
      <c r="AA1153"/>
    </row>
    <row r="1154" spans="1:27" s="51" customFormat="1" ht="18.600000000000001" hidden="1" customHeight="1" x14ac:dyDescent="0.25">
      <c r="A1154" s="81" t="s">
        <v>9279</v>
      </c>
      <c r="B1154" s="31" t="s">
        <v>9282</v>
      </c>
      <c r="C1154" s="32" t="s">
        <v>9284</v>
      </c>
      <c r="D1154" s="31"/>
      <c r="E1154" s="33" t="s">
        <v>10035</v>
      </c>
      <c r="F1154" s="33" t="s">
        <v>9286</v>
      </c>
      <c r="G1154" s="33" t="s">
        <v>22</v>
      </c>
      <c r="H1154" s="84" t="s">
        <v>9239</v>
      </c>
      <c r="I1154" s="23" t="s">
        <v>24</v>
      </c>
      <c r="J1154" s="34">
        <v>210</v>
      </c>
      <c r="K1154" s="35">
        <v>0.25</v>
      </c>
      <c r="L1154" s="36">
        <f t="shared" si="172"/>
        <v>52.5</v>
      </c>
      <c r="M1154" s="37">
        <f t="shared" si="173"/>
        <v>157.5</v>
      </c>
      <c r="N1154" s="38">
        <v>0.16</v>
      </c>
      <c r="O1154" s="39">
        <f t="shared" si="174"/>
        <v>25.2</v>
      </c>
      <c r="P1154" s="40">
        <f t="shared" si="175"/>
        <v>182.7</v>
      </c>
      <c r="Q1154" s="23"/>
      <c r="R1154" s="56"/>
      <c r="S1154" s="57"/>
      <c r="T1154" s="58">
        <f t="shared" si="176"/>
        <v>0</v>
      </c>
      <c r="U1154" s="36">
        <f t="shared" si="177"/>
        <v>0</v>
      </c>
      <c r="V1154" s="59">
        <f t="shared" si="178"/>
        <v>0</v>
      </c>
      <c r="W1154" s="39">
        <f t="shared" si="179"/>
        <v>0</v>
      </c>
      <c r="X1154" s="40">
        <f t="shared" si="180"/>
        <v>0</v>
      </c>
      <c r="Y1154"/>
      <c r="Z1154"/>
      <c r="AA1154"/>
    </row>
    <row r="1155" spans="1:27" s="51" customFormat="1" ht="18.600000000000001" hidden="1" customHeight="1" x14ac:dyDescent="0.25">
      <c r="A1155" s="82" t="s">
        <v>9279</v>
      </c>
      <c r="B1155" s="41" t="s">
        <v>9282</v>
      </c>
      <c r="C1155" s="42" t="s">
        <v>9284</v>
      </c>
      <c r="D1155" s="41"/>
      <c r="E1155" s="43" t="s">
        <v>10036</v>
      </c>
      <c r="F1155" s="43" t="s">
        <v>9286</v>
      </c>
      <c r="G1155" s="43" t="s">
        <v>22</v>
      </c>
      <c r="H1155" s="85" t="s">
        <v>9240</v>
      </c>
      <c r="I1155" s="23" t="s">
        <v>24</v>
      </c>
      <c r="J1155" s="44">
        <v>210</v>
      </c>
      <c r="K1155" s="45">
        <v>0.25</v>
      </c>
      <c r="L1155" s="46">
        <f t="shared" si="172"/>
        <v>52.5</v>
      </c>
      <c r="M1155" s="47">
        <f t="shared" si="173"/>
        <v>157.5</v>
      </c>
      <c r="N1155" s="48">
        <v>0.16</v>
      </c>
      <c r="O1155" s="49">
        <f t="shared" si="174"/>
        <v>25.2</v>
      </c>
      <c r="P1155" s="50">
        <f t="shared" si="175"/>
        <v>182.7</v>
      </c>
      <c r="Q1155" s="23"/>
      <c r="R1155" s="60"/>
      <c r="S1155" s="61"/>
      <c r="T1155" s="62">
        <f t="shared" si="176"/>
        <v>0</v>
      </c>
      <c r="U1155" s="46">
        <f t="shared" si="177"/>
        <v>0</v>
      </c>
      <c r="V1155" s="63">
        <f t="shared" si="178"/>
        <v>0</v>
      </c>
      <c r="W1155" s="49">
        <f t="shared" si="179"/>
        <v>0</v>
      </c>
      <c r="X1155" s="50">
        <f t="shared" si="180"/>
        <v>0</v>
      </c>
      <c r="Y1155"/>
      <c r="Z1155"/>
      <c r="AA1155"/>
    </row>
    <row r="1156" spans="1:27" s="51" customFormat="1" ht="18.600000000000001" hidden="1" customHeight="1" x14ac:dyDescent="0.25">
      <c r="A1156" s="80" t="s">
        <v>9279</v>
      </c>
      <c r="B1156" s="20" t="s">
        <v>9282</v>
      </c>
      <c r="C1156" s="21" t="s">
        <v>9284</v>
      </c>
      <c r="D1156" s="20"/>
      <c r="E1156" s="22" t="s">
        <v>10037</v>
      </c>
      <c r="F1156" s="22" t="s">
        <v>9286</v>
      </c>
      <c r="G1156" s="22" t="s">
        <v>22</v>
      </c>
      <c r="H1156" s="83" t="s">
        <v>9241</v>
      </c>
      <c r="I1156" s="23" t="s">
        <v>24</v>
      </c>
      <c r="J1156" s="24">
        <v>210</v>
      </c>
      <c r="K1156" s="25">
        <v>0.25</v>
      </c>
      <c r="L1156" s="26">
        <f t="shared" si="172"/>
        <v>52.5</v>
      </c>
      <c r="M1156" s="27">
        <f t="shared" si="173"/>
        <v>157.5</v>
      </c>
      <c r="N1156" s="28">
        <v>0.16</v>
      </c>
      <c r="O1156" s="29">
        <f t="shared" si="174"/>
        <v>25.2</v>
      </c>
      <c r="P1156" s="30">
        <f t="shared" si="175"/>
        <v>182.7</v>
      </c>
      <c r="Q1156" s="23"/>
      <c r="R1156" s="52"/>
      <c r="S1156" s="53"/>
      <c r="T1156" s="54">
        <f t="shared" si="176"/>
        <v>0</v>
      </c>
      <c r="U1156" s="26">
        <f t="shared" si="177"/>
        <v>0</v>
      </c>
      <c r="V1156" s="55">
        <f t="shared" si="178"/>
        <v>0</v>
      </c>
      <c r="W1156" s="29">
        <f t="shared" si="179"/>
        <v>0</v>
      </c>
      <c r="X1156" s="30">
        <f t="shared" si="180"/>
        <v>0</v>
      </c>
      <c r="Y1156"/>
      <c r="Z1156"/>
      <c r="AA1156"/>
    </row>
    <row r="1157" spans="1:27" s="51" customFormat="1" ht="18.600000000000001" hidden="1" customHeight="1" x14ac:dyDescent="0.25">
      <c r="A1157" s="81" t="s">
        <v>9279</v>
      </c>
      <c r="B1157" s="31" t="s">
        <v>9282</v>
      </c>
      <c r="C1157" s="32" t="s">
        <v>9284</v>
      </c>
      <c r="D1157" s="31"/>
      <c r="E1157" s="33" t="s">
        <v>10038</v>
      </c>
      <c r="F1157" s="33" t="s">
        <v>9286</v>
      </c>
      <c r="G1157" s="33" t="s">
        <v>22</v>
      </c>
      <c r="H1157" s="84" t="s">
        <v>9242</v>
      </c>
      <c r="I1157" s="23" t="s">
        <v>24</v>
      </c>
      <c r="J1157" s="34">
        <v>210</v>
      </c>
      <c r="K1157" s="35">
        <v>0.25</v>
      </c>
      <c r="L1157" s="36">
        <f t="shared" si="172"/>
        <v>52.5</v>
      </c>
      <c r="M1157" s="37">
        <f t="shared" si="173"/>
        <v>157.5</v>
      </c>
      <c r="N1157" s="38">
        <v>0.16</v>
      </c>
      <c r="O1157" s="39">
        <f t="shared" si="174"/>
        <v>25.2</v>
      </c>
      <c r="P1157" s="40">
        <f t="shared" si="175"/>
        <v>182.7</v>
      </c>
      <c r="Q1157" s="23"/>
      <c r="R1157" s="56"/>
      <c r="S1157" s="57"/>
      <c r="T1157" s="58">
        <f t="shared" si="176"/>
        <v>0</v>
      </c>
      <c r="U1157" s="36">
        <f t="shared" si="177"/>
        <v>0</v>
      </c>
      <c r="V1157" s="59">
        <f t="shared" si="178"/>
        <v>0</v>
      </c>
      <c r="W1157" s="39">
        <f t="shared" si="179"/>
        <v>0</v>
      </c>
      <c r="X1157" s="40">
        <f t="shared" si="180"/>
        <v>0</v>
      </c>
      <c r="Y1157"/>
      <c r="Z1157"/>
      <c r="AA1157"/>
    </row>
    <row r="1158" spans="1:27" s="51" customFormat="1" ht="18.600000000000001" hidden="1" customHeight="1" x14ac:dyDescent="0.25">
      <c r="A1158" s="82" t="s">
        <v>9279</v>
      </c>
      <c r="B1158" s="41" t="s">
        <v>9282</v>
      </c>
      <c r="C1158" s="42" t="s">
        <v>9284</v>
      </c>
      <c r="D1158" s="41"/>
      <c r="E1158" s="43" t="s">
        <v>10039</v>
      </c>
      <c r="F1158" s="43" t="s">
        <v>9286</v>
      </c>
      <c r="G1158" s="43" t="s">
        <v>22</v>
      </c>
      <c r="H1158" s="85" t="s">
        <v>9243</v>
      </c>
      <c r="I1158" s="23" t="s">
        <v>24</v>
      </c>
      <c r="J1158" s="44">
        <v>210</v>
      </c>
      <c r="K1158" s="45">
        <v>0.25</v>
      </c>
      <c r="L1158" s="46">
        <f t="shared" si="172"/>
        <v>52.5</v>
      </c>
      <c r="M1158" s="47">
        <f t="shared" si="173"/>
        <v>157.5</v>
      </c>
      <c r="N1158" s="48">
        <v>0.16</v>
      </c>
      <c r="O1158" s="49">
        <f t="shared" si="174"/>
        <v>25.2</v>
      </c>
      <c r="P1158" s="50">
        <f t="shared" si="175"/>
        <v>182.7</v>
      </c>
      <c r="Q1158" s="23"/>
      <c r="R1158" s="60"/>
      <c r="S1158" s="61"/>
      <c r="T1158" s="62">
        <f t="shared" si="176"/>
        <v>0</v>
      </c>
      <c r="U1158" s="46">
        <f t="shared" si="177"/>
        <v>0</v>
      </c>
      <c r="V1158" s="63">
        <f t="shared" si="178"/>
        <v>0</v>
      </c>
      <c r="W1158" s="49">
        <f t="shared" si="179"/>
        <v>0</v>
      </c>
      <c r="X1158" s="50">
        <f t="shared" si="180"/>
        <v>0</v>
      </c>
      <c r="Y1158"/>
      <c r="Z1158"/>
      <c r="AA1158"/>
    </row>
    <row r="1159" spans="1:27" s="51" customFormat="1" ht="18.600000000000001" hidden="1" customHeight="1" x14ac:dyDescent="0.25">
      <c r="A1159" s="80" t="s">
        <v>9279</v>
      </c>
      <c r="B1159" s="20" t="s">
        <v>9282</v>
      </c>
      <c r="C1159" s="21" t="s">
        <v>9284</v>
      </c>
      <c r="D1159" s="20"/>
      <c r="E1159" s="22" t="s">
        <v>10040</v>
      </c>
      <c r="F1159" s="22" t="s">
        <v>9286</v>
      </c>
      <c r="G1159" s="22" t="s">
        <v>22</v>
      </c>
      <c r="H1159" s="83" t="s">
        <v>9244</v>
      </c>
      <c r="I1159" s="23" t="s">
        <v>24</v>
      </c>
      <c r="J1159" s="24">
        <v>210</v>
      </c>
      <c r="K1159" s="25">
        <v>0.25</v>
      </c>
      <c r="L1159" s="26">
        <f t="shared" si="172"/>
        <v>52.5</v>
      </c>
      <c r="M1159" s="27">
        <f t="shared" si="173"/>
        <v>157.5</v>
      </c>
      <c r="N1159" s="28">
        <v>0.16</v>
      </c>
      <c r="O1159" s="29">
        <f t="shared" si="174"/>
        <v>25.2</v>
      </c>
      <c r="P1159" s="30">
        <f t="shared" si="175"/>
        <v>182.7</v>
      </c>
      <c r="Q1159" s="23"/>
      <c r="R1159" s="52"/>
      <c r="S1159" s="53"/>
      <c r="T1159" s="54">
        <f t="shared" si="176"/>
        <v>0</v>
      </c>
      <c r="U1159" s="26">
        <f t="shared" si="177"/>
        <v>0</v>
      </c>
      <c r="V1159" s="55">
        <f t="shared" si="178"/>
        <v>0</v>
      </c>
      <c r="W1159" s="29">
        <f t="shared" si="179"/>
        <v>0</v>
      </c>
      <c r="X1159" s="30">
        <f t="shared" si="180"/>
        <v>0</v>
      </c>
      <c r="Y1159"/>
      <c r="Z1159"/>
      <c r="AA1159"/>
    </row>
    <row r="1160" spans="1:27" s="51" customFormat="1" ht="18.600000000000001" hidden="1" customHeight="1" x14ac:dyDescent="0.25">
      <c r="A1160" s="81" t="s">
        <v>9279</v>
      </c>
      <c r="B1160" s="31" t="s">
        <v>9282</v>
      </c>
      <c r="C1160" s="32" t="s">
        <v>9284</v>
      </c>
      <c r="D1160" s="31"/>
      <c r="E1160" s="33" t="s">
        <v>10041</v>
      </c>
      <c r="F1160" s="33" t="s">
        <v>9286</v>
      </c>
      <c r="G1160" s="33" t="s">
        <v>22</v>
      </c>
      <c r="H1160" s="84" t="s">
        <v>9245</v>
      </c>
      <c r="I1160" s="23" t="s">
        <v>24</v>
      </c>
      <c r="J1160" s="34">
        <v>210</v>
      </c>
      <c r="K1160" s="35">
        <v>0.25</v>
      </c>
      <c r="L1160" s="36">
        <f t="shared" si="172"/>
        <v>52.5</v>
      </c>
      <c r="M1160" s="37">
        <f t="shared" si="173"/>
        <v>157.5</v>
      </c>
      <c r="N1160" s="38">
        <v>0.16</v>
      </c>
      <c r="O1160" s="39">
        <f t="shared" si="174"/>
        <v>25.2</v>
      </c>
      <c r="P1160" s="40">
        <f t="shared" si="175"/>
        <v>182.7</v>
      </c>
      <c r="Q1160" s="23"/>
      <c r="R1160" s="56"/>
      <c r="S1160" s="57"/>
      <c r="T1160" s="58">
        <f t="shared" si="176"/>
        <v>0</v>
      </c>
      <c r="U1160" s="36">
        <f t="shared" si="177"/>
        <v>0</v>
      </c>
      <c r="V1160" s="59">
        <f t="shared" si="178"/>
        <v>0</v>
      </c>
      <c r="W1160" s="39">
        <f t="shared" si="179"/>
        <v>0</v>
      </c>
      <c r="X1160" s="40">
        <f t="shared" si="180"/>
        <v>0</v>
      </c>
      <c r="Y1160"/>
      <c r="Z1160"/>
      <c r="AA1160"/>
    </row>
    <row r="1161" spans="1:27" s="51" customFormat="1" ht="18.600000000000001" hidden="1" customHeight="1" x14ac:dyDescent="0.25">
      <c r="A1161" s="82" t="s">
        <v>9279</v>
      </c>
      <c r="B1161" s="41" t="s">
        <v>9282</v>
      </c>
      <c r="C1161" s="42" t="s">
        <v>9284</v>
      </c>
      <c r="D1161" s="41"/>
      <c r="E1161" s="43" t="s">
        <v>10042</v>
      </c>
      <c r="F1161" s="43" t="s">
        <v>9286</v>
      </c>
      <c r="G1161" s="43" t="s">
        <v>22</v>
      </c>
      <c r="H1161" s="85" t="s">
        <v>10064</v>
      </c>
      <c r="I1161" s="23" t="s">
        <v>24</v>
      </c>
      <c r="J1161" s="44">
        <v>210</v>
      </c>
      <c r="K1161" s="45">
        <v>0.25</v>
      </c>
      <c r="L1161" s="46">
        <f t="shared" si="172"/>
        <v>52.5</v>
      </c>
      <c r="M1161" s="47">
        <f t="shared" si="173"/>
        <v>157.5</v>
      </c>
      <c r="N1161" s="48">
        <v>0.16</v>
      </c>
      <c r="O1161" s="49">
        <f t="shared" si="174"/>
        <v>25.2</v>
      </c>
      <c r="P1161" s="50">
        <f t="shared" si="175"/>
        <v>182.7</v>
      </c>
      <c r="Q1161" s="23"/>
      <c r="R1161" s="60"/>
      <c r="S1161" s="61"/>
      <c r="T1161" s="62">
        <f t="shared" si="176"/>
        <v>0</v>
      </c>
      <c r="U1161" s="46">
        <f t="shared" si="177"/>
        <v>0</v>
      </c>
      <c r="V1161" s="63">
        <f t="shared" si="178"/>
        <v>0</v>
      </c>
      <c r="W1161" s="49">
        <f t="shared" si="179"/>
        <v>0</v>
      </c>
      <c r="X1161" s="50">
        <f t="shared" si="180"/>
        <v>0</v>
      </c>
      <c r="Y1161"/>
      <c r="Z1161"/>
      <c r="AA1161"/>
    </row>
    <row r="1162" spans="1:27" s="51" customFormat="1" ht="18.600000000000001" hidden="1" customHeight="1" x14ac:dyDescent="0.25">
      <c r="A1162" s="80" t="s">
        <v>9279</v>
      </c>
      <c r="B1162" s="20" t="s">
        <v>9282</v>
      </c>
      <c r="C1162" s="21" t="s">
        <v>9284</v>
      </c>
      <c r="D1162" s="20"/>
      <c r="E1162" s="22" t="s">
        <v>10043</v>
      </c>
      <c r="F1162" s="22" t="s">
        <v>9286</v>
      </c>
      <c r="G1162" s="22" t="s">
        <v>22</v>
      </c>
      <c r="H1162" s="83" t="s">
        <v>9246</v>
      </c>
      <c r="I1162" s="23" t="s">
        <v>24</v>
      </c>
      <c r="J1162" s="24">
        <v>210</v>
      </c>
      <c r="K1162" s="25">
        <v>0.25</v>
      </c>
      <c r="L1162" s="26">
        <f t="shared" si="172"/>
        <v>52.5</v>
      </c>
      <c r="M1162" s="27">
        <f t="shared" si="173"/>
        <v>157.5</v>
      </c>
      <c r="N1162" s="28">
        <v>0.16</v>
      </c>
      <c r="O1162" s="29">
        <f t="shared" si="174"/>
        <v>25.2</v>
      </c>
      <c r="P1162" s="30">
        <f t="shared" si="175"/>
        <v>182.7</v>
      </c>
      <c r="Q1162" s="23"/>
      <c r="R1162" s="52"/>
      <c r="S1162" s="53"/>
      <c r="T1162" s="54">
        <f t="shared" si="176"/>
        <v>0</v>
      </c>
      <c r="U1162" s="26">
        <f t="shared" si="177"/>
        <v>0</v>
      </c>
      <c r="V1162" s="55">
        <f t="shared" si="178"/>
        <v>0</v>
      </c>
      <c r="W1162" s="29">
        <f t="shared" si="179"/>
        <v>0</v>
      </c>
      <c r="X1162" s="30">
        <f t="shared" si="180"/>
        <v>0</v>
      </c>
      <c r="Y1162"/>
      <c r="Z1162"/>
      <c r="AA1162"/>
    </row>
    <row r="1163" spans="1:27" s="51" customFormat="1" ht="18.600000000000001" hidden="1" customHeight="1" x14ac:dyDescent="0.25">
      <c r="A1163" s="81" t="s">
        <v>9279</v>
      </c>
      <c r="B1163" s="31" t="s">
        <v>9282</v>
      </c>
      <c r="C1163" s="32" t="s">
        <v>9284</v>
      </c>
      <c r="D1163" s="31"/>
      <c r="E1163" s="33" t="s">
        <v>10044</v>
      </c>
      <c r="F1163" s="33" t="s">
        <v>9286</v>
      </c>
      <c r="G1163" s="33" t="s">
        <v>22</v>
      </c>
      <c r="H1163" s="84" t="s">
        <v>9247</v>
      </c>
      <c r="I1163" s="23" t="s">
        <v>24</v>
      </c>
      <c r="J1163" s="34">
        <v>210</v>
      </c>
      <c r="K1163" s="35">
        <v>0.25</v>
      </c>
      <c r="L1163" s="36">
        <f t="shared" si="172"/>
        <v>52.5</v>
      </c>
      <c r="M1163" s="37">
        <f t="shared" si="173"/>
        <v>157.5</v>
      </c>
      <c r="N1163" s="38">
        <v>0.16</v>
      </c>
      <c r="O1163" s="39">
        <f t="shared" si="174"/>
        <v>25.2</v>
      </c>
      <c r="P1163" s="40">
        <f t="shared" si="175"/>
        <v>182.7</v>
      </c>
      <c r="Q1163" s="23"/>
      <c r="R1163" s="56"/>
      <c r="S1163" s="57"/>
      <c r="T1163" s="58">
        <f t="shared" si="176"/>
        <v>0</v>
      </c>
      <c r="U1163" s="36">
        <f t="shared" si="177"/>
        <v>0</v>
      </c>
      <c r="V1163" s="59">
        <f t="shared" si="178"/>
        <v>0</v>
      </c>
      <c r="W1163" s="39">
        <f t="shared" si="179"/>
        <v>0</v>
      </c>
      <c r="X1163" s="40">
        <f t="shared" si="180"/>
        <v>0</v>
      </c>
      <c r="Y1163"/>
      <c r="Z1163"/>
      <c r="AA1163"/>
    </row>
    <row r="1164" spans="1:27" s="51" customFormat="1" ht="18.600000000000001" hidden="1" customHeight="1" x14ac:dyDescent="0.25">
      <c r="A1164" s="82" t="s">
        <v>9279</v>
      </c>
      <c r="B1164" s="41" t="s">
        <v>9282</v>
      </c>
      <c r="C1164" s="42" t="s">
        <v>9284</v>
      </c>
      <c r="D1164" s="41"/>
      <c r="E1164" s="43" t="s">
        <v>10045</v>
      </c>
      <c r="F1164" s="43" t="s">
        <v>9286</v>
      </c>
      <c r="G1164" s="43" t="s">
        <v>22</v>
      </c>
      <c r="H1164" s="85" t="s">
        <v>9248</v>
      </c>
      <c r="I1164" s="23" t="s">
        <v>24</v>
      </c>
      <c r="J1164" s="44">
        <v>210</v>
      </c>
      <c r="K1164" s="45">
        <v>0.25</v>
      </c>
      <c r="L1164" s="46">
        <f t="shared" si="172"/>
        <v>52.5</v>
      </c>
      <c r="M1164" s="47">
        <f t="shared" si="173"/>
        <v>157.5</v>
      </c>
      <c r="N1164" s="48">
        <v>0.16</v>
      </c>
      <c r="O1164" s="49">
        <f t="shared" si="174"/>
        <v>25.2</v>
      </c>
      <c r="P1164" s="50">
        <f t="shared" si="175"/>
        <v>182.7</v>
      </c>
      <c r="Q1164" s="23"/>
      <c r="R1164" s="60"/>
      <c r="S1164" s="61"/>
      <c r="T1164" s="62">
        <f t="shared" si="176"/>
        <v>0</v>
      </c>
      <c r="U1164" s="46">
        <f t="shared" si="177"/>
        <v>0</v>
      </c>
      <c r="V1164" s="63">
        <f t="shared" si="178"/>
        <v>0</v>
      </c>
      <c r="W1164" s="49">
        <f t="shared" si="179"/>
        <v>0</v>
      </c>
      <c r="X1164" s="50">
        <f t="shared" si="180"/>
        <v>0</v>
      </c>
      <c r="Y1164"/>
      <c r="Z1164"/>
      <c r="AA1164"/>
    </row>
    <row r="1165" spans="1:27" s="51" customFormat="1" ht="18.600000000000001" hidden="1" customHeight="1" x14ac:dyDescent="0.25">
      <c r="A1165" s="80" t="s">
        <v>9279</v>
      </c>
      <c r="B1165" s="20" t="s">
        <v>9282</v>
      </c>
      <c r="C1165" s="21" t="s">
        <v>9284</v>
      </c>
      <c r="D1165" s="20"/>
      <c r="E1165" s="22" t="s">
        <v>10046</v>
      </c>
      <c r="F1165" s="22" t="s">
        <v>9286</v>
      </c>
      <c r="G1165" s="22" t="s">
        <v>22</v>
      </c>
      <c r="H1165" s="83" t="s">
        <v>9249</v>
      </c>
      <c r="I1165" s="23" t="s">
        <v>24</v>
      </c>
      <c r="J1165" s="24">
        <v>210</v>
      </c>
      <c r="K1165" s="25">
        <v>0.25</v>
      </c>
      <c r="L1165" s="26">
        <f t="shared" si="172"/>
        <v>52.5</v>
      </c>
      <c r="M1165" s="27">
        <f t="shared" si="173"/>
        <v>157.5</v>
      </c>
      <c r="N1165" s="28">
        <v>0.16</v>
      </c>
      <c r="O1165" s="29">
        <f t="shared" si="174"/>
        <v>25.2</v>
      </c>
      <c r="P1165" s="30">
        <f t="shared" si="175"/>
        <v>182.7</v>
      </c>
      <c r="Q1165" s="23"/>
      <c r="R1165" s="52"/>
      <c r="S1165" s="53"/>
      <c r="T1165" s="54">
        <f t="shared" si="176"/>
        <v>0</v>
      </c>
      <c r="U1165" s="26">
        <f t="shared" si="177"/>
        <v>0</v>
      </c>
      <c r="V1165" s="55">
        <f t="shared" si="178"/>
        <v>0</v>
      </c>
      <c r="W1165" s="29">
        <f t="shared" si="179"/>
        <v>0</v>
      </c>
      <c r="X1165" s="30">
        <f t="shared" si="180"/>
        <v>0</v>
      </c>
      <c r="Y1165"/>
      <c r="Z1165"/>
      <c r="AA1165"/>
    </row>
    <row r="1166" spans="1:27" s="51" customFormat="1" ht="18.600000000000001" hidden="1" customHeight="1" x14ac:dyDescent="0.25">
      <c r="A1166" s="81" t="s">
        <v>9279</v>
      </c>
      <c r="B1166" s="31" t="s">
        <v>9282</v>
      </c>
      <c r="C1166" s="32" t="s">
        <v>9284</v>
      </c>
      <c r="D1166" s="31"/>
      <c r="E1166" s="33" t="s">
        <v>10047</v>
      </c>
      <c r="F1166" s="33" t="s">
        <v>9286</v>
      </c>
      <c r="G1166" s="33" t="s">
        <v>22</v>
      </c>
      <c r="H1166" s="84" t="s">
        <v>9250</v>
      </c>
      <c r="I1166" s="23" t="s">
        <v>24</v>
      </c>
      <c r="J1166" s="34">
        <v>210</v>
      </c>
      <c r="K1166" s="35">
        <v>0.25</v>
      </c>
      <c r="L1166" s="36">
        <f t="shared" ref="L1166:L1174" si="181">+J1166*K1166</f>
        <v>52.5</v>
      </c>
      <c r="M1166" s="37">
        <f t="shared" ref="M1166:M1174" si="182">+J1166-L1166</f>
        <v>157.5</v>
      </c>
      <c r="N1166" s="38">
        <v>0.16</v>
      </c>
      <c r="O1166" s="39">
        <f t="shared" ref="O1166:O1174" si="183">+M1166*N1166</f>
        <v>25.2</v>
      </c>
      <c r="P1166" s="40">
        <f t="shared" ref="P1166:P1174" si="184">+M1166+O1166</f>
        <v>182.7</v>
      </c>
      <c r="Q1166" s="23"/>
      <c r="R1166" s="56"/>
      <c r="S1166" s="57"/>
      <c r="T1166" s="58">
        <f t="shared" ref="T1166:T1174" si="185">+S1166*J1166</f>
        <v>0</v>
      </c>
      <c r="U1166" s="36">
        <f t="shared" ref="U1166:U1174" si="186">+T1166*K1166</f>
        <v>0</v>
      </c>
      <c r="V1166" s="59">
        <f t="shared" ref="V1166:V1174" si="187">+T1166-U1166</f>
        <v>0</v>
      </c>
      <c r="W1166" s="39">
        <f t="shared" ref="W1166:W1174" si="188">+V1166*N1166</f>
        <v>0</v>
      </c>
      <c r="X1166" s="40">
        <f t="shared" ref="X1166:X1174" si="189">+V1166+W1166</f>
        <v>0</v>
      </c>
      <c r="Y1166"/>
      <c r="Z1166"/>
      <c r="AA1166"/>
    </row>
    <row r="1167" spans="1:27" s="51" customFormat="1" ht="18.600000000000001" hidden="1" customHeight="1" x14ac:dyDescent="0.25">
      <c r="A1167" s="82" t="s">
        <v>9279</v>
      </c>
      <c r="B1167" s="41" t="s">
        <v>9282</v>
      </c>
      <c r="C1167" s="42" t="s">
        <v>9284</v>
      </c>
      <c r="D1167" s="41"/>
      <c r="E1167" s="43" t="s">
        <v>10048</v>
      </c>
      <c r="F1167" s="43" t="s">
        <v>9286</v>
      </c>
      <c r="G1167" s="43" t="s">
        <v>22</v>
      </c>
      <c r="H1167" s="85" t="s">
        <v>9251</v>
      </c>
      <c r="I1167" s="23" t="s">
        <v>24</v>
      </c>
      <c r="J1167" s="44">
        <v>210</v>
      </c>
      <c r="K1167" s="45">
        <v>0.25</v>
      </c>
      <c r="L1167" s="46">
        <f t="shared" si="181"/>
        <v>52.5</v>
      </c>
      <c r="M1167" s="47">
        <f t="shared" si="182"/>
        <v>157.5</v>
      </c>
      <c r="N1167" s="48">
        <v>0.16</v>
      </c>
      <c r="O1167" s="49">
        <f t="shared" si="183"/>
        <v>25.2</v>
      </c>
      <c r="P1167" s="50">
        <f t="shared" si="184"/>
        <v>182.7</v>
      </c>
      <c r="Q1167" s="23"/>
      <c r="R1167" s="60"/>
      <c r="S1167" s="61"/>
      <c r="T1167" s="62">
        <f t="shared" si="185"/>
        <v>0</v>
      </c>
      <c r="U1167" s="46">
        <f t="shared" si="186"/>
        <v>0</v>
      </c>
      <c r="V1167" s="63">
        <f t="shared" si="187"/>
        <v>0</v>
      </c>
      <c r="W1167" s="49">
        <f t="shared" si="188"/>
        <v>0</v>
      </c>
      <c r="X1167" s="50">
        <f t="shared" si="189"/>
        <v>0</v>
      </c>
      <c r="Y1167"/>
      <c r="Z1167"/>
      <c r="AA1167"/>
    </row>
    <row r="1168" spans="1:27" s="51" customFormat="1" ht="18.600000000000001" hidden="1" customHeight="1" x14ac:dyDescent="0.25">
      <c r="A1168" s="80" t="s">
        <v>9279</v>
      </c>
      <c r="B1168" s="20" t="s">
        <v>9282</v>
      </c>
      <c r="C1168" s="21" t="s">
        <v>9284</v>
      </c>
      <c r="D1168" s="20"/>
      <c r="E1168" s="22" t="s">
        <v>10049</v>
      </c>
      <c r="F1168" s="22" t="s">
        <v>9286</v>
      </c>
      <c r="G1168" s="22" t="s">
        <v>22</v>
      </c>
      <c r="H1168" s="83" t="s">
        <v>9252</v>
      </c>
      <c r="I1168" s="23" t="s">
        <v>24</v>
      </c>
      <c r="J1168" s="24">
        <v>210</v>
      </c>
      <c r="K1168" s="25">
        <v>0.25</v>
      </c>
      <c r="L1168" s="26">
        <f t="shared" si="181"/>
        <v>52.5</v>
      </c>
      <c r="M1168" s="27">
        <f t="shared" si="182"/>
        <v>157.5</v>
      </c>
      <c r="N1168" s="28">
        <v>0.16</v>
      </c>
      <c r="O1168" s="29">
        <f t="shared" si="183"/>
        <v>25.2</v>
      </c>
      <c r="P1168" s="30">
        <f t="shared" si="184"/>
        <v>182.7</v>
      </c>
      <c r="Q1168" s="23"/>
      <c r="R1168" s="52"/>
      <c r="S1168" s="53"/>
      <c r="T1168" s="54">
        <f t="shared" si="185"/>
        <v>0</v>
      </c>
      <c r="U1168" s="26">
        <f t="shared" si="186"/>
        <v>0</v>
      </c>
      <c r="V1168" s="55">
        <f t="shared" si="187"/>
        <v>0</v>
      </c>
      <c r="W1168" s="29">
        <f t="shared" si="188"/>
        <v>0</v>
      </c>
      <c r="X1168" s="30">
        <f t="shared" si="189"/>
        <v>0</v>
      </c>
      <c r="Y1168"/>
      <c r="Z1168"/>
      <c r="AA1168"/>
    </row>
    <row r="1169" spans="1:27" s="51" customFormat="1" ht="18.600000000000001" hidden="1" customHeight="1" x14ac:dyDescent="0.25">
      <c r="A1169" s="81" t="s">
        <v>9279</v>
      </c>
      <c r="B1169" s="31" t="s">
        <v>9282</v>
      </c>
      <c r="C1169" s="32" t="s">
        <v>9284</v>
      </c>
      <c r="D1169" s="31"/>
      <c r="E1169" s="33" t="s">
        <v>10050</v>
      </c>
      <c r="F1169" s="33" t="s">
        <v>9286</v>
      </c>
      <c r="G1169" s="33" t="s">
        <v>22</v>
      </c>
      <c r="H1169" s="84" t="s">
        <v>9253</v>
      </c>
      <c r="I1169" s="23" t="s">
        <v>24</v>
      </c>
      <c r="J1169" s="34">
        <v>210</v>
      </c>
      <c r="K1169" s="35">
        <v>0.25</v>
      </c>
      <c r="L1169" s="36">
        <f t="shared" si="181"/>
        <v>52.5</v>
      </c>
      <c r="M1169" s="37">
        <f t="shared" si="182"/>
        <v>157.5</v>
      </c>
      <c r="N1169" s="38">
        <v>0.16</v>
      </c>
      <c r="O1169" s="39">
        <f t="shared" si="183"/>
        <v>25.2</v>
      </c>
      <c r="P1169" s="40">
        <f t="shared" si="184"/>
        <v>182.7</v>
      </c>
      <c r="Q1169" s="23"/>
      <c r="R1169" s="56"/>
      <c r="S1169" s="57"/>
      <c r="T1169" s="58">
        <f t="shared" si="185"/>
        <v>0</v>
      </c>
      <c r="U1169" s="36">
        <f t="shared" si="186"/>
        <v>0</v>
      </c>
      <c r="V1169" s="59">
        <f t="shared" si="187"/>
        <v>0</v>
      </c>
      <c r="W1169" s="39">
        <f t="shared" si="188"/>
        <v>0</v>
      </c>
      <c r="X1169" s="40">
        <f t="shared" si="189"/>
        <v>0</v>
      </c>
      <c r="Y1169"/>
      <c r="Z1169"/>
      <c r="AA1169"/>
    </row>
    <row r="1170" spans="1:27" s="51" customFormat="1" ht="18.600000000000001" hidden="1" customHeight="1" x14ac:dyDescent="0.25">
      <c r="A1170" s="82" t="s">
        <v>9279</v>
      </c>
      <c r="B1170" s="41" t="s">
        <v>9282</v>
      </c>
      <c r="C1170" s="42" t="s">
        <v>9284</v>
      </c>
      <c r="D1170" s="41"/>
      <c r="E1170" s="43" t="s">
        <v>10051</v>
      </c>
      <c r="F1170" s="43" t="s">
        <v>9286</v>
      </c>
      <c r="G1170" s="43" t="s">
        <v>22</v>
      </c>
      <c r="H1170" s="85" t="s">
        <v>9254</v>
      </c>
      <c r="I1170" s="23" t="s">
        <v>24</v>
      </c>
      <c r="J1170" s="44">
        <v>210</v>
      </c>
      <c r="K1170" s="45">
        <v>0.25</v>
      </c>
      <c r="L1170" s="46">
        <f t="shared" si="181"/>
        <v>52.5</v>
      </c>
      <c r="M1170" s="47">
        <f t="shared" si="182"/>
        <v>157.5</v>
      </c>
      <c r="N1170" s="48">
        <v>0.16</v>
      </c>
      <c r="O1170" s="49">
        <f t="shared" si="183"/>
        <v>25.2</v>
      </c>
      <c r="P1170" s="50">
        <f t="shared" si="184"/>
        <v>182.7</v>
      </c>
      <c r="Q1170" s="23"/>
      <c r="R1170" s="60"/>
      <c r="S1170" s="61"/>
      <c r="T1170" s="62">
        <f t="shared" si="185"/>
        <v>0</v>
      </c>
      <c r="U1170" s="46">
        <f t="shared" si="186"/>
        <v>0</v>
      </c>
      <c r="V1170" s="63">
        <f t="shared" si="187"/>
        <v>0</v>
      </c>
      <c r="W1170" s="49">
        <f t="shared" si="188"/>
        <v>0</v>
      </c>
      <c r="X1170" s="50">
        <f t="shared" si="189"/>
        <v>0</v>
      </c>
      <c r="Y1170"/>
      <c r="Z1170"/>
      <c r="AA1170"/>
    </row>
    <row r="1171" spans="1:27" s="51" customFormat="1" ht="18.600000000000001" hidden="1" customHeight="1" x14ac:dyDescent="0.25">
      <c r="A1171" s="80" t="s">
        <v>9279</v>
      </c>
      <c r="B1171" s="20" t="s">
        <v>9282</v>
      </c>
      <c r="C1171" s="21" t="s">
        <v>9284</v>
      </c>
      <c r="D1171" s="20"/>
      <c r="E1171" s="22" t="s">
        <v>10052</v>
      </c>
      <c r="F1171" s="22" t="s">
        <v>9286</v>
      </c>
      <c r="G1171" s="22" t="s">
        <v>22</v>
      </c>
      <c r="H1171" s="83" t="s">
        <v>9255</v>
      </c>
      <c r="I1171" s="23" t="s">
        <v>24</v>
      </c>
      <c r="J1171" s="24">
        <v>210</v>
      </c>
      <c r="K1171" s="25">
        <v>0.25</v>
      </c>
      <c r="L1171" s="26">
        <f t="shared" si="181"/>
        <v>52.5</v>
      </c>
      <c r="M1171" s="27">
        <f t="shared" si="182"/>
        <v>157.5</v>
      </c>
      <c r="N1171" s="28">
        <v>0.16</v>
      </c>
      <c r="O1171" s="29">
        <f t="shared" si="183"/>
        <v>25.2</v>
      </c>
      <c r="P1171" s="30">
        <f t="shared" si="184"/>
        <v>182.7</v>
      </c>
      <c r="Q1171" s="23"/>
      <c r="R1171" s="52"/>
      <c r="S1171" s="53"/>
      <c r="T1171" s="54">
        <f t="shared" si="185"/>
        <v>0</v>
      </c>
      <c r="U1171" s="26">
        <f t="shared" si="186"/>
        <v>0</v>
      </c>
      <c r="V1171" s="55">
        <f t="shared" si="187"/>
        <v>0</v>
      </c>
      <c r="W1171" s="29">
        <f t="shared" si="188"/>
        <v>0</v>
      </c>
      <c r="X1171" s="30">
        <f t="shared" si="189"/>
        <v>0</v>
      </c>
      <c r="Y1171"/>
      <c r="Z1171"/>
      <c r="AA1171"/>
    </row>
    <row r="1172" spans="1:27" s="51" customFormat="1" ht="18.600000000000001" hidden="1" customHeight="1" x14ac:dyDescent="0.25">
      <c r="A1172" s="81" t="s">
        <v>9279</v>
      </c>
      <c r="B1172" s="31" t="s">
        <v>9282</v>
      </c>
      <c r="C1172" s="32" t="s">
        <v>9284</v>
      </c>
      <c r="D1172" s="31"/>
      <c r="E1172" s="33" t="s">
        <v>10053</v>
      </c>
      <c r="F1172" s="33" t="s">
        <v>9286</v>
      </c>
      <c r="G1172" s="33" t="s">
        <v>22</v>
      </c>
      <c r="H1172" s="84" t="s">
        <v>9256</v>
      </c>
      <c r="I1172" s="23" t="s">
        <v>24</v>
      </c>
      <c r="J1172" s="34">
        <v>210</v>
      </c>
      <c r="K1172" s="35">
        <v>0.25</v>
      </c>
      <c r="L1172" s="36">
        <f t="shared" si="181"/>
        <v>52.5</v>
      </c>
      <c r="M1172" s="37">
        <f t="shared" si="182"/>
        <v>157.5</v>
      </c>
      <c r="N1172" s="38">
        <v>0.16</v>
      </c>
      <c r="O1172" s="39">
        <f t="shared" si="183"/>
        <v>25.2</v>
      </c>
      <c r="P1172" s="40">
        <f t="shared" si="184"/>
        <v>182.7</v>
      </c>
      <c r="Q1172" s="23"/>
      <c r="R1172" s="56"/>
      <c r="S1172" s="57"/>
      <c r="T1172" s="58">
        <f t="shared" si="185"/>
        <v>0</v>
      </c>
      <c r="U1172" s="36">
        <f t="shared" si="186"/>
        <v>0</v>
      </c>
      <c r="V1172" s="59">
        <f t="shared" si="187"/>
        <v>0</v>
      </c>
      <c r="W1172" s="39">
        <f t="shared" si="188"/>
        <v>0</v>
      </c>
      <c r="X1172" s="40">
        <f t="shared" si="189"/>
        <v>0</v>
      </c>
      <c r="Y1172"/>
      <c r="Z1172"/>
      <c r="AA1172"/>
    </row>
    <row r="1173" spans="1:27" s="51" customFormat="1" ht="18.600000000000001" hidden="1" customHeight="1" x14ac:dyDescent="0.25">
      <c r="A1173" s="82" t="s">
        <v>9279</v>
      </c>
      <c r="B1173" s="41" t="s">
        <v>9282</v>
      </c>
      <c r="C1173" s="42" t="s">
        <v>9284</v>
      </c>
      <c r="D1173" s="41"/>
      <c r="E1173" s="43" t="s">
        <v>10054</v>
      </c>
      <c r="F1173" s="43" t="s">
        <v>9286</v>
      </c>
      <c r="G1173" s="43" t="s">
        <v>22</v>
      </c>
      <c r="H1173" s="85" t="s">
        <v>9257</v>
      </c>
      <c r="I1173" s="23" t="s">
        <v>24</v>
      </c>
      <c r="J1173" s="44">
        <v>210</v>
      </c>
      <c r="K1173" s="45">
        <v>0.25</v>
      </c>
      <c r="L1173" s="46">
        <f t="shared" si="181"/>
        <v>52.5</v>
      </c>
      <c r="M1173" s="47">
        <f t="shared" si="182"/>
        <v>157.5</v>
      </c>
      <c r="N1173" s="48">
        <v>0.16</v>
      </c>
      <c r="O1173" s="49">
        <f t="shared" si="183"/>
        <v>25.2</v>
      </c>
      <c r="P1173" s="50">
        <f t="shared" si="184"/>
        <v>182.7</v>
      </c>
      <c r="Q1173" s="23"/>
      <c r="R1173" s="60"/>
      <c r="S1173" s="61"/>
      <c r="T1173" s="62">
        <f t="shared" si="185"/>
        <v>0</v>
      </c>
      <c r="U1173" s="46">
        <f t="shared" si="186"/>
        <v>0</v>
      </c>
      <c r="V1173" s="63">
        <f t="shared" si="187"/>
        <v>0</v>
      </c>
      <c r="W1173" s="49">
        <f t="shared" si="188"/>
        <v>0</v>
      </c>
      <c r="X1173" s="50">
        <f t="shared" si="189"/>
        <v>0</v>
      </c>
      <c r="Y1173"/>
      <c r="Z1173"/>
      <c r="AA1173"/>
    </row>
    <row r="1174" spans="1:27" s="51" customFormat="1" ht="18.600000000000001" hidden="1" customHeight="1" x14ac:dyDescent="0.25">
      <c r="A1174" s="80" t="s">
        <v>9279</v>
      </c>
      <c r="B1174" s="20" t="s">
        <v>9282</v>
      </c>
      <c r="C1174" s="21" t="s">
        <v>9284</v>
      </c>
      <c r="D1174" s="20"/>
      <c r="E1174" s="22" t="s">
        <v>10055</v>
      </c>
      <c r="F1174" s="22" t="s">
        <v>9286</v>
      </c>
      <c r="G1174" s="22" t="s">
        <v>22</v>
      </c>
      <c r="H1174" s="83" t="s">
        <v>9258</v>
      </c>
      <c r="I1174" s="23" t="s">
        <v>24</v>
      </c>
      <c r="J1174" s="24">
        <v>210</v>
      </c>
      <c r="K1174" s="25">
        <v>0.25</v>
      </c>
      <c r="L1174" s="26">
        <f t="shared" si="181"/>
        <v>52.5</v>
      </c>
      <c r="M1174" s="27">
        <f t="shared" si="182"/>
        <v>157.5</v>
      </c>
      <c r="N1174" s="28">
        <v>0.16</v>
      </c>
      <c r="O1174" s="29">
        <f t="shared" si="183"/>
        <v>25.2</v>
      </c>
      <c r="P1174" s="30">
        <f t="shared" si="184"/>
        <v>182.7</v>
      </c>
      <c r="Q1174" s="23"/>
      <c r="R1174" s="52"/>
      <c r="S1174" s="53"/>
      <c r="T1174" s="54">
        <f t="shared" si="185"/>
        <v>0</v>
      </c>
      <c r="U1174" s="26">
        <f t="shared" si="186"/>
        <v>0</v>
      </c>
      <c r="V1174" s="55">
        <f t="shared" si="187"/>
        <v>0</v>
      </c>
      <c r="W1174" s="29">
        <f t="shared" si="188"/>
        <v>0</v>
      </c>
      <c r="X1174" s="30">
        <f t="shared" si="189"/>
        <v>0</v>
      </c>
      <c r="Y1174"/>
      <c r="Z1174"/>
      <c r="AA1174"/>
    </row>
    <row r="1175" spans="1:27" s="51" customFormat="1" ht="18.600000000000001" hidden="1" customHeight="1" x14ac:dyDescent="0.25">
      <c r="A1175" s="81" t="s">
        <v>2653</v>
      </c>
      <c r="B1175" s="31" t="s">
        <v>9290</v>
      </c>
      <c r="C1175" s="32" t="s">
        <v>9291</v>
      </c>
      <c r="D1175" s="31">
        <v>8436535570121</v>
      </c>
      <c r="E1175" s="33" t="s">
        <v>2654</v>
      </c>
      <c r="F1175" s="33" t="s">
        <v>1937</v>
      </c>
      <c r="G1175" s="33" t="s">
        <v>2655</v>
      </c>
      <c r="H1175" s="84" t="s">
        <v>2656</v>
      </c>
      <c r="I1175" s="23" t="s">
        <v>24</v>
      </c>
      <c r="J1175" s="34">
        <v>135</v>
      </c>
      <c r="K1175" s="35">
        <v>0.25</v>
      </c>
      <c r="L1175" s="36">
        <f t="shared" ref="L1175:L1238" si="190">+J1175*K1175</f>
        <v>33.75</v>
      </c>
      <c r="M1175" s="37">
        <f t="shared" ref="M1175:M1238" si="191">+J1175-L1175</f>
        <v>101.25</v>
      </c>
      <c r="N1175" s="38">
        <v>0.16</v>
      </c>
      <c r="O1175" s="39">
        <f t="shared" ref="O1175:O1238" si="192">+M1175*N1175</f>
        <v>16.2</v>
      </c>
      <c r="P1175" s="40">
        <f t="shared" ref="P1175:P1238" si="193">+M1175+O1175</f>
        <v>117.45</v>
      </c>
      <c r="Q1175" s="23"/>
      <c r="R1175" s="56"/>
      <c r="S1175" s="57"/>
      <c r="T1175" s="58">
        <f t="shared" ref="T1175:T1238" si="194">+S1175*J1175</f>
        <v>0</v>
      </c>
      <c r="U1175" s="36">
        <f t="shared" ref="U1175:U1238" si="195">+T1175*K1175</f>
        <v>0</v>
      </c>
      <c r="V1175" s="59">
        <f t="shared" ref="V1175:V1238" si="196">+T1175-U1175</f>
        <v>0</v>
      </c>
      <c r="W1175" s="39">
        <f t="shared" ref="W1175:W1238" si="197">+V1175*N1175</f>
        <v>0</v>
      </c>
      <c r="X1175" s="40">
        <f t="shared" ref="X1175:X1238" si="198">+V1175+W1175</f>
        <v>0</v>
      </c>
      <c r="Y1175"/>
      <c r="Z1175"/>
      <c r="AA1175"/>
    </row>
    <row r="1176" spans="1:27" s="51" customFormat="1" ht="18.600000000000001" hidden="1" customHeight="1" x14ac:dyDescent="0.25">
      <c r="A1176" s="82" t="s">
        <v>2653</v>
      </c>
      <c r="B1176" s="41" t="s">
        <v>9290</v>
      </c>
      <c r="C1176" s="42" t="s">
        <v>9291</v>
      </c>
      <c r="D1176" s="41">
        <v>8436535570138</v>
      </c>
      <c r="E1176" s="43" t="s">
        <v>2657</v>
      </c>
      <c r="F1176" s="43" t="s">
        <v>1937</v>
      </c>
      <c r="G1176" s="43" t="s">
        <v>2655</v>
      </c>
      <c r="H1176" s="85" t="s">
        <v>2658</v>
      </c>
      <c r="I1176" s="23" t="s">
        <v>24</v>
      </c>
      <c r="J1176" s="44">
        <v>135</v>
      </c>
      <c r="K1176" s="45">
        <v>0.25</v>
      </c>
      <c r="L1176" s="46">
        <f t="shared" si="190"/>
        <v>33.75</v>
      </c>
      <c r="M1176" s="47">
        <f t="shared" si="191"/>
        <v>101.25</v>
      </c>
      <c r="N1176" s="48">
        <v>0.16</v>
      </c>
      <c r="O1176" s="49">
        <f t="shared" si="192"/>
        <v>16.2</v>
      </c>
      <c r="P1176" s="50">
        <f t="shared" si="193"/>
        <v>117.45</v>
      </c>
      <c r="Q1176" s="23"/>
      <c r="R1176" s="60"/>
      <c r="S1176" s="61"/>
      <c r="T1176" s="62">
        <f t="shared" si="194"/>
        <v>0</v>
      </c>
      <c r="U1176" s="46">
        <f t="shared" si="195"/>
        <v>0</v>
      </c>
      <c r="V1176" s="63">
        <f t="shared" si="196"/>
        <v>0</v>
      </c>
      <c r="W1176" s="49">
        <f t="shared" si="197"/>
        <v>0</v>
      </c>
      <c r="X1176" s="50">
        <f t="shared" si="198"/>
        <v>0</v>
      </c>
      <c r="Y1176"/>
      <c r="Z1176"/>
      <c r="AA1176"/>
    </row>
    <row r="1177" spans="1:27" s="51" customFormat="1" ht="18.600000000000001" hidden="1" customHeight="1" x14ac:dyDescent="0.25">
      <c r="A1177" s="80" t="s">
        <v>2653</v>
      </c>
      <c r="B1177" s="20" t="s">
        <v>9290</v>
      </c>
      <c r="C1177" s="21" t="s">
        <v>9291</v>
      </c>
      <c r="D1177" s="20">
        <v>8436535570145</v>
      </c>
      <c r="E1177" s="22" t="s">
        <v>2659</v>
      </c>
      <c r="F1177" s="22" t="s">
        <v>1937</v>
      </c>
      <c r="G1177" s="22" t="s">
        <v>2655</v>
      </c>
      <c r="H1177" s="83" t="s">
        <v>2660</v>
      </c>
      <c r="I1177" s="23" t="s">
        <v>24</v>
      </c>
      <c r="J1177" s="24">
        <v>135</v>
      </c>
      <c r="K1177" s="25">
        <v>0.25</v>
      </c>
      <c r="L1177" s="26">
        <f t="shared" si="190"/>
        <v>33.75</v>
      </c>
      <c r="M1177" s="27">
        <f t="shared" si="191"/>
        <v>101.25</v>
      </c>
      <c r="N1177" s="28">
        <v>0.16</v>
      </c>
      <c r="O1177" s="29">
        <f t="shared" si="192"/>
        <v>16.2</v>
      </c>
      <c r="P1177" s="30">
        <f t="shared" si="193"/>
        <v>117.45</v>
      </c>
      <c r="Q1177" s="23"/>
      <c r="R1177" s="52"/>
      <c r="S1177" s="53"/>
      <c r="T1177" s="54">
        <f t="shared" si="194"/>
        <v>0</v>
      </c>
      <c r="U1177" s="26">
        <f t="shared" si="195"/>
        <v>0</v>
      </c>
      <c r="V1177" s="55">
        <f t="shared" si="196"/>
        <v>0</v>
      </c>
      <c r="W1177" s="29">
        <f t="shared" si="197"/>
        <v>0</v>
      </c>
      <c r="X1177" s="30">
        <f t="shared" si="198"/>
        <v>0</v>
      </c>
      <c r="Y1177"/>
      <c r="Z1177"/>
      <c r="AA1177"/>
    </row>
    <row r="1178" spans="1:27" s="51" customFormat="1" ht="18.600000000000001" hidden="1" customHeight="1" x14ac:dyDescent="0.25">
      <c r="A1178" s="81" t="s">
        <v>2653</v>
      </c>
      <c r="B1178" s="31" t="s">
        <v>9290</v>
      </c>
      <c r="C1178" s="32" t="s">
        <v>9291</v>
      </c>
      <c r="D1178" s="31">
        <v>8436535570152</v>
      </c>
      <c r="E1178" s="33" t="s">
        <v>2661</v>
      </c>
      <c r="F1178" s="33" t="s">
        <v>1937</v>
      </c>
      <c r="G1178" s="33" t="s">
        <v>2655</v>
      </c>
      <c r="H1178" s="84" t="s">
        <v>2662</v>
      </c>
      <c r="I1178" s="23" t="s">
        <v>24</v>
      </c>
      <c r="J1178" s="34">
        <v>135</v>
      </c>
      <c r="K1178" s="35">
        <v>0.25</v>
      </c>
      <c r="L1178" s="36">
        <f t="shared" si="190"/>
        <v>33.75</v>
      </c>
      <c r="M1178" s="37">
        <f t="shared" si="191"/>
        <v>101.25</v>
      </c>
      <c r="N1178" s="38">
        <v>0.16</v>
      </c>
      <c r="O1178" s="39">
        <f t="shared" si="192"/>
        <v>16.2</v>
      </c>
      <c r="P1178" s="40">
        <f t="shared" si="193"/>
        <v>117.45</v>
      </c>
      <c r="Q1178" s="23"/>
      <c r="R1178" s="56"/>
      <c r="S1178" s="57"/>
      <c r="T1178" s="58">
        <f t="shared" si="194"/>
        <v>0</v>
      </c>
      <c r="U1178" s="36">
        <f t="shared" si="195"/>
        <v>0</v>
      </c>
      <c r="V1178" s="59">
        <f t="shared" si="196"/>
        <v>0</v>
      </c>
      <c r="W1178" s="39">
        <f t="shared" si="197"/>
        <v>0</v>
      </c>
      <c r="X1178" s="40">
        <f t="shared" si="198"/>
        <v>0</v>
      </c>
      <c r="Y1178"/>
      <c r="Z1178"/>
      <c r="AA1178"/>
    </row>
    <row r="1179" spans="1:27" s="51" customFormat="1" ht="18.600000000000001" hidden="1" customHeight="1" x14ac:dyDescent="0.25">
      <c r="A1179" s="82" t="s">
        <v>2653</v>
      </c>
      <c r="B1179" s="41" t="s">
        <v>9290</v>
      </c>
      <c r="C1179" s="42" t="s">
        <v>9291</v>
      </c>
      <c r="D1179" s="41">
        <v>8436535570169</v>
      </c>
      <c r="E1179" s="43" t="s">
        <v>2663</v>
      </c>
      <c r="F1179" s="43" t="s">
        <v>1937</v>
      </c>
      <c r="G1179" s="43" t="s">
        <v>2655</v>
      </c>
      <c r="H1179" s="85" t="s">
        <v>2664</v>
      </c>
      <c r="I1179" s="23" t="s">
        <v>24</v>
      </c>
      <c r="J1179" s="44">
        <v>135</v>
      </c>
      <c r="K1179" s="45">
        <v>0.25</v>
      </c>
      <c r="L1179" s="46">
        <f t="shared" si="190"/>
        <v>33.75</v>
      </c>
      <c r="M1179" s="47">
        <f t="shared" si="191"/>
        <v>101.25</v>
      </c>
      <c r="N1179" s="48">
        <v>0.16</v>
      </c>
      <c r="O1179" s="49">
        <f t="shared" si="192"/>
        <v>16.2</v>
      </c>
      <c r="P1179" s="50">
        <f t="shared" si="193"/>
        <v>117.45</v>
      </c>
      <c r="Q1179" s="23"/>
      <c r="R1179" s="60"/>
      <c r="S1179" s="61"/>
      <c r="T1179" s="62">
        <f t="shared" si="194"/>
        <v>0</v>
      </c>
      <c r="U1179" s="46">
        <f t="shared" si="195"/>
        <v>0</v>
      </c>
      <c r="V1179" s="63">
        <f t="shared" si="196"/>
        <v>0</v>
      </c>
      <c r="W1179" s="49">
        <f t="shared" si="197"/>
        <v>0</v>
      </c>
      <c r="X1179" s="50">
        <f t="shared" si="198"/>
        <v>0</v>
      </c>
      <c r="Y1179"/>
      <c r="Z1179"/>
      <c r="AA1179"/>
    </row>
    <row r="1180" spans="1:27" s="51" customFormat="1" ht="18.600000000000001" hidden="1" customHeight="1" x14ac:dyDescent="0.25">
      <c r="A1180" s="80" t="s">
        <v>2653</v>
      </c>
      <c r="B1180" s="20" t="s">
        <v>9290</v>
      </c>
      <c r="C1180" s="21" t="s">
        <v>9291</v>
      </c>
      <c r="D1180" s="20">
        <v>8436535570176</v>
      </c>
      <c r="E1180" s="22" t="s">
        <v>2665</v>
      </c>
      <c r="F1180" s="22" t="s">
        <v>1937</v>
      </c>
      <c r="G1180" s="22" t="s">
        <v>2655</v>
      </c>
      <c r="H1180" s="83" t="s">
        <v>2666</v>
      </c>
      <c r="I1180" s="23" t="s">
        <v>24</v>
      </c>
      <c r="J1180" s="24">
        <v>135</v>
      </c>
      <c r="K1180" s="25">
        <v>0.25</v>
      </c>
      <c r="L1180" s="26">
        <f t="shared" si="190"/>
        <v>33.75</v>
      </c>
      <c r="M1180" s="27">
        <f t="shared" si="191"/>
        <v>101.25</v>
      </c>
      <c r="N1180" s="28">
        <v>0.16</v>
      </c>
      <c r="O1180" s="29">
        <f t="shared" si="192"/>
        <v>16.2</v>
      </c>
      <c r="P1180" s="30">
        <f t="shared" si="193"/>
        <v>117.45</v>
      </c>
      <c r="Q1180" s="23"/>
      <c r="R1180" s="52"/>
      <c r="S1180" s="53"/>
      <c r="T1180" s="54">
        <f t="shared" si="194"/>
        <v>0</v>
      </c>
      <c r="U1180" s="26">
        <f t="shared" si="195"/>
        <v>0</v>
      </c>
      <c r="V1180" s="55">
        <f t="shared" si="196"/>
        <v>0</v>
      </c>
      <c r="W1180" s="29">
        <f t="shared" si="197"/>
        <v>0</v>
      </c>
      <c r="X1180" s="30">
        <f t="shared" si="198"/>
        <v>0</v>
      </c>
      <c r="Y1180"/>
      <c r="Z1180"/>
      <c r="AA1180"/>
    </row>
    <row r="1181" spans="1:27" s="51" customFormat="1" ht="18.600000000000001" hidden="1" customHeight="1" x14ac:dyDescent="0.25">
      <c r="A1181" s="81" t="s">
        <v>2653</v>
      </c>
      <c r="B1181" s="31" t="s">
        <v>9290</v>
      </c>
      <c r="C1181" s="32" t="s">
        <v>9291</v>
      </c>
      <c r="D1181" s="31">
        <v>8436535570220</v>
      </c>
      <c r="E1181" s="33" t="s">
        <v>2667</v>
      </c>
      <c r="F1181" s="33" t="s">
        <v>1937</v>
      </c>
      <c r="G1181" s="33" t="s">
        <v>2655</v>
      </c>
      <c r="H1181" s="84" t="s">
        <v>2668</v>
      </c>
      <c r="I1181" s="23" t="s">
        <v>24</v>
      </c>
      <c r="J1181" s="34">
        <v>135</v>
      </c>
      <c r="K1181" s="35">
        <v>0.25</v>
      </c>
      <c r="L1181" s="36">
        <f t="shared" si="190"/>
        <v>33.75</v>
      </c>
      <c r="M1181" s="37">
        <f t="shared" si="191"/>
        <v>101.25</v>
      </c>
      <c r="N1181" s="38">
        <v>0.16</v>
      </c>
      <c r="O1181" s="39">
        <f t="shared" si="192"/>
        <v>16.2</v>
      </c>
      <c r="P1181" s="40">
        <f t="shared" si="193"/>
        <v>117.45</v>
      </c>
      <c r="Q1181" s="23"/>
      <c r="R1181" s="56"/>
      <c r="S1181" s="57"/>
      <c r="T1181" s="58">
        <f t="shared" si="194"/>
        <v>0</v>
      </c>
      <c r="U1181" s="36">
        <f t="shared" si="195"/>
        <v>0</v>
      </c>
      <c r="V1181" s="59">
        <f t="shared" si="196"/>
        <v>0</v>
      </c>
      <c r="W1181" s="39">
        <f t="shared" si="197"/>
        <v>0</v>
      </c>
      <c r="X1181" s="40">
        <f t="shared" si="198"/>
        <v>0</v>
      </c>
      <c r="Y1181"/>
      <c r="Z1181"/>
      <c r="AA1181"/>
    </row>
    <row r="1182" spans="1:27" s="51" customFormat="1" ht="18.600000000000001" hidden="1" customHeight="1" x14ac:dyDescent="0.25">
      <c r="A1182" s="82" t="s">
        <v>2653</v>
      </c>
      <c r="B1182" s="41" t="s">
        <v>9290</v>
      </c>
      <c r="C1182" s="42" t="s">
        <v>9291</v>
      </c>
      <c r="D1182" s="41">
        <v>8436535570237</v>
      </c>
      <c r="E1182" s="43" t="s">
        <v>2669</v>
      </c>
      <c r="F1182" s="43" t="s">
        <v>1937</v>
      </c>
      <c r="G1182" s="43" t="s">
        <v>2655</v>
      </c>
      <c r="H1182" s="85" t="s">
        <v>2670</v>
      </c>
      <c r="I1182" s="23" t="s">
        <v>24</v>
      </c>
      <c r="J1182" s="44">
        <v>135</v>
      </c>
      <c r="K1182" s="45">
        <v>0.25</v>
      </c>
      <c r="L1182" s="46">
        <f t="shared" si="190"/>
        <v>33.75</v>
      </c>
      <c r="M1182" s="47">
        <f t="shared" si="191"/>
        <v>101.25</v>
      </c>
      <c r="N1182" s="48">
        <v>0.16</v>
      </c>
      <c r="O1182" s="49">
        <f t="shared" si="192"/>
        <v>16.2</v>
      </c>
      <c r="P1182" s="50">
        <f t="shared" si="193"/>
        <v>117.45</v>
      </c>
      <c r="Q1182" s="23"/>
      <c r="R1182" s="60"/>
      <c r="S1182" s="61"/>
      <c r="T1182" s="62">
        <f t="shared" si="194"/>
        <v>0</v>
      </c>
      <c r="U1182" s="46">
        <f t="shared" si="195"/>
        <v>0</v>
      </c>
      <c r="V1182" s="63">
        <f t="shared" si="196"/>
        <v>0</v>
      </c>
      <c r="W1182" s="49">
        <f t="shared" si="197"/>
        <v>0</v>
      </c>
      <c r="X1182" s="50">
        <f t="shared" si="198"/>
        <v>0</v>
      </c>
      <c r="Y1182"/>
      <c r="Z1182"/>
      <c r="AA1182"/>
    </row>
    <row r="1183" spans="1:27" s="51" customFormat="1" ht="18.600000000000001" hidden="1" customHeight="1" x14ac:dyDescent="0.25">
      <c r="A1183" s="80" t="s">
        <v>2653</v>
      </c>
      <c r="B1183" s="20" t="s">
        <v>9290</v>
      </c>
      <c r="C1183" s="21" t="s">
        <v>9291</v>
      </c>
      <c r="D1183" s="20">
        <v>8436535570244</v>
      </c>
      <c r="E1183" s="22" t="s">
        <v>2671</v>
      </c>
      <c r="F1183" s="22" t="s">
        <v>1937</v>
      </c>
      <c r="G1183" s="22" t="s">
        <v>2655</v>
      </c>
      <c r="H1183" s="83" t="s">
        <v>2672</v>
      </c>
      <c r="I1183" s="23" t="s">
        <v>24</v>
      </c>
      <c r="J1183" s="24">
        <v>135</v>
      </c>
      <c r="K1183" s="25">
        <v>0.25</v>
      </c>
      <c r="L1183" s="26">
        <f t="shared" si="190"/>
        <v>33.75</v>
      </c>
      <c r="M1183" s="27">
        <f t="shared" si="191"/>
        <v>101.25</v>
      </c>
      <c r="N1183" s="28">
        <v>0.16</v>
      </c>
      <c r="O1183" s="29">
        <f t="shared" si="192"/>
        <v>16.2</v>
      </c>
      <c r="P1183" s="30">
        <f t="shared" si="193"/>
        <v>117.45</v>
      </c>
      <c r="Q1183" s="23"/>
      <c r="R1183" s="52"/>
      <c r="S1183" s="53"/>
      <c r="T1183" s="54">
        <f t="shared" si="194"/>
        <v>0</v>
      </c>
      <c r="U1183" s="26">
        <f t="shared" si="195"/>
        <v>0</v>
      </c>
      <c r="V1183" s="55">
        <f t="shared" si="196"/>
        <v>0</v>
      </c>
      <c r="W1183" s="29">
        <f t="shared" si="197"/>
        <v>0</v>
      </c>
      <c r="X1183" s="30">
        <f t="shared" si="198"/>
        <v>0</v>
      </c>
      <c r="Y1183"/>
      <c r="Z1183"/>
      <c r="AA1183"/>
    </row>
    <row r="1184" spans="1:27" s="51" customFormat="1" ht="18.600000000000001" hidden="1" customHeight="1" x14ac:dyDescent="0.25">
      <c r="A1184" s="81" t="s">
        <v>2653</v>
      </c>
      <c r="B1184" s="31" t="s">
        <v>9290</v>
      </c>
      <c r="C1184" s="32" t="s">
        <v>9291</v>
      </c>
      <c r="D1184" s="31">
        <v>8436535570251</v>
      </c>
      <c r="E1184" s="33" t="s">
        <v>2673</v>
      </c>
      <c r="F1184" s="33" t="s">
        <v>1937</v>
      </c>
      <c r="G1184" s="33" t="s">
        <v>2655</v>
      </c>
      <c r="H1184" s="84" t="s">
        <v>2674</v>
      </c>
      <c r="I1184" s="23" t="s">
        <v>24</v>
      </c>
      <c r="J1184" s="34">
        <v>135</v>
      </c>
      <c r="K1184" s="35">
        <v>0.25</v>
      </c>
      <c r="L1184" s="36">
        <f t="shared" si="190"/>
        <v>33.75</v>
      </c>
      <c r="M1184" s="37">
        <f t="shared" si="191"/>
        <v>101.25</v>
      </c>
      <c r="N1184" s="38">
        <v>0.16</v>
      </c>
      <c r="O1184" s="39">
        <f t="shared" si="192"/>
        <v>16.2</v>
      </c>
      <c r="P1184" s="40">
        <f t="shared" si="193"/>
        <v>117.45</v>
      </c>
      <c r="Q1184" s="23"/>
      <c r="R1184" s="56"/>
      <c r="S1184" s="57"/>
      <c r="T1184" s="58">
        <f t="shared" si="194"/>
        <v>0</v>
      </c>
      <c r="U1184" s="36">
        <f t="shared" si="195"/>
        <v>0</v>
      </c>
      <c r="V1184" s="59">
        <f t="shared" si="196"/>
        <v>0</v>
      </c>
      <c r="W1184" s="39">
        <f t="shared" si="197"/>
        <v>0</v>
      </c>
      <c r="X1184" s="40">
        <f t="shared" si="198"/>
        <v>0</v>
      </c>
      <c r="Y1184"/>
      <c r="Z1184"/>
      <c r="AA1184"/>
    </row>
    <row r="1185" spans="1:27" s="51" customFormat="1" ht="18.600000000000001" hidden="1" customHeight="1" x14ac:dyDescent="0.25">
      <c r="A1185" s="82" t="s">
        <v>2653</v>
      </c>
      <c r="B1185" s="41" t="s">
        <v>9290</v>
      </c>
      <c r="C1185" s="42" t="s">
        <v>9291</v>
      </c>
      <c r="D1185" s="41">
        <v>8436535570268</v>
      </c>
      <c r="E1185" s="43" t="s">
        <v>2675</v>
      </c>
      <c r="F1185" s="43" t="s">
        <v>1937</v>
      </c>
      <c r="G1185" s="43" t="s">
        <v>2655</v>
      </c>
      <c r="H1185" s="85" t="s">
        <v>2676</v>
      </c>
      <c r="I1185" s="23" t="s">
        <v>24</v>
      </c>
      <c r="J1185" s="44">
        <v>135</v>
      </c>
      <c r="K1185" s="45">
        <v>0.25</v>
      </c>
      <c r="L1185" s="46">
        <f t="shared" si="190"/>
        <v>33.75</v>
      </c>
      <c r="M1185" s="47">
        <f t="shared" si="191"/>
        <v>101.25</v>
      </c>
      <c r="N1185" s="48">
        <v>0.16</v>
      </c>
      <c r="O1185" s="49">
        <f t="shared" si="192"/>
        <v>16.2</v>
      </c>
      <c r="P1185" s="50">
        <f t="shared" si="193"/>
        <v>117.45</v>
      </c>
      <c r="Q1185" s="23"/>
      <c r="R1185" s="60"/>
      <c r="S1185" s="61"/>
      <c r="T1185" s="62">
        <f t="shared" si="194"/>
        <v>0</v>
      </c>
      <c r="U1185" s="46">
        <f t="shared" si="195"/>
        <v>0</v>
      </c>
      <c r="V1185" s="63">
        <f t="shared" si="196"/>
        <v>0</v>
      </c>
      <c r="W1185" s="49">
        <f t="shared" si="197"/>
        <v>0</v>
      </c>
      <c r="X1185" s="50">
        <f t="shared" si="198"/>
        <v>0</v>
      </c>
      <c r="Y1185"/>
      <c r="Z1185"/>
      <c r="AA1185"/>
    </row>
    <row r="1186" spans="1:27" s="51" customFormat="1" ht="18.600000000000001" hidden="1" customHeight="1" x14ac:dyDescent="0.25">
      <c r="A1186" s="80" t="s">
        <v>2653</v>
      </c>
      <c r="B1186" s="20" t="s">
        <v>9290</v>
      </c>
      <c r="C1186" s="21" t="s">
        <v>9291</v>
      </c>
      <c r="D1186" s="20">
        <v>8436535570275</v>
      </c>
      <c r="E1186" s="22" t="s">
        <v>2677</v>
      </c>
      <c r="F1186" s="22" t="s">
        <v>1937</v>
      </c>
      <c r="G1186" s="22" t="s">
        <v>2655</v>
      </c>
      <c r="H1186" s="83" t="s">
        <v>2678</v>
      </c>
      <c r="I1186" s="23" t="s">
        <v>24</v>
      </c>
      <c r="J1186" s="24">
        <v>135</v>
      </c>
      <c r="K1186" s="25">
        <v>0.25</v>
      </c>
      <c r="L1186" s="26">
        <f t="shared" si="190"/>
        <v>33.75</v>
      </c>
      <c r="M1186" s="27">
        <f t="shared" si="191"/>
        <v>101.25</v>
      </c>
      <c r="N1186" s="28">
        <v>0.16</v>
      </c>
      <c r="O1186" s="29">
        <f t="shared" si="192"/>
        <v>16.2</v>
      </c>
      <c r="P1186" s="30">
        <f t="shared" si="193"/>
        <v>117.45</v>
      </c>
      <c r="Q1186" s="23"/>
      <c r="R1186" s="52"/>
      <c r="S1186" s="53"/>
      <c r="T1186" s="54">
        <f t="shared" si="194"/>
        <v>0</v>
      </c>
      <c r="U1186" s="26">
        <f t="shared" si="195"/>
        <v>0</v>
      </c>
      <c r="V1186" s="55">
        <f t="shared" si="196"/>
        <v>0</v>
      </c>
      <c r="W1186" s="29">
        <f t="shared" si="197"/>
        <v>0</v>
      </c>
      <c r="X1186" s="30">
        <f t="shared" si="198"/>
        <v>0</v>
      </c>
      <c r="Y1186"/>
      <c r="Z1186"/>
      <c r="AA1186"/>
    </row>
    <row r="1187" spans="1:27" s="51" customFormat="1" ht="18.600000000000001" hidden="1" customHeight="1" x14ac:dyDescent="0.25">
      <c r="A1187" s="81" t="s">
        <v>2653</v>
      </c>
      <c r="B1187" s="31" t="s">
        <v>9290</v>
      </c>
      <c r="C1187" s="32" t="s">
        <v>9291</v>
      </c>
      <c r="D1187" s="31">
        <v>8436535570459</v>
      </c>
      <c r="E1187" s="33" t="s">
        <v>2679</v>
      </c>
      <c r="F1187" s="33" t="s">
        <v>1937</v>
      </c>
      <c r="G1187" s="33" t="s">
        <v>2655</v>
      </c>
      <c r="H1187" s="84" t="s">
        <v>2680</v>
      </c>
      <c r="I1187" s="23" t="s">
        <v>24</v>
      </c>
      <c r="J1187" s="34">
        <v>135</v>
      </c>
      <c r="K1187" s="35">
        <v>0.25</v>
      </c>
      <c r="L1187" s="36">
        <f t="shared" si="190"/>
        <v>33.75</v>
      </c>
      <c r="M1187" s="37">
        <f t="shared" si="191"/>
        <v>101.25</v>
      </c>
      <c r="N1187" s="38">
        <v>0.16</v>
      </c>
      <c r="O1187" s="39">
        <f t="shared" si="192"/>
        <v>16.2</v>
      </c>
      <c r="P1187" s="40">
        <f t="shared" si="193"/>
        <v>117.45</v>
      </c>
      <c r="Q1187" s="23"/>
      <c r="R1187" s="56"/>
      <c r="S1187" s="57"/>
      <c r="T1187" s="58">
        <f t="shared" si="194"/>
        <v>0</v>
      </c>
      <c r="U1187" s="36">
        <f t="shared" si="195"/>
        <v>0</v>
      </c>
      <c r="V1187" s="59">
        <f t="shared" si="196"/>
        <v>0</v>
      </c>
      <c r="W1187" s="39">
        <f t="shared" si="197"/>
        <v>0</v>
      </c>
      <c r="X1187" s="40">
        <f t="shared" si="198"/>
        <v>0</v>
      </c>
      <c r="Y1187"/>
      <c r="Z1187"/>
      <c r="AA1187"/>
    </row>
    <row r="1188" spans="1:27" s="51" customFormat="1" ht="18.600000000000001" hidden="1" customHeight="1" x14ac:dyDescent="0.25">
      <c r="A1188" s="82" t="s">
        <v>2653</v>
      </c>
      <c r="B1188" s="41" t="s">
        <v>9290</v>
      </c>
      <c r="C1188" s="42" t="s">
        <v>9291</v>
      </c>
      <c r="D1188" s="41">
        <v>8436535570466</v>
      </c>
      <c r="E1188" s="43" t="s">
        <v>2681</v>
      </c>
      <c r="F1188" s="43" t="s">
        <v>1937</v>
      </c>
      <c r="G1188" s="43" t="s">
        <v>2655</v>
      </c>
      <c r="H1188" s="85" t="s">
        <v>2682</v>
      </c>
      <c r="I1188" s="23" t="s">
        <v>24</v>
      </c>
      <c r="J1188" s="44">
        <v>135</v>
      </c>
      <c r="K1188" s="45">
        <v>0.25</v>
      </c>
      <c r="L1188" s="46">
        <f t="shared" si="190"/>
        <v>33.75</v>
      </c>
      <c r="M1188" s="47">
        <f t="shared" si="191"/>
        <v>101.25</v>
      </c>
      <c r="N1188" s="48">
        <v>0.16</v>
      </c>
      <c r="O1188" s="49">
        <f t="shared" si="192"/>
        <v>16.2</v>
      </c>
      <c r="P1188" s="50">
        <f t="shared" si="193"/>
        <v>117.45</v>
      </c>
      <c r="Q1188" s="23"/>
      <c r="R1188" s="60"/>
      <c r="S1188" s="61"/>
      <c r="T1188" s="62">
        <f t="shared" si="194"/>
        <v>0</v>
      </c>
      <c r="U1188" s="46">
        <f t="shared" si="195"/>
        <v>0</v>
      </c>
      <c r="V1188" s="63">
        <f t="shared" si="196"/>
        <v>0</v>
      </c>
      <c r="W1188" s="49">
        <f t="shared" si="197"/>
        <v>0</v>
      </c>
      <c r="X1188" s="50">
        <f t="shared" si="198"/>
        <v>0</v>
      </c>
      <c r="Y1188"/>
      <c r="Z1188"/>
      <c r="AA1188"/>
    </row>
    <row r="1189" spans="1:27" s="51" customFormat="1" ht="18.600000000000001" hidden="1" customHeight="1" x14ac:dyDescent="0.25">
      <c r="A1189" s="80" t="s">
        <v>2653</v>
      </c>
      <c r="B1189" s="20" t="s">
        <v>9290</v>
      </c>
      <c r="C1189" s="21" t="s">
        <v>9291</v>
      </c>
      <c r="D1189" s="20">
        <v>8436535570657</v>
      </c>
      <c r="E1189" s="22" t="s">
        <v>2683</v>
      </c>
      <c r="F1189" s="22" t="s">
        <v>1937</v>
      </c>
      <c r="G1189" s="22" t="s">
        <v>2655</v>
      </c>
      <c r="H1189" s="83" t="s">
        <v>2684</v>
      </c>
      <c r="I1189" s="23" t="s">
        <v>24</v>
      </c>
      <c r="J1189" s="24">
        <v>135</v>
      </c>
      <c r="K1189" s="25">
        <v>0.25</v>
      </c>
      <c r="L1189" s="26">
        <f t="shared" si="190"/>
        <v>33.75</v>
      </c>
      <c r="M1189" s="27">
        <f t="shared" si="191"/>
        <v>101.25</v>
      </c>
      <c r="N1189" s="28">
        <v>0.16</v>
      </c>
      <c r="O1189" s="29">
        <f t="shared" si="192"/>
        <v>16.2</v>
      </c>
      <c r="P1189" s="30">
        <f t="shared" si="193"/>
        <v>117.45</v>
      </c>
      <c r="Q1189" s="23"/>
      <c r="R1189" s="52"/>
      <c r="S1189" s="53"/>
      <c r="T1189" s="54">
        <f t="shared" si="194"/>
        <v>0</v>
      </c>
      <c r="U1189" s="26">
        <f t="shared" si="195"/>
        <v>0</v>
      </c>
      <c r="V1189" s="55">
        <f t="shared" si="196"/>
        <v>0</v>
      </c>
      <c r="W1189" s="29">
        <f t="shared" si="197"/>
        <v>0</v>
      </c>
      <c r="X1189" s="30">
        <f t="shared" si="198"/>
        <v>0</v>
      </c>
      <c r="Y1189"/>
      <c r="Z1189"/>
      <c r="AA1189"/>
    </row>
    <row r="1190" spans="1:27" s="51" customFormat="1" ht="18.600000000000001" hidden="1" customHeight="1" x14ac:dyDescent="0.25">
      <c r="A1190" s="81" t="s">
        <v>2653</v>
      </c>
      <c r="B1190" s="31" t="s">
        <v>9290</v>
      </c>
      <c r="C1190" s="32" t="s">
        <v>9291</v>
      </c>
      <c r="D1190" s="31">
        <v>8436535570664</v>
      </c>
      <c r="E1190" s="33" t="s">
        <v>2685</v>
      </c>
      <c r="F1190" s="33" t="s">
        <v>1937</v>
      </c>
      <c r="G1190" s="33" t="s">
        <v>2655</v>
      </c>
      <c r="H1190" s="84" t="s">
        <v>2686</v>
      </c>
      <c r="I1190" s="23" t="s">
        <v>24</v>
      </c>
      <c r="J1190" s="34">
        <v>135</v>
      </c>
      <c r="K1190" s="35">
        <v>0.25</v>
      </c>
      <c r="L1190" s="36">
        <f t="shared" si="190"/>
        <v>33.75</v>
      </c>
      <c r="M1190" s="37">
        <f t="shared" si="191"/>
        <v>101.25</v>
      </c>
      <c r="N1190" s="38">
        <v>0.16</v>
      </c>
      <c r="O1190" s="39">
        <f t="shared" si="192"/>
        <v>16.2</v>
      </c>
      <c r="P1190" s="40">
        <f t="shared" si="193"/>
        <v>117.45</v>
      </c>
      <c r="Q1190" s="23"/>
      <c r="R1190" s="56"/>
      <c r="S1190" s="57"/>
      <c r="T1190" s="58">
        <f t="shared" si="194"/>
        <v>0</v>
      </c>
      <c r="U1190" s="36">
        <f t="shared" si="195"/>
        <v>0</v>
      </c>
      <c r="V1190" s="59">
        <f t="shared" si="196"/>
        <v>0</v>
      </c>
      <c r="W1190" s="39">
        <f t="shared" si="197"/>
        <v>0</v>
      </c>
      <c r="X1190" s="40">
        <f t="shared" si="198"/>
        <v>0</v>
      </c>
      <c r="Y1190"/>
      <c r="Z1190"/>
      <c r="AA1190"/>
    </row>
    <row r="1191" spans="1:27" s="51" customFormat="1" ht="18.600000000000001" hidden="1" customHeight="1" x14ac:dyDescent="0.25">
      <c r="A1191" s="82" t="s">
        <v>2653</v>
      </c>
      <c r="B1191" s="41" t="s">
        <v>9290</v>
      </c>
      <c r="C1191" s="42" t="s">
        <v>9291</v>
      </c>
      <c r="D1191" s="41">
        <v>8436535570671</v>
      </c>
      <c r="E1191" s="43" t="s">
        <v>2687</v>
      </c>
      <c r="F1191" s="43" t="s">
        <v>1937</v>
      </c>
      <c r="G1191" s="43" t="s">
        <v>2655</v>
      </c>
      <c r="H1191" s="85" t="s">
        <v>2688</v>
      </c>
      <c r="I1191" s="23" t="s">
        <v>24</v>
      </c>
      <c r="J1191" s="44">
        <v>135</v>
      </c>
      <c r="K1191" s="45">
        <v>0.25</v>
      </c>
      <c r="L1191" s="46">
        <f t="shared" si="190"/>
        <v>33.75</v>
      </c>
      <c r="M1191" s="47">
        <f t="shared" si="191"/>
        <v>101.25</v>
      </c>
      <c r="N1191" s="48">
        <v>0.16</v>
      </c>
      <c r="O1191" s="49">
        <f t="shared" si="192"/>
        <v>16.2</v>
      </c>
      <c r="P1191" s="50">
        <f t="shared" si="193"/>
        <v>117.45</v>
      </c>
      <c r="Q1191" s="23"/>
      <c r="R1191" s="60"/>
      <c r="S1191" s="61"/>
      <c r="T1191" s="62">
        <f t="shared" si="194"/>
        <v>0</v>
      </c>
      <c r="U1191" s="46">
        <f t="shared" si="195"/>
        <v>0</v>
      </c>
      <c r="V1191" s="63">
        <f t="shared" si="196"/>
        <v>0</v>
      </c>
      <c r="W1191" s="49">
        <f t="shared" si="197"/>
        <v>0</v>
      </c>
      <c r="X1191" s="50">
        <f t="shared" si="198"/>
        <v>0</v>
      </c>
      <c r="Y1191"/>
      <c r="Z1191"/>
      <c r="AA1191"/>
    </row>
    <row r="1192" spans="1:27" s="51" customFormat="1" ht="18.600000000000001" hidden="1" customHeight="1" x14ac:dyDescent="0.25">
      <c r="A1192" s="80" t="s">
        <v>2653</v>
      </c>
      <c r="B1192" s="20" t="s">
        <v>9290</v>
      </c>
      <c r="C1192" s="21" t="s">
        <v>9291</v>
      </c>
      <c r="D1192" s="20">
        <v>8436535570695</v>
      </c>
      <c r="E1192" s="22" t="s">
        <v>2689</v>
      </c>
      <c r="F1192" s="22" t="s">
        <v>1937</v>
      </c>
      <c r="G1192" s="22" t="s">
        <v>2655</v>
      </c>
      <c r="H1192" s="83" t="s">
        <v>2690</v>
      </c>
      <c r="I1192" s="23" t="s">
        <v>24</v>
      </c>
      <c r="J1192" s="24">
        <v>135</v>
      </c>
      <c r="K1192" s="25">
        <v>0.25</v>
      </c>
      <c r="L1192" s="26">
        <f t="shared" si="190"/>
        <v>33.75</v>
      </c>
      <c r="M1192" s="27">
        <f t="shared" si="191"/>
        <v>101.25</v>
      </c>
      <c r="N1192" s="28">
        <v>0.16</v>
      </c>
      <c r="O1192" s="29">
        <f t="shared" si="192"/>
        <v>16.2</v>
      </c>
      <c r="P1192" s="30">
        <f t="shared" si="193"/>
        <v>117.45</v>
      </c>
      <c r="Q1192" s="23"/>
      <c r="R1192" s="52"/>
      <c r="S1192" s="53"/>
      <c r="T1192" s="54">
        <f t="shared" si="194"/>
        <v>0</v>
      </c>
      <c r="U1192" s="26">
        <f t="shared" si="195"/>
        <v>0</v>
      </c>
      <c r="V1192" s="55">
        <f t="shared" si="196"/>
        <v>0</v>
      </c>
      <c r="W1192" s="29">
        <f t="shared" si="197"/>
        <v>0</v>
      </c>
      <c r="X1192" s="30">
        <f t="shared" si="198"/>
        <v>0</v>
      </c>
      <c r="Y1192"/>
      <c r="Z1192"/>
      <c r="AA1192"/>
    </row>
    <row r="1193" spans="1:27" s="51" customFormat="1" ht="18.600000000000001" hidden="1" customHeight="1" x14ac:dyDescent="0.25">
      <c r="A1193" s="81" t="s">
        <v>2653</v>
      </c>
      <c r="B1193" s="31" t="s">
        <v>9290</v>
      </c>
      <c r="C1193" s="32" t="s">
        <v>9291</v>
      </c>
      <c r="D1193" s="31">
        <v>8436535570701</v>
      </c>
      <c r="E1193" s="33" t="s">
        <v>2691</v>
      </c>
      <c r="F1193" s="33" t="s">
        <v>1937</v>
      </c>
      <c r="G1193" s="33" t="s">
        <v>2655</v>
      </c>
      <c r="H1193" s="84" t="s">
        <v>2692</v>
      </c>
      <c r="I1193" s="23" t="s">
        <v>24</v>
      </c>
      <c r="J1193" s="34">
        <v>135</v>
      </c>
      <c r="K1193" s="35">
        <v>0.25</v>
      </c>
      <c r="L1193" s="36">
        <f t="shared" si="190"/>
        <v>33.75</v>
      </c>
      <c r="M1193" s="37">
        <f t="shared" si="191"/>
        <v>101.25</v>
      </c>
      <c r="N1193" s="38">
        <v>0.16</v>
      </c>
      <c r="O1193" s="39">
        <f t="shared" si="192"/>
        <v>16.2</v>
      </c>
      <c r="P1193" s="40">
        <f t="shared" si="193"/>
        <v>117.45</v>
      </c>
      <c r="Q1193" s="23"/>
      <c r="R1193" s="56"/>
      <c r="S1193" s="57"/>
      <c r="T1193" s="58">
        <f t="shared" si="194"/>
        <v>0</v>
      </c>
      <c r="U1193" s="36">
        <f t="shared" si="195"/>
        <v>0</v>
      </c>
      <c r="V1193" s="59">
        <f t="shared" si="196"/>
        <v>0</v>
      </c>
      <c r="W1193" s="39">
        <f t="shared" si="197"/>
        <v>0</v>
      </c>
      <c r="X1193" s="40">
        <f t="shared" si="198"/>
        <v>0</v>
      </c>
      <c r="Y1193"/>
      <c r="Z1193"/>
      <c r="AA1193"/>
    </row>
    <row r="1194" spans="1:27" s="51" customFormat="1" ht="18.600000000000001" hidden="1" customHeight="1" x14ac:dyDescent="0.25">
      <c r="A1194" s="82" t="s">
        <v>2653</v>
      </c>
      <c r="B1194" s="41" t="s">
        <v>9290</v>
      </c>
      <c r="C1194" s="42" t="s">
        <v>9291</v>
      </c>
      <c r="D1194" s="41">
        <v>8436535570718</v>
      </c>
      <c r="E1194" s="43" t="s">
        <v>2693</v>
      </c>
      <c r="F1194" s="43" t="s">
        <v>1937</v>
      </c>
      <c r="G1194" s="43" t="s">
        <v>2655</v>
      </c>
      <c r="H1194" s="85" t="s">
        <v>2694</v>
      </c>
      <c r="I1194" s="23" t="s">
        <v>24</v>
      </c>
      <c r="J1194" s="44">
        <v>135</v>
      </c>
      <c r="K1194" s="45">
        <v>0.25</v>
      </c>
      <c r="L1194" s="46">
        <f t="shared" si="190"/>
        <v>33.75</v>
      </c>
      <c r="M1194" s="47">
        <f t="shared" si="191"/>
        <v>101.25</v>
      </c>
      <c r="N1194" s="48">
        <v>0.16</v>
      </c>
      <c r="O1194" s="49">
        <f t="shared" si="192"/>
        <v>16.2</v>
      </c>
      <c r="P1194" s="50">
        <f t="shared" si="193"/>
        <v>117.45</v>
      </c>
      <c r="Q1194" s="23"/>
      <c r="R1194" s="60"/>
      <c r="S1194" s="61"/>
      <c r="T1194" s="62">
        <f t="shared" si="194"/>
        <v>0</v>
      </c>
      <c r="U1194" s="46">
        <f t="shared" si="195"/>
        <v>0</v>
      </c>
      <c r="V1194" s="63">
        <f t="shared" si="196"/>
        <v>0</v>
      </c>
      <c r="W1194" s="49">
        <f t="shared" si="197"/>
        <v>0</v>
      </c>
      <c r="X1194" s="50">
        <f t="shared" si="198"/>
        <v>0</v>
      </c>
      <c r="Y1194"/>
      <c r="Z1194"/>
      <c r="AA1194"/>
    </row>
    <row r="1195" spans="1:27" s="51" customFormat="1" ht="18.600000000000001" hidden="1" customHeight="1" x14ac:dyDescent="0.25">
      <c r="A1195" s="80" t="s">
        <v>2653</v>
      </c>
      <c r="B1195" s="20" t="s">
        <v>9290</v>
      </c>
      <c r="C1195" s="21" t="s">
        <v>9291</v>
      </c>
      <c r="D1195" s="20">
        <v>8436535570749</v>
      </c>
      <c r="E1195" s="22" t="s">
        <v>2695</v>
      </c>
      <c r="F1195" s="22" t="s">
        <v>1937</v>
      </c>
      <c r="G1195" s="22" t="s">
        <v>2655</v>
      </c>
      <c r="H1195" s="83" t="s">
        <v>2696</v>
      </c>
      <c r="I1195" s="23" t="s">
        <v>24</v>
      </c>
      <c r="J1195" s="24">
        <v>135</v>
      </c>
      <c r="K1195" s="25">
        <v>0.25</v>
      </c>
      <c r="L1195" s="26">
        <f t="shared" si="190"/>
        <v>33.75</v>
      </c>
      <c r="M1195" s="27">
        <f t="shared" si="191"/>
        <v>101.25</v>
      </c>
      <c r="N1195" s="28">
        <v>0.16</v>
      </c>
      <c r="O1195" s="29">
        <f t="shared" si="192"/>
        <v>16.2</v>
      </c>
      <c r="P1195" s="30">
        <f t="shared" si="193"/>
        <v>117.45</v>
      </c>
      <c r="Q1195" s="23"/>
      <c r="R1195" s="52"/>
      <c r="S1195" s="53"/>
      <c r="T1195" s="54">
        <f t="shared" si="194"/>
        <v>0</v>
      </c>
      <c r="U1195" s="26">
        <f t="shared" si="195"/>
        <v>0</v>
      </c>
      <c r="V1195" s="55">
        <f t="shared" si="196"/>
        <v>0</v>
      </c>
      <c r="W1195" s="29">
        <f t="shared" si="197"/>
        <v>0</v>
      </c>
      <c r="X1195" s="30">
        <f t="shared" si="198"/>
        <v>0</v>
      </c>
      <c r="Y1195"/>
      <c r="Z1195"/>
      <c r="AA1195"/>
    </row>
    <row r="1196" spans="1:27" s="51" customFormat="1" ht="18.600000000000001" hidden="1" customHeight="1" x14ac:dyDescent="0.25">
      <c r="A1196" s="81" t="s">
        <v>2653</v>
      </c>
      <c r="B1196" s="31" t="s">
        <v>9290</v>
      </c>
      <c r="C1196" s="32" t="s">
        <v>9291</v>
      </c>
      <c r="D1196" s="31">
        <v>8436535570756</v>
      </c>
      <c r="E1196" s="33" t="s">
        <v>2697</v>
      </c>
      <c r="F1196" s="33" t="s">
        <v>1937</v>
      </c>
      <c r="G1196" s="33" t="s">
        <v>2655</v>
      </c>
      <c r="H1196" s="84" t="s">
        <v>2698</v>
      </c>
      <c r="I1196" s="23" t="s">
        <v>24</v>
      </c>
      <c r="J1196" s="34">
        <v>135</v>
      </c>
      <c r="K1196" s="35">
        <v>0.25</v>
      </c>
      <c r="L1196" s="36">
        <f t="shared" si="190"/>
        <v>33.75</v>
      </c>
      <c r="M1196" s="37">
        <f t="shared" si="191"/>
        <v>101.25</v>
      </c>
      <c r="N1196" s="38">
        <v>0.16</v>
      </c>
      <c r="O1196" s="39">
        <f t="shared" si="192"/>
        <v>16.2</v>
      </c>
      <c r="P1196" s="40">
        <f t="shared" si="193"/>
        <v>117.45</v>
      </c>
      <c r="Q1196" s="23"/>
      <c r="R1196" s="56"/>
      <c r="S1196" s="57"/>
      <c r="T1196" s="58">
        <f t="shared" si="194"/>
        <v>0</v>
      </c>
      <c r="U1196" s="36">
        <f t="shared" si="195"/>
        <v>0</v>
      </c>
      <c r="V1196" s="59">
        <f t="shared" si="196"/>
        <v>0</v>
      </c>
      <c r="W1196" s="39">
        <f t="shared" si="197"/>
        <v>0</v>
      </c>
      <c r="X1196" s="40">
        <f t="shared" si="198"/>
        <v>0</v>
      </c>
      <c r="Y1196"/>
      <c r="Z1196"/>
      <c r="AA1196"/>
    </row>
    <row r="1197" spans="1:27" s="51" customFormat="1" ht="18.600000000000001" hidden="1" customHeight="1" x14ac:dyDescent="0.25">
      <c r="A1197" s="82" t="s">
        <v>2653</v>
      </c>
      <c r="B1197" s="41" t="s">
        <v>9290</v>
      </c>
      <c r="C1197" s="42" t="s">
        <v>9291</v>
      </c>
      <c r="D1197" s="41">
        <v>8436535570763</v>
      </c>
      <c r="E1197" s="43" t="s">
        <v>2699</v>
      </c>
      <c r="F1197" s="43" t="s">
        <v>1937</v>
      </c>
      <c r="G1197" s="43" t="s">
        <v>2655</v>
      </c>
      <c r="H1197" s="85" t="s">
        <v>2700</v>
      </c>
      <c r="I1197" s="23" t="s">
        <v>24</v>
      </c>
      <c r="J1197" s="44">
        <v>135</v>
      </c>
      <c r="K1197" s="45">
        <v>0.25</v>
      </c>
      <c r="L1197" s="46">
        <f t="shared" si="190"/>
        <v>33.75</v>
      </c>
      <c r="M1197" s="47">
        <f t="shared" si="191"/>
        <v>101.25</v>
      </c>
      <c r="N1197" s="48">
        <v>0.16</v>
      </c>
      <c r="O1197" s="49">
        <f t="shared" si="192"/>
        <v>16.2</v>
      </c>
      <c r="P1197" s="50">
        <f t="shared" si="193"/>
        <v>117.45</v>
      </c>
      <c r="Q1197" s="23"/>
      <c r="R1197" s="60"/>
      <c r="S1197" s="61"/>
      <c r="T1197" s="62">
        <f t="shared" si="194"/>
        <v>0</v>
      </c>
      <c r="U1197" s="46">
        <f t="shared" si="195"/>
        <v>0</v>
      </c>
      <c r="V1197" s="63">
        <f t="shared" si="196"/>
        <v>0</v>
      </c>
      <c r="W1197" s="49">
        <f t="shared" si="197"/>
        <v>0</v>
      </c>
      <c r="X1197" s="50">
        <f t="shared" si="198"/>
        <v>0</v>
      </c>
      <c r="Y1197"/>
      <c r="Z1197"/>
      <c r="AA1197"/>
    </row>
    <row r="1198" spans="1:27" s="51" customFormat="1" ht="18.600000000000001" hidden="1" customHeight="1" x14ac:dyDescent="0.25">
      <c r="A1198" s="80" t="s">
        <v>2653</v>
      </c>
      <c r="B1198" s="20" t="s">
        <v>9290</v>
      </c>
      <c r="C1198" s="21" t="s">
        <v>9291</v>
      </c>
      <c r="D1198" s="20">
        <v>8436535570787</v>
      </c>
      <c r="E1198" s="22" t="s">
        <v>2701</v>
      </c>
      <c r="F1198" s="22" t="s">
        <v>1937</v>
      </c>
      <c r="G1198" s="22" t="s">
        <v>2655</v>
      </c>
      <c r="H1198" s="83" t="s">
        <v>2702</v>
      </c>
      <c r="I1198" s="23" t="s">
        <v>24</v>
      </c>
      <c r="J1198" s="24">
        <v>135</v>
      </c>
      <c r="K1198" s="25">
        <v>0.25</v>
      </c>
      <c r="L1198" s="26">
        <f t="shared" si="190"/>
        <v>33.75</v>
      </c>
      <c r="M1198" s="27">
        <f t="shared" si="191"/>
        <v>101.25</v>
      </c>
      <c r="N1198" s="28">
        <v>0.16</v>
      </c>
      <c r="O1198" s="29">
        <f t="shared" si="192"/>
        <v>16.2</v>
      </c>
      <c r="P1198" s="30">
        <f t="shared" si="193"/>
        <v>117.45</v>
      </c>
      <c r="Q1198" s="23"/>
      <c r="R1198" s="52"/>
      <c r="S1198" s="53"/>
      <c r="T1198" s="54">
        <f t="shared" si="194"/>
        <v>0</v>
      </c>
      <c r="U1198" s="26">
        <f t="shared" si="195"/>
        <v>0</v>
      </c>
      <c r="V1198" s="55">
        <f t="shared" si="196"/>
        <v>0</v>
      </c>
      <c r="W1198" s="29">
        <f t="shared" si="197"/>
        <v>0</v>
      </c>
      <c r="X1198" s="30">
        <f t="shared" si="198"/>
        <v>0</v>
      </c>
      <c r="Y1198"/>
      <c r="Z1198"/>
      <c r="AA1198"/>
    </row>
    <row r="1199" spans="1:27" s="51" customFormat="1" ht="18.600000000000001" hidden="1" customHeight="1" x14ac:dyDescent="0.25">
      <c r="A1199" s="81" t="s">
        <v>2653</v>
      </c>
      <c r="B1199" s="31" t="s">
        <v>9290</v>
      </c>
      <c r="C1199" s="32" t="s">
        <v>9291</v>
      </c>
      <c r="D1199" s="31">
        <v>8436535570794</v>
      </c>
      <c r="E1199" s="33" t="s">
        <v>2703</v>
      </c>
      <c r="F1199" s="33" t="s">
        <v>1937</v>
      </c>
      <c r="G1199" s="33" t="s">
        <v>2655</v>
      </c>
      <c r="H1199" s="84" t="s">
        <v>2704</v>
      </c>
      <c r="I1199" s="23" t="s">
        <v>24</v>
      </c>
      <c r="J1199" s="34">
        <v>135</v>
      </c>
      <c r="K1199" s="35">
        <v>0.25</v>
      </c>
      <c r="L1199" s="36">
        <f t="shared" si="190"/>
        <v>33.75</v>
      </c>
      <c r="M1199" s="37">
        <f t="shared" si="191"/>
        <v>101.25</v>
      </c>
      <c r="N1199" s="38">
        <v>0.16</v>
      </c>
      <c r="O1199" s="39">
        <f t="shared" si="192"/>
        <v>16.2</v>
      </c>
      <c r="P1199" s="40">
        <f t="shared" si="193"/>
        <v>117.45</v>
      </c>
      <c r="Q1199" s="23"/>
      <c r="R1199" s="56"/>
      <c r="S1199" s="57"/>
      <c r="T1199" s="58">
        <f t="shared" si="194"/>
        <v>0</v>
      </c>
      <c r="U1199" s="36">
        <f t="shared" si="195"/>
        <v>0</v>
      </c>
      <c r="V1199" s="59">
        <f t="shared" si="196"/>
        <v>0</v>
      </c>
      <c r="W1199" s="39">
        <f t="shared" si="197"/>
        <v>0</v>
      </c>
      <c r="X1199" s="40">
        <f t="shared" si="198"/>
        <v>0</v>
      </c>
      <c r="Y1199"/>
      <c r="Z1199"/>
      <c r="AA1199"/>
    </row>
    <row r="1200" spans="1:27" s="51" customFormat="1" ht="18.600000000000001" hidden="1" customHeight="1" x14ac:dyDescent="0.25">
      <c r="A1200" s="82" t="s">
        <v>2653</v>
      </c>
      <c r="B1200" s="41" t="s">
        <v>9290</v>
      </c>
      <c r="C1200" s="42" t="s">
        <v>9291</v>
      </c>
      <c r="D1200" s="41">
        <v>8436535570800</v>
      </c>
      <c r="E1200" s="43" t="s">
        <v>2705</v>
      </c>
      <c r="F1200" s="43" t="s">
        <v>1937</v>
      </c>
      <c r="G1200" s="43" t="s">
        <v>2655</v>
      </c>
      <c r="H1200" s="85" t="s">
        <v>2706</v>
      </c>
      <c r="I1200" s="23" t="s">
        <v>24</v>
      </c>
      <c r="J1200" s="44">
        <v>135</v>
      </c>
      <c r="K1200" s="45">
        <v>0.25</v>
      </c>
      <c r="L1200" s="46">
        <f t="shared" si="190"/>
        <v>33.75</v>
      </c>
      <c r="M1200" s="47">
        <f t="shared" si="191"/>
        <v>101.25</v>
      </c>
      <c r="N1200" s="48">
        <v>0.16</v>
      </c>
      <c r="O1200" s="49">
        <f t="shared" si="192"/>
        <v>16.2</v>
      </c>
      <c r="P1200" s="50">
        <f t="shared" si="193"/>
        <v>117.45</v>
      </c>
      <c r="Q1200" s="23"/>
      <c r="R1200" s="60"/>
      <c r="S1200" s="61"/>
      <c r="T1200" s="62">
        <f t="shared" si="194"/>
        <v>0</v>
      </c>
      <c r="U1200" s="46">
        <f t="shared" si="195"/>
        <v>0</v>
      </c>
      <c r="V1200" s="63">
        <f t="shared" si="196"/>
        <v>0</v>
      </c>
      <c r="W1200" s="49">
        <f t="shared" si="197"/>
        <v>0</v>
      </c>
      <c r="X1200" s="50">
        <f t="shared" si="198"/>
        <v>0</v>
      </c>
      <c r="Y1200"/>
      <c r="Z1200"/>
      <c r="AA1200"/>
    </row>
    <row r="1201" spans="1:27" s="51" customFormat="1" ht="18.600000000000001" hidden="1" customHeight="1" x14ac:dyDescent="0.25">
      <c r="A1201" s="80" t="s">
        <v>2653</v>
      </c>
      <c r="B1201" s="20" t="s">
        <v>9290</v>
      </c>
      <c r="C1201" s="21" t="s">
        <v>9291</v>
      </c>
      <c r="D1201" s="20">
        <v>8436535570824</v>
      </c>
      <c r="E1201" s="22" t="s">
        <v>2707</v>
      </c>
      <c r="F1201" s="22" t="s">
        <v>1937</v>
      </c>
      <c r="G1201" s="22" t="s">
        <v>2655</v>
      </c>
      <c r="H1201" s="83" t="s">
        <v>2708</v>
      </c>
      <c r="I1201" s="23" t="s">
        <v>24</v>
      </c>
      <c r="J1201" s="24">
        <v>135</v>
      </c>
      <c r="K1201" s="25">
        <v>0.25</v>
      </c>
      <c r="L1201" s="26">
        <f t="shared" si="190"/>
        <v>33.75</v>
      </c>
      <c r="M1201" s="27">
        <f t="shared" si="191"/>
        <v>101.25</v>
      </c>
      <c r="N1201" s="28">
        <v>0.16</v>
      </c>
      <c r="O1201" s="29">
        <f t="shared" si="192"/>
        <v>16.2</v>
      </c>
      <c r="P1201" s="30">
        <f t="shared" si="193"/>
        <v>117.45</v>
      </c>
      <c r="Q1201" s="23"/>
      <c r="R1201" s="52"/>
      <c r="S1201" s="53"/>
      <c r="T1201" s="54">
        <f t="shared" si="194"/>
        <v>0</v>
      </c>
      <c r="U1201" s="26">
        <f t="shared" si="195"/>
        <v>0</v>
      </c>
      <c r="V1201" s="55">
        <f t="shared" si="196"/>
        <v>0</v>
      </c>
      <c r="W1201" s="29">
        <f t="shared" si="197"/>
        <v>0</v>
      </c>
      <c r="X1201" s="30">
        <f t="shared" si="198"/>
        <v>0</v>
      </c>
      <c r="Y1201"/>
      <c r="Z1201"/>
      <c r="AA1201"/>
    </row>
    <row r="1202" spans="1:27" s="51" customFormat="1" ht="18.600000000000001" hidden="1" customHeight="1" x14ac:dyDescent="0.25">
      <c r="A1202" s="81" t="s">
        <v>2653</v>
      </c>
      <c r="B1202" s="31" t="s">
        <v>9290</v>
      </c>
      <c r="C1202" s="32" t="s">
        <v>9291</v>
      </c>
      <c r="D1202" s="31">
        <v>8436535570831</v>
      </c>
      <c r="E1202" s="33" t="s">
        <v>2709</v>
      </c>
      <c r="F1202" s="33" t="s">
        <v>1937</v>
      </c>
      <c r="G1202" s="33" t="s">
        <v>2655</v>
      </c>
      <c r="H1202" s="84" t="s">
        <v>2710</v>
      </c>
      <c r="I1202" s="23" t="s">
        <v>24</v>
      </c>
      <c r="J1202" s="34">
        <v>135</v>
      </c>
      <c r="K1202" s="35">
        <v>0.25</v>
      </c>
      <c r="L1202" s="36">
        <f t="shared" si="190"/>
        <v>33.75</v>
      </c>
      <c r="M1202" s="37">
        <f t="shared" si="191"/>
        <v>101.25</v>
      </c>
      <c r="N1202" s="38">
        <v>0.16</v>
      </c>
      <c r="O1202" s="39">
        <f t="shared" si="192"/>
        <v>16.2</v>
      </c>
      <c r="P1202" s="40">
        <f t="shared" si="193"/>
        <v>117.45</v>
      </c>
      <c r="Q1202" s="23"/>
      <c r="R1202" s="56"/>
      <c r="S1202" s="57"/>
      <c r="T1202" s="58">
        <f t="shared" si="194"/>
        <v>0</v>
      </c>
      <c r="U1202" s="36">
        <f t="shared" si="195"/>
        <v>0</v>
      </c>
      <c r="V1202" s="59">
        <f t="shared" si="196"/>
        <v>0</v>
      </c>
      <c r="W1202" s="39">
        <f t="shared" si="197"/>
        <v>0</v>
      </c>
      <c r="X1202" s="40">
        <f t="shared" si="198"/>
        <v>0</v>
      </c>
      <c r="Y1202"/>
      <c r="Z1202"/>
      <c r="AA1202"/>
    </row>
    <row r="1203" spans="1:27" s="51" customFormat="1" ht="18.600000000000001" hidden="1" customHeight="1" x14ac:dyDescent="0.25">
      <c r="A1203" s="82" t="s">
        <v>2653</v>
      </c>
      <c r="B1203" s="41" t="s">
        <v>9290</v>
      </c>
      <c r="C1203" s="42" t="s">
        <v>9291</v>
      </c>
      <c r="D1203" s="41">
        <v>8436535570848</v>
      </c>
      <c r="E1203" s="43" t="s">
        <v>2711</v>
      </c>
      <c r="F1203" s="43" t="s">
        <v>1937</v>
      </c>
      <c r="G1203" s="43" t="s">
        <v>2655</v>
      </c>
      <c r="H1203" s="85" t="s">
        <v>2712</v>
      </c>
      <c r="I1203" s="23" t="s">
        <v>24</v>
      </c>
      <c r="J1203" s="44">
        <v>135</v>
      </c>
      <c r="K1203" s="45">
        <v>0.25</v>
      </c>
      <c r="L1203" s="46">
        <f t="shared" si="190"/>
        <v>33.75</v>
      </c>
      <c r="M1203" s="47">
        <f t="shared" si="191"/>
        <v>101.25</v>
      </c>
      <c r="N1203" s="48">
        <v>0.16</v>
      </c>
      <c r="O1203" s="49">
        <f t="shared" si="192"/>
        <v>16.2</v>
      </c>
      <c r="P1203" s="50">
        <f t="shared" si="193"/>
        <v>117.45</v>
      </c>
      <c r="Q1203" s="23"/>
      <c r="R1203" s="60"/>
      <c r="S1203" s="61"/>
      <c r="T1203" s="62">
        <f t="shared" si="194"/>
        <v>0</v>
      </c>
      <c r="U1203" s="46">
        <f t="shared" si="195"/>
        <v>0</v>
      </c>
      <c r="V1203" s="63">
        <f t="shared" si="196"/>
        <v>0</v>
      </c>
      <c r="W1203" s="49">
        <f t="shared" si="197"/>
        <v>0</v>
      </c>
      <c r="X1203" s="50">
        <f t="shared" si="198"/>
        <v>0</v>
      </c>
      <c r="Y1203"/>
      <c r="Z1203"/>
      <c r="AA1203"/>
    </row>
    <row r="1204" spans="1:27" s="51" customFormat="1" ht="18.600000000000001" hidden="1" customHeight="1" x14ac:dyDescent="0.25">
      <c r="A1204" s="80" t="s">
        <v>2653</v>
      </c>
      <c r="B1204" s="20" t="s">
        <v>9290</v>
      </c>
      <c r="C1204" s="21" t="s">
        <v>9291</v>
      </c>
      <c r="D1204" s="20">
        <v>8436535570886</v>
      </c>
      <c r="E1204" s="22" t="s">
        <v>2713</v>
      </c>
      <c r="F1204" s="22" t="s">
        <v>1937</v>
      </c>
      <c r="G1204" s="22" t="s">
        <v>2655</v>
      </c>
      <c r="H1204" s="83" t="s">
        <v>2714</v>
      </c>
      <c r="I1204" s="23" t="s">
        <v>24</v>
      </c>
      <c r="J1204" s="24">
        <v>135</v>
      </c>
      <c r="K1204" s="25">
        <v>0.25</v>
      </c>
      <c r="L1204" s="26">
        <f t="shared" si="190"/>
        <v>33.75</v>
      </c>
      <c r="M1204" s="27">
        <f t="shared" si="191"/>
        <v>101.25</v>
      </c>
      <c r="N1204" s="28">
        <v>0.16</v>
      </c>
      <c r="O1204" s="29">
        <f t="shared" si="192"/>
        <v>16.2</v>
      </c>
      <c r="P1204" s="30">
        <f t="shared" si="193"/>
        <v>117.45</v>
      </c>
      <c r="Q1204" s="23"/>
      <c r="R1204" s="52"/>
      <c r="S1204" s="53"/>
      <c r="T1204" s="54">
        <f t="shared" si="194"/>
        <v>0</v>
      </c>
      <c r="U1204" s="26">
        <f t="shared" si="195"/>
        <v>0</v>
      </c>
      <c r="V1204" s="55">
        <f t="shared" si="196"/>
        <v>0</v>
      </c>
      <c r="W1204" s="29">
        <f t="shared" si="197"/>
        <v>0</v>
      </c>
      <c r="X1204" s="30">
        <f t="shared" si="198"/>
        <v>0</v>
      </c>
      <c r="Y1204"/>
      <c r="Z1204"/>
      <c r="AA1204"/>
    </row>
    <row r="1205" spans="1:27" s="51" customFormat="1" ht="18.600000000000001" hidden="1" customHeight="1" x14ac:dyDescent="0.25">
      <c r="A1205" s="81" t="s">
        <v>2653</v>
      </c>
      <c r="B1205" s="31" t="s">
        <v>9290</v>
      </c>
      <c r="C1205" s="32" t="s">
        <v>9291</v>
      </c>
      <c r="D1205" s="31">
        <v>8436535570893</v>
      </c>
      <c r="E1205" s="33" t="s">
        <v>2715</v>
      </c>
      <c r="F1205" s="33" t="s">
        <v>1937</v>
      </c>
      <c r="G1205" s="33" t="s">
        <v>2655</v>
      </c>
      <c r="H1205" s="84" t="s">
        <v>2716</v>
      </c>
      <c r="I1205" s="23" t="s">
        <v>24</v>
      </c>
      <c r="J1205" s="34">
        <v>135</v>
      </c>
      <c r="K1205" s="35">
        <v>0.25</v>
      </c>
      <c r="L1205" s="36">
        <f t="shared" si="190"/>
        <v>33.75</v>
      </c>
      <c r="M1205" s="37">
        <f t="shared" si="191"/>
        <v>101.25</v>
      </c>
      <c r="N1205" s="38">
        <v>0.16</v>
      </c>
      <c r="O1205" s="39">
        <f t="shared" si="192"/>
        <v>16.2</v>
      </c>
      <c r="P1205" s="40">
        <f t="shared" si="193"/>
        <v>117.45</v>
      </c>
      <c r="Q1205" s="23"/>
      <c r="R1205" s="56"/>
      <c r="S1205" s="57"/>
      <c r="T1205" s="58">
        <f t="shared" si="194"/>
        <v>0</v>
      </c>
      <c r="U1205" s="36">
        <f t="shared" si="195"/>
        <v>0</v>
      </c>
      <c r="V1205" s="59">
        <f t="shared" si="196"/>
        <v>0</v>
      </c>
      <c r="W1205" s="39">
        <f t="shared" si="197"/>
        <v>0</v>
      </c>
      <c r="X1205" s="40">
        <f t="shared" si="198"/>
        <v>0</v>
      </c>
      <c r="Y1205"/>
      <c r="Z1205"/>
      <c r="AA1205"/>
    </row>
    <row r="1206" spans="1:27" s="51" customFormat="1" ht="18.600000000000001" hidden="1" customHeight="1" x14ac:dyDescent="0.25">
      <c r="A1206" s="82" t="s">
        <v>2653</v>
      </c>
      <c r="B1206" s="41" t="s">
        <v>9290</v>
      </c>
      <c r="C1206" s="42" t="s">
        <v>9291</v>
      </c>
      <c r="D1206" s="41">
        <v>8436535570930</v>
      </c>
      <c r="E1206" s="43" t="s">
        <v>2717</v>
      </c>
      <c r="F1206" s="43" t="s">
        <v>1937</v>
      </c>
      <c r="G1206" s="43" t="s">
        <v>2655</v>
      </c>
      <c r="H1206" s="85" t="s">
        <v>2718</v>
      </c>
      <c r="I1206" s="23" t="s">
        <v>24</v>
      </c>
      <c r="J1206" s="44">
        <v>135</v>
      </c>
      <c r="K1206" s="45">
        <v>0.25</v>
      </c>
      <c r="L1206" s="46">
        <f t="shared" si="190"/>
        <v>33.75</v>
      </c>
      <c r="M1206" s="47">
        <f t="shared" si="191"/>
        <v>101.25</v>
      </c>
      <c r="N1206" s="48">
        <v>0.16</v>
      </c>
      <c r="O1206" s="49">
        <f t="shared" si="192"/>
        <v>16.2</v>
      </c>
      <c r="P1206" s="50">
        <f t="shared" si="193"/>
        <v>117.45</v>
      </c>
      <c r="Q1206" s="23"/>
      <c r="R1206" s="60"/>
      <c r="S1206" s="61"/>
      <c r="T1206" s="62">
        <f t="shared" si="194"/>
        <v>0</v>
      </c>
      <c r="U1206" s="46">
        <f t="shared" si="195"/>
        <v>0</v>
      </c>
      <c r="V1206" s="63">
        <f t="shared" si="196"/>
        <v>0</v>
      </c>
      <c r="W1206" s="49">
        <f t="shared" si="197"/>
        <v>0</v>
      </c>
      <c r="X1206" s="50">
        <f t="shared" si="198"/>
        <v>0</v>
      </c>
      <c r="Y1206"/>
      <c r="Z1206"/>
      <c r="AA1206"/>
    </row>
    <row r="1207" spans="1:27" s="51" customFormat="1" ht="18.600000000000001" hidden="1" customHeight="1" x14ac:dyDescent="0.25">
      <c r="A1207" s="80" t="s">
        <v>2653</v>
      </c>
      <c r="B1207" s="20" t="s">
        <v>9290</v>
      </c>
      <c r="C1207" s="21" t="s">
        <v>9291</v>
      </c>
      <c r="D1207" s="20">
        <v>8436535570947</v>
      </c>
      <c r="E1207" s="22" t="s">
        <v>2719</v>
      </c>
      <c r="F1207" s="22" t="s">
        <v>1937</v>
      </c>
      <c r="G1207" s="22" t="s">
        <v>2655</v>
      </c>
      <c r="H1207" s="83" t="s">
        <v>2720</v>
      </c>
      <c r="I1207" s="23" t="s">
        <v>24</v>
      </c>
      <c r="J1207" s="24">
        <v>135</v>
      </c>
      <c r="K1207" s="25">
        <v>0.25</v>
      </c>
      <c r="L1207" s="26">
        <f t="shared" si="190"/>
        <v>33.75</v>
      </c>
      <c r="M1207" s="27">
        <f t="shared" si="191"/>
        <v>101.25</v>
      </c>
      <c r="N1207" s="28">
        <v>0.16</v>
      </c>
      <c r="O1207" s="29">
        <f t="shared" si="192"/>
        <v>16.2</v>
      </c>
      <c r="P1207" s="30">
        <f t="shared" si="193"/>
        <v>117.45</v>
      </c>
      <c r="Q1207" s="23"/>
      <c r="R1207" s="52"/>
      <c r="S1207" s="53"/>
      <c r="T1207" s="54">
        <f t="shared" si="194"/>
        <v>0</v>
      </c>
      <c r="U1207" s="26">
        <f t="shared" si="195"/>
        <v>0</v>
      </c>
      <c r="V1207" s="55">
        <f t="shared" si="196"/>
        <v>0</v>
      </c>
      <c r="W1207" s="29">
        <f t="shared" si="197"/>
        <v>0</v>
      </c>
      <c r="X1207" s="30">
        <f t="shared" si="198"/>
        <v>0</v>
      </c>
      <c r="Y1207"/>
      <c r="Z1207"/>
      <c r="AA1207"/>
    </row>
    <row r="1208" spans="1:27" s="51" customFormat="1" ht="18.600000000000001" hidden="1" customHeight="1" x14ac:dyDescent="0.25">
      <c r="A1208" s="81" t="s">
        <v>2653</v>
      </c>
      <c r="B1208" s="31" t="s">
        <v>9290</v>
      </c>
      <c r="C1208" s="32" t="s">
        <v>9291</v>
      </c>
      <c r="D1208" s="31">
        <v>8436535571210</v>
      </c>
      <c r="E1208" s="33" t="s">
        <v>2721</v>
      </c>
      <c r="F1208" s="33" t="s">
        <v>1937</v>
      </c>
      <c r="G1208" s="33" t="s">
        <v>2655</v>
      </c>
      <c r="H1208" s="84" t="s">
        <v>2722</v>
      </c>
      <c r="I1208" s="23" t="s">
        <v>24</v>
      </c>
      <c r="J1208" s="34">
        <v>135</v>
      </c>
      <c r="K1208" s="35">
        <v>0.25</v>
      </c>
      <c r="L1208" s="36">
        <f t="shared" si="190"/>
        <v>33.75</v>
      </c>
      <c r="M1208" s="37">
        <f t="shared" si="191"/>
        <v>101.25</v>
      </c>
      <c r="N1208" s="38">
        <v>0.16</v>
      </c>
      <c r="O1208" s="39">
        <f t="shared" si="192"/>
        <v>16.2</v>
      </c>
      <c r="P1208" s="40">
        <f t="shared" si="193"/>
        <v>117.45</v>
      </c>
      <c r="Q1208" s="23"/>
      <c r="R1208" s="56"/>
      <c r="S1208" s="57"/>
      <c r="T1208" s="58">
        <f t="shared" si="194"/>
        <v>0</v>
      </c>
      <c r="U1208" s="36">
        <f t="shared" si="195"/>
        <v>0</v>
      </c>
      <c r="V1208" s="59">
        <f t="shared" si="196"/>
        <v>0</v>
      </c>
      <c r="W1208" s="39">
        <f t="shared" si="197"/>
        <v>0</v>
      </c>
      <c r="X1208" s="40">
        <f t="shared" si="198"/>
        <v>0</v>
      </c>
      <c r="Y1208"/>
      <c r="Z1208"/>
      <c r="AA1208"/>
    </row>
    <row r="1209" spans="1:27" s="51" customFormat="1" ht="18.600000000000001" hidden="1" customHeight="1" x14ac:dyDescent="0.25">
      <c r="A1209" s="82" t="s">
        <v>2653</v>
      </c>
      <c r="B1209" s="41" t="s">
        <v>9290</v>
      </c>
      <c r="C1209" s="42" t="s">
        <v>9291</v>
      </c>
      <c r="D1209" s="41">
        <v>8436535571234</v>
      </c>
      <c r="E1209" s="43" t="s">
        <v>2723</v>
      </c>
      <c r="F1209" s="43" t="s">
        <v>1937</v>
      </c>
      <c r="G1209" s="43" t="s">
        <v>2655</v>
      </c>
      <c r="H1209" s="85" t="s">
        <v>2724</v>
      </c>
      <c r="I1209" s="23" t="s">
        <v>24</v>
      </c>
      <c r="J1209" s="44">
        <v>135</v>
      </c>
      <c r="K1209" s="45">
        <v>0.25</v>
      </c>
      <c r="L1209" s="46">
        <f t="shared" si="190"/>
        <v>33.75</v>
      </c>
      <c r="M1209" s="47">
        <f t="shared" si="191"/>
        <v>101.25</v>
      </c>
      <c r="N1209" s="48">
        <v>0.16</v>
      </c>
      <c r="O1209" s="49">
        <f t="shared" si="192"/>
        <v>16.2</v>
      </c>
      <c r="P1209" s="50">
        <f t="shared" si="193"/>
        <v>117.45</v>
      </c>
      <c r="Q1209" s="23"/>
      <c r="R1209" s="60"/>
      <c r="S1209" s="61"/>
      <c r="T1209" s="62">
        <f t="shared" si="194"/>
        <v>0</v>
      </c>
      <c r="U1209" s="46">
        <f t="shared" si="195"/>
        <v>0</v>
      </c>
      <c r="V1209" s="63">
        <f t="shared" si="196"/>
        <v>0</v>
      </c>
      <c r="W1209" s="49">
        <f t="shared" si="197"/>
        <v>0</v>
      </c>
      <c r="X1209" s="50">
        <f t="shared" si="198"/>
        <v>0</v>
      </c>
      <c r="Y1209"/>
      <c r="Z1209"/>
      <c r="AA1209"/>
    </row>
    <row r="1210" spans="1:27" s="51" customFormat="1" ht="18.600000000000001" hidden="1" customHeight="1" x14ac:dyDescent="0.25">
      <c r="A1210" s="80" t="s">
        <v>2653</v>
      </c>
      <c r="B1210" s="20" t="s">
        <v>9290</v>
      </c>
      <c r="C1210" s="21" t="s">
        <v>9291</v>
      </c>
      <c r="D1210" s="20">
        <v>8436535572613</v>
      </c>
      <c r="E1210" s="22" t="s">
        <v>2725</v>
      </c>
      <c r="F1210" s="22" t="s">
        <v>1937</v>
      </c>
      <c r="G1210" s="22" t="s">
        <v>2655</v>
      </c>
      <c r="H1210" s="83" t="s">
        <v>2726</v>
      </c>
      <c r="I1210" s="23" t="s">
        <v>24</v>
      </c>
      <c r="J1210" s="24">
        <v>135</v>
      </c>
      <c r="K1210" s="25">
        <v>0.25</v>
      </c>
      <c r="L1210" s="26">
        <f t="shared" si="190"/>
        <v>33.75</v>
      </c>
      <c r="M1210" s="27">
        <f t="shared" si="191"/>
        <v>101.25</v>
      </c>
      <c r="N1210" s="28">
        <v>0.16</v>
      </c>
      <c r="O1210" s="29">
        <f t="shared" si="192"/>
        <v>16.2</v>
      </c>
      <c r="P1210" s="30">
        <f t="shared" si="193"/>
        <v>117.45</v>
      </c>
      <c r="Q1210" s="23"/>
      <c r="R1210" s="52"/>
      <c r="S1210" s="53"/>
      <c r="T1210" s="54">
        <f t="shared" si="194"/>
        <v>0</v>
      </c>
      <c r="U1210" s="26">
        <f t="shared" si="195"/>
        <v>0</v>
      </c>
      <c r="V1210" s="55">
        <f t="shared" si="196"/>
        <v>0</v>
      </c>
      <c r="W1210" s="29">
        <f t="shared" si="197"/>
        <v>0</v>
      </c>
      <c r="X1210" s="30">
        <f t="shared" si="198"/>
        <v>0</v>
      </c>
      <c r="Y1210"/>
      <c r="Z1210"/>
      <c r="AA1210"/>
    </row>
    <row r="1211" spans="1:27" s="51" customFormat="1" ht="18.600000000000001" hidden="1" customHeight="1" x14ac:dyDescent="0.25">
      <c r="A1211" s="81" t="s">
        <v>2653</v>
      </c>
      <c r="B1211" s="31" t="s">
        <v>9290</v>
      </c>
      <c r="C1211" s="32" t="s">
        <v>9291</v>
      </c>
      <c r="D1211" s="31">
        <v>8436535572620</v>
      </c>
      <c r="E1211" s="33" t="s">
        <v>2727</v>
      </c>
      <c r="F1211" s="33" t="s">
        <v>1937</v>
      </c>
      <c r="G1211" s="33" t="s">
        <v>2655</v>
      </c>
      <c r="H1211" s="84" t="s">
        <v>2728</v>
      </c>
      <c r="I1211" s="23" t="s">
        <v>24</v>
      </c>
      <c r="J1211" s="34">
        <v>135</v>
      </c>
      <c r="K1211" s="35">
        <v>0.25</v>
      </c>
      <c r="L1211" s="36">
        <f t="shared" si="190"/>
        <v>33.75</v>
      </c>
      <c r="M1211" s="37">
        <f t="shared" si="191"/>
        <v>101.25</v>
      </c>
      <c r="N1211" s="38">
        <v>0.16</v>
      </c>
      <c r="O1211" s="39">
        <f t="shared" si="192"/>
        <v>16.2</v>
      </c>
      <c r="P1211" s="40">
        <f t="shared" si="193"/>
        <v>117.45</v>
      </c>
      <c r="Q1211" s="23"/>
      <c r="R1211" s="56"/>
      <c r="S1211" s="57"/>
      <c r="T1211" s="58">
        <f t="shared" si="194"/>
        <v>0</v>
      </c>
      <c r="U1211" s="36">
        <f t="shared" si="195"/>
        <v>0</v>
      </c>
      <c r="V1211" s="59">
        <f t="shared" si="196"/>
        <v>0</v>
      </c>
      <c r="W1211" s="39">
        <f t="shared" si="197"/>
        <v>0</v>
      </c>
      <c r="X1211" s="40">
        <f t="shared" si="198"/>
        <v>0</v>
      </c>
      <c r="Y1211"/>
      <c r="Z1211"/>
      <c r="AA1211"/>
    </row>
    <row r="1212" spans="1:27" s="51" customFormat="1" ht="18.600000000000001" hidden="1" customHeight="1" x14ac:dyDescent="0.25">
      <c r="A1212" s="82" t="s">
        <v>2653</v>
      </c>
      <c r="B1212" s="41" t="s">
        <v>9290</v>
      </c>
      <c r="C1212" s="42" t="s">
        <v>9291</v>
      </c>
      <c r="D1212" s="41">
        <v>8436535572637</v>
      </c>
      <c r="E1212" s="43" t="s">
        <v>2729</v>
      </c>
      <c r="F1212" s="43" t="s">
        <v>1937</v>
      </c>
      <c r="G1212" s="43" t="s">
        <v>2655</v>
      </c>
      <c r="H1212" s="85" t="s">
        <v>2730</v>
      </c>
      <c r="I1212" s="23" t="s">
        <v>24</v>
      </c>
      <c r="J1212" s="44">
        <v>135</v>
      </c>
      <c r="K1212" s="45">
        <v>0.25</v>
      </c>
      <c r="L1212" s="46">
        <f t="shared" si="190"/>
        <v>33.75</v>
      </c>
      <c r="M1212" s="47">
        <f t="shared" si="191"/>
        <v>101.25</v>
      </c>
      <c r="N1212" s="48">
        <v>0.16</v>
      </c>
      <c r="O1212" s="49">
        <f t="shared" si="192"/>
        <v>16.2</v>
      </c>
      <c r="P1212" s="50">
        <f t="shared" si="193"/>
        <v>117.45</v>
      </c>
      <c r="Q1212" s="23"/>
      <c r="R1212" s="60"/>
      <c r="S1212" s="61"/>
      <c r="T1212" s="62">
        <f t="shared" si="194"/>
        <v>0</v>
      </c>
      <c r="U1212" s="46">
        <f t="shared" si="195"/>
        <v>0</v>
      </c>
      <c r="V1212" s="63">
        <f t="shared" si="196"/>
        <v>0</v>
      </c>
      <c r="W1212" s="49">
        <f t="shared" si="197"/>
        <v>0</v>
      </c>
      <c r="X1212" s="50">
        <f t="shared" si="198"/>
        <v>0</v>
      </c>
      <c r="Y1212"/>
      <c r="Z1212"/>
      <c r="AA1212"/>
    </row>
    <row r="1213" spans="1:27" s="51" customFormat="1" ht="18.600000000000001" hidden="1" customHeight="1" x14ac:dyDescent="0.25">
      <c r="A1213" s="80" t="s">
        <v>2653</v>
      </c>
      <c r="B1213" s="20" t="s">
        <v>9290</v>
      </c>
      <c r="C1213" s="21" t="s">
        <v>9291</v>
      </c>
      <c r="D1213" s="20">
        <v>8436535573009</v>
      </c>
      <c r="E1213" s="22" t="s">
        <v>2731</v>
      </c>
      <c r="F1213" s="22" t="s">
        <v>1937</v>
      </c>
      <c r="G1213" s="22" t="s">
        <v>2655</v>
      </c>
      <c r="H1213" s="83" t="s">
        <v>2732</v>
      </c>
      <c r="I1213" s="23" t="s">
        <v>24</v>
      </c>
      <c r="J1213" s="24">
        <v>135</v>
      </c>
      <c r="K1213" s="25">
        <v>0.25</v>
      </c>
      <c r="L1213" s="26">
        <f t="shared" si="190"/>
        <v>33.75</v>
      </c>
      <c r="M1213" s="27">
        <f t="shared" si="191"/>
        <v>101.25</v>
      </c>
      <c r="N1213" s="28">
        <v>0.16</v>
      </c>
      <c r="O1213" s="29">
        <f t="shared" si="192"/>
        <v>16.2</v>
      </c>
      <c r="P1213" s="30">
        <f t="shared" si="193"/>
        <v>117.45</v>
      </c>
      <c r="Q1213" s="23"/>
      <c r="R1213" s="52"/>
      <c r="S1213" s="53"/>
      <c r="T1213" s="54">
        <f t="shared" si="194"/>
        <v>0</v>
      </c>
      <c r="U1213" s="26">
        <f t="shared" si="195"/>
        <v>0</v>
      </c>
      <c r="V1213" s="55">
        <f t="shared" si="196"/>
        <v>0</v>
      </c>
      <c r="W1213" s="29">
        <f t="shared" si="197"/>
        <v>0</v>
      </c>
      <c r="X1213" s="30">
        <f t="shared" si="198"/>
        <v>0</v>
      </c>
      <c r="Y1213"/>
      <c r="Z1213"/>
      <c r="AA1213"/>
    </row>
    <row r="1214" spans="1:27" s="51" customFormat="1" ht="18.600000000000001" hidden="1" customHeight="1" x14ac:dyDescent="0.25">
      <c r="A1214" s="81" t="s">
        <v>2653</v>
      </c>
      <c r="B1214" s="31" t="s">
        <v>9290</v>
      </c>
      <c r="C1214" s="32" t="s">
        <v>9291</v>
      </c>
      <c r="D1214" s="31" t="s">
        <v>2733</v>
      </c>
      <c r="E1214" s="33" t="s">
        <v>2734</v>
      </c>
      <c r="F1214" s="33" t="s">
        <v>1937</v>
      </c>
      <c r="G1214" s="33" t="s">
        <v>2655</v>
      </c>
      <c r="H1214" s="84" t="s">
        <v>2735</v>
      </c>
      <c r="I1214" s="23" t="s">
        <v>24</v>
      </c>
      <c r="J1214" s="34">
        <v>135</v>
      </c>
      <c r="K1214" s="35">
        <v>0.25</v>
      </c>
      <c r="L1214" s="36">
        <f t="shared" si="190"/>
        <v>33.75</v>
      </c>
      <c r="M1214" s="37">
        <f t="shared" si="191"/>
        <v>101.25</v>
      </c>
      <c r="N1214" s="38">
        <v>0.16</v>
      </c>
      <c r="O1214" s="39">
        <f t="shared" si="192"/>
        <v>16.2</v>
      </c>
      <c r="P1214" s="40">
        <f t="shared" si="193"/>
        <v>117.45</v>
      </c>
      <c r="Q1214" s="23"/>
      <c r="R1214" s="56"/>
      <c r="S1214" s="57"/>
      <c r="T1214" s="58">
        <f t="shared" si="194"/>
        <v>0</v>
      </c>
      <c r="U1214" s="36">
        <f t="shared" si="195"/>
        <v>0</v>
      </c>
      <c r="V1214" s="59">
        <f t="shared" si="196"/>
        <v>0</v>
      </c>
      <c r="W1214" s="39">
        <f t="shared" si="197"/>
        <v>0</v>
      </c>
      <c r="X1214" s="40">
        <f t="shared" si="198"/>
        <v>0</v>
      </c>
      <c r="Y1214"/>
      <c r="Z1214"/>
      <c r="AA1214"/>
    </row>
    <row r="1215" spans="1:27" s="51" customFormat="1" ht="18.600000000000001" hidden="1" customHeight="1" x14ac:dyDescent="0.25">
      <c r="A1215" s="82" t="s">
        <v>2653</v>
      </c>
      <c r="B1215" s="41" t="s">
        <v>9290</v>
      </c>
      <c r="C1215" s="42" t="s">
        <v>9291</v>
      </c>
      <c r="D1215" s="41" t="s">
        <v>2736</v>
      </c>
      <c r="E1215" s="43" t="s">
        <v>2737</v>
      </c>
      <c r="F1215" s="43" t="s">
        <v>1937</v>
      </c>
      <c r="G1215" s="43" t="s">
        <v>2655</v>
      </c>
      <c r="H1215" s="85" t="s">
        <v>2738</v>
      </c>
      <c r="I1215" s="23" t="s">
        <v>24</v>
      </c>
      <c r="J1215" s="44">
        <v>135</v>
      </c>
      <c r="K1215" s="45">
        <v>0.25</v>
      </c>
      <c r="L1215" s="46">
        <f t="shared" si="190"/>
        <v>33.75</v>
      </c>
      <c r="M1215" s="47">
        <f t="shared" si="191"/>
        <v>101.25</v>
      </c>
      <c r="N1215" s="48">
        <v>0.16</v>
      </c>
      <c r="O1215" s="49">
        <f t="shared" si="192"/>
        <v>16.2</v>
      </c>
      <c r="P1215" s="50">
        <f t="shared" si="193"/>
        <v>117.45</v>
      </c>
      <c r="Q1215" s="23"/>
      <c r="R1215" s="60"/>
      <c r="S1215" s="61"/>
      <c r="T1215" s="62">
        <f t="shared" si="194"/>
        <v>0</v>
      </c>
      <c r="U1215" s="46">
        <f t="shared" si="195"/>
        <v>0</v>
      </c>
      <c r="V1215" s="63">
        <f t="shared" si="196"/>
        <v>0</v>
      </c>
      <c r="W1215" s="49">
        <f t="shared" si="197"/>
        <v>0</v>
      </c>
      <c r="X1215" s="50">
        <f t="shared" si="198"/>
        <v>0</v>
      </c>
      <c r="Y1215"/>
      <c r="Z1215"/>
      <c r="AA1215"/>
    </row>
    <row r="1216" spans="1:27" s="51" customFormat="1" ht="18.600000000000001" hidden="1" customHeight="1" x14ac:dyDescent="0.25">
      <c r="A1216" s="80" t="s">
        <v>2653</v>
      </c>
      <c r="B1216" s="20" t="s">
        <v>9290</v>
      </c>
      <c r="C1216" s="21" t="s">
        <v>9291</v>
      </c>
      <c r="D1216" s="20" t="s">
        <v>2739</v>
      </c>
      <c r="E1216" s="22" t="s">
        <v>2740</v>
      </c>
      <c r="F1216" s="22" t="s">
        <v>1937</v>
      </c>
      <c r="G1216" s="22" t="s">
        <v>2655</v>
      </c>
      <c r="H1216" s="83" t="s">
        <v>2741</v>
      </c>
      <c r="I1216" s="23" t="s">
        <v>24</v>
      </c>
      <c r="J1216" s="24">
        <v>135</v>
      </c>
      <c r="K1216" s="25">
        <v>0.25</v>
      </c>
      <c r="L1216" s="26">
        <f t="shared" si="190"/>
        <v>33.75</v>
      </c>
      <c r="M1216" s="27">
        <f t="shared" si="191"/>
        <v>101.25</v>
      </c>
      <c r="N1216" s="28">
        <v>0.16</v>
      </c>
      <c r="O1216" s="29">
        <f t="shared" si="192"/>
        <v>16.2</v>
      </c>
      <c r="P1216" s="30">
        <f t="shared" si="193"/>
        <v>117.45</v>
      </c>
      <c r="Q1216" s="23"/>
      <c r="R1216" s="52"/>
      <c r="S1216" s="53"/>
      <c r="T1216" s="54">
        <f t="shared" si="194"/>
        <v>0</v>
      </c>
      <c r="U1216" s="26">
        <f t="shared" si="195"/>
        <v>0</v>
      </c>
      <c r="V1216" s="55">
        <f t="shared" si="196"/>
        <v>0</v>
      </c>
      <c r="W1216" s="29">
        <f t="shared" si="197"/>
        <v>0</v>
      </c>
      <c r="X1216" s="30">
        <f t="shared" si="198"/>
        <v>0</v>
      </c>
      <c r="Y1216"/>
      <c r="Z1216"/>
      <c r="AA1216"/>
    </row>
    <row r="1217" spans="1:27" s="51" customFormat="1" ht="18.600000000000001" hidden="1" customHeight="1" x14ac:dyDescent="0.25">
      <c r="A1217" s="81" t="s">
        <v>2653</v>
      </c>
      <c r="B1217" s="31" t="s">
        <v>9290</v>
      </c>
      <c r="C1217" s="32" t="s">
        <v>9291</v>
      </c>
      <c r="D1217" s="31">
        <v>8436535575119</v>
      </c>
      <c r="E1217" s="33" t="s">
        <v>2742</v>
      </c>
      <c r="F1217" s="33" t="s">
        <v>1937</v>
      </c>
      <c r="G1217" s="33" t="s">
        <v>2655</v>
      </c>
      <c r="H1217" s="84" t="s">
        <v>2743</v>
      </c>
      <c r="I1217" s="23" t="s">
        <v>24</v>
      </c>
      <c r="J1217" s="34">
        <v>135</v>
      </c>
      <c r="K1217" s="35">
        <v>0.25</v>
      </c>
      <c r="L1217" s="36">
        <f t="shared" si="190"/>
        <v>33.75</v>
      </c>
      <c r="M1217" s="37">
        <f t="shared" si="191"/>
        <v>101.25</v>
      </c>
      <c r="N1217" s="38">
        <v>0.16</v>
      </c>
      <c r="O1217" s="39">
        <f t="shared" si="192"/>
        <v>16.2</v>
      </c>
      <c r="P1217" s="40">
        <f t="shared" si="193"/>
        <v>117.45</v>
      </c>
      <c r="Q1217" s="23"/>
      <c r="R1217" s="56"/>
      <c r="S1217" s="57"/>
      <c r="T1217" s="58">
        <f t="shared" si="194"/>
        <v>0</v>
      </c>
      <c r="U1217" s="36">
        <f t="shared" si="195"/>
        <v>0</v>
      </c>
      <c r="V1217" s="59">
        <f t="shared" si="196"/>
        <v>0</v>
      </c>
      <c r="W1217" s="39">
        <f t="shared" si="197"/>
        <v>0</v>
      </c>
      <c r="X1217" s="40">
        <f t="shared" si="198"/>
        <v>0</v>
      </c>
      <c r="Y1217"/>
      <c r="Z1217"/>
      <c r="AA1217"/>
    </row>
    <row r="1218" spans="1:27" s="51" customFormat="1" ht="18.600000000000001" hidden="1" customHeight="1" x14ac:dyDescent="0.25">
      <c r="A1218" s="82" t="s">
        <v>2653</v>
      </c>
      <c r="B1218" s="41" t="s">
        <v>9290</v>
      </c>
      <c r="C1218" s="42" t="s">
        <v>9291</v>
      </c>
      <c r="D1218" s="41">
        <v>8436535575126</v>
      </c>
      <c r="E1218" s="43" t="s">
        <v>2744</v>
      </c>
      <c r="F1218" s="43" t="s">
        <v>1937</v>
      </c>
      <c r="G1218" s="43" t="s">
        <v>2655</v>
      </c>
      <c r="H1218" s="85" t="s">
        <v>2745</v>
      </c>
      <c r="I1218" s="23" t="s">
        <v>24</v>
      </c>
      <c r="J1218" s="44">
        <v>135</v>
      </c>
      <c r="K1218" s="45">
        <v>0.25</v>
      </c>
      <c r="L1218" s="46">
        <f t="shared" si="190"/>
        <v>33.75</v>
      </c>
      <c r="M1218" s="47">
        <f t="shared" si="191"/>
        <v>101.25</v>
      </c>
      <c r="N1218" s="48">
        <v>0.16</v>
      </c>
      <c r="O1218" s="49">
        <f t="shared" si="192"/>
        <v>16.2</v>
      </c>
      <c r="P1218" s="50">
        <f t="shared" si="193"/>
        <v>117.45</v>
      </c>
      <c r="Q1218" s="23"/>
      <c r="R1218" s="60"/>
      <c r="S1218" s="61"/>
      <c r="T1218" s="62">
        <f t="shared" si="194"/>
        <v>0</v>
      </c>
      <c r="U1218" s="46">
        <f t="shared" si="195"/>
        <v>0</v>
      </c>
      <c r="V1218" s="63">
        <f t="shared" si="196"/>
        <v>0</v>
      </c>
      <c r="W1218" s="49">
        <f t="shared" si="197"/>
        <v>0</v>
      </c>
      <c r="X1218" s="50">
        <f t="shared" si="198"/>
        <v>0</v>
      </c>
      <c r="Y1218"/>
      <c r="Z1218"/>
      <c r="AA1218"/>
    </row>
    <row r="1219" spans="1:27" s="51" customFormat="1" ht="18.600000000000001" hidden="1" customHeight="1" x14ac:dyDescent="0.25">
      <c r="A1219" s="80" t="s">
        <v>2653</v>
      </c>
      <c r="B1219" s="20" t="s">
        <v>9290</v>
      </c>
      <c r="C1219" s="21" t="s">
        <v>9291</v>
      </c>
      <c r="D1219" s="20">
        <v>8436535575133</v>
      </c>
      <c r="E1219" s="22" t="s">
        <v>2746</v>
      </c>
      <c r="F1219" s="22" t="s">
        <v>1937</v>
      </c>
      <c r="G1219" s="22" t="s">
        <v>2655</v>
      </c>
      <c r="H1219" s="83" t="s">
        <v>2747</v>
      </c>
      <c r="I1219" s="23" t="s">
        <v>24</v>
      </c>
      <c r="J1219" s="24">
        <v>135</v>
      </c>
      <c r="K1219" s="25">
        <v>0.25</v>
      </c>
      <c r="L1219" s="26">
        <f t="shared" si="190"/>
        <v>33.75</v>
      </c>
      <c r="M1219" s="27">
        <f t="shared" si="191"/>
        <v>101.25</v>
      </c>
      <c r="N1219" s="28">
        <v>0.16</v>
      </c>
      <c r="O1219" s="29">
        <f t="shared" si="192"/>
        <v>16.2</v>
      </c>
      <c r="P1219" s="30">
        <f t="shared" si="193"/>
        <v>117.45</v>
      </c>
      <c r="Q1219" s="23"/>
      <c r="R1219" s="52"/>
      <c r="S1219" s="53"/>
      <c r="T1219" s="54">
        <f t="shared" si="194"/>
        <v>0</v>
      </c>
      <c r="U1219" s="26">
        <f t="shared" si="195"/>
        <v>0</v>
      </c>
      <c r="V1219" s="55">
        <f t="shared" si="196"/>
        <v>0</v>
      </c>
      <c r="W1219" s="29">
        <f t="shared" si="197"/>
        <v>0</v>
      </c>
      <c r="X1219" s="30">
        <f t="shared" si="198"/>
        <v>0</v>
      </c>
      <c r="Y1219"/>
      <c r="Z1219"/>
      <c r="AA1219"/>
    </row>
    <row r="1220" spans="1:27" s="51" customFormat="1" ht="18.600000000000001" hidden="1" customHeight="1" x14ac:dyDescent="0.25">
      <c r="A1220" s="81" t="s">
        <v>2653</v>
      </c>
      <c r="B1220" s="31" t="s">
        <v>9290</v>
      </c>
      <c r="C1220" s="32" t="s">
        <v>9291</v>
      </c>
      <c r="D1220" s="31">
        <v>8436535575348</v>
      </c>
      <c r="E1220" s="33" t="s">
        <v>2748</v>
      </c>
      <c r="F1220" s="33" t="s">
        <v>1937</v>
      </c>
      <c r="G1220" s="33" t="s">
        <v>2655</v>
      </c>
      <c r="H1220" s="84" t="s">
        <v>2749</v>
      </c>
      <c r="I1220" s="23" t="s">
        <v>24</v>
      </c>
      <c r="J1220" s="34">
        <v>135</v>
      </c>
      <c r="K1220" s="35">
        <v>0.25</v>
      </c>
      <c r="L1220" s="36">
        <f t="shared" si="190"/>
        <v>33.75</v>
      </c>
      <c r="M1220" s="37">
        <f t="shared" si="191"/>
        <v>101.25</v>
      </c>
      <c r="N1220" s="38">
        <v>0.16</v>
      </c>
      <c r="O1220" s="39">
        <f t="shared" si="192"/>
        <v>16.2</v>
      </c>
      <c r="P1220" s="40">
        <f t="shared" si="193"/>
        <v>117.45</v>
      </c>
      <c r="Q1220" s="23"/>
      <c r="R1220" s="56"/>
      <c r="S1220" s="57"/>
      <c r="T1220" s="58">
        <f t="shared" si="194"/>
        <v>0</v>
      </c>
      <c r="U1220" s="36">
        <f t="shared" si="195"/>
        <v>0</v>
      </c>
      <c r="V1220" s="59">
        <f t="shared" si="196"/>
        <v>0</v>
      </c>
      <c r="W1220" s="39">
        <f t="shared" si="197"/>
        <v>0</v>
      </c>
      <c r="X1220" s="40">
        <f t="shared" si="198"/>
        <v>0</v>
      </c>
      <c r="Y1220"/>
      <c r="Z1220"/>
      <c r="AA1220"/>
    </row>
    <row r="1221" spans="1:27" s="51" customFormat="1" ht="18.600000000000001" hidden="1" customHeight="1" x14ac:dyDescent="0.25">
      <c r="A1221" s="82" t="s">
        <v>2653</v>
      </c>
      <c r="B1221" s="41" t="s">
        <v>9290</v>
      </c>
      <c r="C1221" s="42" t="s">
        <v>9291</v>
      </c>
      <c r="D1221" s="41">
        <v>8436535575355</v>
      </c>
      <c r="E1221" s="43" t="s">
        <v>2750</v>
      </c>
      <c r="F1221" s="43" t="s">
        <v>1937</v>
      </c>
      <c r="G1221" s="43" t="s">
        <v>2655</v>
      </c>
      <c r="H1221" s="85" t="s">
        <v>2751</v>
      </c>
      <c r="I1221" s="23" t="s">
        <v>24</v>
      </c>
      <c r="J1221" s="44">
        <v>135</v>
      </c>
      <c r="K1221" s="45">
        <v>0.25</v>
      </c>
      <c r="L1221" s="46">
        <f t="shared" si="190"/>
        <v>33.75</v>
      </c>
      <c r="M1221" s="47">
        <f t="shared" si="191"/>
        <v>101.25</v>
      </c>
      <c r="N1221" s="48">
        <v>0.16</v>
      </c>
      <c r="O1221" s="49">
        <f t="shared" si="192"/>
        <v>16.2</v>
      </c>
      <c r="P1221" s="50">
        <f t="shared" si="193"/>
        <v>117.45</v>
      </c>
      <c r="Q1221" s="23"/>
      <c r="R1221" s="60"/>
      <c r="S1221" s="61"/>
      <c r="T1221" s="62">
        <f t="shared" si="194"/>
        <v>0</v>
      </c>
      <c r="U1221" s="46">
        <f t="shared" si="195"/>
        <v>0</v>
      </c>
      <c r="V1221" s="63">
        <f t="shared" si="196"/>
        <v>0</v>
      </c>
      <c r="W1221" s="49">
        <f t="shared" si="197"/>
        <v>0</v>
      </c>
      <c r="X1221" s="50">
        <f t="shared" si="198"/>
        <v>0</v>
      </c>
      <c r="Y1221"/>
      <c r="Z1221"/>
      <c r="AA1221"/>
    </row>
    <row r="1222" spans="1:27" s="51" customFormat="1" ht="18.600000000000001" hidden="1" customHeight="1" x14ac:dyDescent="0.25">
      <c r="A1222" s="80" t="s">
        <v>2653</v>
      </c>
      <c r="B1222" s="20" t="s">
        <v>9290</v>
      </c>
      <c r="C1222" s="21" t="s">
        <v>9291</v>
      </c>
      <c r="D1222" s="20">
        <v>8436535575362</v>
      </c>
      <c r="E1222" s="22" t="s">
        <v>2752</v>
      </c>
      <c r="F1222" s="22" t="s">
        <v>1937</v>
      </c>
      <c r="G1222" s="22" t="s">
        <v>2655</v>
      </c>
      <c r="H1222" s="83" t="s">
        <v>2753</v>
      </c>
      <c r="I1222" s="23" t="s">
        <v>24</v>
      </c>
      <c r="J1222" s="24">
        <v>135</v>
      </c>
      <c r="K1222" s="25">
        <v>0.25</v>
      </c>
      <c r="L1222" s="26">
        <f t="shared" si="190"/>
        <v>33.75</v>
      </c>
      <c r="M1222" s="27">
        <f t="shared" si="191"/>
        <v>101.25</v>
      </c>
      <c r="N1222" s="28">
        <v>0.16</v>
      </c>
      <c r="O1222" s="29">
        <f t="shared" si="192"/>
        <v>16.2</v>
      </c>
      <c r="P1222" s="30">
        <f t="shared" si="193"/>
        <v>117.45</v>
      </c>
      <c r="Q1222" s="23"/>
      <c r="R1222" s="52"/>
      <c r="S1222" s="53"/>
      <c r="T1222" s="54">
        <f t="shared" si="194"/>
        <v>0</v>
      </c>
      <c r="U1222" s="26">
        <f t="shared" si="195"/>
        <v>0</v>
      </c>
      <c r="V1222" s="55">
        <f t="shared" si="196"/>
        <v>0</v>
      </c>
      <c r="W1222" s="29">
        <f t="shared" si="197"/>
        <v>0</v>
      </c>
      <c r="X1222" s="30">
        <f t="shared" si="198"/>
        <v>0</v>
      </c>
      <c r="Y1222"/>
      <c r="Z1222"/>
      <c r="AA1222"/>
    </row>
    <row r="1223" spans="1:27" s="51" customFormat="1" ht="18.600000000000001" hidden="1" customHeight="1" x14ac:dyDescent="0.25">
      <c r="A1223" s="81" t="s">
        <v>2653</v>
      </c>
      <c r="B1223" s="31" t="s">
        <v>9290</v>
      </c>
      <c r="C1223" s="32" t="s">
        <v>9291</v>
      </c>
      <c r="D1223" s="31">
        <v>8436535575843</v>
      </c>
      <c r="E1223" s="33" t="s">
        <v>2754</v>
      </c>
      <c r="F1223" s="33" t="s">
        <v>1937</v>
      </c>
      <c r="G1223" s="33" t="s">
        <v>2655</v>
      </c>
      <c r="H1223" s="84" t="s">
        <v>2755</v>
      </c>
      <c r="I1223" s="23" t="s">
        <v>24</v>
      </c>
      <c r="J1223" s="34">
        <v>135</v>
      </c>
      <c r="K1223" s="35">
        <v>0.25</v>
      </c>
      <c r="L1223" s="36">
        <f t="shared" si="190"/>
        <v>33.75</v>
      </c>
      <c r="M1223" s="37">
        <f t="shared" si="191"/>
        <v>101.25</v>
      </c>
      <c r="N1223" s="38">
        <v>0.16</v>
      </c>
      <c r="O1223" s="39">
        <f t="shared" si="192"/>
        <v>16.2</v>
      </c>
      <c r="P1223" s="40">
        <f t="shared" si="193"/>
        <v>117.45</v>
      </c>
      <c r="Q1223" s="23"/>
      <c r="R1223" s="56"/>
      <c r="S1223" s="57"/>
      <c r="T1223" s="58">
        <f t="shared" si="194"/>
        <v>0</v>
      </c>
      <c r="U1223" s="36">
        <f t="shared" si="195"/>
        <v>0</v>
      </c>
      <c r="V1223" s="59">
        <f t="shared" si="196"/>
        <v>0</v>
      </c>
      <c r="W1223" s="39">
        <f t="shared" si="197"/>
        <v>0</v>
      </c>
      <c r="X1223" s="40">
        <f t="shared" si="198"/>
        <v>0</v>
      </c>
      <c r="Y1223"/>
      <c r="Z1223"/>
      <c r="AA1223"/>
    </row>
    <row r="1224" spans="1:27" s="51" customFormat="1" ht="18.600000000000001" hidden="1" customHeight="1" x14ac:dyDescent="0.25">
      <c r="A1224" s="82" t="s">
        <v>2653</v>
      </c>
      <c r="B1224" s="41" t="s">
        <v>9290</v>
      </c>
      <c r="C1224" s="42" t="s">
        <v>9291</v>
      </c>
      <c r="D1224" s="41">
        <v>8436535575850</v>
      </c>
      <c r="E1224" s="43" t="s">
        <v>2756</v>
      </c>
      <c r="F1224" s="43" t="s">
        <v>1937</v>
      </c>
      <c r="G1224" s="43" t="s">
        <v>2655</v>
      </c>
      <c r="H1224" s="85" t="s">
        <v>2757</v>
      </c>
      <c r="I1224" s="23" t="s">
        <v>24</v>
      </c>
      <c r="J1224" s="44">
        <v>135</v>
      </c>
      <c r="K1224" s="45">
        <v>0.25</v>
      </c>
      <c r="L1224" s="46">
        <f t="shared" si="190"/>
        <v>33.75</v>
      </c>
      <c r="M1224" s="47">
        <f t="shared" si="191"/>
        <v>101.25</v>
      </c>
      <c r="N1224" s="48">
        <v>0.16</v>
      </c>
      <c r="O1224" s="49">
        <f t="shared" si="192"/>
        <v>16.2</v>
      </c>
      <c r="P1224" s="50">
        <f t="shared" si="193"/>
        <v>117.45</v>
      </c>
      <c r="Q1224" s="23"/>
      <c r="R1224" s="60"/>
      <c r="S1224" s="61"/>
      <c r="T1224" s="62">
        <f t="shared" si="194"/>
        <v>0</v>
      </c>
      <c r="U1224" s="46">
        <f t="shared" si="195"/>
        <v>0</v>
      </c>
      <c r="V1224" s="63">
        <f t="shared" si="196"/>
        <v>0</v>
      </c>
      <c r="W1224" s="49">
        <f t="shared" si="197"/>
        <v>0</v>
      </c>
      <c r="X1224" s="50">
        <f t="shared" si="198"/>
        <v>0</v>
      </c>
      <c r="Y1224"/>
      <c r="Z1224"/>
      <c r="AA1224"/>
    </row>
    <row r="1225" spans="1:27" s="51" customFormat="1" ht="18.600000000000001" hidden="1" customHeight="1" x14ac:dyDescent="0.25">
      <c r="A1225" s="80" t="s">
        <v>2653</v>
      </c>
      <c r="B1225" s="20" t="s">
        <v>9290</v>
      </c>
      <c r="C1225" s="21" t="s">
        <v>9291</v>
      </c>
      <c r="D1225" s="20" t="s">
        <v>2758</v>
      </c>
      <c r="E1225" s="22" t="s">
        <v>2759</v>
      </c>
      <c r="F1225" s="22" t="s">
        <v>1937</v>
      </c>
      <c r="G1225" s="22" t="s">
        <v>2655</v>
      </c>
      <c r="H1225" s="83" t="s">
        <v>2760</v>
      </c>
      <c r="I1225" s="23" t="s">
        <v>24</v>
      </c>
      <c r="J1225" s="24">
        <v>135</v>
      </c>
      <c r="K1225" s="25">
        <v>0.25</v>
      </c>
      <c r="L1225" s="26">
        <f t="shared" si="190"/>
        <v>33.75</v>
      </c>
      <c r="M1225" s="27">
        <f t="shared" si="191"/>
        <v>101.25</v>
      </c>
      <c r="N1225" s="28">
        <v>0.16</v>
      </c>
      <c r="O1225" s="29">
        <f t="shared" si="192"/>
        <v>16.2</v>
      </c>
      <c r="P1225" s="30">
        <f t="shared" si="193"/>
        <v>117.45</v>
      </c>
      <c r="Q1225" s="23"/>
      <c r="R1225" s="52"/>
      <c r="S1225" s="53"/>
      <c r="T1225" s="54">
        <f t="shared" si="194"/>
        <v>0</v>
      </c>
      <c r="U1225" s="26">
        <f t="shared" si="195"/>
        <v>0</v>
      </c>
      <c r="V1225" s="55">
        <f t="shared" si="196"/>
        <v>0</v>
      </c>
      <c r="W1225" s="29">
        <f t="shared" si="197"/>
        <v>0</v>
      </c>
      <c r="X1225" s="30">
        <f t="shared" si="198"/>
        <v>0</v>
      </c>
      <c r="Y1225"/>
      <c r="Z1225"/>
      <c r="AA1225"/>
    </row>
    <row r="1226" spans="1:27" s="51" customFormat="1" ht="18.600000000000001" hidden="1" customHeight="1" x14ac:dyDescent="0.25">
      <c r="A1226" s="81" t="s">
        <v>2653</v>
      </c>
      <c r="B1226" s="31" t="s">
        <v>9290</v>
      </c>
      <c r="C1226" s="32" t="s">
        <v>9291</v>
      </c>
      <c r="D1226" s="31" t="s">
        <v>2761</v>
      </c>
      <c r="E1226" s="33" t="s">
        <v>2762</v>
      </c>
      <c r="F1226" s="33" t="s">
        <v>1937</v>
      </c>
      <c r="G1226" s="33" t="s">
        <v>2655</v>
      </c>
      <c r="H1226" s="84" t="s">
        <v>2763</v>
      </c>
      <c r="I1226" s="23" t="s">
        <v>24</v>
      </c>
      <c r="J1226" s="34">
        <v>135</v>
      </c>
      <c r="K1226" s="35">
        <v>0.25</v>
      </c>
      <c r="L1226" s="36">
        <f t="shared" si="190"/>
        <v>33.75</v>
      </c>
      <c r="M1226" s="37">
        <f t="shared" si="191"/>
        <v>101.25</v>
      </c>
      <c r="N1226" s="38">
        <v>0.16</v>
      </c>
      <c r="O1226" s="39">
        <f t="shared" si="192"/>
        <v>16.2</v>
      </c>
      <c r="P1226" s="40">
        <f t="shared" si="193"/>
        <v>117.45</v>
      </c>
      <c r="Q1226" s="23"/>
      <c r="R1226" s="56"/>
      <c r="S1226" s="57"/>
      <c r="T1226" s="58">
        <f t="shared" si="194"/>
        <v>0</v>
      </c>
      <c r="U1226" s="36">
        <f t="shared" si="195"/>
        <v>0</v>
      </c>
      <c r="V1226" s="59">
        <f t="shared" si="196"/>
        <v>0</v>
      </c>
      <c r="W1226" s="39">
        <f t="shared" si="197"/>
        <v>0</v>
      </c>
      <c r="X1226" s="40">
        <f t="shared" si="198"/>
        <v>0</v>
      </c>
      <c r="Y1226"/>
      <c r="Z1226"/>
      <c r="AA1226"/>
    </row>
    <row r="1227" spans="1:27" s="51" customFormat="1" ht="18.600000000000001" hidden="1" customHeight="1" x14ac:dyDescent="0.25">
      <c r="A1227" s="82" t="s">
        <v>2653</v>
      </c>
      <c r="B1227" s="41" t="s">
        <v>9290</v>
      </c>
      <c r="C1227" s="42" t="s">
        <v>9291</v>
      </c>
      <c r="D1227" s="41" t="s">
        <v>2764</v>
      </c>
      <c r="E1227" s="43" t="s">
        <v>2765</v>
      </c>
      <c r="F1227" s="43" t="s">
        <v>1937</v>
      </c>
      <c r="G1227" s="43" t="s">
        <v>2655</v>
      </c>
      <c r="H1227" s="85" t="s">
        <v>2766</v>
      </c>
      <c r="I1227" s="23" t="s">
        <v>24</v>
      </c>
      <c r="J1227" s="44">
        <v>135</v>
      </c>
      <c r="K1227" s="45">
        <v>0.25</v>
      </c>
      <c r="L1227" s="46">
        <f t="shared" si="190"/>
        <v>33.75</v>
      </c>
      <c r="M1227" s="47">
        <f t="shared" si="191"/>
        <v>101.25</v>
      </c>
      <c r="N1227" s="48">
        <v>0.16</v>
      </c>
      <c r="O1227" s="49">
        <f t="shared" si="192"/>
        <v>16.2</v>
      </c>
      <c r="P1227" s="50">
        <f t="shared" si="193"/>
        <v>117.45</v>
      </c>
      <c r="Q1227" s="23"/>
      <c r="R1227" s="60"/>
      <c r="S1227" s="61"/>
      <c r="T1227" s="62">
        <f t="shared" si="194"/>
        <v>0</v>
      </c>
      <c r="U1227" s="46">
        <f t="shared" si="195"/>
        <v>0</v>
      </c>
      <c r="V1227" s="63">
        <f t="shared" si="196"/>
        <v>0</v>
      </c>
      <c r="W1227" s="49">
        <f t="shared" si="197"/>
        <v>0</v>
      </c>
      <c r="X1227" s="50">
        <f t="shared" si="198"/>
        <v>0</v>
      </c>
      <c r="Y1227"/>
      <c r="Z1227"/>
      <c r="AA1227"/>
    </row>
    <row r="1228" spans="1:27" s="51" customFormat="1" ht="18.600000000000001" hidden="1" customHeight="1" x14ac:dyDescent="0.25">
      <c r="A1228" s="80" t="s">
        <v>2653</v>
      </c>
      <c r="B1228" s="20" t="s">
        <v>9290</v>
      </c>
      <c r="C1228" s="21" t="s">
        <v>9291</v>
      </c>
      <c r="D1228" s="20">
        <v>8436535576758</v>
      </c>
      <c r="E1228" s="22" t="s">
        <v>2767</v>
      </c>
      <c r="F1228" s="22" t="s">
        <v>1937</v>
      </c>
      <c r="G1228" s="22" t="s">
        <v>2655</v>
      </c>
      <c r="H1228" s="83" t="s">
        <v>2768</v>
      </c>
      <c r="I1228" s="23" t="s">
        <v>24</v>
      </c>
      <c r="J1228" s="24">
        <v>135</v>
      </c>
      <c r="K1228" s="25">
        <v>0.25</v>
      </c>
      <c r="L1228" s="26">
        <f t="shared" si="190"/>
        <v>33.75</v>
      </c>
      <c r="M1228" s="27">
        <f t="shared" si="191"/>
        <v>101.25</v>
      </c>
      <c r="N1228" s="28">
        <v>0.16</v>
      </c>
      <c r="O1228" s="29">
        <f t="shared" si="192"/>
        <v>16.2</v>
      </c>
      <c r="P1228" s="30">
        <f t="shared" si="193"/>
        <v>117.45</v>
      </c>
      <c r="Q1228" s="23"/>
      <c r="R1228" s="52"/>
      <c r="S1228" s="53"/>
      <c r="T1228" s="54">
        <f t="shared" si="194"/>
        <v>0</v>
      </c>
      <c r="U1228" s="26">
        <f t="shared" si="195"/>
        <v>0</v>
      </c>
      <c r="V1228" s="55">
        <f t="shared" si="196"/>
        <v>0</v>
      </c>
      <c r="W1228" s="29">
        <f t="shared" si="197"/>
        <v>0</v>
      </c>
      <c r="X1228" s="30">
        <f t="shared" si="198"/>
        <v>0</v>
      </c>
      <c r="Y1228"/>
      <c r="Z1228"/>
      <c r="AA1228"/>
    </row>
    <row r="1229" spans="1:27" s="51" customFormat="1" ht="18.600000000000001" hidden="1" customHeight="1" x14ac:dyDescent="0.25">
      <c r="A1229" s="81" t="s">
        <v>2653</v>
      </c>
      <c r="B1229" s="31" t="s">
        <v>9290</v>
      </c>
      <c r="C1229" s="32" t="s">
        <v>9291</v>
      </c>
      <c r="D1229" s="31">
        <v>8436535576765</v>
      </c>
      <c r="E1229" s="33" t="s">
        <v>2769</v>
      </c>
      <c r="F1229" s="33" t="s">
        <v>1937</v>
      </c>
      <c r="G1229" s="33" t="s">
        <v>2655</v>
      </c>
      <c r="H1229" s="84" t="s">
        <v>2770</v>
      </c>
      <c r="I1229" s="23" t="s">
        <v>24</v>
      </c>
      <c r="J1229" s="34">
        <v>135</v>
      </c>
      <c r="K1229" s="35">
        <v>0.25</v>
      </c>
      <c r="L1229" s="36">
        <f t="shared" si="190"/>
        <v>33.75</v>
      </c>
      <c r="M1229" s="37">
        <f t="shared" si="191"/>
        <v>101.25</v>
      </c>
      <c r="N1229" s="38">
        <v>0.16</v>
      </c>
      <c r="O1229" s="39">
        <f t="shared" si="192"/>
        <v>16.2</v>
      </c>
      <c r="P1229" s="40">
        <f t="shared" si="193"/>
        <v>117.45</v>
      </c>
      <c r="Q1229" s="23"/>
      <c r="R1229" s="56"/>
      <c r="S1229" s="57"/>
      <c r="T1229" s="58">
        <f t="shared" si="194"/>
        <v>0</v>
      </c>
      <c r="U1229" s="36">
        <f t="shared" si="195"/>
        <v>0</v>
      </c>
      <c r="V1229" s="59">
        <f t="shared" si="196"/>
        <v>0</v>
      </c>
      <c r="W1229" s="39">
        <f t="shared" si="197"/>
        <v>0</v>
      </c>
      <c r="X1229" s="40">
        <f t="shared" si="198"/>
        <v>0</v>
      </c>
      <c r="Y1229"/>
      <c r="Z1229"/>
      <c r="AA1229"/>
    </row>
    <row r="1230" spans="1:27" s="51" customFormat="1" ht="18.600000000000001" hidden="1" customHeight="1" x14ac:dyDescent="0.25">
      <c r="A1230" s="82" t="s">
        <v>2653</v>
      </c>
      <c r="B1230" s="41" t="s">
        <v>9290</v>
      </c>
      <c r="C1230" s="42" t="s">
        <v>9291</v>
      </c>
      <c r="D1230" s="41">
        <v>8436535576772</v>
      </c>
      <c r="E1230" s="43" t="s">
        <v>2771</v>
      </c>
      <c r="F1230" s="43" t="s">
        <v>1937</v>
      </c>
      <c r="G1230" s="43" t="s">
        <v>2655</v>
      </c>
      <c r="H1230" s="85" t="s">
        <v>2772</v>
      </c>
      <c r="I1230" s="23" t="s">
        <v>24</v>
      </c>
      <c r="J1230" s="44">
        <v>135</v>
      </c>
      <c r="K1230" s="45">
        <v>0.25</v>
      </c>
      <c r="L1230" s="46">
        <f t="shared" si="190"/>
        <v>33.75</v>
      </c>
      <c r="M1230" s="47">
        <f t="shared" si="191"/>
        <v>101.25</v>
      </c>
      <c r="N1230" s="48">
        <v>0.16</v>
      </c>
      <c r="O1230" s="49">
        <f t="shared" si="192"/>
        <v>16.2</v>
      </c>
      <c r="P1230" s="50">
        <f t="shared" si="193"/>
        <v>117.45</v>
      </c>
      <c r="Q1230" s="23"/>
      <c r="R1230" s="60"/>
      <c r="S1230" s="61"/>
      <c r="T1230" s="62">
        <f t="shared" si="194"/>
        <v>0</v>
      </c>
      <c r="U1230" s="46">
        <f t="shared" si="195"/>
        <v>0</v>
      </c>
      <c r="V1230" s="63">
        <f t="shared" si="196"/>
        <v>0</v>
      </c>
      <c r="W1230" s="49">
        <f t="shared" si="197"/>
        <v>0</v>
      </c>
      <c r="X1230" s="50">
        <f t="shared" si="198"/>
        <v>0</v>
      </c>
      <c r="Y1230"/>
      <c r="Z1230"/>
      <c r="AA1230"/>
    </row>
    <row r="1231" spans="1:27" s="51" customFormat="1" ht="18.600000000000001" hidden="1" customHeight="1" x14ac:dyDescent="0.25">
      <c r="A1231" s="80" t="s">
        <v>2653</v>
      </c>
      <c r="B1231" s="20" t="s">
        <v>9290</v>
      </c>
      <c r="C1231" s="21" t="s">
        <v>9292</v>
      </c>
      <c r="D1231" s="20">
        <v>8436535573122</v>
      </c>
      <c r="E1231" s="22" t="s">
        <v>2773</v>
      </c>
      <c r="F1231" s="22" t="s">
        <v>1937</v>
      </c>
      <c r="G1231" s="22" t="s">
        <v>2655</v>
      </c>
      <c r="H1231" s="83" t="s">
        <v>2774</v>
      </c>
      <c r="I1231" s="23" t="s">
        <v>24</v>
      </c>
      <c r="J1231" s="24">
        <v>135</v>
      </c>
      <c r="K1231" s="25">
        <v>0.25</v>
      </c>
      <c r="L1231" s="26">
        <f t="shared" si="190"/>
        <v>33.75</v>
      </c>
      <c r="M1231" s="27">
        <f t="shared" si="191"/>
        <v>101.25</v>
      </c>
      <c r="N1231" s="28">
        <v>0.16</v>
      </c>
      <c r="O1231" s="29">
        <f t="shared" si="192"/>
        <v>16.2</v>
      </c>
      <c r="P1231" s="30">
        <f t="shared" si="193"/>
        <v>117.45</v>
      </c>
      <c r="Q1231" s="23"/>
      <c r="R1231" s="52"/>
      <c r="S1231" s="53"/>
      <c r="T1231" s="54">
        <f t="shared" si="194"/>
        <v>0</v>
      </c>
      <c r="U1231" s="26">
        <f t="shared" si="195"/>
        <v>0</v>
      </c>
      <c r="V1231" s="55">
        <f t="shared" si="196"/>
        <v>0</v>
      </c>
      <c r="W1231" s="29">
        <f t="shared" si="197"/>
        <v>0</v>
      </c>
      <c r="X1231" s="30">
        <f t="shared" si="198"/>
        <v>0</v>
      </c>
      <c r="Y1231"/>
      <c r="Z1231"/>
      <c r="AA1231"/>
    </row>
    <row r="1232" spans="1:27" s="51" customFormat="1" ht="18.600000000000001" hidden="1" customHeight="1" x14ac:dyDescent="0.25">
      <c r="A1232" s="81" t="s">
        <v>2653</v>
      </c>
      <c r="B1232" s="31" t="s">
        <v>9290</v>
      </c>
      <c r="C1232" s="32" t="s">
        <v>9292</v>
      </c>
      <c r="D1232" s="31">
        <v>8436535573221</v>
      </c>
      <c r="E1232" s="33" t="s">
        <v>2775</v>
      </c>
      <c r="F1232" s="33" t="s">
        <v>1937</v>
      </c>
      <c r="G1232" s="33" t="s">
        <v>2655</v>
      </c>
      <c r="H1232" s="84" t="s">
        <v>2776</v>
      </c>
      <c r="I1232" s="23" t="s">
        <v>24</v>
      </c>
      <c r="J1232" s="34">
        <v>135</v>
      </c>
      <c r="K1232" s="35">
        <v>0.25</v>
      </c>
      <c r="L1232" s="36">
        <f t="shared" si="190"/>
        <v>33.75</v>
      </c>
      <c r="M1232" s="37">
        <f t="shared" si="191"/>
        <v>101.25</v>
      </c>
      <c r="N1232" s="38">
        <v>0.16</v>
      </c>
      <c r="O1232" s="39">
        <f t="shared" si="192"/>
        <v>16.2</v>
      </c>
      <c r="P1232" s="40">
        <f t="shared" si="193"/>
        <v>117.45</v>
      </c>
      <c r="Q1232" s="23"/>
      <c r="R1232" s="56"/>
      <c r="S1232" s="57"/>
      <c r="T1232" s="58">
        <f t="shared" si="194"/>
        <v>0</v>
      </c>
      <c r="U1232" s="36">
        <f t="shared" si="195"/>
        <v>0</v>
      </c>
      <c r="V1232" s="59">
        <f t="shared" si="196"/>
        <v>0</v>
      </c>
      <c r="W1232" s="39">
        <f t="shared" si="197"/>
        <v>0</v>
      </c>
      <c r="X1232" s="40">
        <f t="shared" si="198"/>
        <v>0</v>
      </c>
      <c r="Y1232"/>
      <c r="Z1232"/>
      <c r="AA1232"/>
    </row>
    <row r="1233" spans="1:27" s="51" customFormat="1" ht="18.600000000000001" hidden="1" customHeight="1" x14ac:dyDescent="0.25">
      <c r="A1233" s="82" t="s">
        <v>2653</v>
      </c>
      <c r="B1233" s="41" t="s">
        <v>9290</v>
      </c>
      <c r="C1233" s="42" t="s">
        <v>9292</v>
      </c>
      <c r="D1233" s="41">
        <v>8436535573245</v>
      </c>
      <c r="E1233" s="43" t="s">
        <v>2777</v>
      </c>
      <c r="F1233" s="43" t="s">
        <v>1937</v>
      </c>
      <c r="G1233" s="43" t="s">
        <v>2655</v>
      </c>
      <c r="H1233" s="85" t="s">
        <v>2778</v>
      </c>
      <c r="I1233" s="23" t="s">
        <v>24</v>
      </c>
      <c r="J1233" s="44">
        <v>135</v>
      </c>
      <c r="K1233" s="45">
        <v>0.25</v>
      </c>
      <c r="L1233" s="46">
        <f t="shared" si="190"/>
        <v>33.75</v>
      </c>
      <c r="M1233" s="47">
        <f t="shared" si="191"/>
        <v>101.25</v>
      </c>
      <c r="N1233" s="48">
        <v>0.16</v>
      </c>
      <c r="O1233" s="49">
        <f t="shared" si="192"/>
        <v>16.2</v>
      </c>
      <c r="P1233" s="50">
        <f t="shared" si="193"/>
        <v>117.45</v>
      </c>
      <c r="Q1233" s="23"/>
      <c r="R1233" s="60"/>
      <c r="S1233" s="61"/>
      <c r="T1233" s="62">
        <f t="shared" si="194"/>
        <v>0</v>
      </c>
      <c r="U1233" s="46">
        <f t="shared" si="195"/>
        <v>0</v>
      </c>
      <c r="V1233" s="63">
        <f t="shared" si="196"/>
        <v>0</v>
      </c>
      <c r="W1233" s="49">
        <f t="shared" si="197"/>
        <v>0</v>
      </c>
      <c r="X1233" s="50">
        <f t="shared" si="198"/>
        <v>0</v>
      </c>
      <c r="Y1233"/>
      <c r="Z1233"/>
      <c r="AA1233"/>
    </row>
    <row r="1234" spans="1:27" s="51" customFormat="1" ht="18.600000000000001" hidden="1" customHeight="1" x14ac:dyDescent="0.25">
      <c r="A1234" s="80" t="s">
        <v>2653</v>
      </c>
      <c r="B1234" s="20" t="s">
        <v>9290</v>
      </c>
      <c r="C1234" s="21" t="s">
        <v>9292</v>
      </c>
      <c r="D1234" s="20">
        <v>8436535573252</v>
      </c>
      <c r="E1234" s="22" t="s">
        <v>2779</v>
      </c>
      <c r="F1234" s="22" t="s">
        <v>1937</v>
      </c>
      <c r="G1234" s="22" t="s">
        <v>2655</v>
      </c>
      <c r="H1234" s="83" t="s">
        <v>2780</v>
      </c>
      <c r="I1234" s="23" t="s">
        <v>24</v>
      </c>
      <c r="J1234" s="24">
        <v>135</v>
      </c>
      <c r="K1234" s="25">
        <v>0.25</v>
      </c>
      <c r="L1234" s="26">
        <f t="shared" si="190"/>
        <v>33.75</v>
      </c>
      <c r="M1234" s="27">
        <f t="shared" si="191"/>
        <v>101.25</v>
      </c>
      <c r="N1234" s="28">
        <v>0.16</v>
      </c>
      <c r="O1234" s="29">
        <f t="shared" si="192"/>
        <v>16.2</v>
      </c>
      <c r="P1234" s="30">
        <f t="shared" si="193"/>
        <v>117.45</v>
      </c>
      <c r="Q1234" s="23"/>
      <c r="R1234" s="52"/>
      <c r="S1234" s="53"/>
      <c r="T1234" s="54">
        <f t="shared" si="194"/>
        <v>0</v>
      </c>
      <c r="U1234" s="26">
        <f t="shared" si="195"/>
        <v>0</v>
      </c>
      <c r="V1234" s="55">
        <f t="shared" si="196"/>
        <v>0</v>
      </c>
      <c r="W1234" s="29">
        <f t="shared" si="197"/>
        <v>0</v>
      </c>
      <c r="X1234" s="30">
        <f t="shared" si="198"/>
        <v>0</v>
      </c>
      <c r="Y1234"/>
      <c r="Z1234"/>
      <c r="AA1234"/>
    </row>
    <row r="1235" spans="1:27" s="51" customFormat="1" ht="18.600000000000001" hidden="1" customHeight="1" x14ac:dyDescent="0.25">
      <c r="A1235" s="81" t="s">
        <v>2653</v>
      </c>
      <c r="B1235" s="31" t="s">
        <v>9290</v>
      </c>
      <c r="C1235" s="32" t="s">
        <v>9292</v>
      </c>
      <c r="D1235" s="31">
        <v>8436535573269</v>
      </c>
      <c r="E1235" s="33" t="s">
        <v>2781</v>
      </c>
      <c r="F1235" s="33" t="s">
        <v>1937</v>
      </c>
      <c r="G1235" s="33" t="s">
        <v>2655</v>
      </c>
      <c r="H1235" s="84" t="s">
        <v>2782</v>
      </c>
      <c r="I1235" s="23" t="s">
        <v>24</v>
      </c>
      <c r="J1235" s="34">
        <v>135</v>
      </c>
      <c r="K1235" s="35">
        <v>0.25</v>
      </c>
      <c r="L1235" s="36">
        <f t="shared" si="190"/>
        <v>33.75</v>
      </c>
      <c r="M1235" s="37">
        <f t="shared" si="191"/>
        <v>101.25</v>
      </c>
      <c r="N1235" s="38">
        <v>0.16</v>
      </c>
      <c r="O1235" s="39">
        <f t="shared" si="192"/>
        <v>16.2</v>
      </c>
      <c r="P1235" s="40">
        <f t="shared" si="193"/>
        <v>117.45</v>
      </c>
      <c r="Q1235" s="23"/>
      <c r="R1235" s="56"/>
      <c r="S1235" s="57"/>
      <c r="T1235" s="58">
        <f t="shared" si="194"/>
        <v>0</v>
      </c>
      <c r="U1235" s="36">
        <f t="shared" si="195"/>
        <v>0</v>
      </c>
      <c r="V1235" s="59">
        <f t="shared" si="196"/>
        <v>0</v>
      </c>
      <c r="W1235" s="39">
        <f t="shared" si="197"/>
        <v>0</v>
      </c>
      <c r="X1235" s="40">
        <f t="shared" si="198"/>
        <v>0</v>
      </c>
      <c r="Y1235"/>
      <c r="Z1235"/>
      <c r="AA1235"/>
    </row>
    <row r="1236" spans="1:27" s="51" customFormat="1" ht="18.600000000000001" hidden="1" customHeight="1" x14ac:dyDescent="0.25">
      <c r="A1236" s="82" t="s">
        <v>2653</v>
      </c>
      <c r="B1236" s="41" t="s">
        <v>9290</v>
      </c>
      <c r="C1236" s="42" t="s">
        <v>9292</v>
      </c>
      <c r="D1236" s="41">
        <v>8436535573290</v>
      </c>
      <c r="E1236" s="43" t="s">
        <v>2783</v>
      </c>
      <c r="F1236" s="43" t="s">
        <v>1937</v>
      </c>
      <c r="G1236" s="43" t="s">
        <v>2655</v>
      </c>
      <c r="H1236" s="85" t="s">
        <v>2784</v>
      </c>
      <c r="I1236" s="23" t="s">
        <v>24</v>
      </c>
      <c r="J1236" s="44">
        <v>135</v>
      </c>
      <c r="K1236" s="45">
        <v>0.25</v>
      </c>
      <c r="L1236" s="46">
        <f t="shared" si="190"/>
        <v>33.75</v>
      </c>
      <c r="M1236" s="47">
        <f t="shared" si="191"/>
        <v>101.25</v>
      </c>
      <c r="N1236" s="48">
        <v>0.16</v>
      </c>
      <c r="O1236" s="49">
        <f t="shared" si="192"/>
        <v>16.2</v>
      </c>
      <c r="P1236" s="50">
        <f t="shared" si="193"/>
        <v>117.45</v>
      </c>
      <c r="Q1236" s="23"/>
      <c r="R1236" s="60"/>
      <c r="S1236" s="61"/>
      <c r="T1236" s="62">
        <f t="shared" si="194"/>
        <v>0</v>
      </c>
      <c r="U1236" s="46">
        <f t="shared" si="195"/>
        <v>0</v>
      </c>
      <c r="V1236" s="63">
        <f t="shared" si="196"/>
        <v>0</v>
      </c>
      <c r="W1236" s="49">
        <f t="shared" si="197"/>
        <v>0</v>
      </c>
      <c r="X1236" s="50">
        <f t="shared" si="198"/>
        <v>0</v>
      </c>
      <c r="Y1236"/>
      <c r="Z1236"/>
      <c r="AA1236"/>
    </row>
    <row r="1237" spans="1:27" s="51" customFormat="1" ht="18.600000000000001" hidden="1" customHeight="1" x14ac:dyDescent="0.25">
      <c r="A1237" s="80" t="s">
        <v>2653</v>
      </c>
      <c r="B1237" s="20" t="s">
        <v>9290</v>
      </c>
      <c r="C1237" s="21" t="s">
        <v>9292</v>
      </c>
      <c r="D1237" s="20">
        <v>8436535573306</v>
      </c>
      <c r="E1237" s="22" t="s">
        <v>2785</v>
      </c>
      <c r="F1237" s="22" t="s">
        <v>1937</v>
      </c>
      <c r="G1237" s="22" t="s">
        <v>2655</v>
      </c>
      <c r="H1237" s="83" t="s">
        <v>2786</v>
      </c>
      <c r="I1237" s="23" t="s">
        <v>24</v>
      </c>
      <c r="J1237" s="24">
        <v>135</v>
      </c>
      <c r="K1237" s="25">
        <v>0.25</v>
      </c>
      <c r="L1237" s="26">
        <f t="shared" si="190"/>
        <v>33.75</v>
      </c>
      <c r="M1237" s="27">
        <f t="shared" si="191"/>
        <v>101.25</v>
      </c>
      <c r="N1237" s="28">
        <v>0.16</v>
      </c>
      <c r="O1237" s="29">
        <f t="shared" si="192"/>
        <v>16.2</v>
      </c>
      <c r="P1237" s="30">
        <f t="shared" si="193"/>
        <v>117.45</v>
      </c>
      <c r="Q1237" s="23"/>
      <c r="R1237" s="52"/>
      <c r="S1237" s="53"/>
      <c r="T1237" s="54">
        <f t="shared" si="194"/>
        <v>0</v>
      </c>
      <c r="U1237" s="26">
        <f t="shared" si="195"/>
        <v>0</v>
      </c>
      <c r="V1237" s="55">
        <f t="shared" si="196"/>
        <v>0</v>
      </c>
      <c r="W1237" s="29">
        <f t="shared" si="197"/>
        <v>0</v>
      </c>
      <c r="X1237" s="30">
        <f t="shared" si="198"/>
        <v>0</v>
      </c>
      <c r="Y1237"/>
      <c r="Z1237"/>
      <c r="AA1237"/>
    </row>
    <row r="1238" spans="1:27" s="51" customFormat="1" ht="18.600000000000001" hidden="1" customHeight="1" x14ac:dyDescent="0.25">
      <c r="A1238" s="81" t="s">
        <v>2653</v>
      </c>
      <c r="B1238" s="31" t="s">
        <v>9290</v>
      </c>
      <c r="C1238" s="32" t="s">
        <v>9292</v>
      </c>
      <c r="D1238" s="31">
        <v>8436535573511</v>
      </c>
      <c r="E1238" s="33" t="s">
        <v>2787</v>
      </c>
      <c r="F1238" s="33" t="s">
        <v>1937</v>
      </c>
      <c r="G1238" s="33" t="s">
        <v>2655</v>
      </c>
      <c r="H1238" s="84" t="s">
        <v>2788</v>
      </c>
      <c r="I1238" s="23" t="s">
        <v>24</v>
      </c>
      <c r="J1238" s="34">
        <v>135</v>
      </c>
      <c r="K1238" s="35">
        <v>0.25</v>
      </c>
      <c r="L1238" s="36">
        <f t="shared" si="190"/>
        <v>33.75</v>
      </c>
      <c r="M1238" s="37">
        <f t="shared" si="191"/>
        <v>101.25</v>
      </c>
      <c r="N1238" s="38">
        <v>0.16</v>
      </c>
      <c r="O1238" s="39">
        <f t="shared" si="192"/>
        <v>16.2</v>
      </c>
      <c r="P1238" s="40">
        <f t="shared" si="193"/>
        <v>117.45</v>
      </c>
      <c r="Q1238" s="23"/>
      <c r="R1238" s="56"/>
      <c r="S1238" s="57"/>
      <c r="T1238" s="58">
        <f t="shared" si="194"/>
        <v>0</v>
      </c>
      <c r="U1238" s="36">
        <f t="shared" si="195"/>
        <v>0</v>
      </c>
      <c r="V1238" s="59">
        <f t="shared" si="196"/>
        <v>0</v>
      </c>
      <c r="W1238" s="39">
        <f t="shared" si="197"/>
        <v>0</v>
      </c>
      <c r="X1238" s="40">
        <f t="shared" si="198"/>
        <v>0</v>
      </c>
      <c r="Y1238"/>
      <c r="Z1238"/>
      <c r="AA1238"/>
    </row>
    <row r="1239" spans="1:27" s="51" customFormat="1" ht="18.600000000000001" hidden="1" customHeight="1" x14ac:dyDescent="0.25">
      <c r="A1239" s="82" t="s">
        <v>2653</v>
      </c>
      <c r="B1239" s="41" t="s">
        <v>9290</v>
      </c>
      <c r="C1239" s="42" t="s">
        <v>9292</v>
      </c>
      <c r="D1239" s="41">
        <v>8436535573528</v>
      </c>
      <c r="E1239" s="43" t="s">
        <v>2789</v>
      </c>
      <c r="F1239" s="43" t="s">
        <v>1937</v>
      </c>
      <c r="G1239" s="43" t="s">
        <v>2655</v>
      </c>
      <c r="H1239" s="85" t="s">
        <v>2790</v>
      </c>
      <c r="I1239" s="23" t="s">
        <v>24</v>
      </c>
      <c r="J1239" s="44">
        <v>135</v>
      </c>
      <c r="K1239" s="45">
        <v>0.25</v>
      </c>
      <c r="L1239" s="46">
        <f t="shared" ref="L1239:L1302" si="199">+J1239*K1239</f>
        <v>33.75</v>
      </c>
      <c r="M1239" s="47">
        <f t="shared" ref="M1239:M1302" si="200">+J1239-L1239</f>
        <v>101.25</v>
      </c>
      <c r="N1239" s="48">
        <v>0.16</v>
      </c>
      <c r="O1239" s="49">
        <f t="shared" ref="O1239:O1302" si="201">+M1239*N1239</f>
        <v>16.2</v>
      </c>
      <c r="P1239" s="50">
        <f t="shared" ref="P1239:P1302" si="202">+M1239+O1239</f>
        <v>117.45</v>
      </c>
      <c r="Q1239" s="23"/>
      <c r="R1239" s="60"/>
      <c r="S1239" s="61"/>
      <c r="T1239" s="62">
        <f t="shared" ref="T1239:T1302" si="203">+S1239*J1239</f>
        <v>0</v>
      </c>
      <c r="U1239" s="46">
        <f t="shared" ref="U1239:U1302" si="204">+T1239*K1239</f>
        <v>0</v>
      </c>
      <c r="V1239" s="63">
        <f t="shared" ref="V1239:V1302" si="205">+T1239-U1239</f>
        <v>0</v>
      </c>
      <c r="W1239" s="49">
        <f t="shared" ref="W1239:W1302" si="206">+V1239*N1239</f>
        <v>0</v>
      </c>
      <c r="X1239" s="50">
        <f t="shared" ref="X1239:X1302" si="207">+V1239+W1239</f>
        <v>0</v>
      </c>
      <c r="Y1239"/>
      <c r="Z1239"/>
      <c r="AA1239"/>
    </row>
    <row r="1240" spans="1:27" s="51" customFormat="1" ht="18.600000000000001" hidden="1" customHeight="1" x14ac:dyDescent="0.25">
      <c r="A1240" s="80" t="s">
        <v>2653</v>
      </c>
      <c r="B1240" s="20" t="s">
        <v>9290</v>
      </c>
      <c r="C1240" s="21" t="s">
        <v>9292</v>
      </c>
      <c r="D1240" s="20">
        <v>8436535573535</v>
      </c>
      <c r="E1240" s="22" t="s">
        <v>2791</v>
      </c>
      <c r="F1240" s="22" t="s">
        <v>1937</v>
      </c>
      <c r="G1240" s="22" t="s">
        <v>2655</v>
      </c>
      <c r="H1240" s="83" t="s">
        <v>2792</v>
      </c>
      <c r="I1240" s="23" t="s">
        <v>24</v>
      </c>
      <c r="J1240" s="24">
        <v>135</v>
      </c>
      <c r="K1240" s="25">
        <v>0.25</v>
      </c>
      <c r="L1240" s="26">
        <f t="shared" si="199"/>
        <v>33.75</v>
      </c>
      <c r="M1240" s="27">
        <f t="shared" si="200"/>
        <v>101.25</v>
      </c>
      <c r="N1240" s="28">
        <v>0.16</v>
      </c>
      <c r="O1240" s="29">
        <f t="shared" si="201"/>
        <v>16.2</v>
      </c>
      <c r="P1240" s="30">
        <f t="shared" si="202"/>
        <v>117.45</v>
      </c>
      <c r="Q1240" s="23"/>
      <c r="R1240" s="52"/>
      <c r="S1240" s="53"/>
      <c r="T1240" s="54">
        <f t="shared" si="203"/>
        <v>0</v>
      </c>
      <c r="U1240" s="26">
        <f t="shared" si="204"/>
        <v>0</v>
      </c>
      <c r="V1240" s="55">
        <f t="shared" si="205"/>
        <v>0</v>
      </c>
      <c r="W1240" s="29">
        <f t="shared" si="206"/>
        <v>0</v>
      </c>
      <c r="X1240" s="30">
        <f t="shared" si="207"/>
        <v>0</v>
      </c>
      <c r="Y1240"/>
      <c r="Z1240"/>
      <c r="AA1240"/>
    </row>
    <row r="1241" spans="1:27" s="51" customFormat="1" ht="18.600000000000001" hidden="1" customHeight="1" x14ac:dyDescent="0.25">
      <c r="A1241" s="81" t="s">
        <v>2653</v>
      </c>
      <c r="B1241" s="31" t="s">
        <v>9290</v>
      </c>
      <c r="C1241" s="32" t="s">
        <v>9292</v>
      </c>
      <c r="D1241" s="31">
        <v>8436535573542</v>
      </c>
      <c r="E1241" s="33" t="s">
        <v>2793</v>
      </c>
      <c r="F1241" s="33" t="s">
        <v>1937</v>
      </c>
      <c r="G1241" s="33" t="s">
        <v>2655</v>
      </c>
      <c r="H1241" s="84" t="s">
        <v>2794</v>
      </c>
      <c r="I1241" s="23" t="s">
        <v>24</v>
      </c>
      <c r="J1241" s="34">
        <v>135</v>
      </c>
      <c r="K1241" s="35">
        <v>0.25</v>
      </c>
      <c r="L1241" s="36">
        <f t="shared" si="199"/>
        <v>33.75</v>
      </c>
      <c r="M1241" s="37">
        <f t="shared" si="200"/>
        <v>101.25</v>
      </c>
      <c r="N1241" s="38">
        <v>0.16</v>
      </c>
      <c r="O1241" s="39">
        <f t="shared" si="201"/>
        <v>16.2</v>
      </c>
      <c r="P1241" s="40">
        <f t="shared" si="202"/>
        <v>117.45</v>
      </c>
      <c r="Q1241" s="23"/>
      <c r="R1241" s="56"/>
      <c r="S1241" s="57"/>
      <c r="T1241" s="58">
        <f t="shared" si="203"/>
        <v>0</v>
      </c>
      <c r="U1241" s="36">
        <f t="shared" si="204"/>
        <v>0</v>
      </c>
      <c r="V1241" s="59">
        <f t="shared" si="205"/>
        <v>0</v>
      </c>
      <c r="W1241" s="39">
        <f t="shared" si="206"/>
        <v>0</v>
      </c>
      <c r="X1241" s="40">
        <f t="shared" si="207"/>
        <v>0</v>
      </c>
      <c r="Y1241"/>
      <c r="Z1241"/>
      <c r="AA1241"/>
    </row>
    <row r="1242" spans="1:27" s="51" customFormat="1" ht="18.600000000000001" hidden="1" customHeight="1" x14ac:dyDescent="0.25">
      <c r="A1242" s="82" t="s">
        <v>2653</v>
      </c>
      <c r="B1242" s="41" t="s">
        <v>9290</v>
      </c>
      <c r="C1242" s="42" t="s">
        <v>9292</v>
      </c>
      <c r="D1242" s="41">
        <v>8436535573559</v>
      </c>
      <c r="E1242" s="43" t="s">
        <v>2795</v>
      </c>
      <c r="F1242" s="43" t="s">
        <v>1937</v>
      </c>
      <c r="G1242" s="43" t="s">
        <v>2655</v>
      </c>
      <c r="H1242" s="85" t="s">
        <v>2796</v>
      </c>
      <c r="I1242" s="23" t="s">
        <v>24</v>
      </c>
      <c r="J1242" s="44">
        <v>135</v>
      </c>
      <c r="K1242" s="45">
        <v>0.25</v>
      </c>
      <c r="L1242" s="46">
        <f t="shared" si="199"/>
        <v>33.75</v>
      </c>
      <c r="M1242" s="47">
        <f t="shared" si="200"/>
        <v>101.25</v>
      </c>
      <c r="N1242" s="48">
        <v>0.16</v>
      </c>
      <c r="O1242" s="49">
        <f t="shared" si="201"/>
        <v>16.2</v>
      </c>
      <c r="P1242" s="50">
        <f t="shared" si="202"/>
        <v>117.45</v>
      </c>
      <c r="Q1242" s="23"/>
      <c r="R1242" s="60"/>
      <c r="S1242" s="61"/>
      <c r="T1242" s="62">
        <f t="shared" si="203"/>
        <v>0</v>
      </c>
      <c r="U1242" s="46">
        <f t="shared" si="204"/>
        <v>0</v>
      </c>
      <c r="V1242" s="63">
        <f t="shared" si="205"/>
        <v>0</v>
      </c>
      <c r="W1242" s="49">
        <f t="shared" si="206"/>
        <v>0</v>
      </c>
      <c r="X1242" s="50">
        <f t="shared" si="207"/>
        <v>0</v>
      </c>
      <c r="Y1242"/>
      <c r="Z1242"/>
      <c r="AA1242"/>
    </row>
    <row r="1243" spans="1:27" s="51" customFormat="1" ht="18.600000000000001" hidden="1" customHeight="1" x14ac:dyDescent="0.25">
      <c r="A1243" s="80" t="s">
        <v>2653</v>
      </c>
      <c r="B1243" s="20" t="s">
        <v>9290</v>
      </c>
      <c r="C1243" s="21" t="s">
        <v>9293</v>
      </c>
      <c r="D1243" s="20">
        <v>8436535570602</v>
      </c>
      <c r="E1243" s="22" t="s">
        <v>2797</v>
      </c>
      <c r="F1243" s="22" t="s">
        <v>1937</v>
      </c>
      <c r="G1243" s="22" t="s">
        <v>2963</v>
      </c>
      <c r="H1243" s="83" t="s">
        <v>2798</v>
      </c>
      <c r="I1243" s="23" t="s">
        <v>24</v>
      </c>
      <c r="J1243" s="24">
        <v>400</v>
      </c>
      <c r="K1243" s="25">
        <v>0.25</v>
      </c>
      <c r="L1243" s="26">
        <f t="shared" si="199"/>
        <v>100</v>
      </c>
      <c r="M1243" s="27">
        <f t="shared" si="200"/>
        <v>300</v>
      </c>
      <c r="N1243" s="28">
        <v>0.16</v>
      </c>
      <c r="O1243" s="29">
        <f t="shared" si="201"/>
        <v>48</v>
      </c>
      <c r="P1243" s="30">
        <f t="shared" si="202"/>
        <v>348</v>
      </c>
      <c r="Q1243" s="23"/>
      <c r="R1243" s="52"/>
      <c r="S1243" s="53"/>
      <c r="T1243" s="54">
        <f t="shared" si="203"/>
        <v>0</v>
      </c>
      <c r="U1243" s="26">
        <f t="shared" si="204"/>
        <v>0</v>
      </c>
      <c r="V1243" s="55">
        <f t="shared" si="205"/>
        <v>0</v>
      </c>
      <c r="W1243" s="29">
        <f t="shared" si="206"/>
        <v>0</v>
      </c>
      <c r="X1243" s="30">
        <f t="shared" si="207"/>
        <v>0</v>
      </c>
      <c r="Y1243"/>
      <c r="Z1243"/>
      <c r="AA1243"/>
    </row>
    <row r="1244" spans="1:27" s="51" customFormat="1" ht="18.600000000000001" hidden="1" customHeight="1" x14ac:dyDescent="0.25">
      <c r="A1244" s="81" t="s">
        <v>2653</v>
      </c>
      <c r="B1244" s="31" t="s">
        <v>9290</v>
      </c>
      <c r="C1244" s="32" t="s">
        <v>9293</v>
      </c>
      <c r="D1244" s="31">
        <v>8436535570619</v>
      </c>
      <c r="E1244" s="33" t="s">
        <v>2799</v>
      </c>
      <c r="F1244" s="33" t="s">
        <v>1937</v>
      </c>
      <c r="G1244" s="33" t="s">
        <v>2963</v>
      </c>
      <c r="H1244" s="84" t="s">
        <v>2800</v>
      </c>
      <c r="I1244" s="23" t="s">
        <v>24</v>
      </c>
      <c r="J1244" s="34">
        <v>405</v>
      </c>
      <c r="K1244" s="35">
        <v>0.25</v>
      </c>
      <c r="L1244" s="36">
        <f t="shared" si="199"/>
        <v>101.25</v>
      </c>
      <c r="M1244" s="37">
        <f t="shared" si="200"/>
        <v>303.75</v>
      </c>
      <c r="N1244" s="38">
        <v>0.16</v>
      </c>
      <c r="O1244" s="39">
        <f t="shared" si="201"/>
        <v>48.6</v>
      </c>
      <c r="P1244" s="40">
        <f t="shared" si="202"/>
        <v>352.35</v>
      </c>
      <c r="Q1244" s="23"/>
      <c r="R1244" s="56"/>
      <c r="S1244" s="57"/>
      <c r="T1244" s="58">
        <f t="shared" si="203"/>
        <v>0</v>
      </c>
      <c r="U1244" s="36">
        <f t="shared" si="204"/>
        <v>0</v>
      </c>
      <c r="V1244" s="59">
        <f t="shared" si="205"/>
        <v>0</v>
      </c>
      <c r="W1244" s="39">
        <f t="shared" si="206"/>
        <v>0</v>
      </c>
      <c r="X1244" s="40">
        <f t="shared" si="207"/>
        <v>0</v>
      </c>
      <c r="Y1244"/>
      <c r="Z1244"/>
      <c r="AA1244"/>
    </row>
    <row r="1245" spans="1:27" s="51" customFormat="1" ht="18.600000000000001" hidden="1" customHeight="1" x14ac:dyDescent="0.25">
      <c r="A1245" s="82" t="s">
        <v>2653</v>
      </c>
      <c r="B1245" s="41" t="s">
        <v>9290</v>
      </c>
      <c r="C1245" s="42" t="s">
        <v>9293</v>
      </c>
      <c r="D1245" s="41">
        <v>8436535570626</v>
      </c>
      <c r="E1245" s="43" t="s">
        <v>2801</v>
      </c>
      <c r="F1245" s="43" t="s">
        <v>1937</v>
      </c>
      <c r="G1245" s="43" t="s">
        <v>2963</v>
      </c>
      <c r="H1245" s="85" t="s">
        <v>2802</v>
      </c>
      <c r="I1245" s="23" t="s">
        <v>24</v>
      </c>
      <c r="J1245" s="44">
        <v>405</v>
      </c>
      <c r="K1245" s="45">
        <v>0.25</v>
      </c>
      <c r="L1245" s="46">
        <f t="shared" si="199"/>
        <v>101.25</v>
      </c>
      <c r="M1245" s="47">
        <f t="shared" si="200"/>
        <v>303.75</v>
      </c>
      <c r="N1245" s="48">
        <v>0.16</v>
      </c>
      <c r="O1245" s="49">
        <f t="shared" si="201"/>
        <v>48.6</v>
      </c>
      <c r="P1245" s="50">
        <f t="shared" si="202"/>
        <v>352.35</v>
      </c>
      <c r="Q1245" s="23"/>
      <c r="R1245" s="60"/>
      <c r="S1245" s="61"/>
      <c r="T1245" s="62">
        <f t="shared" si="203"/>
        <v>0</v>
      </c>
      <c r="U1245" s="46">
        <f t="shared" si="204"/>
        <v>0</v>
      </c>
      <c r="V1245" s="63">
        <f t="shared" si="205"/>
        <v>0</v>
      </c>
      <c r="W1245" s="49">
        <f t="shared" si="206"/>
        <v>0</v>
      </c>
      <c r="X1245" s="50">
        <f t="shared" si="207"/>
        <v>0</v>
      </c>
      <c r="Y1245"/>
      <c r="Z1245"/>
      <c r="AA1245"/>
    </row>
    <row r="1246" spans="1:27" s="51" customFormat="1" ht="18.600000000000001" hidden="1" customHeight="1" x14ac:dyDescent="0.25">
      <c r="A1246" s="80" t="s">
        <v>2653</v>
      </c>
      <c r="B1246" s="20" t="s">
        <v>9290</v>
      </c>
      <c r="C1246" s="21" t="s">
        <v>9293</v>
      </c>
      <c r="D1246" s="20">
        <v>8436535570633</v>
      </c>
      <c r="E1246" s="22" t="s">
        <v>2803</v>
      </c>
      <c r="F1246" s="22" t="s">
        <v>1937</v>
      </c>
      <c r="G1246" s="22" t="s">
        <v>2963</v>
      </c>
      <c r="H1246" s="83" t="s">
        <v>2804</v>
      </c>
      <c r="I1246" s="23" t="s">
        <v>24</v>
      </c>
      <c r="J1246" s="24">
        <v>405</v>
      </c>
      <c r="K1246" s="25">
        <v>0.25</v>
      </c>
      <c r="L1246" s="26">
        <f t="shared" si="199"/>
        <v>101.25</v>
      </c>
      <c r="M1246" s="27">
        <f t="shared" si="200"/>
        <v>303.75</v>
      </c>
      <c r="N1246" s="28">
        <v>0.16</v>
      </c>
      <c r="O1246" s="29">
        <f t="shared" si="201"/>
        <v>48.6</v>
      </c>
      <c r="P1246" s="30">
        <f t="shared" si="202"/>
        <v>352.35</v>
      </c>
      <c r="Q1246" s="23"/>
      <c r="R1246" s="52"/>
      <c r="S1246" s="53"/>
      <c r="T1246" s="54">
        <f t="shared" si="203"/>
        <v>0</v>
      </c>
      <c r="U1246" s="26">
        <f t="shared" si="204"/>
        <v>0</v>
      </c>
      <c r="V1246" s="55">
        <f t="shared" si="205"/>
        <v>0</v>
      </c>
      <c r="W1246" s="29">
        <f t="shared" si="206"/>
        <v>0</v>
      </c>
      <c r="X1246" s="30">
        <f t="shared" si="207"/>
        <v>0</v>
      </c>
      <c r="Y1246"/>
      <c r="Z1246"/>
      <c r="AA1246"/>
    </row>
    <row r="1247" spans="1:27" s="51" customFormat="1" ht="18.600000000000001" hidden="1" customHeight="1" x14ac:dyDescent="0.25">
      <c r="A1247" s="81" t="s">
        <v>2653</v>
      </c>
      <c r="B1247" s="31" t="s">
        <v>9290</v>
      </c>
      <c r="C1247" s="32" t="s">
        <v>9293</v>
      </c>
      <c r="D1247" s="31">
        <v>8436535570640</v>
      </c>
      <c r="E1247" s="33" t="s">
        <v>2805</v>
      </c>
      <c r="F1247" s="33" t="s">
        <v>1937</v>
      </c>
      <c r="G1247" s="33" t="s">
        <v>2963</v>
      </c>
      <c r="H1247" s="84" t="s">
        <v>2806</v>
      </c>
      <c r="I1247" s="23" t="s">
        <v>24</v>
      </c>
      <c r="J1247" s="34">
        <v>405</v>
      </c>
      <c r="K1247" s="35">
        <v>0.25</v>
      </c>
      <c r="L1247" s="36">
        <f t="shared" si="199"/>
        <v>101.25</v>
      </c>
      <c r="M1247" s="37">
        <f t="shared" si="200"/>
        <v>303.75</v>
      </c>
      <c r="N1247" s="38">
        <v>0.16</v>
      </c>
      <c r="O1247" s="39">
        <f t="shared" si="201"/>
        <v>48.6</v>
      </c>
      <c r="P1247" s="40">
        <f t="shared" si="202"/>
        <v>352.35</v>
      </c>
      <c r="Q1247" s="23"/>
      <c r="R1247" s="56"/>
      <c r="S1247" s="57"/>
      <c r="T1247" s="58">
        <f t="shared" si="203"/>
        <v>0</v>
      </c>
      <c r="U1247" s="36">
        <f t="shared" si="204"/>
        <v>0</v>
      </c>
      <c r="V1247" s="59">
        <f t="shared" si="205"/>
        <v>0</v>
      </c>
      <c r="W1247" s="39">
        <f t="shared" si="206"/>
        <v>0</v>
      </c>
      <c r="X1247" s="40">
        <f t="shared" si="207"/>
        <v>0</v>
      </c>
      <c r="Y1247"/>
      <c r="Z1247"/>
      <c r="AA1247"/>
    </row>
    <row r="1248" spans="1:27" s="51" customFormat="1" ht="18.600000000000001" hidden="1" customHeight="1" x14ac:dyDescent="0.25">
      <c r="A1248" s="82" t="s">
        <v>2653</v>
      </c>
      <c r="B1248" s="41" t="s">
        <v>9290</v>
      </c>
      <c r="C1248" s="42" t="s">
        <v>9293</v>
      </c>
      <c r="D1248" s="41">
        <v>8436535570688</v>
      </c>
      <c r="E1248" s="43" t="s">
        <v>2807</v>
      </c>
      <c r="F1248" s="43" t="s">
        <v>1937</v>
      </c>
      <c r="G1248" s="43" t="s">
        <v>2963</v>
      </c>
      <c r="H1248" s="85" t="s">
        <v>2808</v>
      </c>
      <c r="I1248" s="23" t="s">
        <v>24</v>
      </c>
      <c r="J1248" s="44">
        <v>405</v>
      </c>
      <c r="K1248" s="45">
        <v>0.25</v>
      </c>
      <c r="L1248" s="46">
        <f t="shared" si="199"/>
        <v>101.25</v>
      </c>
      <c r="M1248" s="47">
        <f t="shared" si="200"/>
        <v>303.75</v>
      </c>
      <c r="N1248" s="48">
        <v>0.16</v>
      </c>
      <c r="O1248" s="49">
        <f t="shared" si="201"/>
        <v>48.6</v>
      </c>
      <c r="P1248" s="50">
        <f t="shared" si="202"/>
        <v>352.35</v>
      </c>
      <c r="Q1248" s="23"/>
      <c r="R1248" s="60"/>
      <c r="S1248" s="61"/>
      <c r="T1248" s="62">
        <f t="shared" si="203"/>
        <v>0</v>
      </c>
      <c r="U1248" s="46">
        <f t="shared" si="204"/>
        <v>0</v>
      </c>
      <c r="V1248" s="63">
        <f t="shared" si="205"/>
        <v>0</v>
      </c>
      <c r="W1248" s="49">
        <f t="shared" si="206"/>
        <v>0</v>
      </c>
      <c r="X1248" s="50">
        <f t="shared" si="207"/>
        <v>0</v>
      </c>
      <c r="Y1248"/>
      <c r="Z1248"/>
      <c r="AA1248"/>
    </row>
    <row r="1249" spans="1:27" s="51" customFormat="1" ht="18.600000000000001" hidden="1" customHeight="1" x14ac:dyDescent="0.25">
      <c r="A1249" s="80" t="s">
        <v>2653</v>
      </c>
      <c r="B1249" s="20" t="s">
        <v>9290</v>
      </c>
      <c r="C1249" s="21" t="s">
        <v>9293</v>
      </c>
      <c r="D1249" s="20">
        <v>8436535570725</v>
      </c>
      <c r="E1249" s="22" t="s">
        <v>2809</v>
      </c>
      <c r="F1249" s="22" t="s">
        <v>1937</v>
      </c>
      <c r="G1249" s="22" t="s">
        <v>2963</v>
      </c>
      <c r="H1249" s="83" t="s">
        <v>2810</v>
      </c>
      <c r="I1249" s="23" t="s">
        <v>24</v>
      </c>
      <c r="J1249" s="24">
        <v>405</v>
      </c>
      <c r="K1249" s="25">
        <v>0.25</v>
      </c>
      <c r="L1249" s="26">
        <f t="shared" si="199"/>
        <v>101.25</v>
      </c>
      <c r="M1249" s="27">
        <f t="shared" si="200"/>
        <v>303.75</v>
      </c>
      <c r="N1249" s="28">
        <v>0.16</v>
      </c>
      <c r="O1249" s="29">
        <f t="shared" si="201"/>
        <v>48.6</v>
      </c>
      <c r="P1249" s="30">
        <f t="shared" si="202"/>
        <v>352.35</v>
      </c>
      <c r="Q1249" s="23"/>
      <c r="R1249" s="52"/>
      <c r="S1249" s="53"/>
      <c r="T1249" s="54">
        <f t="shared" si="203"/>
        <v>0</v>
      </c>
      <c r="U1249" s="26">
        <f t="shared" si="204"/>
        <v>0</v>
      </c>
      <c r="V1249" s="55">
        <f t="shared" si="205"/>
        <v>0</v>
      </c>
      <c r="W1249" s="29">
        <f t="shared" si="206"/>
        <v>0</v>
      </c>
      <c r="X1249" s="30">
        <f t="shared" si="207"/>
        <v>0</v>
      </c>
      <c r="Y1249"/>
      <c r="Z1249"/>
      <c r="AA1249"/>
    </row>
    <row r="1250" spans="1:27" s="51" customFormat="1" ht="18.600000000000001" hidden="1" customHeight="1" x14ac:dyDescent="0.25">
      <c r="A1250" s="81" t="s">
        <v>2653</v>
      </c>
      <c r="B1250" s="31" t="s">
        <v>9290</v>
      </c>
      <c r="C1250" s="32" t="s">
        <v>9293</v>
      </c>
      <c r="D1250" s="31">
        <v>8436535570732</v>
      </c>
      <c r="E1250" s="33" t="s">
        <v>2811</v>
      </c>
      <c r="F1250" s="33" t="s">
        <v>1937</v>
      </c>
      <c r="G1250" s="33" t="s">
        <v>2963</v>
      </c>
      <c r="H1250" s="84" t="s">
        <v>2812</v>
      </c>
      <c r="I1250" s="23" t="s">
        <v>24</v>
      </c>
      <c r="J1250" s="34">
        <v>405</v>
      </c>
      <c r="K1250" s="35">
        <v>0.25</v>
      </c>
      <c r="L1250" s="36">
        <f t="shared" si="199"/>
        <v>101.25</v>
      </c>
      <c r="M1250" s="37">
        <f t="shared" si="200"/>
        <v>303.75</v>
      </c>
      <c r="N1250" s="38">
        <v>0.16</v>
      </c>
      <c r="O1250" s="39">
        <f t="shared" si="201"/>
        <v>48.6</v>
      </c>
      <c r="P1250" s="40">
        <f t="shared" si="202"/>
        <v>352.35</v>
      </c>
      <c r="Q1250" s="23"/>
      <c r="R1250" s="56"/>
      <c r="S1250" s="57"/>
      <c r="T1250" s="58">
        <f t="shared" si="203"/>
        <v>0</v>
      </c>
      <c r="U1250" s="36">
        <f t="shared" si="204"/>
        <v>0</v>
      </c>
      <c r="V1250" s="59">
        <f t="shared" si="205"/>
        <v>0</v>
      </c>
      <c r="W1250" s="39">
        <f t="shared" si="206"/>
        <v>0</v>
      </c>
      <c r="X1250" s="40">
        <f t="shared" si="207"/>
        <v>0</v>
      </c>
      <c r="Y1250"/>
      <c r="Z1250"/>
      <c r="AA1250"/>
    </row>
    <row r="1251" spans="1:27" s="51" customFormat="1" ht="18.600000000000001" hidden="1" customHeight="1" x14ac:dyDescent="0.25">
      <c r="A1251" s="82" t="s">
        <v>2653</v>
      </c>
      <c r="B1251" s="41" t="s">
        <v>9290</v>
      </c>
      <c r="C1251" s="42" t="s">
        <v>9293</v>
      </c>
      <c r="D1251" s="41">
        <v>8436535570770</v>
      </c>
      <c r="E1251" s="43" t="s">
        <v>2813</v>
      </c>
      <c r="F1251" s="43" t="s">
        <v>1937</v>
      </c>
      <c r="G1251" s="43" t="s">
        <v>9949</v>
      </c>
      <c r="H1251" s="85" t="s">
        <v>2814</v>
      </c>
      <c r="I1251" s="23" t="s">
        <v>24</v>
      </c>
      <c r="J1251" s="44">
        <v>540</v>
      </c>
      <c r="K1251" s="45">
        <v>0.25</v>
      </c>
      <c r="L1251" s="46">
        <f t="shared" si="199"/>
        <v>135</v>
      </c>
      <c r="M1251" s="47">
        <f t="shared" si="200"/>
        <v>405</v>
      </c>
      <c r="N1251" s="48">
        <v>0.16</v>
      </c>
      <c r="O1251" s="49">
        <f t="shared" si="201"/>
        <v>64.8</v>
      </c>
      <c r="P1251" s="50">
        <f t="shared" si="202"/>
        <v>469.8</v>
      </c>
      <c r="Q1251" s="23"/>
      <c r="R1251" s="60"/>
      <c r="S1251" s="61"/>
      <c r="T1251" s="62">
        <f t="shared" si="203"/>
        <v>0</v>
      </c>
      <c r="U1251" s="46">
        <f t="shared" si="204"/>
        <v>0</v>
      </c>
      <c r="V1251" s="63">
        <f t="shared" si="205"/>
        <v>0</v>
      </c>
      <c r="W1251" s="49">
        <f t="shared" si="206"/>
        <v>0</v>
      </c>
      <c r="X1251" s="50">
        <f t="shared" si="207"/>
        <v>0</v>
      </c>
      <c r="Y1251"/>
      <c r="Z1251"/>
      <c r="AA1251"/>
    </row>
    <row r="1252" spans="1:27" s="51" customFormat="1" ht="18.600000000000001" hidden="1" customHeight="1" x14ac:dyDescent="0.25">
      <c r="A1252" s="80" t="s">
        <v>2653</v>
      </c>
      <c r="B1252" s="20" t="s">
        <v>9290</v>
      </c>
      <c r="C1252" s="21" t="s">
        <v>9293</v>
      </c>
      <c r="D1252" s="20">
        <v>8436535570879</v>
      </c>
      <c r="E1252" s="22" t="s">
        <v>2815</v>
      </c>
      <c r="F1252" s="22" t="s">
        <v>1937</v>
      </c>
      <c r="G1252" s="22" t="s">
        <v>9950</v>
      </c>
      <c r="H1252" s="83" t="s">
        <v>2816</v>
      </c>
      <c r="I1252" s="23" t="s">
        <v>24</v>
      </c>
      <c r="J1252" s="24">
        <v>675</v>
      </c>
      <c r="K1252" s="25">
        <v>0.25</v>
      </c>
      <c r="L1252" s="26">
        <f t="shared" si="199"/>
        <v>168.75</v>
      </c>
      <c r="M1252" s="27">
        <f t="shared" si="200"/>
        <v>506.25</v>
      </c>
      <c r="N1252" s="28">
        <v>0.16</v>
      </c>
      <c r="O1252" s="29">
        <f t="shared" si="201"/>
        <v>81</v>
      </c>
      <c r="P1252" s="30">
        <f t="shared" si="202"/>
        <v>587.25</v>
      </c>
      <c r="Q1252" s="23"/>
      <c r="R1252" s="52"/>
      <c r="S1252" s="53"/>
      <c r="T1252" s="54">
        <f t="shared" si="203"/>
        <v>0</v>
      </c>
      <c r="U1252" s="26">
        <f t="shared" si="204"/>
        <v>0</v>
      </c>
      <c r="V1252" s="55">
        <f t="shared" si="205"/>
        <v>0</v>
      </c>
      <c r="W1252" s="29">
        <f t="shared" si="206"/>
        <v>0</v>
      </c>
      <c r="X1252" s="30">
        <f t="shared" si="207"/>
        <v>0</v>
      </c>
      <c r="Y1252"/>
      <c r="Z1252"/>
      <c r="AA1252"/>
    </row>
    <row r="1253" spans="1:27" s="51" customFormat="1" ht="18.600000000000001" hidden="1" customHeight="1" x14ac:dyDescent="0.25">
      <c r="A1253" s="81" t="s">
        <v>2653</v>
      </c>
      <c r="B1253" s="31" t="s">
        <v>9290</v>
      </c>
      <c r="C1253" s="32" t="s">
        <v>9293</v>
      </c>
      <c r="D1253" s="31">
        <v>8436535570916</v>
      </c>
      <c r="E1253" s="33" t="s">
        <v>2817</v>
      </c>
      <c r="F1253" s="33" t="s">
        <v>1937</v>
      </c>
      <c r="G1253" s="33" t="s">
        <v>2963</v>
      </c>
      <c r="H1253" s="84" t="s">
        <v>2818</v>
      </c>
      <c r="I1253" s="23" t="s">
        <v>24</v>
      </c>
      <c r="J1253" s="34">
        <v>360</v>
      </c>
      <c r="K1253" s="35">
        <v>0.25</v>
      </c>
      <c r="L1253" s="36">
        <f t="shared" si="199"/>
        <v>90</v>
      </c>
      <c r="M1253" s="37">
        <f t="shared" si="200"/>
        <v>270</v>
      </c>
      <c r="N1253" s="38">
        <v>0.16</v>
      </c>
      <c r="O1253" s="39">
        <f t="shared" si="201"/>
        <v>43.2</v>
      </c>
      <c r="P1253" s="40">
        <f t="shared" si="202"/>
        <v>313.2</v>
      </c>
      <c r="Q1253" s="23"/>
      <c r="R1253" s="56"/>
      <c r="S1253" s="57"/>
      <c r="T1253" s="58">
        <f t="shared" si="203"/>
        <v>0</v>
      </c>
      <c r="U1253" s="36">
        <f t="shared" si="204"/>
        <v>0</v>
      </c>
      <c r="V1253" s="59">
        <f t="shared" si="205"/>
        <v>0</v>
      </c>
      <c r="W1253" s="39">
        <f t="shared" si="206"/>
        <v>0</v>
      </c>
      <c r="X1253" s="40">
        <f t="shared" si="207"/>
        <v>0</v>
      </c>
      <c r="Y1253"/>
      <c r="Z1253"/>
      <c r="AA1253"/>
    </row>
    <row r="1254" spans="1:27" s="51" customFormat="1" ht="18.600000000000001" hidden="1" customHeight="1" x14ac:dyDescent="0.25">
      <c r="A1254" s="82" t="s">
        <v>2653</v>
      </c>
      <c r="B1254" s="41" t="s">
        <v>9290</v>
      </c>
      <c r="C1254" s="42" t="s">
        <v>9293</v>
      </c>
      <c r="D1254" s="41">
        <v>8436535571203</v>
      </c>
      <c r="E1254" s="43" t="s">
        <v>2819</v>
      </c>
      <c r="F1254" s="43" t="s">
        <v>1937</v>
      </c>
      <c r="G1254" s="43" t="s">
        <v>2963</v>
      </c>
      <c r="H1254" s="85" t="s">
        <v>2820</v>
      </c>
      <c r="I1254" s="23" t="s">
        <v>24</v>
      </c>
      <c r="J1254" s="44">
        <v>360</v>
      </c>
      <c r="K1254" s="45">
        <v>0.25</v>
      </c>
      <c r="L1254" s="46">
        <f t="shared" si="199"/>
        <v>90</v>
      </c>
      <c r="M1254" s="47">
        <f t="shared" si="200"/>
        <v>270</v>
      </c>
      <c r="N1254" s="48">
        <v>0.16</v>
      </c>
      <c r="O1254" s="49">
        <f t="shared" si="201"/>
        <v>43.2</v>
      </c>
      <c r="P1254" s="50">
        <f t="shared" si="202"/>
        <v>313.2</v>
      </c>
      <c r="Q1254" s="23"/>
      <c r="R1254" s="60"/>
      <c r="S1254" s="61"/>
      <c r="T1254" s="62">
        <f t="shared" si="203"/>
        <v>0</v>
      </c>
      <c r="U1254" s="46">
        <f t="shared" si="204"/>
        <v>0</v>
      </c>
      <c r="V1254" s="63">
        <f t="shared" si="205"/>
        <v>0</v>
      </c>
      <c r="W1254" s="49">
        <f t="shared" si="206"/>
        <v>0</v>
      </c>
      <c r="X1254" s="50">
        <f t="shared" si="207"/>
        <v>0</v>
      </c>
      <c r="Y1254"/>
      <c r="Z1254"/>
      <c r="AA1254"/>
    </row>
    <row r="1255" spans="1:27" s="51" customFormat="1" ht="18.600000000000001" hidden="1" customHeight="1" x14ac:dyDescent="0.25">
      <c r="A1255" s="80" t="s">
        <v>2653</v>
      </c>
      <c r="B1255" s="20" t="s">
        <v>9290</v>
      </c>
      <c r="C1255" s="21" t="s">
        <v>9293</v>
      </c>
      <c r="D1255" s="20">
        <v>8436564920379</v>
      </c>
      <c r="E1255" s="22" t="s">
        <v>2821</v>
      </c>
      <c r="F1255" s="22" t="s">
        <v>1937</v>
      </c>
      <c r="G1255" s="22" t="s">
        <v>9951</v>
      </c>
      <c r="H1255" s="83" t="s">
        <v>2822</v>
      </c>
      <c r="I1255" s="23" t="s">
        <v>24</v>
      </c>
      <c r="J1255" s="24">
        <v>450</v>
      </c>
      <c r="K1255" s="25">
        <v>0.25</v>
      </c>
      <c r="L1255" s="26">
        <f t="shared" si="199"/>
        <v>112.5</v>
      </c>
      <c r="M1255" s="27">
        <f t="shared" si="200"/>
        <v>337.5</v>
      </c>
      <c r="N1255" s="28">
        <v>0.16</v>
      </c>
      <c r="O1255" s="29">
        <f t="shared" si="201"/>
        <v>54</v>
      </c>
      <c r="P1255" s="30">
        <f t="shared" si="202"/>
        <v>391.5</v>
      </c>
      <c r="Q1255" s="23"/>
      <c r="R1255" s="52"/>
      <c r="S1255" s="53"/>
      <c r="T1255" s="54">
        <f t="shared" si="203"/>
        <v>0</v>
      </c>
      <c r="U1255" s="26">
        <f t="shared" si="204"/>
        <v>0</v>
      </c>
      <c r="V1255" s="55">
        <f t="shared" si="205"/>
        <v>0</v>
      </c>
      <c r="W1255" s="29">
        <f t="shared" si="206"/>
        <v>0</v>
      </c>
      <c r="X1255" s="30">
        <f t="shared" si="207"/>
        <v>0</v>
      </c>
      <c r="Y1255"/>
      <c r="Z1255"/>
      <c r="AA1255"/>
    </row>
    <row r="1256" spans="1:27" s="51" customFormat="1" ht="18.600000000000001" hidden="1" customHeight="1" x14ac:dyDescent="0.25">
      <c r="A1256" s="81" t="s">
        <v>2653</v>
      </c>
      <c r="B1256" s="31" t="s">
        <v>9290</v>
      </c>
      <c r="C1256" s="32" t="s">
        <v>9293</v>
      </c>
      <c r="D1256" s="31">
        <v>8436535572606</v>
      </c>
      <c r="E1256" s="33" t="s">
        <v>2823</v>
      </c>
      <c r="F1256" s="33" t="s">
        <v>1937</v>
      </c>
      <c r="G1256" s="33" t="s">
        <v>2963</v>
      </c>
      <c r="H1256" s="84" t="s">
        <v>2824</v>
      </c>
      <c r="I1256" s="23" t="s">
        <v>24</v>
      </c>
      <c r="J1256" s="34">
        <v>405</v>
      </c>
      <c r="K1256" s="35">
        <v>0.25</v>
      </c>
      <c r="L1256" s="36">
        <f t="shared" si="199"/>
        <v>101.25</v>
      </c>
      <c r="M1256" s="37">
        <f t="shared" si="200"/>
        <v>303.75</v>
      </c>
      <c r="N1256" s="38">
        <v>0.16</v>
      </c>
      <c r="O1256" s="39">
        <f t="shared" si="201"/>
        <v>48.6</v>
      </c>
      <c r="P1256" s="40">
        <f t="shared" si="202"/>
        <v>352.35</v>
      </c>
      <c r="Q1256" s="23"/>
      <c r="R1256" s="56"/>
      <c r="S1256" s="57"/>
      <c r="T1256" s="58">
        <f t="shared" si="203"/>
        <v>0</v>
      </c>
      <c r="U1256" s="36">
        <f t="shared" si="204"/>
        <v>0</v>
      </c>
      <c r="V1256" s="59">
        <f t="shared" si="205"/>
        <v>0</v>
      </c>
      <c r="W1256" s="39">
        <f t="shared" si="206"/>
        <v>0</v>
      </c>
      <c r="X1256" s="40">
        <f t="shared" si="207"/>
        <v>0</v>
      </c>
      <c r="Y1256"/>
      <c r="Z1256"/>
      <c r="AA1256"/>
    </row>
    <row r="1257" spans="1:27" s="51" customFormat="1" ht="18.600000000000001" hidden="1" customHeight="1" x14ac:dyDescent="0.25">
      <c r="A1257" s="82" t="s">
        <v>2653</v>
      </c>
      <c r="B1257" s="41" t="s">
        <v>9290</v>
      </c>
      <c r="C1257" s="42" t="s">
        <v>9293</v>
      </c>
      <c r="D1257" s="41">
        <v>8436535575102</v>
      </c>
      <c r="E1257" s="43" t="s">
        <v>2825</v>
      </c>
      <c r="F1257" s="43" t="s">
        <v>1937</v>
      </c>
      <c r="G1257" s="43" t="s">
        <v>2963</v>
      </c>
      <c r="H1257" s="85" t="s">
        <v>2826</v>
      </c>
      <c r="I1257" s="23" t="s">
        <v>24</v>
      </c>
      <c r="J1257" s="44">
        <v>405</v>
      </c>
      <c r="K1257" s="45">
        <v>0.25</v>
      </c>
      <c r="L1257" s="46">
        <f t="shared" si="199"/>
        <v>101.25</v>
      </c>
      <c r="M1257" s="47">
        <f t="shared" si="200"/>
        <v>303.75</v>
      </c>
      <c r="N1257" s="48">
        <v>0.16</v>
      </c>
      <c r="O1257" s="49">
        <f t="shared" si="201"/>
        <v>48.6</v>
      </c>
      <c r="P1257" s="50">
        <f t="shared" si="202"/>
        <v>352.35</v>
      </c>
      <c r="Q1257" s="23"/>
      <c r="R1257" s="60"/>
      <c r="S1257" s="61"/>
      <c r="T1257" s="62">
        <f t="shared" si="203"/>
        <v>0</v>
      </c>
      <c r="U1257" s="46">
        <f t="shared" si="204"/>
        <v>0</v>
      </c>
      <c r="V1257" s="63">
        <f t="shared" si="205"/>
        <v>0</v>
      </c>
      <c r="W1257" s="49">
        <f t="shared" si="206"/>
        <v>0</v>
      </c>
      <c r="X1257" s="50">
        <f t="shared" si="207"/>
        <v>0</v>
      </c>
      <c r="Y1257"/>
      <c r="Z1257"/>
      <c r="AA1257"/>
    </row>
    <row r="1258" spans="1:27" s="51" customFormat="1" ht="18.600000000000001" hidden="1" customHeight="1" x14ac:dyDescent="0.25">
      <c r="A1258" s="80" t="s">
        <v>2653</v>
      </c>
      <c r="B1258" s="20" t="s">
        <v>9290</v>
      </c>
      <c r="C1258" s="21" t="s">
        <v>9293</v>
      </c>
      <c r="D1258" s="20">
        <v>8436535575331</v>
      </c>
      <c r="E1258" s="22" t="s">
        <v>2827</v>
      </c>
      <c r="F1258" s="22" t="s">
        <v>1937</v>
      </c>
      <c r="G1258" s="22" t="s">
        <v>2963</v>
      </c>
      <c r="H1258" s="83" t="s">
        <v>2828</v>
      </c>
      <c r="I1258" s="23" t="s">
        <v>24</v>
      </c>
      <c r="J1258" s="24">
        <v>405</v>
      </c>
      <c r="K1258" s="25">
        <v>0.25</v>
      </c>
      <c r="L1258" s="26">
        <f t="shared" si="199"/>
        <v>101.25</v>
      </c>
      <c r="M1258" s="27">
        <f t="shared" si="200"/>
        <v>303.75</v>
      </c>
      <c r="N1258" s="28">
        <v>0.16</v>
      </c>
      <c r="O1258" s="29">
        <f t="shared" si="201"/>
        <v>48.6</v>
      </c>
      <c r="P1258" s="30">
        <f t="shared" si="202"/>
        <v>352.35</v>
      </c>
      <c r="Q1258" s="23"/>
      <c r="R1258" s="52"/>
      <c r="S1258" s="53"/>
      <c r="T1258" s="54">
        <f t="shared" si="203"/>
        <v>0</v>
      </c>
      <c r="U1258" s="26">
        <f t="shared" si="204"/>
        <v>0</v>
      </c>
      <c r="V1258" s="55">
        <f t="shared" si="205"/>
        <v>0</v>
      </c>
      <c r="W1258" s="29">
        <f t="shared" si="206"/>
        <v>0</v>
      </c>
      <c r="X1258" s="30">
        <f t="shared" si="207"/>
        <v>0</v>
      </c>
      <c r="Y1258"/>
      <c r="Z1258"/>
      <c r="AA1258"/>
    </row>
    <row r="1259" spans="1:27" s="51" customFormat="1" ht="18.600000000000001" hidden="1" customHeight="1" x14ac:dyDescent="0.25">
      <c r="A1259" s="81" t="s">
        <v>2653</v>
      </c>
      <c r="B1259" s="31" t="s">
        <v>9290</v>
      </c>
      <c r="C1259" s="32" t="s">
        <v>9293</v>
      </c>
      <c r="D1259" s="31">
        <v>8436535575379</v>
      </c>
      <c r="E1259" s="33" t="s">
        <v>2829</v>
      </c>
      <c r="F1259" s="33" t="s">
        <v>1937</v>
      </c>
      <c r="G1259" s="33" t="s">
        <v>9950</v>
      </c>
      <c r="H1259" s="84" t="s">
        <v>2830</v>
      </c>
      <c r="I1259" s="23" t="s">
        <v>24</v>
      </c>
      <c r="J1259" s="34">
        <v>675</v>
      </c>
      <c r="K1259" s="35">
        <v>0.25</v>
      </c>
      <c r="L1259" s="36">
        <f t="shared" si="199"/>
        <v>168.75</v>
      </c>
      <c r="M1259" s="37">
        <f t="shared" si="200"/>
        <v>506.25</v>
      </c>
      <c r="N1259" s="38">
        <v>0.16</v>
      </c>
      <c r="O1259" s="39">
        <f t="shared" si="201"/>
        <v>81</v>
      </c>
      <c r="P1259" s="40">
        <f t="shared" si="202"/>
        <v>587.25</v>
      </c>
      <c r="Q1259" s="23"/>
      <c r="R1259" s="56"/>
      <c r="S1259" s="57"/>
      <c r="T1259" s="58">
        <f t="shared" si="203"/>
        <v>0</v>
      </c>
      <c r="U1259" s="36">
        <f t="shared" si="204"/>
        <v>0</v>
      </c>
      <c r="V1259" s="59">
        <f t="shared" si="205"/>
        <v>0</v>
      </c>
      <c r="W1259" s="39">
        <f t="shared" si="206"/>
        <v>0</v>
      </c>
      <c r="X1259" s="40">
        <f t="shared" si="207"/>
        <v>0</v>
      </c>
      <c r="Y1259"/>
      <c r="Z1259"/>
      <c r="AA1259"/>
    </row>
    <row r="1260" spans="1:27" s="51" customFormat="1" ht="18.600000000000001" hidden="1" customHeight="1" x14ac:dyDescent="0.25">
      <c r="A1260" s="82" t="s">
        <v>2653</v>
      </c>
      <c r="B1260" s="41" t="s">
        <v>9290</v>
      </c>
      <c r="C1260" s="42" t="s">
        <v>9293</v>
      </c>
      <c r="D1260" s="41">
        <v>8436535575836</v>
      </c>
      <c r="E1260" s="43" t="s">
        <v>2831</v>
      </c>
      <c r="F1260" s="43" t="s">
        <v>1937</v>
      </c>
      <c r="G1260" s="43" t="s">
        <v>9950</v>
      </c>
      <c r="H1260" s="85" t="s">
        <v>2832</v>
      </c>
      <c r="I1260" s="23" t="s">
        <v>24</v>
      </c>
      <c r="J1260" s="44">
        <v>630</v>
      </c>
      <c r="K1260" s="45">
        <v>0.25</v>
      </c>
      <c r="L1260" s="46">
        <f t="shared" si="199"/>
        <v>157.5</v>
      </c>
      <c r="M1260" s="47">
        <f t="shared" si="200"/>
        <v>472.5</v>
      </c>
      <c r="N1260" s="48">
        <v>0.16</v>
      </c>
      <c r="O1260" s="49">
        <f t="shared" si="201"/>
        <v>75.600000000000009</v>
      </c>
      <c r="P1260" s="50">
        <f t="shared" si="202"/>
        <v>548.1</v>
      </c>
      <c r="Q1260" s="23"/>
      <c r="R1260" s="60"/>
      <c r="S1260" s="61"/>
      <c r="T1260" s="62">
        <f t="shared" si="203"/>
        <v>0</v>
      </c>
      <c r="U1260" s="46">
        <f t="shared" si="204"/>
        <v>0</v>
      </c>
      <c r="V1260" s="63">
        <f t="shared" si="205"/>
        <v>0</v>
      </c>
      <c r="W1260" s="49">
        <f t="shared" si="206"/>
        <v>0</v>
      </c>
      <c r="X1260" s="50">
        <f t="shared" si="207"/>
        <v>0</v>
      </c>
      <c r="Y1260"/>
      <c r="Z1260"/>
      <c r="AA1260"/>
    </row>
    <row r="1261" spans="1:27" s="51" customFormat="1" ht="18.600000000000001" hidden="1" customHeight="1" x14ac:dyDescent="0.25">
      <c r="A1261" s="80" t="s">
        <v>2653</v>
      </c>
      <c r="B1261" s="20" t="s">
        <v>9290</v>
      </c>
      <c r="C1261" s="21" t="s">
        <v>9293</v>
      </c>
      <c r="D1261" s="20">
        <v>8436535576864</v>
      </c>
      <c r="E1261" s="22" t="s">
        <v>2833</v>
      </c>
      <c r="F1261" s="22" t="s">
        <v>1937</v>
      </c>
      <c r="G1261" s="22" t="s">
        <v>2963</v>
      </c>
      <c r="H1261" s="83" t="s">
        <v>2834</v>
      </c>
      <c r="I1261" s="23" t="s">
        <v>24</v>
      </c>
      <c r="J1261" s="24">
        <v>405</v>
      </c>
      <c r="K1261" s="25">
        <v>0.25</v>
      </c>
      <c r="L1261" s="26">
        <f t="shared" si="199"/>
        <v>101.25</v>
      </c>
      <c r="M1261" s="27">
        <f t="shared" si="200"/>
        <v>303.75</v>
      </c>
      <c r="N1261" s="28">
        <v>0.16</v>
      </c>
      <c r="O1261" s="29">
        <f t="shared" si="201"/>
        <v>48.6</v>
      </c>
      <c r="P1261" s="30">
        <f t="shared" si="202"/>
        <v>352.35</v>
      </c>
      <c r="Q1261" s="23"/>
      <c r="R1261" s="52"/>
      <c r="S1261" s="53"/>
      <c r="T1261" s="54">
        <f t="shared" si="203"/>
        <v>0</v>
      </c>
      <c r="U1261" s="26">
        <f t="shared" si="204"/>
        <v>0</v>
      </c>
      <c r="V1261" s="55">
        <f t="shared" si="205"/>
        <v>0</v>
      </c>
      <c r="W1261" s="29">
        <f t="shared" si="206"/>
        <v>0</v>
      </c>
      <c r="X1261" s="30">
        <f t="shared" si="207"/>
        <v>0</v>
      </c>
      <c r="Y1261"/>
      <c r="Z1261"/>
      <c r="AA1261"/>
    </row>
    <row r="1262" spans="1:27" s="51" customFormat="1" ht="18.600000000000001" hidden="1" customHeight="1" x14ac:dyDescent="0.25">
      <c r="A1262" s="81" t="s">
        <v>2653</v>
      </c>
      <c r="B1262" s="31" t="s">
        <v>9290</v>
      </c>
      <c r="C1262" s="32" t="s">
        <v>9293</v>
      </c>
      <c r="D1262" s="31">
        <v>8435568301771</v>
      </c>
      <c r="E1262" s="33" t="s">
        <v>2835</v>
      </c>
      <c r="F1262" s="33" t="s">
        <v>1937</v>
      </c>
      <c r="G1262" s="33" t="s">
        <v>9951</v>
      </c>
      <c r="H1262" s="84" t="s">
        <v>2836</v>
      </c>
      <c r="I1262" s="23" t="s">
        <v>24</v>
      </c>
      <c r="J1262" s="34">
        <v>495</v>
      </c>
      <c r="K1262" s="35">
        <v>0.25</v>
      </c>
      <c r="L1262" s="36">
        <f t="shared" si="199"/>
        <v>123.75</v>
      </c>
      <c r="M1262" s="37">
        <f t="shared" si="200"/>
        <v>371.25</v>
      </c>
      <c r="N1262" s="38">
        <v>0.16</v>
      </c>
      <c r="O1262" s="39">
        <f t="shared" si="201"/>
        <v>59.4</v>
      </c>
      <c r="P1262" s="40">
        <f t="shared" si="202"/>
        <v>430.65</v>
      </c>
      <c r="Q1262" s="23"/>
      <c r="R1262" s="56"/>
      <c r="S1262" s="57"/>
      <c r="T1262" s="58">
        <f t="shared" si="203"/>
        <v>0</v>
      </c>
      <c r="U1262" s="36">
        <f t="shared" si="204"/>
        <v>0</v>
      </c>
      <c r="V1262" s="59">
        <f t="shared" si="205"/>
        <v>0</v>
      </c>
      <c r="W1262" s="39">
        <f t="shared" si="206"/>
        <v>0</v>
      </c>
      <c r="X1262" s="40">
        <f t="shared" si="207"/>
        <v>0</v>
      </c>
      <c r="Y1262"/>
      <c r="Z1262"/>
      <c r="AA1262"/>
    </row>
    <row r="1263" spans="1:27" s="51" customFormat="1" ht="18.600000000000001" hidden="1" customHeight="1" x14ac:dyDescent="0.25">
      <c r="A1263" s="82" t="s">
        <v>2653</v>
      </c>
      <c r="B1263" s="41" t="s">
        <v>9290</v>
      </c>
      <c r="C1263" s="42" t="s">
        <v>9293</v>
      </c>
      <c r="D1263" s="41">
        <v>8436535575553</v>
      </c>
      <c r="E1263" s="43" t="s">
        <v>2837</v>
      </c>
      <c r="F1263" s="43" t="s">
        <v>1937</v>
      </c>
      <c r="G1263" s="43" t="s">
        <v>2963</v>
      </c>
      <c r="H1263" s="85" t="s">
        <v>2838</v>
      </c>
      <c r="I1263" s="23" t="s">
        <v>24</v>
      </c>
      <c r="J1263" s="44">
        <v>405</v>
      </c>
      <c r="K1263" s="45">
        <v>0.25</v>
      </c>
      <c r="L1263" s="46">
        <f t="shared" si="199"/>
        <v>101.25</v>
      </c>
      <c r="M1263" s="47">
        <f t="shared" si="200"/>
        <v>303.75</v>
      </c>
      <c r="N1263" s="48">
        <v>0.16</v>
      </c>
      <c r="O1263" s="49">
        <f t="shared" si="201"/>
        <v>48.6</v>
      </c>
      <c r="P1263" s="50">
        <f t="shared" si="202"/>
        <v>352.35</v>
      </c>
      <c r="Q1263" s="23"/>
      <c r="R1263" s="60"/>
      <c r="S1263" s="61"/>
      <c r="T1263" s="62">
        <f t="shared" si="203"/>
        <v>0</v>
      </c>
      <c r="U1263" s="46">
        <f t="shared" si="204"/>
        <v>0</v>
      </c>
      <c r="V1263" s="63">
        <f t="shared" si="205"/>
        <v>0</v>
      </c>
      <c r="W1263" s="49">
        <f t="shared" si="206"/>
        <v>0</v>
      </c>
      <c r="X1263" s="50">
        <f t="shared" si="207"/>
        <v>0</v>
      </c>
      <c r="Y1263"/>
      <c r="Z1263"/>
      <c r="AA1263"/>
    </row>
    <row r="1264" spans="1:27" s="51" customFormat="1" ht="18.600000000000001" hidden="1" customHeight="1" x14ac:dyDescent="0.25">
      <c r="A1264" s="80" t="s">
        <v>2653</v>
      </c>
      <c r="B1264" s="20" t="s">
        <v>9290</v>
      </c>
      <c r="C1264" s="21" t="s">
        <v>9293</v>
      </c>
      <c r="D1264" s="20">
        <v>8436535575560</v>
      </c>
      <c r="E1264" s="22" t="s">
        <v>2839</v>
      </c>
      <c r="F1264" s="22" t="s">
        <v>1937</v>
      </c>
      <c r="G1264" s="22" t="s">
        <v>2963</v>
      </c>
      <c r="H1264" s="83" t="s">
        <v>2840</v>
      </c>
      <c r="I1264" s="23" t="s">
        <v>24</v>
      </c>
      <c r="J1264" s="24">
        <v>405</v>
      </c>
      <c r="K1264" s="25">
        <v>0.25</v>
      </c>
      <c r="L1264" s="26">
        <f t="shared" si="199"/>
        <v>101.25</v>
      </c>
      <c r="M1264" s="27">
        <f t="shared" si="200"/>
        <v>303.75</v>
      </c>
      <c r="N1264" s="28">
        <v>0.16</v>
      </c>
      <c r="O1264" s="29">
        <f t="shared" si="201"/>
        <v>48.6</v>
      </c>
      <c r="P1264" s="30">
        <f t="shared" si="202"/>
        <v>352.35</v>
      </c>
      <c r="Q1264" s="23"/>
      <c r="R1264" s="52"/>
      <c r="S1264" s="53"/>
      <c r="T1264" s="54">
        <f t="shared" si="203"/>
        <v>0</v>
      </c>
      <c r="U1264" s="26">
        <f t="shared" si="204"/>
        <v>0</v>
      </c>
      <c r="V1264" s="55">
        <f t="shared" si="205"/>
        <v>0</v>
      </c>
      <c r="W1264" s="29">
        <f t="shared" si="206"/>
        <v>0</v>
      </c>
      <c r="X1264" s="30">
        <f t="shared" si="207"/>
        <v>0</v>
      </c>
      <c r="Y1264"/>
      <c r="Z1264"/>
      <c r="AA1264"/>
    </row>
    <row r="1265" spans="1:27" s="51" customFormat="1" ht="18.600000000000001" hidden="1" customHeight="1" x14ac:dyDescent="0.25">
      <c r="A1265" s="81" t="s">
        <v>2653</v>
      </c>
      <c r="B1265" s="31" t="s">
        <v>9290</v>
      </c>
      <c r="C1265" s="32" t="s">
        <v>9293</v>
      </c>
      <c r="D1265" s="31">
        <v>8436535576888</v>
      </c>
      <c r="E1265" s="33" t="s">
        <v>2841</v>
      </c>
      <c r="F1265" s="33" t="s">
        <v>1937</v>
      </c>
      <c r="G1265" s="33" t="s">
        <v>2963</v>
      </c>
      <c r="H1265" s="84" t="s">
        <v>2842</v>
      </c>
      <c r="I1265" s="23" t="s">
        <v>24</v>
      </c>
      <c r="J1265" s="34">
        <v>400</v>
      </c>
      <c r="K1265" s="35">
        <v>0.25</v>
      </c>
      <c r="L1265" s="36">
        <f t="shared" si="199"/>
        <v>100</v>
      </c>
      <c r="M1265" s="37">
        <f t="shared" si="200"/>
        <v>300</v>
      </c>
      <c r="N1265" s="38">
        <v>0.16</v>
      </c>
      <c r="O1265" s="39">
        <f t="shared" si="201"/>
        <v>48</v>
      </c>
      <c r="P1265" s="40">
        <f t="shared" si="202"/>
        <v>348</v>
      </c>
      <c r="Q1265" s="23"/>
      <c r="R1265" s="56"/>
      <c r="S1265" s="57"/>
      <c r="T1265" s="58">
        <f t="shared" si="203"/>
        <v>0</v>
      </c>
      <c r="U1265" s="36">
        <f t="shared" si="204"/>
        <v>0</v>
      </c>
      <c r="V1265" s="59">
        <f t="shared" si="205"/>
        <v>0</v>
      </c>
      <c r="W1265" s="39">
        <f t="shared" si="206"/>
        <v>0</v>
      </c>
      <c r="X1265" s="40">
        <f t="shared" si="207"/>
        <v>0</v>
      </c>
      <c r="Y1265"/>
      <c r="Z1265"/>
      <c r="AA1265"/>
    </row>
    <row r="1266" spans="1:27" s="51" customFormat="1" ht="18.600000000000001" hidden="1" customHeight="1" x14ac:dyDescent="0.25">
      <c r="A1266" s="82" t="s">
        <v>2653</v>
      </c>
      <c r="B1266" s="41" t="s">
        <v>9290</v>
      </c>
      <c r="C1266" s="42" t="s">
        <v>9293</v>
      </c>
      <c r="D1266" s="41" t="s">
        <v>2843</v>
      </c>
      <c r="E1266" s="43" t="s">
        <v>2844</v>
      </c>
      <c r="F1266" s="43" t="s">
        <v>1937</v>
      </c>
      <c r="G1266" s="43" t="s">
        <v>2963</v>
      </c>
      <c r="H1266" s="85" t="s">
        <v>2845</v>
      </c>
      <c r="I1266" s="23" t="s">
        <v>24</v>
      </c>
      <c r="J1266" s="44">
        <v>405</v>
      </c>
      <c r="K1266" s="45">
        <v>0.25</v>
      </c>
      <c r="L1266" s="46">
        <f t="shared" si="199"/>
        <v>101.25</v>
      </c>
      <c r="M1266" s="47">
        <f t="shared" si="200"/>
        <v>303.75</v>
      </c>
      <c r="N1266" s="48">
        <v>0.16</v>
      </c>
      <c r="O1266" s="49">
        <f t="shared" si="201"/>
        <v>48.6</v>
      </c>
      <c r="P1266" s="50">
        <f t="shared" si="202"/>
        <v>352.35</v>
      </c>
      <c r="Q1266" s="23"/>
      <c r="R1266" s="60"/>
      <c r="S1266" s="61"/>
      <c r="T1266" s="62">
        <f t="shared" si="203"/>
        <v>0</v>
      </c>
      <c r="U1266" s="46">
        <f t="shared" si="204"/>
        <v>0</v>
      </c>
      <c r="V1266" s="63">
        <f t="shared" si="205"/>
        <v>0</v>
      </c>
      <c r="W1266" s="49">
        <f t="shared" si="206"/>
        <v>0</v>
      </c>
      <c r="X1266" s="50">
        <f t="shared" si="207"/>
        <v>0</v>
      </c>
      <c r="Y1266"/>
      <c r="Z1266"/>
      <c r="AA1266"/>
    </row>
    <row r="1267" spans="1:27" s="51" customFormat="1" ht="18.600000000000001" hidden="1" customHeight="1" x14ac:dyDescent="0.25">
      <c r="A1267" s="80" t="s">
        <v>2653</v>
      </c>
      <c r="B1267" s="20" t="s">
        <v>9290</v>
      </c>
      <c r="C1267" s="21" t="s">
        <v>9294</v>
      </c>
      <c r="D1267" s="20">
        <v>8436535572866</v>
      </c>
      <c r="E1267" s="22" t="s">
        <v>2846</v>
      </c>
      <c r="F1267" s="22" t="s">
        <v>1937</v>
      </c>
      <c r="G1267" s="22" t="s">
        <v>2963</v>
      </c>
      <c r="H1267" s="83" t="s">
        <v>2847</v>
      </c>
      <c r="I1267" s="23" t="s">
        <v>24</v>
      </c>
      <c r="J1267" s="24">
        <v>405</v>
      </c>
      <c r="K1267" s="25">
        <v>0.25</v>
      </c>
      <c r="L1267" s="26">
        <f t="shared" si="199"/>
        <v>101.25</v>
      </c>
      <c r="M1267" s="27">
        <f t="shared" si="200"/>
        <v>303.75</v>
      </c>
      <c r="N1267" s="28">
        <v>0.16</v>
      </c>
      <c r="O1267" s="29">
        <f t="shared" si="201"/>
        <v>48.6</v>
      </c>
      <c r="P1267" s="30">
        <f t="shared" si="202"/>
        <v>352.35</v>
      </c>
      <c r="Q1267" s="23"/>
      <c r="R1267" s="52"/>
      <c r="S1267" s="53"/>
      <c r="T1267" s="54">
        <f t="shared" si="203"/>
        <v>0</v>
      </c>
      <c r="U1267" s="26">
        <f t="shared" si="204"/>
        <v>0</v>
      </c>
      <c r="V1267" s="55">
        <f t="shared" si="205"/>
        <v>0</v>
      </c>
      <c r="W1267" s="29">
        <f t="shared" si="206"/>
        <v>0</v>
      </c>
      <c r="X1267" s="30">
        <f t="shared" si="207"/>
        <v>0</v>
      </c>
      <c r="Y1267"/>
      <c r="Z1267"/>
      <c r="AA1267"/>
    </row>
    <row r="1268" spans="1:27" s="51" customFormat="1" ht="18.600000000000001" hidden="1" customHeight="1" x14ac:dyDescent="0.25">
      <c r="A1268" s="81" t="s">
        <v>2653</v>
      </c>
      <c r="B1268" s="31" t="s">
        <v>9290</v>
      </c>
      <c r="C1268" s="32" t="s">
        <v>9294</v>
      </c>
      <c r="D1268" s="31">
        <v>8436535573238</v>
      </c>
      <c r="E1268" s="33" t="s">
        <v>2848</v>
      </c>
      <c r="F1268" s="33" t="s">
        <v>1937</v>
      </c>
      <c r="G1268" s="33" t="s">
        <v>2963</v>
      </c>
      <c r="H1268" s="84" t="s">
        <v>2849</v>
      </c>
      <c r="I1268" s="23" t="s">
        <v>24</v>
      </c>
      <c r="J1268" s="34">
        <v>405</v>
      </c>
      <c r="K1268" s="35">
        <v>0.25</v>
      </c>
      <c r="L1268" s="36">
        <f t="shared" si="199"/>
        <v>101.25</v>
      </c>
      <c r="M1268" s="37">
        <f t="shared" si="200"/>
        <v>303.75</v>
      </c>
      <c r="N1268" s="38">
        <v>0.16</v>
      </c>
      <c r="O1268" s="39">
        <f t="shared" si="201"/>
        <v>48.6</v>
      </c>
      <c r="P1268" s="40">
        <f t="shared" si="202"/>
        <v>352.35</v>
      </c>
      <c r="Q1268" s="23"/>
      <c r="R1268" s="56"/>
      <c r="S1268" s="57"/>
      <c r="T1268" s="58">
        <f t="shared" si="203"/>
        <v>0</v>
      </c>
      <c r="U1268" s="36">
        <f t="shared" si="204"/>
        <v>0</v>
      </c>
      <c r="V1268" s="59">
        <f t="shared" si="205"/>
        <v>0</v>
      </c>
      <c r="W1268" s="39">
        <f t="shared" si="206"/>
        <v>0</v>
      </c>
      <c r="X1268" s="40">
        <f t="shared" si="207"/>
        <v>0</v>
      </c>
      <c r="Y1268"/>
      <c r="Z1268"/>
      <c r="AA1268"/>
    </row>
    <row r="1269" spans="1:27" s="51" customFormat="1" ht="18.600000000000001" hidden="1" customHeight="1" x14ac:dyDescent="0.25">
      <c r="A1269" s="82" t="s">
        <v>2653</v>
      </c>
      <c r="B1269" s="41" t="s">
        <v>9290</v>
      </c>
      <c r="C1269" s="42" t="s">
        <v>9294</v>
      </c>
      <c r="D1269" s="41">
        <v>8436535573276</v>
      </c>
      <c r="E1269" s="43" t="s">
        <v>2850</v>
      </c>
      <c r="F1269" s="43" t="s">
        <v>1937</v>
      </c>
      <c r="G1269" s="43" t="s">
        <v>9950</v>
      </c>
      <c r="H1269" s="85" t="s">
        <v>2851</v>
      </c>
      <c r="I1269" s="23" t="s">
        <v>24</v>
      </c>
      <c r="J1269" s="44">
        <v>675</v>
      </c>
      <c r="K1269" s="45">
        <v>0.25</v>
      </c>
      <c r="L1269" s="46">
        <f t="shared" si="199"/>
        <v>168.75</v>
      </c>
      <c r="M1269" s="47">
        <f t="shared" si="200"/>
        <v>506.25</v>
      </c>
      <c r="N1269" s="48">
        <v>0.16</v>
      </c>
      <c r="O1269" s="49">
        <f t="shared" si="201"/>
        <v>81</v>
      </c>
      <c r="P1269" s="50">
        <f t="shared" si="202"/>
        <v>587.25</v>
      </c>
      <c r="Q1269" s="23"/>
      <c r="R1269" s="60"/>
      <c r="S1269" s="61"/>
      <c r="T1269" s="62">
        <f t="shared" si="203"/>
        <v>0</v>
      </c>
      <c r="U1269" s="46">
        <f t="shared" si="204"/>
        <v>0</v>
      </c>
      <c r="V1269" s="63">
        <f t="shared" si="205"/>
        <v>0</v>
      </c>
      <c r="W1269" s="49">
        <f t="shared" si="206"/>
        <v>0</v>
      </c>
      <c r="X1269" s="50">
        <f t="shared" si="207"/>
        <v>0</v>
      </c>
      <c r="Y1269"/>
      <c r="Z1269"/>
      <c r="AA1269"/>
    </row>
    <row r="1270" spans="1:27" s="51" customFormat="1" ht="18.600000000000001" hidden="1" customHeight="1" x14ac:dyDescent="0.25">
      <c r="A1270" s="80" t="s">
        <v>2653</v>
      </c>
      <c r="B1270" s="20" t="s">
        <v>9290</v>
      </c>
      <c r="C1270" s="21" t="s">
        <v>9294</v>
      </c>
      <c r="D1270" s="20">
        <v>8436535576376</v>
      </c>
      <c r="E1270" s="22" t="s">
        <v>2852</v>
      </c>
      <c r="F1270" s="22" t="s">
        <v>1937</v>
      </c>
      <c r="G1270" s="22" t="s">
        <v>9950</v>
      </c>
      <c r="H1270" s="83" t="s">
        <v>2853</v>
      </c>
      <c r="I1270" s="23" t="s">
        <v>24</v>
      </c>
      <c r="J1270" s="24">
        <v>675</v>
      </c>
      <c r="K1270" s="25">
        <v>0.25</v>
      </c>
      <c r="L1270" s="26">
        <f t="shared" si="199"/>
        <v>168.75</v>
      </c>
      <c r="M1270" s="27">
        <f t="shared" si="200"/>
        <v>506.25</v>
      </c>
      <c r="N1270" s="28">
        <v>0.16</v>
      </c>
      <c r="O1270" s="29">
        <f t="shared" si="201"/>
        <v>81</v>
      </c>
      <c r="P1270" s="30">
        <f t="shared" si="202"/>
        <v>587.25</v>
      </c>
      <c r="Q1270" s="23"/>
      <c r="R1270" s="52"/>
      <c r="S1270" s="53"/>
      <c r="T1270" s="54">
        <f t="shared" si="203"/>
        <v>0</v>
      </c>
      <c r="U1270" s="26">
        <f t="shared" si="204"/>
        <v>0</v>
      </c>
      <c r="V1270" s="55">
        <f t="shared" si="205"/>
        <v>0</v>
      </c>
      <c r="W1270" s="29">
        <f t="shared" si="206"/>
        <v>0</v>
      </c>
      <c r="X1270" s="30">
        <f t="shared" si="207"/>
        <v>0</v>
      </c>
      <c r="Y1270"/>
      <c r="Z1270"/>
      <c r="AA1270"/>
    </row>
    <row r="1271" spans="1:27" s="51" customFormat="1" ht="18.600000000000001" hidden="1" customHeight="1" x14ac:dyDescent="0.25">
      <c r="A1271" s="81" t="s">
        <v>2653</v>
      </c>
      <c r="B1271" s="31" t="s">
        <v>9290</v>
      </c>
      <c r="C1271" s="32" t="s">
        <v>9295</v>
      </c>
      <c r="D1271" s="31">
        <v>8436535573016</v>
      </c>
      <c r="E1271" s="33" t="s">
        <v>2854</v>
      </c>
      <c r="F1271" s="33" t="s">
        <v>1937</v>
      </c>
      <c r="G1271" s="33" t="s">
        <v>2655</v>
      </c>
      <c r="H1271" s="84" t="s">
        <v>2855</v>
      </c>
      <c r="I1271" s="23" t="s">
        <v>24</v>
      </c>
      <c r="J1271" s="34">
        <v>135</v>
      </c>
      <c r="K1271" s="35">
        <v>0.25</v>
      </c>
      <c r="L1271" s="36">
        <f t="shared" si="199"/>
        <v>33.75</v>
      </c>
      <c r="M1271" s="37">
        <f t="shared" si="200"/>
        <v>101.25</v>
      </c>
      <c r="N1271" s="38">
        <v>0.16</v>
      </c>
      <c r="O1271" s="39">
        <f t="shared" si="201"/>
        <v>16.2</v>
      </c>
      <c r="P1271" s="40">
        <f t="shared" si="202"/>
        <v>117.45</v>
      </c>
      <c r="Q1271" s="23"/>
      <c r="R1271" s="56"/>
      <c r="S1271" s="57"/>
      <c r="T1271" s="58">
        <f t="shared" si="203"/>
        <v>0</v>
      </c>
      <c r="U1271" s="36">
        <f t="shared" si="204"/>
        <v>0</v>
      </c>
      <c r="V1271" s="59">
        <f t="shared" si="205"/>
        <v>0</v>
      </c>
      <c r="W1271" s="39">
        <f t="shared" si="206"/>
        <v>0</v>
      </c>
      <c r="X1271" s="40">
        <f t="shared" si="207"/>
        <v>0</v>
      </c>
      <c r="Y1271"/>
      <c r="Z1271"/>
      <c r="AA1271"/>
    </row>
    <row r="1272" spans="1:27" s="51" customFormat="1" ht="18.600000000000001" hidden="1" customHeight="1" x14ac:dyDescent="0.25">
      <c r="A1272" s="82" t="s">
        <v>2653</v>
      </c>
      <c r="B1272" s="41" t="s">
        <v>9290</v>
      </c>
      <c r="C1272" s="42" t="s">
        <v>9295</v>
      </c>
      <c r="D1272" s="41">
        <v>8436535573023</v>
      </c>
      <c r="E1272" s="43" t="s">
        <v>2856</v>
      </c>
      <c r="F1272" s="43" t="s">
        <v>1937</v>
      </c>
      <c r="G1272" s="43" t="s">
        <v>2655</v>
      </c>
      <c r="H1272" s="85" t="s">
        <v>2857</v>
      </c>
      <c r="I1272" s="23" t="s">
        <v>24</v>
      </c>
      <c r="J1272" s="44">
        <v>135</v>
      </c>
      <c r="K1272" s="45">
        <v>0.25</v>
      </c>
      <c r="L1272" s="46">
        <f t="shared" si="199"/>
        <v>33.75</v>
      </c>
      <c r="M1272" s="47">
        <f t="shared" si="200"/>
        <v>101.25</v>
      </c>
      <c r="N1272" s="48">
        <v>0.16</v>
      </c>
      <c r="O1272" s="49">
        <f t="shared" si="201"/>
        <v>16.2</v>
      </c>
      <c r="P1272" s="50">
        <f t="shared" si="202"/>
        <v>117.45</v>
      </c>
      <c r="Q1272" s="23"/>
      <c r="R1272" s="60"/>
      <c r="S1272" s="61"/>
      <c r="T1272" s="62">
        <f t="shared" si="203"/>
        <v>0</v>
      </c>
      <c r="U1272" s="46">
        <f t="shared" si="204"/>
        <v>0</v>
      </c>
      <c r="V1272" s="63">
        <f t="shared" si="205"/>
        <v>0</v>
      </c>
      <c r="W1272" s="49">
        <f t="shared" si="206"/>
        <v>0</v>
      </c>
      <c r="X1272" s="50">
        <f t="shared" si="207"/>
        <v>0</v>
      </c>
      <c r="Y1272"/>
      <c r="Z1272"/>
      <c r="AA1272"/>
    </row>
    <row r="1273" spans="1:27" s="51" customFormat="1" ht="18.600000000000001" hidden="1" customHeight="1" x14ac:dyDescent="0.25">
      <c r="A1273" s="80" t="s">
        <v>2653</v>
      </c>
      <c r="B1273" s="20" t="s">
        <v>9290</v>
      </c>
      <c r="C1273" s="21" t="s">
        <v>9295</v>
      </c>
      <c r="D1273" s="20">
        <v>8436535573030</v>
      </c>
      <c r="E1273" s="22" t="s">
        <v>2858</v>
      </c>
      <c r="F1273" s="22" t="s">
        <v>1937</v>
      </c>
      <c r="G1273" s="22" t="s">
        <v>2655</v>
      </c>
      <c r="H1273" s="83" t="s">
        <v>2859</v>
      </c>
      <c r="I1273" s="23" t="s">
        <v>24</v>
      </c>
      <c r="J1273" s="24">
        <v>135</v>
      </c>
      <c r="K1273" s="25">
        <v>0.25</v>
      </c>
      <c r="L1273" s="26">
        <f t="shared" si="199"/>
        <v>33.75</v>
      </c>
      <c r="M1273" s="27">
        <f t="shared" si="200"/>
        <v>101.25</v>
      </c>
      <c r="N1273" s="28">
        <v>0.16</v>
      </c>
      <c r="O1273" s="29">
        <f t="shared" si="201"/>
        <v>16.2</v>
      </c>
      <c r="P1273" s="30">
        <f t="shared" si="202"/>
        <v>117.45</v>
      </c>
      <c r="Q1273" s="23"/>
      <c r="R1273" s="52"/>
      <c r="S1273" s="53"/>
      <c r="T1273" s="54">
        <f t="shared" si="203"/>
        <v>0</v>
      </c>
      <c r="U1273" s="26">
        <f t="shared" si="204"/>
        <v>0</v>
      </c>
      <c r="V1273" s="55">
        <f t="shared" si="205"/>
        <v>0</v>
      </c>
      <c r="W1273" s="29">
        <f t="shared" si="206"/>
        <v>0</v>
      </c>
      <c r="X1273" s="30">
        <f t="shared" si="207"/>
        <v>0</v>
      </c>
      <c r="Y1273"/>
      <c r="Z1273"/>
      <c r="AA1273"/>
    </row>
    <row r="1274" spans="1:27" s="51" customFormat="1" ht="18.600000000000001" hidden="1" customHeight="1" x14ac:dyDescent="0.25">
      <c r="A1274" s="81" t="s">
        <v>2653</v>
      </c>
      <c r="B1274" s="31" t="s">
        <v>9290</v>
      </c>
      <c r="C1274" s="32" t="s">
        <v>9295</v>
      </c>
      <c r="D1274" s="31">
        <v>8436535573047</v>
      </c>
      <c r="E1274" s="33" t="s">
        <v>2860</v>
      </c>
      <c r="F1274" s="33" t="s">
        <v>1937</v>
      </c>
      <c r="G1274" s="33" t="s">
        <v>2655</v>
      </c>
      <c r="H1274" s="84" t="s">
        <v>2861</v>
      </c>
      <c r="I1274" s="23" t="s">
        <v>24</v>
      </c>
      <c r="J1274" s="34">
        <v>135</v>
      </c>
      <c r="K1274" s="35">
        <v>0.25</v>
      </c>
      <c r="L1274" s="36">
        <f t="shared" si="199"/>
        <v>33.75</v>
      </c>
      <c r="M1274" s="37">
        <f t="shared" si="200"/>
        <v>101.25</v>
      </c>
      <c r="N1274" s="38">
        <v>0.16</v>
      </c>
      <c r="O1274" s="39">
        <f t="shared" si="201"/>
        <v>16.2</v>
      </c>
      <c r="P1274" s="40">
        <f t="shared" si="202"/>
        <v>117.45</v>
      </c>
      <c r="Q1274" s="23"/>
      <c r="R1274" s="56"/>
      <c r="S1274" s="57"/>
      <c r="T1274" s="58">
        <f t="shared" si="203"/>
        <v>0</v>
      </c>
      <c r="U1274" s="36">
        <f t="shared" si="204"/>
        <v>0</v>
      </c>
      <c r="V1274" s="59">
        <f t="shared" si="205"/>
        <v>0</v>
      </c>
      <c r="W1274" s="39">
        <f t="shared" si="206"/>
        <v>0</v>
      </c>
      <c r="X1274" s="40">
        <f t="shared" si="207"/>
        <v>0</v>
      </c>
      <c r="Y1274"/>
      <c r="Z1274"/>
      <c r="AA1274"/>
    </row>
    <row r="1275" spans="1:27" s="51" customFormat="1" ht="18.600000000000001" hidden="1" customHeight="1" x14ac:dyDescent="0.25">
      <c r="A1275" s="82" t="s">
        <v>2653</v>
      </c>
      <c r="B1275" s="41" t="s">
        <v>9290</v>
      </c>
      <c r="C1275" s="42" t="s">
        <v>9295</v>
      </c>
      <c r="D1275" s="41">
        <v>8436535573054</v>
      </c>
      <c r="E1275" s="43" t="s">
        <v>2862</v>
      </c>
      <c r="F1275" s="43" t="s">
        <v>1937</v>
      </c>
      <c r="G1275" s="43" t="s">
        <v>2655</v>
      </c>
      <c r="H1275" s="85" t="s">
        <v>2863</v>
      </c>
      <c r="I1275" s="23" t="s">
        <v>24</v>
      </c>
      <c r="J1275" s="44">
        <v>135</v>
      </c>
      <c r="K1275" s="45">
        <v>0.25</v>
      </c>
      <c r="L1275" s="46">
        <f t="shared" si="199"/>
        <v>33.75</v>
      </c>
      <c r="M1275" s="47">
        <f t="shared" si="200"/>
        <v>101.25</v>
      </c>
      <c r="N1275" s="48">
        <v>0.16</v>
      </c>
      <c r="O1275" s="49">
        <f t="shared" si="201"/>
        <v>16.2</v>
      </c>
      <c r="P1275" s="50">
        <f t="shared" si="202"/>
        <v>117.45</v>
      </c>
      <c r="Q1275" s="23"/>
      <c r="R1275" s="60"/>
      <c r="S1275" s="61"/>
      <c r="T1275" s="62">
        <f t="shared" si="203"/>
        <v>0</v>
      </c>
      <c r="U1275" s="46">
        <f t="shared" si="204"/>
        <v>0</v>
      </c>
      <c r="V1275" s="63">
        <f t="shared" si="205"/>
        <v>0</v>
      </c>
      <c r="W1275" s="49">
        <f t="shared" si="206"/>
        <v>0</v>
      </c>
      <c r="X1275" s="50">
        <f t="shared" si="207"/>
        <v>0</v>
      </c>
      <c r="Y1275"/>
      <c r="Z1275"/>
      <c r="AA1275"/>
    </row>
    <row r="1276" spans="1:27" s="51" customFormat="1" ht="18.600000000000001" hidden="1" customHeight="1" x14ac:dyDescent="0.25">
      <c r="A1276" s="80" t="s">
        <v>2653</v>
      </c>
      <c r="B1276" s="20" t="s">
        <v>9290</v>
      </c>
      <c r="C1276" s="21" t="s">
        <v>9295</v>
      </c>
      <c r="D1276" s="20">
        <v>8436535573061</v>
      </c>
      <c r="E1276" s="22" t="s">
        <v>2864</v>
      </c>
      <c r="F1276" s="22" t="s">
        <v>1937</v>
      </c>
      <c r="G1276" s="22" t="s">
        <v>2655</v>
      </c>
      <c r="H1276" s="83" t="s">
        <v>2865</v>
      </c>
      <c r="I1276" s="23" t="s">
        <v>24</v>
      </c>
      <c r="J1276" s="24">
        <v>135</v>
      </c>
      <c r="K1276" s="25">
        <v>0.25</v>
      </c>
      <c r="L1276" s="26">
        <f t="shared" si="199"/>
        <v>33.75</v>
      </c>
      <c r="M1276" s="27">
        <f t="shared" si="200"/>
        <v>101.25</v>
      </c>
      <c r="N1276" s="28">
        <v>0.16</v>
      </c>
      <c r="O1276" s="29">
        <f t="shared" si="201"/>
        <v>16.2</v>
      </c>
      <c r="P1276" s="30">
        <f t="shared" si="202"/>
        <v>117.45</v>
      </c>
      <c r="Q1276" s="23"/>
      <c r="R1276" s="52"/>
      <c r="S1276" s="53"/>
      <c r="T1276" s="54">
        <f t="shared" si="203"/>
        <v>0</v>
      </c>
      <c r="U1276" s="26">
        <f t="shared" si="204"/>
        <v>0</v>
      </c>
      <c r="V1276" s="55">
        <f t="shared" si="205"/>
        <v>0</v>
      </c>
      <c r="W1276" s="29">
        <f t="shared" si="206"/>
        <v>0</v>
      </c>
      <c r="X1276" s="30">
        <f t="shared" si="207"/>
        <v>0</v>
      </c>
      <c r="Y1276"/>
      <c r="Z1276"/>
      <c r="AA1276"/>
    </row>
    <row r="1277" spans="1:27" s="51" customFormat="1" ht="18.600000000000001" hidden="1" customHeight="1" x14ac:dyDescent="0.25">
      <c r="A1277" s="81" t="s">
        <v>2653</v>
      </c>
      <c r="B1277" s="31" t="s">
        <v>9290</v>
      </c>
      <c r="C1277" s="32" t="s">
        <v>9296</v>
      </c>
      <c r="D1277" s="31">
        <v>8436535576970</v>
      </c>
      <c r="E1277" s="33" t="s">
        <v>2866</v>
      </c>
      <c r="F1277" s="33" t="s">
        <v>1937</v>
      </c>
      <c r="G1277" s="33" t="s">
        <v>2963</v>
      </c>
      <c r="H1277" s="84" t="s">
        <v>2867</v>
      </c>
      <c r="I1277" s="23" t="s">
        <v>24</v>
      </c>
      <c r="J1277" s="34">
        <v>405</v>
      </c>
      <c r="K1277" s="35">
        <v>0.25</v>
      </c>
      <c r="L1277" s="36">
        <f t="shared" si="199"/>
        <v>101.25</v>
      </c>
      <c r="M1277" s="37">
        <f t="shared" si="200"/>
        <v>303.75</v>
      </c>
      <c r="N1277" s="38">
        <v>0.16</v>
      </c>
      <c r="O1277" s="39">
        <f t="shared" si="201"/>
        <v>48.6</v>
      </c>
      <c r="P1277" s="40">
        <f t="shared" si="202"/>
        <v>352.35</v>
      </c>
      <c r="Q1277" s="23"/>
      <c r="R1277" s="56"/>
      <c r="S1277" s="57"/>
      <c r="T1277" s="58">
        <f t="shared" si="203"/>
        <v>0</v>
      </c>
      <c r="U1277" s="36">
        <f t="shared" si="204"/>
        <v>0</v>
      </c>
      <c r="V1277" s="59">
        <f t="shared" si="205"/>
        <v>0</v>
      </c>
      <c r="W1277" s="39">
        <f t="shared" si="206"/>
        <v>0</v>
      </c>
      <c r="X1277" s="40">
        <f t="shared" si="207"/>
        <v>0</v>
      </c>
      <c r="Y1277"/>
      <c r="Z1277"/>
      <c r="AA1277"/>
    </row>
    <row r="1278" spans="1:27" s="51" customFormat="1" ht="18.600000000000001" hidden="1" customHeight="1" x14ac:dyDescent="0.25">
      <c r="A1278" s="82" t="s">
        <v>2653</v>
      </c>
      <c r="B1278" s="41" t="s">
        <v>9290</v>
      </c>
      <c r="C1278" s="42" t="s">
        <v>9296</v>
      </c>
      <c r="D1278" s="41">
        <v>8436535576987</v>
      </c>
      <c r="E1278" s="43" t="s">
        <v>2868</v>
      </c>
      <c r="F1278" s="43" t="s">
        <v>1937</v>
      </c>
      <c r="G1278" s="43" t="s">
        <v>2963</v>
      </c>
      <c r="H1278" s="85" t="s">
        <v>2869</v>
      </c>
      <c r="I1278" s="23" t="s">
        <v>24</v>
      </c>
      <c r="J1278" s="44">
        <v>405</v>
      </c>
      <c r="K1278" s="45">
        <v>0.25</v>
      </c>
      <c r="L1278" s="46">
        <f t="shared" si="199"/>
        <v>101.25</v>
      </c>
      <c r="M1278" s="47">
        <f t="shared" si="200"/>
        <v>303.75</v>
      </c>
      <c r="N1278" s="48">
        <v>0.16</v>
      </c>
      <c r="O1278" s="49">
        <f t="shared" si="201"/>
        <v>48.6</v>
      </c>
      <c r="P1278" s="50">
        <f t="shared" si="202"/>
        <v>352.35</v>
      </c>
      <c r="Q1278" s="23"/>
      <c r="R1278" s="60"/>
      <c r="S1278" s="61"/>
      <c r="T1278" s="62">
        <f t="shared" si="203"/>
        <v>0</v>
      </c>
      <c r="U1278" s="46">
        <f t="shared" si="204"/>
        <v>0</v>
      </c>
      <c r="V1278" s="63">
        <f t="shared" si="205"/>
        <v>0</v>
      </c>
      <c r="W1278" s="49">
        <f t="shared" si="206"/>
        <v>0</v>
      </c>
      <c r="X1278" s="50">
        <f t="shared" si="207"/>
        <v>0</v>
      </c>
      <c r="Y1278"/>
      <c r="Z1278"/>
      <c r="AA1278"/>
    </row>
    <row r="1279" spans="1:27" s="51" customFormat="1" ht="18.600000000000001" hidden="1" customHeight="1" x14ac:dyDescent="0.25">
      <c r="A1279" s="80" t="s">
        <v>2653</v>
      </c>
      <c r="B1279" s="20" t="s">
        <v>9290</v>
      </c>
      <c r="C1279" s="21" t="s">
        <v>9296</v>
      </c>
      <c r="D1279" s="20">
        <v>8436564924490</v>
      </c>
      <c r="E1279" s="22" t="s">
        <v>2870</v>
      </c>
      <c r="F1279" s="22" t="s">
        <v>1937</v>
      </c>
      <c r="G1279" s="22" t="s">
        <v>2963</v>
      </c>
      <c r="H1279" s="83" t="s">
        <v>2871</v>
      </c>
      <c r="I1279" s="23" t="s">
        <v>24</v>
      </c>
      <c r="J1279" s="24">
        <v>405</v>
      </c>
      <c r="K1279" s="25">
        <v>0.25</v>
      </c>
      <c r="L1279" s="26">
        <f t="shared" si="199"/>
        <v>101.25</v>
      </c>
      <c r="M1279" s="27">
        <f t="shared" si="200"/>
        <v>303.75</v>
      </c>
      <c r="N1279" s="28">
        <v>0.16</v>
      </c>
      <c r="O1279" s="29">
        <f t="shared" si="201"/>
        <v>48.6</v>
      </c>
      <c r="P1279" s="30">
        <f t="shared" si="202"/>
        <v>352.35</v>
      </c>
      <c r="Q1279" s="23"/>
      <c r="R1279" s="52"/>
      <c r="S1279" s="53"/>
      <c r="T1279" s="54">
        <f t="shared" si="203"/>
        <v>0</v>
      </c>
      <c r="U1279" s="26">
        <f t="shared" si="204"/>
        <v>0</v>
      </c>
      <c r="V1279" s="55">
        <f t="shared" si="205"/>
        <v>0</v>
      </c>
      <c r="W1279" s="29">
        <f t="shared" si="206"/>
        <v>0</v>
      </c>
      <c r="X1279" s="30">
        <f t="shared" si="207"/>
        <v>0</v>
      </c>
      <c r="Y1279"/>
      <c r="Z1279"/>
      <c r="AA1279"/>
    </row>
    <row r="1280" spans="1:27" s="51" customFormat="1" ht="18.600000000000001" hidden="1" customHeight="1" x14ac:dyDescent="0.25">
      <c r="A1280" s="81" t="s">
        <v>2653</v>
      </c>
      <c r="B1280" s="31" t="s">
        <v>9290</v>
      </c>
      <c r="C1280" s="32" t="s">
        <v>9296</v>
      </c>
      <c r="D1280" s="31">
        <v>8436564924506</v>
      </c>
      <c r="E1280" s="33" t="s">
        <v>2872</v>
      </c>
      <c r="F1280" s="33" t="s">
        <v>1937</v>
      </c>
      <c r="G1280" s="33" t="s">
        <v>2963</v>
      </c>
      <c r="H1280" s="84" t="s">
        <v>2873</v>
      </c>
      <c r="I1280" s="23" t="s">
        <v>24</v>
      </c>
      <c r="J1280" s="34">
        <v>405</v>
      </c>
      <c r="K1280" s="35">
        <v>0.25</v>
      </c>
      <c r="L1280" s="36">
        <f t="shared" si="199"/>
        <v>101.25</v>
      </c>
      <c r="M1280" s="37">
        <f t="shared" si="200"/>
        <v>303.75</v>
      </c>
      <c r="N1280" s="38">
        <v>0.16</v>
      </c>
      <c r="O1280" s="39">
        <f t="shared" si="201"/>
        <v>48.6</v>
      </c>
      <c r="P1280" s="40">
        <f t="shared" si="202"/>
        <v>352.35</v>
      </c>
      <c r="Q1280" s="23"/>
      <c r="R1280" s="56"/>
      <c r="S1280" s="57"/>
      <c r="T1280" s="58">
        <f t="shared" si="203"/>
        <v>0</v>
      </c>
      <c r="U1280" s="36">
        <f t="shared" si="204"/>
        <v>0</v>
      </c>
      <c r="V1280" s="59">
        <f t="shared" si="205"/>
        <v>0</v>
      </c>
      <c r="W1280" s="39">
        <f t="shared" si="206"/>
        <v>0</v>
      </c>
      <c r="X1280" s="40">
        <f t="shared" si="207"/>
        <v>0</v>
      </c>
      <c r="Y1280"/>
      <c r="Z1280"/>
      <c r="AA1280"/>
    </row>
    <row r="1281" spans="1:27" s="51" customFormat="1" ht="18.600000000000001" hidden="1" customHeight="1" x14ac:dyDescent="0.25">
      <c r="A1281" s="82" t="s">
        <v>2653</v>
      </c>
      <c r="B1281" s="41" t="s">
        <v>9290</v>
      </c>
      <c r="C1281" s="42" t="s">
        <v>9297</v>
      </c>
      <c r="D1281" s="41">
        <v>8435568301009</v>
      </c>
      <c r="E1281" s="43" t="s">
        <v>2874</v>
      </c>
      <c r="F1281" s="43" t="s">
        <v>1937</v>
      </c>
      <c r="G1281" s="43" t="s">
        <v>2963</v>
      </c>
      <c r="H1281" s="85" t="s">
        <v>2875</v>
      </c>
      <c r="I1281" s="23" t="s">
        <v>24</v>
      </c>
      <c r="J1281" s="44">
        <v>405</v>
      </c>
      <c r="K1281" s="45">
        <v>0.25</v>
      </c>
      <c r="L1281" s="46">
        <f t="shared" si="199"/>
        <v>101.25</v>
      </c>
      <c r="M1281" s="47">
        <f t="shared" si="200"/>
        <v>303.75</v>
      </c>
      <c r="N1281" s="48">
        <v>0.16</v>
      </c>
      <c r="O1281" s="49">
        <f t="shared" si="201"/>
        <v>48.6</v>
      </c>
      <c r="P1281" s="50">
        <f t="shared" si="202"/>
        <v>352.35</v>
      </c>
      <c r="Q1281" s="23"/>
      <c r="R1281" s="60"/>
      <c r="S1281" s="61"/>
      <c r="T1281" s="62">
        <f t="shared" si="203"/>
        <v>0</v>
      </c>
      <c r="U1281" s="46">
        <f t="shared" si="204"/>
        <v>0</v>
      </c>
      <c r="V1281" s="63">
        <f t="shared" si="205"/>
        <v>0</v>
      </c>
      <c r="W1281" s="49">
        <f t="shared" si="206"/>
        <v>0</v>
      </c>
      <c r="X1281" s="50">
        <f t="shared" si="207"/>
        <v>0</v>
      </c>
      <c r="Y1281"/>
      <c r="Z1281"/>
      <c r="AA1281"/>
    </row>
    <row r="1282" spans="1:27" s="51" customFormat="1" ht="18.600000000000001" hidden="1" customHeight="1" x14ac:dyDescent="0.25">
      <c r="A1282" s="80" t="s">
        <v>2653</v>
      </c>
      <c r="B1282" s="20" t="s">
        <v>9290</v>
      </c>
      <c r="C1282" s="21" t="s">
        <v>9297</v>
      </c>
      <c r="D1282" s="20">
        <v>8435568301016</v>
      </c>
      <c r="E1282" s="22" t="s">
        <v>2876</v>
      </c>
      <c r="F1282" s="22" t="s">
        <v>1937</v>
      </c>
      <c r="G1282" s="22" t="s">
        <v>2963</v>
      </c>
      <c r="H1282" s="83" t="s">
        <v>2877</v>
      </c>
      <c r="I1282" s="23" t="s">
        <v>24</v>
      </c>
      <c r="J1282" s="24">
        <v>405</v>
      </c>
      <c r="K1282" s="25">
        <v>0.25</v>
      </c>
      <c r="L1282" s="26">
        <f t="shared" si="199"/>
        <v>101.25</v>
      </c>
      <c r="M1282" s="27">
        <f t="shared" si="200"/>
        <v>303.75</v>
      </c>
      <c r="N1282" s="28">
        <v>0.16</v>
      </c>
      <c r="O1282" s="29">
        <f t="shared" si="201"/>
        <v>48.6</v>
      </c>
      <c r="P1282" s="30">
        <f t="shared" si="202"/>
        <v>352.35</v>
      </c>
      <c r="Q1282" s="23"/>
      <c r="R1282" s="52"/>
      <c r="S1282" s="53"/>
      <c r="T1282" s="54">
        <f t="shared" si="203"/>
        <v>0</v>
      </c>
      <c r="U1282" s="26">
        <f t="shared" si="204"/>
        <v>0</v>
      </c>
      <c r="V1282" s="55">
        <f t="shared" si="205"/>
        <v>0</v>
      </c>
      <c r="W1282" s="29">
        <f t="shared" si="206"/>
        <v>0</v>
      </c>
      <c r="X1282" s="30">
        <f t="shared" si="207"/>
        <v>0</v>
      </c>
      <c r="Y1282"/>
      <c r="Z1282"/>
      <c r="AA1282"/>
    </row>
    <row r="1283" spans="1:27" s="51" customFormat="1" ht="18.600000000000001" hidden="1" customHeight="1" x14ac:dyDescent="0.25">
      <c r="A1283" s="81" t="s">
        <v>2653</v>
      </c>
      <c r="B1283" s="31" t="s">
        <v>9298</v>
      </c>
      <c r="C1283" s="32"/>
      <c r="D1283" s="31">
        <v>8436535570398</v>
      </c>
      <c r="E1283" s="33" t="s">
        <v>2878</v>
      </c>
      <c r="F1283" s="33" t="s">
        <v>1937</v>
      </c>
      <c r="G1283" s="33" t="s">
        <v>2655</v>
      </c>
      <c r="H1283" s="84" t="s">
        <v>23</v>
      </c>
      <c r="I1283" s="23" t="s">
        <v>24</v>
      </c>
      <c r="J1283" s="34">
        <v>135</v>
      </c>
      <c r="K1283" s="35">
        <v>0.25</v>
      </c>
      <c r="L1283" s="36">
        <f t="shared" si="199"/>
        <v>33.75</v>
      </c>
      <c r="M1283" s="37">
        <f t="shared" si="200"/>
        <v>101.25</v>
      </c>
      <c r="N1283" s="38">
        <v>0.16</v>
      </c>
      <c r="O1283" s="39">
        <f t="shared" si="201"/>
        <v>16.2</v>
      </c>
      <c r="P1283" s="40">
        <f t="shared" si="202"/>
        <v>117.45</v>
      </c>
      <c r="Q1283" s="23"/>
      <c r="R1283" s="56"/>
      <c r="S1283" s="57"/>
      <c r="T1283" s="58">
        <f t="shared" si="203"/>
        <v>0</v>
      </c>
      <c r="U1283" s="36">
        <f t="shared" si="204"/>
        <v>0</v>
      </c>
      <c r="V1283" s="59">
        <f t="shared" si="205"/>
        <v>0</v>
      </c>
      <c r="W1283" s="39">
        <f t="shared" si="206"/>
        <v>0</v>
      </c>
      <c r="X1283" s="40">
        <f t="shared" si="207"/>
        <v>0</v>
      </c>
      <c r="Y1283"/>
      <c r="Z1283"/>
      <c r="AA1283"/>
    </row>
    <row r="1284" spans="1:27" s="51" customFormat="1" ht="18.600000000000001" hidden="1" customHeight="1" x14ac:dyDescent="0.25">
      <c r="A1284" s="82" t="s">
        <v>2653</v>
      </c>
      <c r="B1284" s="41" t="s">
        <v>9298</v>
      </c>
      <c r="C1284" s="42"/>
      <c r="D1284" s="41">
        <v>8436535570404</v>
      </c>
      <c r="E1284" s="43" t="s">
        <v>2879</v>
      </c>
      <c r="F1284" s="43" t="s">
        <v>1937</v>
      </c>
      <c r="G1284" s="43" t="s">
        <v>2655</v>
      </c>
      <c r="H1284" s="85" t="s">
        <v>2880</v>
      </c>
      <c r="I1284" s="23" t="s">
        <v>24</v>
      </c>
      <c r="J1284" s="44">
        <v>135</v>
      </c>
      <c r="K1284" s="45">
        <v>0.25</v>
      </c>
      <c r="L1284" s="46">
        <f t="shared" si="199"/>
        <v>33.75</v>
      </c>
      <c r="M1284" s="47">
        <f t="shared" si="200"/>
        <v>101.25</v>
      </c>
      <c r="N1284" s="48">
        <v>0.16</v>
      </c>
      <c r="O1284" s="49">
        <f t="shared" si="201"/>
        <v>16.2</v>
      </c>
      <c r="P1284" s="50">
        <f t="shared" si="202"/>
        <v>117.45</v>
      </c>
      <c r="Q1284" s="23"/>
      <c r="R1284" s="60"/>
      <c r="S1284" s="61"/>
      <c r="T1284" s="62">
        <f t="shared" si="203"/>
        <v>0</v>
      </c>
      <c r="U1284" s="46">
        <f t="shared" si="204"/>
        <v>0</v>
      </c>
      <c r="V1284" s="63">
        <f t="shared" si="205"/>
        <v>0</v>
      </c>
      <c r="W1284" s="49">
        <f t="shared" si="206"/>
        <v>0</v>
      </c>
      <c r="X1284" s="50">
        <f t="shared" si="207"/>
        <v>0</v>
      </c>
      <c r="Y1284"/>
      <c r="Z1284"/>
      <c r="AA1284"/>
    </row>
    <row r="1285" spans="1:27" s="51" customFormat="1" ht="18.600000000000001" hidden="1" customHeight="1" x14ac:dyDescent="0.25">
      <c r="A1285" s="80" t="s">
        <v>2653</v>
      </c>
      <c r="B1285" s="20" t="s">
        <v>9298</v>
      </c>
      <c r="C1285" s="21"/>
      <c r="D1285" s="20">
        <v>8436535570411</v>
      </c>
      <c r="E1285" s="22" t="s">
        <v>2881</v>
      </c>
      <c r="F1285" s="22" t="s">
        <v>1937</v>
      </c>
      <c r="G1285" s="22" t="s">
        <v>2655</v>
      </c>
      <c r="H1285" s="83" t="s">
        <v>2882</v>
      </c>
      <c r="I1285" s="23" t="s">
        <v>24</v>
      </c>
      <c r="J1285" s="24">
        <v>135</v>
      </c>
      <c r="K1285" s="25">
        <v>0.25</v>
      </c>
      <c r="L1285" s="26">
        <f t="shared" si="199"/>
        <v>33.75</v>
      </c>
      <c r="M1285" s="27">
        <f t="shared" si="200"/>
        <v>101.25</v>
      </c>
      <c r="N1285" s="28">
        <v>0.16</v>
      </c>
      <c r="O1285" s="29">
        <f t="shared" si="201"/>
        <v>16.2</v>
      </c>
      <c r="P1285" s="30">
        <f t="shared" si="202"/>
        <v>117.45</v>
      </c>
      <c r="Q1285" s="23"/>
      <c r="R1285" s="52"/>
      <c r="S1285" s="53"/>
      <c r="T1285" s="54">
        <f t="shared" si="203"/>
        <v>0</v>
      </c>
      <c r="U1285" s="26">
        <f t="shared" si="204"/>
        <v>0</v>
      </c>
      <c r="V1285" s="55">
        <f t="shared" si="205"/>
        <v>0</v>
      </c>
      <c r="W1285" s="29">
        <f t="shared" si="206"/>
        <v>0</v>
      </c>
      <c r="X1285" s="30">
        <f t="shared" si="207"/>
        <v>0</v>
      </c>
      <c r="Y1285"/>
      <c r="Z1285"/>
      <c r="AA1285"/>
    </row>
    <row r="1286" spans="1:27" s="51" customFormat="1" ht="18.600000000000001" hidden="1" customHeight="1" x14ac:dyDescent="0.25">
      <c r="A1286" s="81" t="s">
        <v>2653</v>
      </c>
      <c r="B1286" s="31" t="s">
        <v>9298</v>
      </c>
      <c r="C1286" s="32"/>
      <c r="D1286" s="31">
        <v>8436535570428</v>
      </c>
      <c r="E1286" s="33" t="s">
        <v>2883</v>
      </c>
      <c r="F1286" s="33" t="s">
        <v>1937</v>
      </c>
      <c r="G1286" s="33" t="s">
        <v>2655</v>
      </c>
      <c r="H1286" s="84" t="s">
        <v>2884</v>
      </c>
      <c r="I1286" s="23" t="s">
        <v>24</v>
      </c>
      <c r="J1286" s="34">
        <v>135</v>
      </c>
      <c r="K1286" s="35">
        <v>0.25</v>
      </c>
      <c r="L1286" s="36">
        <f t="shared" si="199"/>
        <v>33.75</v>
      </c>
      <c r="M1286" s="37">
        <f t="shared" si="200"/>
        <v>101.25</v>
      </c>
      <c r="N1286" s="38">
        <v>0.16</v>
      </c>
      <c r="O1286" s="39">
        <f t="shared" si="201"/>
        <v>16.2</v>
      </c>
      <c r="P1286" s="40">
        <f t="shared" si="202"/>
        <v>117.45</v>
      </c>
      <c r="Q1286" s="23"/>
      <c r="R1286" s="56"/>
      <c r="S1286" s="57"/>
      <c r="T1286" s="58">
        <f t="shared" si="203"/>
        <v>0</v>
      </c>
      <c r="U1286" s="36">
        <f t="shared" si="204"/>
        <v>0</v>
      </c>
      <c r="V1286" s="59">
        <f t="shared" si="205"/>
        <v>0</v>
      </c>
      <c r="W1286" s="39">
        <f t="shared" si="206"/>
        <v>0</v>
      </c>
      <c r="X1286" s="40">
        <f t="shared" si="207"/>
        <v>0</v>
      </c>
      <c r="Y1286"/>
      <c r="Z1286"/>
      <c r="AA1286"/>
    </row>
    <row r="1287" spans="1:27" s="51" customFormat="1" ht="18.600000000000001" hidden="1" customHeight="1" x14ac:dyDescent="0.25">
      <c r="A1287" s="82" t="s">
        <v>2653</v>
      </c>
      <c r="B1287" s="41" t="s">
        <v>9298</v>
      </c>
      <c r="C1287" s="42"/>
      <c r="D1287" s="41">
        <v>8436535570435</v>
      </c>
      <c r="E1287" s="43" t="s">
        <v>2885</v>
      </c>
      <c r="F1287" s="43" t="s">
        <v>1937</v>
      </c>
      <c r="G1287" s="43" t="s">
        <v>2655</v>
      </c>
      <c r="H1287" s="85" t="s">
        <v>2886</v>
      </c>
      <c r="I1287" s="23" t="s">
        <v>24</v>
      </c>
      <c r="J1287" s="44">
        <v>135</v>
      </c>
      <c r="K1287" s="45">
        <v>0.25</v>
      </c>
      <c r="L1287" s="46">
        <f t="shared" si="199"/>
        <v>33.75</v>
      </c>
      <c r="M1287" s="47">
        <f t="shared" si="200"/>
        <v>101.25</v>
      </c>
      <c r="N1287" s="48">
        <v>0.16</v>
      </c>
      <c r="O1287" s="49">
        <f t="shared" si="201"/>
        <v>16.2</v>
      </c>
      <c r="P1287" s="50">
        <f t="shared" si="202"/>
        <v>117.45</v>
      </c>
      <c r="Q1287" s="23"/>
      <c r="R1287" s="60"/>
      <c r="S1287" s="61"/>
      <c r="T1287" s="62">
        <f t="shared" si="203"/>
        <v>0</v>
      </c>
      <c r="U1287" s="46">
        <f t="shared" si="204"/>
        <v>0</v>
      </c>
      <c r="V1287" s="63">
        <f t="shared" si="205"/>
        <v>0</v>
      </c>
      <c r="W1287" s="49">
        <f t="shared" si="206"/>
        <v>0</v>
      </c>
      <c r="X1287" s="50">
        <f t="shared" si="207"/>
        <v>0</v>
      </c>
      <c r="Y1287"/>
      <c r="Z1287"/>
      <c r="AA1287"/>
    </row>
    <row r="1288" spans="1:27" s="51" customFormat="1" ht="18.600000000000001" hidden="1" customHeight="1" x14ac:dyDescent="0.25">
      <c r="A1288" s="80" t="s">
        <v>2653</v>
      </c>
      <c r="B1288" s="20" t="s">
        <v>9298</v>
      </c>
      <c r="C1288" s="21"/>
      <c r="D1288" s="20">
        <v>8436535570442</v>
      </c>
      <c r="E1288" s="22" t="s">
        <v>2887</v>
      </c>
      <c r="F1288" s="22" t="s">
        <v>1937</v>
      </c>
      <c r="G1288" s="22" t="s">
        <v>2655</v>
      </c>
      <c r="H1288" s="83" t="s">
        <v>2888</v>
      </c>
      <c r="I1288" s="23" t="s">
        <v>24</v>
      </c>
      <c r="J1288" s="24">
        <v>135</v>
      </c>
      <c r="K1288" s="25">
        <v>0.25</v>
      </c>
      <c r="L1288" s="26">
        <f t="shared" si="199"/>
        <v>33.75</v>
      </c>
      <c r="M1288" s="27">
        <f t="shared" si="200"/>
        <v>101.25</v>
      </c>
      <c r="N1288" s="28">
        <v>0.16</v>
      </c>
      <c r="O1288" s="29">
        <f t="shared" si="201"/>
        <v>16.2</v>
      </c>
      <c r="P1288" s="30">
        <f t="shared" si="202"/>
        <v>117.45</v>
      </c>
      <c r="Q1288" s="23"/>
      <c r="R1288" s="52"/>
      <c r="S1288" s="53"/>
      <c r="T1288" s="54">
        <f t="shared" si="203"/>
        <v>0</v>
      </c>
      <c r="U1288" s="26">
        <f t="shared" si="204"/>
        <v>0</v>
      </c>
      <c r="V1288" s="55">
        <f t="shared" si="205"/>
        <v>0</v>
      </c>
      <c r="W1288" s="29">
        <f t="shared" si="206"/>
        <v>0</v>
      </c>
      <c r="X1288" s="30">
        <f t="shared" si="207"/>
        <v>0</v>
      </c>
      <c r="Y1288"/>
      <c r="Z1288"/>
      <c r="AA1288"/>
    </row>
    <row r="1289" spans="1:27" s="51" customFormat="1" ht="18.600000000000001" hidden="1" customHeight="1" x14ac:dyDescent="0.25">
      <c r="A1289" s="81" t="s">
        <v>2653</v>
      </c>
      <c r="B1289" s="31" t="s">
        <v>9298</v>
      </c>
      <c r="C1289" s="32"/>
      <c r="D1289" s="31">
        <v>8436535570480</v>
      </c>
      <c r="E1289" s="33" t="s">
        <v>2889</v>
      </c>
      <c r="F1289" s="33" t="s">
        <v>1937</v>
      </c>
      <c r="G1289" s="33" t="s">
        <v>2655</v>
      </c>
      <c r="H1289" s="84" t="s">
        <v>1848</v>
      </c>
      <c r="I1289" s="23" t="s">
        <v>24</v>
      </c>
      <c r="J1289" s="34">
        <v>135</v>
      </c>
      <c r="K1289" s="35">
        <v>0.25</v>
      </c>
      <c r="L1289" s="36">
        <f t="shared" si="199"/>
        <v>33.75</v>
      </c>
      <c r="M1289" s="37">
        <f t="shared" si="200"/>
        <v>101.25</v>
      </c>
      <c r="N1289" s="38">
        <v>0.16</v>
      </c>
      <c r="O1289" s="39">
        <f t="shared" si="201"/>
        <v>16.2</v>
      </c>
      <c r="P1289" s="40">
        <f t="shared" si="202"/>
        <v>117.45</v>
      </c>
      <c r="Q1289" s="23"/>
      <c r="R1289" s="56"/>
      <c r="S1289" s="57"/>
      <c r="T1289" s="58">
        <f t="shared" si="203"/>
        <v>0</v>
      </c>
      <c r="U1289" s="36">
        <f t="shared" si="204"/>
        <v>0</v>
      </c>
      <c r="V1289" s="59">
        <f t="shared" si="205"/>
        <v>0</v>
      </c>
      <c r="W1289" s="39">
        <f t="shared" si="206"/>
        <v>0</v>
      </c>
      <c r="X1289" s="40">
        <f t="shared" si="207"/>
        <v>0</v>
      </c>
      <c r="Y1289"/>
      <c r="Z1289"/>
      <c r="AA1289"/>
    </row>
    <row r="1290" spans="1:27" s="51" customFormat="1" ht="18.600000000000001" hidden="1" customHeight="1" x14ac:dyDescent="0.25">
      <c r="A1290" s="82" t="s">
        <v>2653</v>
      </c>
      <c r="B1290" s="41" t="s">
        <v>9298</v>
      </c>
      <c r="C1290" s="42"/>
      <c r="D1290" s="41">
        <v>8436535570817</v>
      </c>
      <c r="E1290" s="43" t="s">
        <v>2890</v>
      </c>
      <c r="F1290" s="43" t="s">
        <v>1937</v>
      </c>
      <c r="G1290" s="43" t="s">
        <v>2655</v>
      </c>
      <c r="H1290" s="85" t="s">
        <v>669</v>
      </c>
      <c r="I1290" s="23" t="s">
        <v>24</v>
      </c>
      <c r="J1290" s="44">
        <v>135</v>
      </c>
      <c r="K1290" s="45">
        <v>0.25</v>
      </c>
      <c r="L1290" s="46">
        <f t="shared" si="199"/>
        <v>33.75</v>
      </c>
      <c r="M1290" s="47">
        <f t="shared" si="200"/>
        <v>101.25</v>
      </c>
      <c r="N1290" s="48">
        <v>0.16</v>
      </c>
      <c r="O1290" s="49">
        <f t="shared" si="201"/>
        <v>16.2</v>
      </c>
      <c r="P1290" s="50">
        <f t="shared" si="202"/>
        <v>117.45</v>
      </c>
      <c r="Q1290" s="23"/>
      <c r="R1290" s="60"/>
      <c r="S1290" s="61"/>
      <c r="T1290" s="62">
        <f t="shared" si="203"/>
        <v>0</v>
      </c>
      <c r="U1290" s="46">
        <f t="shared" si="204"/>
        <v>0</v>
      </c>
      <c r="V1290" s="63">
        <f t="shared" si="205"/>
        <v>0</v>
      </c>
      <c r="W1290" s="49">
        <f t="shared" si="206"/>
        <v>0</v>
      </c>
      <c r="X1290" s="50">
        <f t="shared" si="207"/>
        <v>0</v>
      </c>
      <c r="Y1290"/>
      <c r="Z1290"/>
      <c r="AA1290"/>
    </row>
    <row r="1291" spans="1:27" s="51" customFormat="1" ht="18.600000000000001" hidden="1" customHeight="1" x14ac:dyDescent="0.25">
      <c r="A1291" s="80" t="s">
        <v>2653</v>
      </c>
      <c r="B1291" s="20" t="s">
        <v>9298</v>
      </c>
      <c r="C1291" s="21"/>
      <c r="D1291" s="20">
        <v>8436535570855</v>
      </c>
      <c r="E1291" s="22" t="s">
        <v>2891</v>
      </c>
      <c r="F1291" s="22" t="s">
        <v>1937</v>
      </c>
      <c r="G1291" s="22" t="s">
        <v>2655</v>
      </c>
      <c r="H1291" s="83" t="s">
        <v>2892</v>
      </c>
      <c r="I1291" s="23" t="s">
        <v>24</v>
      </c>
      <c r="J1291" s="24">
        <v>135</v>
      </c>
      <c r="K1291" s="25">
        <v>0.25</v>
      </c>
      <c r="L1291" s="26">
        <f t="shared" si="199"/>
        <v>33.75</v>
      </c>
      <c r="M1291" s="27">
        <f t="shared" si="200"/>
        <v>101.25</v>
      </c>
      <c r="N1291" s="28">
        <v>0.16</v>
      </c>
      <c r="O1291" s="29">
        <f t="shared" si="201"/>
        <v>16.2</v>
      </c>
      <c r="P1291" s="30">
        <f t="shared" si="202"/>
        <v>117.45</v>
      </c>
      <c r="Q1291" s="23"/>
      <c r="R1291" s="52"/>
      <c r="S1291" s="53"/>
      <c r="T1291" s="54">
        <f t="shared" si="203"/>
        <v>0</v>
      </c>
      <c r="U1291" s="26">
        <f t="shared" si="204"/>
        <v>0</v>
      </c>
      <c r="V1291" s="55">
        <f t="shared" si="205"/>
        <v>0</v>
      </c>
      <c r="W1291" s="29">
        <f t="shared" si="206"/>
        <v>0</v>
      </c>
      <c r="X1291" s="30">
        <f t="shared" si="207"/>
        <v>0</v>
      </c>
      <c r="Y1291"/>
      <c r="Z1291"/>
      <c r="AA1291"/>
    </row>
    <row r="1292" spans="1:27" s="51" customFormat="1" ht="18.600000000000001" hidden="1" customHeight="1" x14ac:dyDescent="0.25">
      <c r="A1292" s="81" t="s">
        <v>2653</v>
      </c>
      <c r="B1292" s="31" t="s">
        <v>9298</v>
      </c>
      <c r="C1292" s="32"/>
      <c r="D1292" s="31">
        <v>8436535570862</v>
      </c>
      <c r="E1292" s="33" t="s">
        <v>2893</v>
      </c>
      <c r="F1292" s="33" t="s">
        <v>1937</v>
      </c>
      <c r="G1292" s="33" t="s">
        <v>2655</v>
      </c>
      <c r="H1292" s="84" t="s">
        <v>2894</v>
      </c>
      <c r="I1292" s="23" t="s">
        <v>24</v>
      </c>
      <c r="J1292" s="34">
        <v>135</v>
      </c>
      <c r="K1292" s="35">
        <v>0.25</v>
      </c>
      <c r="L1292" s="36">
        <f t="shared" si="199"/>
        <v>33.75</v>
      </c>
      <c r="M1292" s="37">
        <f t="shared" si="200"/>
        <v>101.25</v>
      </c>
      <c r="N1292" s="38">
        <v>0.16</v>
      </c>
      <c r="O1292" s="39">
        <f t="shared" si="201"/>
        <v>16.2</v>
      </c>
      <c r="P1292" s="40">
        <f t="shared" si="202"/>
        <v>117.45</v>
      </c>
      <c r="Q1292" s="23"/>
      <c r="R1292" s="56"/>
      <c r="S1292" s="57"/>
      <c r="T1292" s="58">
        <f t="shared" si="203"/>
        <v>0</v>
      </c>
      <c r="U1292" s="36">
        <f t="shared" si="204"/>
        <v>0</v>
      </c>
      <c r="V1292" s="59">
        <f t="shared" si="205"/>
        <v>0</v>
      </c>
      <c r="W1292" s="39">
        <f t="shared" si="206"/>
        <v>0</v>
      </c>
      <c r="X1292" s="40">
        <f t="shared" si="207"/>
        <v>0</v>
      </c>
      <c r="Y1292"/>
      <c r="Z1292"/>
      <c r="AA1292"/>
    </row>
    <row r="1293" spans="1:27" s="51" customFormat="1" ht="18.600000000000001" hidden="1" customHeight="1" x14ac:dyDescent="0.25">
      <c r="A1293" s="82" t="s">
        <v>2653</v>
      </c>
      <c r="B1293" s="41" t="s">
        <v>9298</v>
      </c>
      <c r="C1293" s="42"/>
      <c r="D1293" s="41">
        <v>8436535571401</v>
      </c>
      <c r="E1293" s="43" t="s">
        <v>2895</v>
      </c>
      <c r="F1293" s="43" t="s">
        <v>1937</v>
      </c>
      <c r="G1293" s="43" t="s">
        <v>2655</v>
      </c>
      <c r="H1293" s="85" t="s">
        <v>2896</v>
      </c>
      <c r="I1293" s="23" t="s">
        <v>24</v>
      </c>
      <c r="J1293" s="44">
        <v>135</v>
      </c>
      <c r="K1293" s="45">
        <v>0.25</v>
      </c>
      <c r="L1293" s="46">
        <f t="shared" si="199"/>
        <v>33.75</v>
      </c>
      <c r="M1293" s="47">
        <f t="shared" si="200"/>
        <v>101.25</v>
      </c>
      <c r="N1293" s="48">
        <v>0.16</v>
      </c>
      <c r="O1293" s="49">
        <f t="shared" si="201"/>
        <v>16.2</v>
      </c>
      <c r="P1293" s="50">
        <f t="shared" si="202"/>
        <v>117.45</v>
      </c>
      <c r="Q1293" s="23"/>
      <c r="R1293" s="60"/>
      <c r="S1293" s="61"/>
      <c r="T1293" s="62">
        <f t="shared" si="203"/>
        <v>0</v>
      </c>
      <c r="U1293" s="46">
        <f t="shared" si="204"/>
        <v>0</v>
      </c>
      <c r="V1293" s="63">
        <f t="shared" si="205"/>
        <v>0</v>
      </c>
      <c r="W1293" s="49">
        <f t="shared" si="206"/>
        <v>0</v>
      </c>
      <c r="X1293" s="50">
        <f t="shared" si="207"/>
        <v>0</v>
      </c>
      <c r="Y1293"/>
      <c r="Z1293"/>
      <c r="AA1293"/>
    </row>
    <row r="1294" spans="1:27" s="51" customFormat="1" ht="18.600000000000001" hidden="1" customHeight="1" x14ac:dyDescent="0.25">
      <c r="A1294" s="80" t="s">
        <v>2653</v>
      </c>
      <c r="B1294" s="20" t="s">
        <v>9298</v>
      </c>
      <c r="C1294" s="21"/>
      <c r="D1294" s="20">
        <v>8436535571418</v>
      </c>
      <c r="E1294" s="22" t="s">
        <v>2897</v>
      </c>
      <c r="F1294" s="22" t="s">
        <v>1937</v>
      </c>
      <c r="G1294" s="22" t="s">
        <v>2655</v>
      </c>
      <c r="H1294" s="83" t="s">
        <v>2898</v>
      </c>
      <c r="I1294" s="23" t="s">
        <v>24</v>
      </c>
      <c r="J1294" s="24">
        <v>135</v>
      </c>
      <c r="K1294" s="25">
        <v>0.25</v>
      </c>
      <c r="L1294" s="26">
        <f t="shared" si="199"/>
        <v>33.75</v>
      </c>
      <c r="M1294" s="27">
        <f t="shared" si="200"/>
        <v>101.25</v>
      </c>
      <c r="N1294" s="28">
        <v>0.16</v>
      </c>
      <c r="O1294" s="29">
        <f t="shared" si="201"/>
        <v>16.2</v>
      </c>
      <c r="P1294" s="30">
        <f t="shared" si="202"/>
        <v>117.45</v>
      </c>
      <c r="Q1294" s="23"/>
      <c r="R1294" s="52"/>
      <c r="S1294" s="53"/>
      <c r="T1294" s="54">
        <f t="shared" si="203"/>
        <v>0</v>
      </c>
      <c r="U1294" s="26">
        <f t="shared" si="204"/>
        <v>0</v>
      </c>
      <c r="V1294" s="55">
        <f t="shared" si="205"/>
        <v>0</v>
      </c>
      <c r="W1294" s="29">
        <f t="shared" si="206"/>
        <v>0</v>
      </c>
      <c r="X1294" s="30">
        <f t="shared" si="207"/>
        <v>0</v>
      </c>
      <c r="Y1294"/>
      <c r="Z1294"/>
      <c r="AA1294"/>
    </row>
    <row r="1295" spans="1:27" s="51" customFormat="1" ht="18.600000000000001" hidden="1" customHeight="1" x14ac:dyDescent="0.25">
      <c r="A1295" s="81" t="s">
        <v>2653</v>
      </c>
      <c r="B1295" s="31" t="s">
        <v>9298</v>
      </c>
      <c r="C1295" s="32"/>
      <c r="D1295" s="31">
        <v>8436535571425</v>
      </c>
      <c r="E1295" s="33" t="s">
        <v>2899</v>
      </c>
      <c r="F1295" s="33" t="s">
        <v>1937</v>
      </c>
      <c r="G1295" s="33" t="s">
        <v>2655</v>
      </c>
      <c r="H1295" s="84" t="s">
        <v>2900</v>
      </c>
      <c r="I1295" s="23" t="s">
        <v>24</v>
      </c>
      <c r="J1295" s="34">
        <v>135</v>
      </c>
      <c r="K1295" s="35">
        <v>0.25</v>
      </c>
      <c r="L1295" s="36">
        <f t="shared" si="199"/>
        <v>33.75</v>
      </c>
      <c r="M1295" s="37">
        <f t="shared" si="200"/>
        <v>101.25</v>
      </c>
      <c r="N1295" s="38">
        <v>0.16</v>
      </c>
      <c r="O1295" s="39">
        <f t="shared" si="201"/>
        <v>16.2</v>
      </c>
      <c r="P1295" s="40">
        <f t="shared" si="202"/>
        <v>117.45</v>
      </c>
      <c r="Q1295" s="23"/>
      <c r="R1295" s="56"/>
      <c r="S1295" s="57"/>
      <c r="T1295" s="58">
        <f t="shared" si="203"/>
        <v>0</v>
      </c>
      <c r="U1295" s="36">
        <f t="shared" si="204"/>
        <v>0</v>
      </c>
      <c r="V1295" s="59">
        <f t="shared" si="205"/>
        <v>0</v>
      </c>
      <c r="W1295" s="39">
        <f t="shared" si="206"/>
        <v>0</v>
      </c>
      <c r="X1295" s="40">
        <f t="shared" si="207"/>
        <v>0</v>
      </c>
      <c r="Y1295"/>
      <c r="Z1295"/>
      <c r="AA1295"/>
    </row>
    <row r="1296" spans="1:27" s="51" customFormat="1" ht="18.600000000000001" hidden="1" customHeight="1" x14ac:dyDescent="0.25">
      <c r="A1296" s="82" t="s">
        <v>2653</v>
      </c>
      <c r="B1296" s="41" t="s">
        <v>9298</v>
      </c>
      <c r="C1296" s="42"/>
      <c r="D1296" s="41">
        <v>8436535571432</v>
      </c>
      <c r="E1296" s="43" t="s">
        <v>2901</v>
      </c>
      <c r="F1296" s="43" t="s">
        <v>1937</v>
      </c>
      <c r="G1296" s="43" t="s">
        <v>2655</v>
      </c>
      <c r="H1296" s="85" t="s">
        <v>1075</v>
      </c>
      <c r="I1296" s="23" t="s">
        <v>24</v>
      </c>
      <c r="J1296" s="44">
        <v>135</v>
      </c>
      <c r="K1296" s="45">
        <v>0.25</v>
      </c>
      <c r="L1296" s="46">
        <f t="shared" si="199"/>
        <v>33.75</v>
      </c>
      <c r="M1296" s="47">
        <f t="shared" si="200"/>
        <v>101.25</v>
      </c>
      <c r="N1296" s="48">
        <v>0.16</v>
      </c>
      <c r="O1296" s="49">
        <f t="shared" si="201"/>
        <v>16.2</v>
      </c>
      <c r="P1296" s="50">
        <f t="shared" si="202"/>
        <v>117.45</v>
      </c>
      <c r="Q1296" s="23"/>
      <c r="R1296" s="60"/>
      <c r="S1296" s="61"/>
      <c r="T1296" s="62">
        <f t="shared" si="203"/>
        <v>0</v>
      </c>
      <c r="U1296" s="46">
        <f t="shared" si="204"/>
        <v>0</v>
      </c>
      <c r="V1296" s="63">
        <f t="shared" si="205"/>
        <v>0</v>
      </c>
      <c r="W1296" s="49">
        <f t="shared" si="206"/>
        <v>0</v>
      </c>
      <c r="X1296" s="50">
        <f t="shared" si="207"/>
        <v>0</v>
      </c>
      <c r="Y1296"/>
      <c r="Z1296"/>
      <c r="AA1296"/>
    </row>
    <row r="1297" spans="1:27" s="51" customFormat="1" ht="18.600000000000001" hidden="1" customHeight="1" x14ac:dyDescent="0.25">
      <c r="A1297" s="80" t="s">
        <v>2653</v>
      </c>
      <c r="B1297" s="20" t="s">
        <v>9298</v>
      </c>
      <c r="C1297" s="21"/>
      <c r="D1297" s="20">
        <v>8436535571449</v>
      </c>
      <c r="E1297" s="22" t="s">
        <v>2902</v>
      </c>
      <c r="F1297" s="22" t="s">
        <v>1937</v>
      </c>
      <c r="G1297" s="22" t="s">
        <v>2655</v>
      </c>
      <c r="H1297" s="83" t="s">
        <v>2903</v>
      </c>
      <c r="I1297" s="23" t="s">
        <v>24</v>
      </c>
      <c r="J1297" s="24">
        <v>135</v>
      </c>
      <c r="K1297" s="25">
        <v>0.25</v>
      </c>
      <c r="L1297" s="26">
        <f t="shared" si="199"/>
        <v>33.75</v>
      </c>
      <c r="M1297" s="27">
        <f t="shared" si="200"/>
        <v>101.25</v>
      </c>
      <c r="N1297" s="28">
        <v>0.16</v>
      </c>
      <c r="O1297" s="29">
        <f t="shared" si="201"/>
        <v>16.2</v>
      </c>
      <c r="P1297" s="30">
        <f t="shared" si="202"/>
        <v>117.45</v>
      </c>
      <c r="Q1297" s="23"/>
      <c r="R1297" s="52"/>
      <c r="S1297" s="53"/>
      <c r="T1297" s="54">
        <f t="shared" si="203"/>
        <v>0</v>
      </c>
      <c r="U1297" s="26">
        <f t="shared" si="204"/>
        <v>0</v>
      </c>
      <c r="V1297" s="55">
        <f t="shared" si="205"/>
        <v>0</v>
      </c>
      <c r="W1297" s="29">
        <f t="shared" si="206"/>
        <v>0</v>
      </c>
      <c r="X1297" s="30">
        <f t="shared" si="207"/>
        <v>0</v>
      </c>
      <c r="Y1297"/>
      <c r="Z1297"/>
      <c r="AA1297"/>
    </row>
    <row r="1298" spans="1:27" s="51" customFormat="1" ht="18.600000000000001" hidden="1" customHeight="1" x14ac:dyDescent="0.25">
      <c r="A1298" s="81" t="s">
        <v>2653</v>
      </c>
      <c r="B1298" s="31" t="s">
        <v>9298</v>
      </c>
      <c r="C1298" s="32"/>
      <c r="D1298" s="31">
        <v>8436535571456</v>
      </c>
      <c r="E1298" s="33" t="s">
        <v>2904</v>
      </c>
      <c r="F1298" s="33" t="s">
        <v>1937</v>
      </c>
      <c r="G1298" s="33" t="s">
        <v>2655</v>
      </c>
      <c r="H1298" s="84" t="s">
        <v>2905</v>
      </c>
      <c r="I1298" s="23" t="s">
        <v>24</v>
      </c>
      <c r="J1298" s="34">
        <v>135</v>
      </c>
      <c r="K1298" s="35">
        <v>0.25</v>
      </c>
      <c r="L1298" s="36">
        <f t="shared" si="199"/>
        <v>33.75</v>
      </c>
      <c r="M1298" s="37">
        <f t="shared" si="200"/>
        <v>101.25</v>
      </c>
      <c r="N1298" s="38">
        <v>0.16</v>
      </c>
      <c r="O1298" s="39">
        <f t="shared" si="201"/>
        <v>16.2</v>
      </c>
      <c r="P1298" s="40">
        <f t="shared" si="202"/>
        <v>117.45</v>
      </c>
      <c r="Q1298" s="23"/>
      <c r="R1298" s="56"/>
      <c r="S1298" s="57"/>
      <c r="T1298" s="58">
        <f t="shared" si="203"/>
        <v>0</v>
      </c>
      <c r="U1298" s="36">
        <f t="shared" si="204"/>
        <v>0</v>
      </c>
      <c r="V1298" s="59">
        <f t="shared" si="205"/>
        <v>0</v>
      </c>
      <c r="W1298" s="39">
        <f t="shared" si="206"/>
        <v>0</v>
      </c>
      <c r="X1298" s="40">
        <f t="shared" si="207"/>
        <v>0</v>
      </c>
      <c r="Y1298"/>
      <c r="Z1298"/>
      <c r="AA1298"/>
    </row>
    <row r="1299" spans="1:27" s="51" customFormat="1" ht="18.600000000000001" hidden="1" customHeight="1" x14ac:dyDescent="0.25">
      <c r="A1299" s="82" t="s">
        <v>2653</v>
      </c>
      <c r="B1299" s="41" t="s">
        <v>9298</v>
      </c>
      <c r="C1299" s="42"/>
      <c r="D1299" s="41">
        <v>8436535571463</v>
      </c>
      <c r="E1299" s="43" t="s">
        <v>2906</v>
      </c>
      <c r="F1299" s="43" t="s">
        <v>1937</v>
      </c>
      <c r="G1299" s="43" t="s">
        <v>2655</v>
      </c>
      <c r="H1299" s="85" t="s">
        <v>2907</v>
      </c>
      <c r="I1299" s="23" t="s">
        <v>24</v>
      </c>
      <c r="J1299" s="44">
        <v>135</v>
      </c>
      <c r="K1299" s="45">
        <v>0.25</v>
      </c>
      <c r="L1299" s="46">
        <f t="shared" si="199"/>
        <v>33.75</v>
      </c>
      <c r="M1299" s="47">
        <f t="shared" si="200"/>
        <v>101.25</v>
      </c>
      <c r="N1299" s="48">
        <v>0.16</v>
      </c>
      <c r="O1299" s="49">
        <f t="shared" si="201"/>
        <v>16.2</v>
      </c>
      <c r="P1299" s="50">
        <f t="shared" si="202"/>
        <v>117.45</v>
      </c>
      <c r="Q1299" s="23"/>
      <c r="R1299" s="60"/>
      <c r="S1299" s="61"/>
      <c r="T1299" s="62">
        <f t="shared" si="203"/>
        <v>0</v>
      </c>
      <c r="U1299" s="46">
        <f t="shared" si="204"/>
        <v>0</v>
      </c>
      <c r="V1299" s="63">
        <f t="shared" si="205"/>
        <v>0</v>
      </c>
      <c r="W1299" s="49">
        <f t="shared" si="206"/>
        <v>0</v>
      </c>
      <c r="X1299" s="50">
        <f t="shared" si="207"/>
        <v>0</v>
      </c>
      <c r="Y1299"/>
      <c r="Z1299"/>
      <c r="AA1299"/>
    </row>
    <row r="1300" spans="1:27" s="51" customFormat="1" ht="18.600000000000001" hidden="1" customHeight="1" x14ac:dyDescent="0.25">
      <c r="A1300" s="80" t="s">
        <v>2653</v>
      </c>
      <c r="B1300" s="20" t="s">
        <v>9298</v>
      </c>
      <c r="C1300" s="21"/>
      <c r="D1300" s="20">
        <v>8436535571470</v>
      </c>
      <c r="E1300" s="22" t="s">
        <v>2908</v>
      </c>
      <c r="F1300" s="22" t="s">
        <v>1937</v>
      </c>
      <c r="G1300" s="22" t="s">
        <v>2655</v>
      </c>
      <c r="H1300" s="83" t="s">
        <v>2909</v>
      </c>
      <c r="I1300" s="23" t="s">
        <v>24</v>
      </c>
      <c r="J1300" s="24">
        <v>135</v>
      </c>
      <c r="K1300" s="25">
        <v>0.25</v>
      </c>
      <c r="L1300" s="26">
        <f t="shared" si="199"/>
        <v>33.75</v>
      </c>
      <c r="M1300" s="27">
        <f t="shared" si="200"/>
        <v>101.25</v>
      </c>
      <c r="N1300" s="28">
        <v>0.16</v>
      </c>
      <c r="O1300" s="29">
        <f t="shared" si="201"/>
        <v>16.2</v>
      </c>
      <c r="P1300" s="30">
        <f t="shared" si="202"/>
        <v>117.45</v>
      </c>
      <c r="Q1300" s="23"/>
      <c r="R1300" s="52"/>
      <c r="S1300" s="53"/>
      <c r="T1300" s="54">
        <f t="shared" si="203"/>
        <v>0</v>
      </c>
      <c r="U1300" s="26">
        <f t="shared" si="204"/>
        <v>0</v>
      </c>
      <c r="V1300" s="55">
        <f t="shared" si="205"/>
        <v>0</v>
      </c>
      <c r="W1300" s="29">
        <f t="shared" si="206"/>
        <v>0</v>
      </c>
      <c r="X1300" s="30">
        <f t="shared" si="207"/>
        <v>0</v>
      </c>
      <c r="Y1300"/>
      <c r="Z1300"/>
      <c r="AA1300"/>
    </row>
    <row r="1301" spans="1:27" s="51" customFormat="1" ht="18.600000000000001" hidden="1" customHeight="1" x14ac:dyDescent="0.25">
      <c r="A1301" s="81" t="s">
        <v>2653</v>
      </c>
      <c r="B1301" s="31" t="s">
        <v>9298</v>
      </c>
      <c r="C1301" s="32"/>
      <c r="D1301" s="31">
        <v>8436535571487</v>
      </c>
      <c r="E1301" s="33" t="s">
        <v>2910</v>
      </c>
      <c r="F1301" s="33" t="s">
        <v>1937</v>
      </c>
      <c r="G1301" s="33" t="s">
        <v>2655</v>
      </c>
      <c r="H1301" s="84" t="s">
        <v>2911</v>
      </c>
      <c r="I1301" s="23" t="s">
        <v>24</v>
      </c>
      <c r="J1301" s="34">
        <v>135</v>
      </c>
      <c r="K1301" s="35">
        <v>0.25</v>
      </c>
      <c r="L1301" s="36">
        <f t="shared" si="199"/>
        <v>33.75</v>
      </c>
      <c r="M1301" s="37">
        <f t="shared" si="200"/>
        <v>101.25</v>
      </c>
      <c r="N1301" s="38">
        <v>0.16</v>
      </c>
      <c r="O1301" s="39">
        <f t="shared" si="201"/>
        <v>16.2</v>
      </c>
      <c r="P1301" s="40">
        <f t="shared" si="202"/>
        <v>117.45</v>
      </c>
      <c r="Q1301" s="23"/>
      <c r="R1301" s="56"/>
      <c r="S1301" s="57"/>
      <c r="T1301" s="58">
        <f t="shared" si="203"/>
        <v>0</v>
      </c>
      <c r="U1301" s="36">
        <f t="shared" si="204"/>
        <v>0</v>
      </c>
      <c r="V1301" s="59">
        <f t="shared" si="205"/>
        <v>0</v>
      </c>
      <c r="W1301" s="39">
        <f t="shared" si="206"/>
        <v>0</v>
      </c>
      <c r="X1301" s="40">
        <f t="shared" si="207"/>
        <v>0</v>
      </c>
      <c r="Y1301"/>
      <c r="Z1301"/>
      <c r="AA1301"/>
    </row>
    <row r="1302" spans="1:27" s="51" customFormat="1" ht="18.600000000000001" hidden="1" customHeight="1" x14ac:dyDescent="0.25">
      <c r="A1302" s="82" t="s">
        <v>2653</v>
      </c>
      <c r="B1302" s="41" t="s">
        <v>9298</v>
      </c>
      <c r="C1302" s="42"/>
      <c r="D1302" s="41">
        <v>8436535573283</v>
      </c>
      <c r="E1302" s="43" t="s">
        <v>2912</v>
      </c>
      <c r="F1302" s="43" t="s">
        <v>1937</v>
      </c>
      <c r="G1302" s="43" t="s">
        <v>2655</v>
      </c>
      <c r="H1302" s="85" t="s">
        <v>2913</v>
      </c>
      <c r="I1302" s="23" t="s">
        <v>24</v>
      </c>
      <c r="J1302" s="44">
        <v>135</v>
      </c>
      <c r="K1302" s="45">
        <v>0.25</v>
      </c>
      <c r="L1302" s="46">
        <f t="shared" si="199"/>
        <v>33.75</v>
      </c>
      <c r="M1302" s="47">
        <f t="shared" si="200"/>
        <v>101.25</v>
      </c>
      <c r="N1302" s="48">
        <v>0.16</v>
      </c>
      <c r="O1302" s="49">
        <f t="shared" si="201"/>
        <v>16.2</v>
      </c>
      <c r="P1302" s="50">
        <f t="shared" si="202"/>
        <v>117.45</v>
      </c>
      <c r="Q1302" s="23"/>
      <c r="R1302" s="60"/>
      <c r="S1302" s="61"/>
      <c r="T1302" s="62">
        <f t="shared" si="203"/>
        <v>0</v>
      </c>
      <c r="U1302" s="46">
        <f t="shared" si="204"/>
        <v>0</v>
      </c>
      <c r="V1302" s="63">
        <f t="shared" si="205"/>
        <v>0</v>
      </c>
      <c r="W1302" s="49">
        <f t="shared" si="206"/>
        <v>0</v>
      </c>
      <c r="X1302" s="50">
        <f t="shared" si="207"/>
        <v>0</v>
      </c>
      <c r="Y1302"/>
      <c r="Z1302"/>
      <c r="AA1302"/>
    </row>
    <row r="1303" spans="1:27" s="51" customFormat="1" ht="18.600000000000001" hidden="1" customHeight="1" x14ac:dyDescent="0.25">
      <c r="A1303" s="80" t="s">
        <v>2653</v>
      </c>
      <c r="B1303" s="20" t="s">
        <v>9298</v>
      </c>
      <c r="C1303" s="21"/>
      <c r="D1303" s="20">
        <v>8436535573313</v>
      </c>
      <c r="E1303" s="22" t="s">
        <v>2914</v>
      </c>
      <c r="F1303" s="22" t="s">
        <v>1937</v>
      </c>
      <c r="G1303" s="22" t="s">
        <v>2655</v>
      </c>
      <c r="H1303" s="83" t="s">
        <v>2915</v>
      </c>
      <c r="I1303" s="23" t="s">
        <v>24</v>
      </c>
      <c r="J1303" s="24">
        <v>135</v>
      </c>
      <c r="K1303" s="25">
        <v>0.25</v>
      </c>
      <c r="L1303" s="26">
        <f t="shared" ref="L1303:L1366" si="208">+J1303*K1303</f>
        <v>33.75</v>
      </c>
      <c r="M1303" s="27">
        <f t="shared" ref="M1303:M1366" si="209">+J1303-L1303</f>
        <v>101.25</v>
      </c>
      <c r="N1303" s="28">
        <v>0.16</v>
      </c>
      <c r="O1303" s="29">
        <f t="shared" ref="O1303:O1366" si="210">+M1303*N1303</f>
        <v>16.2</v>
      </c>
      <c r="P1303" s="30">
        <f t="shared" ref="P1303:P1366" si="211">+M1303+O1303</f>
        <v>117.45</v>
      </c>
      <c r="Q1303" s="23"/>
      <c r="R1303" s="52"/>
      <c r="S1303" s="53"/>
      <c r="T1303" s="54">
        <f t="shared" ref="T1303:T1366" si="212">+S1303*J1303</f>
        <v>0</v>
      </c>
      <c r="U1303" s="26">
        <f t="shared" ref="U1303:U1366" si="213">+T1303*K1303</f>
        <v>0</v>
      </c>
      <c r="V1303" s="55">
        <f t="shared" ref="V1303:V1366" si="214">+T1303-U1303</f>
        <v>0</v>
      </c>
      <c r="W1303" s="29">
        <f t="shared" ref="W1303:W1366" si="215">+V1303*N1303</f>
        <v>0</v>
      </c>
      <c r="X1303" s="30">
        <f t="shared" ref="X1303:X1366" si="216">+V1303+W1303</f>
        <v>0</v>
      </c>
      <c r="Y1303"/>
      <c r="Z1303"/>
      <c r="AA1303"/>
    </row>
    <row r="1304" spans="1:27" s="51" customFormat="1" ht="18.600000000000001" hidden="1" customHeight="1" x14ac:dyDescent="0.25">
      <c r="A1304" s="81" t="s">
        <v>2653</v>
      </c>
      <c r="B1304" s="31" t="s">
        <v>9298</v>
      </c>
      <c r="C1304" s="32"/>
      <c r="D1304" s="31">
        <v>8436535573320</v>
      </c>
      <c r="E1304" s="33" t="s">
        <v>2916</v>
      </c>
      <c r="F1304" s="33" t="s">
        <v>1937</v>
      </c>
      <c r="G1304" s="33" t="s">
        <v>2655</v>
      </c>
      <c r="H1304" s="84" t="s">
        <v>2917</v>
      </c>
      <c r="I1304" s="23" t="s">
        <v>24</v>
      </c>
      <c r="J1304" s="34">
        <v>135</v>
      </c>
      <c r="K1304" s="35">
        <v>0.25</v>
      </c>
      <c r="L1304" s="36">
        <f t="shared" si="208"/>
        <v>33.75</v>
      </c>
      <c r="M1304" s="37">
        <f t="shared" si="209"/>
        <v>101.25</v>
      </c>
      <c r="N1304" s="38">
        <v>0.16</v>
      </c>
      <c r="O1304" s="39">
        <f t="shared" si="210"/>
        <v>16.2</v>
      </c>
      <c r="P1304" s="40">
        <f t="shared" si="211"/>
        <v>117.45</v>
      </c>
      <c r="Q1304" s="23"/>
      <c r="R1304" s="56"/>
      <c r="S1304" s="57"/>
      <c r="T1304" s="58">
        <f t="shared" si="212"/>
        <v>0</v>
      </c>
      <c r="U1304" s="36">
        <f t="shared" si="213"/>
        <v>0</v>
      </c>
      <c r="V1304" s="59">
        <f t="shared" si="214"/>
        <v>0</v>
      </c>
      <c r="W1304" s="39">
        <f t="shared" si="215"/>
        <v>0</v>
      </c>
      <c r="X1304" s="40">
        <f t="shared" si="216"/>
        <v>0</v>
      </c>
      <c r="Y1304"/>
      <c r="Z1304"/>
      <c r="AA1304"/>
    </row>
    <row r="1305" spans="1:27" s="51" customFormat="1" ht="18.600000000000001" hidden="1" customHeight="1" x14ac:dyDescent="0.25">
      <c r="A1305" s="82" t="s">
        <v>2653</v>
      </c>
      <c r="B1305" s="41" t="s">
        <v>9298</v>
      </c>
      <c r="C1305" s="42"/>
      <c r="D1305" s="41">
        <v>8436535573337</v>
      </c>
      <c r="E1305" s="43" t="s">
        <v>2918</v>
      </c>
      <c r="F1305" s="43" t="s">
        <v>1937</v>
      </c>
      <c r="G1305" s="43" t="s">
        <v>2655</v>
      </c>
      <c r="H1305" s="85" t="s">
        <v>2919</v>
      </c>
      <c r="I1305" s="23" t="s">
        <v>24</v>
      </c>
      <c r="J1305" s="44">
        <v>135</v>
      </c>
      <c r="K1305" s="45">
        <v>0.25</v>
      </c>
      <c r="L1305" s="46">
        <f t="shared" si="208"/>
        <v>33.75</v>
      </c>
      <c r="M1305" s="47">
        <f t="shared" si="209"/>
        <v>101.25</v>
      </c>
      <c r="N1305" s="48">
        <v>0.16</v>
      </c>
      <c r="O1305" s="49">
        <f t="shared" si="210"/>
        <v>16.2</v>
      </c>
      <c r="P1305" s="50">
        <f t="shared" si="211"/>
        <v>117.45</v>
      </c>
      <c r="Q1305" s="23"/>
      <c r="R1305" s="60"/>
      <c r="S1305" s="61"/>
      <c r="T1305" s="62">
        <f t="shared" si="212"/>
        <v>0</v>
      </c>
      <c r="U1305" s="46">
        <f t="shared" si="213"/>
        <v>0</v>
      </c>
      <c r="V1305" s="63">
        <f t="shared" si="214"/>
        <v>0</v>
      </c>
      <c r="W1305" s="49">
        <f t="shared" si="215"/>
        <v>0</v>
      </c>
      <c r="X1305" s="50">
        <f t="shared" si="216"/>
        <v>0</v>
      </c>
      <c r="Y1305"/>
      <c r="Z1305"/>
      <c r="AA1305"/>
    </row>
    <row r="1306" spans="1:27" s="51" customFormat="1" ht="18.600000000000001" hidden="1" customHeight="1" x14ac:dyDescent="0.25">
      <c r="A1306" s="80" t="s">
        <v>2653</v>
      </c>
      <c r="B1306" s="20" t="s">
        <v>9298</v>
      </c>
      <c r="C1306" s="21" t="s">
        <v>9299</v>
      </c>
      <c r="D1306" s="20" t="s">
        <v>2920</v>
      </c>
      <c r="E1306" s="22" t="s">
        <v>2921</v>
      </c>
      <c r="F1306" s="22" t="s">
        <v>1937</v>
      </c>
      <c r="G1306" s="22" t="s">
        <v>2655</v>
      </c>
      <c r="H1306" s="83" t="s">
        <v>2922</v>
      </c>
      <c r="I1306" s="23" t="s">
        <v>24</v>
      </c>
      <c r="J1306" s="24">
        <v>135</v>
      </c>
      <c r="K1306" s="25">
        <v>0.25</v>
      </c>
      <c r="L1306" s="26">
        <f t="shared" si="208"/>
        <v>33.75</v>
      </c>
      <c r="M1306" s="27">
        <f t="shared" si="209"/>
        <v>101.25</v>
      </c>
      <c r="N1306" s="28">
        <v>0.16</v>
      </c>
      <c r="O1306" s="29">
        <f t="shared" si="210"/>
        <v>16.2</v>
      </c>
      <c r="P1306" s="30">
        <f t="shared" si="211"/>
        <v>117.45</v>
      </c>
      <c r="Q1306" s="23"/>
      <c r="R1306" s="52"/>
      <c r="S1306" s="53"/>
      <c r="T1306" s="54">
        <f t="shared" si="212"/>
        <v>0</v>
      </c>
      <c r="U1306" s="26">
        <f t="shared" si="213"/>
        <v>0</v>
      </c>
      <c r="V1306" s="55">
        <f t="shared" si="214"/>
        <v>0</v>
      </c>
      <c r="W1306" s="29">
        <f t="shared" si="215"/>
        <v>0</v>
      </c>
      <c r="X1306" s="30">
        <f t="shared" si="216"/>
        <v>0</v>
      </c>
      <c r="Y1306"/>
      <c r="Z1306"/>
      <c r="AA1306"/>
    </row>
    <row r="1307" spans="1:27" s="51" customFormat="1" ht="18.600000000000001" hidden="1" customHeight="1" x14ac:dyDescent="0.25">
      <c r="A1307" s="81" t="s">
        <v>2653</v>
      </c>
      <c r="B1307" s="31" t="s">
        <v>9298</v>
      </c>
      <c r="C1307" s="32" t="s">
        <v>9299</v>
      </c>
      <c r="D1307" s="31">
        <v>8435568334533</v>
      </c>
      <c r="E1307" s="33" t="s">
        <v>2923</v>
      </c>
      <c r="F1307" s="33" t="s">
        <v>1937</v>
      </c>
      <c r="G1307" s="33" t="s">
        <v>2655</v>
      </c>
      <c r="H1307" s="84" t="s">
        <v>2924</v>
      </c>
      <c r="I1307" s="23" t="s">
        <v>24</v>
      </c>
      <c r="J1307" s="34">
        <v>135</v>
      </c>
      <c r="K1307" s="35">
        <v>0.25</v>
      </c>
      <c r="L1307" s="36">
        <f t="shared" si="208"/>
        <v>33.75</v>
      </c>
      <c r="M1307" s="37">
        <f t="shared" si="209"/>
        <v>101.25</v>
      </c>
      <c r="N1307" s="38">
        <v>0.16</v>
      </c>
      <c r="O1307" s="39">
        <f t="shared" si="210"/>
        <v>16.2</v>
      </c>
      <c r="P1307" s="40">
        <f t="shared" si="211"/>
        <v>117.45</v>
      </c>
      <c r="Q1307" s="23"/>
      <c r="R1307" s="56"/>
      <c r="S1307" s="57"/>
      <c r="T1307" s="58">
        <f t="shared" si="212"/>
        <v>0</v>
      </c>
      <c r="U1307" s="36">
        <f t="shared" si="213"/>
        <v>0</v>
      </c>
      <c r="V1307" s="59">
        <f t="shared" si="214"/>
        <v>0</v>
      </c>
      <c r="W1307" s="39">
        <f t="shared" si="215"/>
        <v>0</v>
      </c>
      <c r="X1307" s="40">
        <f t="shared" si="216"/>
        <v>0</v>
      </c>
      <c r="Y1307"/>
      <c r="Z1307"/>
      <c r="AA1307"/>
    </row>
    <row r="1308" spans="1:27" s="51" customFormat="1" ht="18.600000000000001" hidden="1" customHeight="1" x14ac:dyDescent="0.25">
      <c r="A1308" s="82" t="s">
        <v>2653</v>
      </c>
      <c r="B1308" s="41" t="s">
        <v>9298</v>
      </c>
      <c r="C1308" s="42" t="s">
        <v>9299</v>
      </c>
      <c r="D1308" s="41" t="s">
        <v>2925</v>
      </c>
      <c r="E1308" s="43" t="s">
        <v>2926</v>
      </c>
      <c r="F1308" s="43" t="s">
        <v>1937</v>
      </c>
      <c r="G1308" s="43" t="s">
        <v>2655</v>
      </c>
      <c r="H1308" s="85" t="s">
        <v>2927</v>
      </c>
      <c r="I1308" s="23" t="s">
        <v>24</v>
      </c>
      <c r="J1308" s="44">
        <v>135</v>
      </c>
      <c r="K1308" s="45">
        <v>0.25</v>
      </c>
      <c r="L1308" s="46">
        <f t="shared" si="208"/>
        <v>33.75</v>
      </c>
      <c r="M1308" s="47">
        <f t="shared" si="209"/>
        <v>101.25</v>
      </c>
      <c r="N1308" s="48">
        <v>0.16</v>
      </c>
      <c r="O1308" s="49">
        <f t="shared" si="210"/>
        <v>16.2</v>
      </c>
      <c r="P1308" s="50">
        <f t="shared" si="211"/>
        <v>117.45</v>
      </c>
      <c r="Q1308" s="23"/>
      <c r="R1308" s="60"/>
      <c r="S1308" s="61"/>
      <c r="T1308" s="62">
        <f t="shared" si="212"/>
        <v>0</v>
      </c>
      <c r="U1308" s="46">
        <f t="shared" si="213"/>
        <v>0</v>
      </c>
      <c r="V1308" s="63">
        <f t="shared" si="214"/>
        <v>0</v>
      </c>
      <c r="W1308" s="49">
        <f t="shared" si="215"/>
        <v>0</v>
      </c>
      <c r="X1308" s="50">
        <f t="shared" si="216"/>
        <v>0</v>
      </c>
      <c r="Y1308"/>
      <c r="Z1308"/>
      <c r="AA1308"/>
    </row>
    <row r="1309" spans="1:27" s="51" customFormat="1" ht="18.600000000000001" hidden="1" customHeight="1" x14ac:dyDescent="0.25">
      <c r="A1309" s="80" t="s">
        <v>2653</v>
      </c>
      <c r="B1309" s="20" t="s">
        <v>9298</v>
      </c>
      <c r="C1309" s="21" t="s">
        <v>9299</v>
      </c>
      <c r="D1309" s="20" t="s">
        <v>2928</v>
      </c>
      <c r="E1309" s="22" t="s">
        <v>2929</v>
      </c>
      <c r="F1309" s="22" t="s">
        <v>1937</v>
      </c>
      <c r="G1309" s="22" t="s">
        <v>2655</v>
      </c>
      <c r="H1309" s="83" t="s">
        <v>2930</v>
      </c>
      <c r="I1309" s="23" t="s">
        <v>24</v>
      </c>
      <c r="J1309" s="24">
        <v>135</v>
      </c>
      <c r="K1309" s="25">
        <v>0.25</v>
      </c>
      <c r="L1309" s="26">
        <f t="shared" si="208"/>
        <v>33.75</v>
      </c>
      <c r="M1309" s="27">
        <f t="shared" si="209"/>
        <v>101.25</v>
      </c>
      <c r="N1309" s="28">
        <v>0.16</v>
      </c>
      <c r="O1309" s="29">
        <f t="shared" si="210"/>
        <v>16.2</v>
      </c>
      <c r="P1309" s="30">
        <f t="shared" si="211"/>
        <v>117.45</v>
      </c>
      <c r="Q1309" s="23"/>
      <c r="R1309" s="52"/>
      <c r="S1309" s="53"/>
      <c r="T1309" s="54">
        <f t="shared" si="212"/>
        <v>0</v>
      </c>
      <c r="U1309" s="26">
        <f t="shared" si="213"/>
        <v>0</v>
      </c>
      <c r="V1309" s="55">
        <f t="shared" si="214"/>
        <v>0</v>
      </c>
      <c r="W1309" s="29">
        <f t="shared" si="215"/>
        <v>0</v>
      </c>
      <c r="X1309" s="30">
        <f t="shared" si="216"/>
        <v>0</v>
      </c>
      <c r="Y1309"/>
      <c r="Z1309"/>
      <c r="AA1309"/>
    </row>
    <row r="1310" spans="1:27" s="51" customFormat="1" ht="18.600000000000001" hidden="1" customHeight="1" x14ac:dyDescent="0.25">
      <c r="A1310" s="81" t="s">
        <v>2653</v>
      </c>
      <c r="B1310" s="31" t="s">
        <v>9298</v>
      </c>
      <c r="C1310" s="32" t="s">
        <v>9299</v>
      </c>
      <c r="D1310" s="31" t="s">
        <v>2931</v>
      </c>
      <c r="E1310" s="33" t="s">
        <v>2932</v>
      </c>
      <c r="F1310" s="33" t="s">
        <v>1937</v>
      </c>
      <c r="G1310" s="33" t="s">
        <v>2655</v>
      </c>
      <c r="H1310" s="84" t="s">
        <v>2933</v>
      </c>
      <c r="I1310" s="23" t="s">
        <v>24</v>
      </c>
      <c r="J1310" s="34">
        <v>135</v>
      </c>
      <c r="K1310" s="35">
        <v>0.25</v>
      </c>
      <c r="L1310" s="36">
        <f t="shared" si="208"/>
        <v>33.75</v>
      </c>
      <c r="M1310" s="37">
        <f t="shared" si="209"/>
        <v>101.25</v>
      </c>
      <c r="N1310" s="38">
        <v>0.16</v>
      </c>
      <c r="O1310" s="39">
        <f t="shared" si="210"/>
        <v>16.2</v>
      </c>
      <c r="P1310" s="40">
        <f t="shared" si="211"/>
        <v>117.45</v>
      </c>
      <c r="Q1310" s="23"/>
      <c r="R1310" s="56"/>
      <c r="S1310" s="57"/>
      <c r="T1310" s="58">
        <f t="shared" si="212"/>
        <v>0</v>
      </c>
      <c r="U1310" s="36">
        <f t="shared" si="213"/>
        <v>0</v>
      </c>
      <c r="V1310" s="59">
        <f t="shared" si="214"/>
        <v>0</v>
      </c>
      <c r="W1310" s="39">
        <f t="shared" si="215"/>
        <v>0</v>
      </c>
      <c r="X1310" s="40">
        <f t="shared" si="216"/>
        <v>0</v>
      </c>
      <c r="Y1310"/>
      <c r="Z1310"/>
      <c r="AA1310"/>
    </row>
    <row r="1311" spans="1:27" s="51" customFormat="1" ht="18.600000000000001" hidden="1" customHeight="1" x14ac:dyDescent="0.25">
      <c r="A1311" s="82" t="s">
        <v>2653</v>
      </c>
      <c r="B1311" s="41" t="s">
        <v>9298</v>
      </c>
      <c r="C1311" s="42" t="s">
        <v>9299</v>
      </c>
      <c r="D1311" s="41" t="s">
        <v>2934</v>
      </c>
      <c r="E1311" s="43" t="s">
        <v>2935</v>
      </c>
      <c r="F1311" s="43" t="s">
        <v>1937</v>
      </c>
      <c r="G1311" s="43" t="s">
        <v>2655</v>
      </c>
      <c r="H1311" s="85" t="s">
        <v>2936</v>
      </c>
      <c r="I1311" s="23" t="s">
        <v>24</v>
      </c>
      <c r="J1311" s="44">
        <v>135</v>
      </c>
      <c r="K1311" s="45">
        <v>0.25</v>
      </c>
      <c r="L1311" s="46">
        <f t="shared" si="208"/>
        <v>33.75</v>
      </c>
      <c r="M1311" s="47">
        <f t="shared" si="209"/>
        <v>101.25</v>
      </c>
      <c r="N1311" s="48">
        <v>0.16</v>
      </c>
      <c r="O1311" s="49">
        <f t="shared" si="210"/>
        <v>16.2</v>
      </c>
      <c r="P1311" s="50">
        <f t="shared" si="211"/>
        <v>117.45</v>
      </c>
      <c r="Q1311" s="23"/>
      <c r="R1311" s="60"/>
      <c r="S1311" s="61"/>
      <c r="T1311" s="62">
        <f t="shared" si="212"/>
        <v>0</v>
      </c>
      <c r="U1311" s="46">
        <f t="shared" si="213"/>
        <v>0</v>
      </c>
      <c r="V1311" s="63">
        <f t="shared" si="214"/>
        <v>0</v>
      </c>
      <c r="W1311" s="49">
        <f t="shared" si="215"/>
        <v>0</v>
      </c>
      <c r="X1311" s="50">
        <f t="shared" si="216"/>
        <v>0</v>
      </c>
      <c r="Y1311"/>
      <c r="Z1311"/>
      <c r="AA1311"/>
    </row>
    <row r="1312" spans="1:27" s="51" customFormat="1" ht="18.600000000000001" hidden="1" customHeight="1" x14ac:dyDescent="0.25">
      <c r="A1312" s="80" t="s">
        <v>2653</v>
      </c>
      <c r="B1312" s="20" t="s">
        <v>9298</v>
      </c>
      <c r="C1312" s="21" t="s">
        <v>9299</v>
      </c>
      <c r="D1312" s="20" t="s">
        <v>2937</v>
      </c>
      <c r="E1312" s="22" t="s">
        <v>2938</v>
      </c>
      <c r="F1312" s="22" t="s">
        <v>1937</v>
      </c>
      <c r="G1312" s="22" t="s">
        <v>2655</v>
      </c>
      <c r="H1312" s="83" t="s">
        <v>2939</v>
      </c>
      <c r="I1312" s="23" t="s">
        <v>24</v>
      </c>
      <c r="J1312" s="24">
        <v>135</v>
      </c>
      <c r="K1312" s="25">
        <v>0.25</v>
      </c>
      <c r="L1312" s="26">
        <f t="shared" si="208"/>
        <v>33.75</v>
      </c>
      <c r="M1312" s="27">
        <f t="shared" si="209"/>
        <v>101.25</v>
      </c>
      <c r="N1312" s="28">
        <v>0.16</v>
      </c>
      <c r="O1312" s="29">
        <f t="shared" si="210"/>
        <v>16.2</v>
      </c>
      <c r="P1312" s="30">
        <f t="shared" si="211"/>
        <v>117.45</v>
      </c>
      <c r="Q1312" s="23"/>
      <c r="R1312" s="52"/>
      <c r="S1312" s="53"/>
      <c r="T1312" s="54">
        <f t="shared" si="212"/>
        <v>0</v>
      </c>
      <c r="U1312" s="26">
        <f t="shared" si="213"/>
        <v>0</v>
      </c>
      <c r="V1312" s="55">
        <f t="shared" si="214"/>
        <v>0</v>
      </c>
      <c r="W1312" s="29">
        <f t="shared" si="215"/>
        <v>0</v>
      </c>
      <c r="X1312" s="30">
        <f t="shared" si="216"/>
        <v>0</v>
      </c>
      <c r="Y1312"/>
      <c r="Z1312"/>
      <c r="AA1312"/>
    </row>
    <row r="1313" spans="1:27" s="51" customFormat="1" ht="18.600000000000001" hidden="1" customHeight="1" x14ac:dyDescent="0.25">
      <c r="A1313" s="81" t="s">
        <v>2653</v>
      </c>
      <c r="B1313" s="31" t="s">
        <v>9298</v>
      </c>
      <c r="C1313" s="32" t="s">
        <v>9299</v>
      </c>
      <c r="D1313" s="31" t="s">
        <v>2940</v>
      </c>
      <c r="E1313" s="33" t="s">
        <v>2941</v>
      </c>
      <c r="F1313" s="33" t="s">
        <v>1937</v>
      </c>
      <c r="G1313" s="33" t="s">
        <v>2655</v>
      </c>
      <c r="H1313" s="84" t="s">
        <v>2942</v>
      </c>
      <c r="I1313" s="23" t="s">
        <v>24</v>
      </c>
      <c r="J1313" s="34">
        <v>135</v>
      </c>
      <c r="K1313" s="35">
        <v>0.25</v>
      </c>
      <c r="L1313" s="36">
        <f t="shared" si="208"/>
        <v>33.75</v>
      </c>
      <c r="M1313" s="37">
        <f t="shared" si="209"/>
        <v>101.25</v>
      </c>
      <c r="N1313" s="38">
        <v>0.16</v>
      </c>
      <c r="O1313" s="39">
        <f t="shared" si="210"/>
        <v>16.2</v>
      </c>
      <c r="P1313" s="40">
        <f t="shared" si="211"/>
        <v>117.45</v>
      </c>
      <c r="Q1313" s="23"/>
      <c r="R1313" s="56"/>
      <c r="S1313" s="57"/>
      <c r="T1313" s="58">
        <f t="shared" si="212"/>
        <v>0</v>
      </c>
      <c r="U1313" s="36">
        <f t="shared" si="213"/>
        <v>0</v>
      </c>
      <c r="V1313" s="59">
        <f t="shared" si="214"/>
        <v>0</v>
      </c>
      <c r="W1313" s="39">
        <f t="shared" si="215"/>
        <v>0</v>
      </c>
      <c r="X1313" s="40">
        <f t="shared" si="216"/>
        <v>0</v>
      </c>
      <c r="Y1313"/>
      <c r="Z1313"/>
      <c r="AA1313"/>
    </row>
    <row r="1314" spans="1:27" s="51" customFormat="1" ht="18.600000000000001" hidden="1" customHeight="1" x14ac:dyDescent="0.25">
      <c r="A1314" s="82" t="s">
        <v>2653</v>
      </c>
      <c r="B1314" s="41" t="s">
        <v>9298</v>
      </c>
      <c r="C1314" s="42" t="s">
        <v>9299</v>
      </c>
      <c r="D1314" s="41" t="s">
        <v>2943</v>
      </c>
      <c r="E1314" s="43" t="s">
        <v>2944</v>
      </c>
      <c r="F1314" s="43" t="s">
        <v>1937</v>
      </c>
      <c r="G1314" s="43" t="s">
        <v>2655</v>
      </c>
      <c r="H1314" s="85" t="s">
        <v>2945</v>
      </c>
      <c r="I1314" s="23" t="s">
        <v>24</v>
      </c>
      <c r="J1314" s="44">
        <v>135</v>
      </c>
      <c r="K1314" s="45">
        <v>0.25</v>
      </c>
      <c r="L1314" s="46">
        <f t="shared" si="208"/>
        <v>33.75</v>
      </c>
      <c r="M1314" s="47">
        <f t="shared" si="209"/>
        <v>101.25</v>
      </c>
      <c r="N1314" s="48">
        <v>0.16</v>
      </c>
      <c r="O1314" s="49">
        <f t="shared" si="210"/>
        <v>16.2</v>
      </c>
      <c r="P1314" s="50">
        <f t="shared" si="211"/>
        <v>117.45</v>
      </c>
      <c r="Q1314" s="23"/>
      <c r="R1314" s="60"/>
      <c r="S1314" s="61"/>
      <c r="T1314" s="62">
        <f t="shared" si="212"/>
        <v>0</v>
      </c>
      <c r="U1314" s="46">
        <f t="shared" si="213"/>
        <v>0</v>
      </c>
      <c r="V1314" s="63">
        <f t="shared" si="214"/>
        <v>0</v>
      </c>
      <c r="W1314" s="49">
        <f t="shared" si="215"/>
        <v>0</v>
      </c>
      <c r="X1314" s="50">
        <f t="shared" si="216"/>
        <v>0</v>
      </c>
      <c r="Y1314"/>
      <c r="Z1314"/>
      <c r="AA1314"/>
    </row>
    <row r="1315" spans="1:27" s="51" customFormat="1" ht="18.600000000000001" hidden="1" customHeight="1" x14ac:dyDescent="0.25">
      <c r="A1315" s="80" t="s">
        <v>2653</v>
      </c>
      <c r="B1315" s="20" t="s">
        <v>9298</v>
      </c>
      <c r="C1315" s="21" t="s">
        <v>9299</v>
      </c>
      <c r="D1315" s="20" t="s">
        <v>2946</v>
      </c>
      <c r="E1315" s="22" t="s">
        <v>2947</v>
      </c>
      <c r="F1315" s="22" t="s">
        <v>1937</v>
      </c>
      <c r="G1315" s="22" t="s">
        <v>2655</v>
      </c>
      <c r="H1315" s="83" t="s">
        <v>2948</v>
      </c>
      <c r="I1315" s="23" t="s">
        <v>24</v>
      </c>
      <c r="J1315" s="24">
        <v>135</v>
      </c>
      <c r="K1315" s="25">
        <v>0.25</v>
      </c>
      <c r="L1315" s="26">
        <f t="shared" si="208"/>
        <v>33.75</v>
      </c>
      <c r="M1315" s="27">
        <f t="shared" si="209"/>
        <v>101.25</v>
      </c>
      <c r="N1315" s="28">
        <v>0.16</v>
      </c>
      <c r="O1315" s="29">
        <f t="shared" si="210"/>
        <v>16.2</v>
      </c>
      <c r="P1315" s="30">
        <f t="shared" si="211"/>
        <v>117.45</v>
      </c>
      <c r="Q1315" s="23"/>
      <c r="R1315" s="52"/>
      <c r="S1315" s="53"/>
      <c r="T1315" s="54">
        <f t="shared" si="212"/>
        <v>0</v>
      </c>
      <c r="U1315" s="26">
        <f t="shared" si="213"/>
        <v>0</v>
      </c>
      <c r="V1315" s="55">
        <f t="shared" si="214"/>
        <v>0</v>
      </c>
      <c r="W1315" s="29">
        <f t="shared" si="215"/>
        <v>0</v>
      </c>
      <c r="X1315" s="30">
        <f t="shared" si="216"/>
        <v>0</v>
      </c>
      <c r="Y1315"/>
      <c r="Z1315"/>
      <c r="AA1315"/>
    </row>
    <row r="1316" spans="1:27" s="51" customFormat="1" ht="18.600000000000001" hidden="1" customHeight="1" x14ac:dyDescent="0.25">
      <c r="A1316" s="81" t="s">
        <v>2653</v>
      </c>
      <c r="B1316" s="31" t="s">
        <v>9298</v>
      </c>
      <c r="C1316" s="32" t="s">
        <v>9299</v>
      </c>
      <c r="D1316" s="31" t="s">
        <v>2949</v>
      </c>
      <c r="E1316" s="33" t="s">
        <v>2950</v>
      </c>
      <c r="F1316" s="33" t="s">
        <v>1937</v>
      </c>
      <c r="G1316" s="33" t="s">
        <v>2655</v>
      </c>
      <c r="H1316" s="84" t="s">
        <v>2951</v>
      </c>
      <c r="I1316" s="23" t="s">
        <v>24</v>
      </c>
      <c r="J1316" s="34">
        <v>135</v>
      </c>
      <c r="K1316" s="35">
        <v>0.25</v>
      </c>
      <c r="L1316" s="36">
        <f t="shared" si="208"/>
        <v>33.75</v>
      </c>
      <c r="M1316" s="37">
        <f t="shared" si="209"/>
        <v>101.25</v>
      </c>
      <c r="N1316" s="38">
        <v>0.16</v>
      </c>
      <c r="O1316" s="39">
        <f t="shared" si="210"/>
        <v>16.2</v>
      </c>
      <c r="P1316" s="40">
        <f t="shared" si="211"/>
        <v>117.45</v>
      </c>
      <c r="Q1316" s="23"/>
      <c r="R1316" s="56"/>
      <c r="S1316" s="57"/>
      <c r="T1316" s="58">
        <f t="shared" si="212"/>
        <v>0</v>
      </c>
      <c r="U1316" s="36">
        <f t="shared" si="213"/>
        <v>0</v>
      </c>
      <c r="V1316" s="59">
        <f t="shared" si="214"/>
        <v>0</v>
      </c>
      <c r="W1316" s="39">
        <f t="shared" si="215"/>
        <v>0</v>
      </c>
      <c r="X1316" s="40">
        <f t="shared" si="216"/>
        <v>0</v>
      </c>
      <c r="Y1316"/>
      <c r="Z1316"/>
      <c r="AA1316"/>
    </row>
    <row r="1317" spans="1:27" s="51" customFormat="1" ht="18.600000000000001" hidden="1" customHeight="1" x14ac:dyDescent="0.25">
      <c r="A1317" s="82" t="s">
        <v>2653</v>
      </c>
      <c r="B1317" s="41" t="s">
        <v>9298</v>
      </c>
      <c r="C1317" s="42" t="s">
        <v>9299</v>
      </c>
      <c r="D1317" s="41" t="s">
        <v>2952</v>
      </c>
      <c r="E1317" s="43" t="s">
        <v>2953</v>
      </c>
      <c r="F1317" s="43" t="s">
        <v>1937</v>
      </c>
      <c r="G1317" s="43" t="s">
        <v>2655</v>
      </c>
      <c r="H1317" s="85" t="s">
        <v>2954</v>
      </c>
      <c r="I1317" s="23" t="s">
        <v>24</v>
      </c>
      <c r="J1317" s="44">
        <v>135</v>
      </c>
      <c r="K1317" s="45">
        <v>0.25</v>
      </c>
      <c r="L1317" s="46">
        <f t="shared" si="208"/>
        <v>33.75</v>
      </c>
      <c r="M1317" s="47">
        <f t="shared" si="209"/>
        <v>101.25</v>
      </c>
      <c r="N1317" s="48">
        <v>0.16</v>
      </c>
      <c r="O1317" s="49">
        <f t="shared" si="210"/>
        <v>16.2</v>
      </c>
      <c r="P1317" s="50">
        <f t="shared" si="211"/>
        <v>117.45</v>
      </c>
      <c r="Q1317" s="23"/>
      <c r="R1317" s="60"/>
      <c r="S1317" s="61"/>
      <c r="T1317" s="62">
        <f t="shared" si="212"/>
        <v>0</v>
      </c>
      <c r="U1317" s="46">
        <f t="shared" si="213"/>
        <v>0</v>
      </c>
      <c r="V1317" s="63">
        <f t="shared" si="214"/>
        <v>0</v>
      </c>
      <c r="W1317" s="49">
        <f t="shared" si="215"/>
        <v>0</v>
      </c>
      <c r="X1317" s="50">
        <f t="shared" si="216"/>
        <v>0</v>
      </c>
      <c r="Y1317"/>
      <c r="Z1317"/>
      <c r="AA1317"/>
    </row>
    <row r="1318" spans="1:27" s="51" customFormat="1" ht="18.600000000000001" hidden="1" customHeight="1" x14ac:dyDescent="0.25">
      <c r="A1318" s="80" t="s">
        <v>2653</v>
      </c>
      <c r="B1318" s="20" t="s">
        <v>9298</v>
      </c>
      <c r="C1318" s="21" t="s">
        <v>9299</v>
      </c>
      <c r="D1318" s="20" t="s">
        <v>2955</v>
      </c>
      <c r="E1318" s="22" t="s">
        <v>2956</v>
      </c>
      <c r="F1318" s="22" t="s">
        <v>1937</v>
      </c>
      <c r="G1318" s="22" t="s">
        <v>2655</v>
      </c>
      <c r="H1318" s="83" t="s">
        <v>2957</v>
      </c>
      <c r="I1318" s="23" t="s">
        <v>24</v>
      </c>
      <c r="J1318" s="24">
        <v>135</v>
      </c>
      <c r="K1318" s="25">
        <v>0.25</v>
      </c>
      <c r="L1318" s="26">
        <f t="shared" si="208"/>
        <v>33.75</v>
      </c>
      <c r="M1318" s="27">
        <f t="shared" si="209"/>
        <v>101.25</v>
      </c>
      <c r="N1318" s="28">
        <v>0.16</v>
      </c>
      <c r="O1318" s="29">
        <f t="shared" si="210"/>
        <v>16.2</v>
      </c>
      <c r="P1318" s="30">
        <f t="shared" si="211"/>
        <v>117.45</v>
      </c>
      <c r="Q1318" s="23"/>
      <c r="R1318" s="52"/>
      <c r="S1318" s="53"/>
      <c r="T1318" s="54">
        <f t="shared" si="212"/>
        <v>0</v>
      </c>
      <c r="U1318" s="26">
        <f t="shared" si="213"/>
        <v>0</v>
      </c>
      <c r="V1318" s="55">
        <f t="shared" si="214"/>
        <v>0</v>
      </c>
      <c r="W1318" s="29">
        <f t="shared" si="215"/>
        <v>0</v>
      </c>
      <c r="X1318" s="30">
        <f t="shared" si="216"/>
        <v>0</v>
      </c>
      <c r="Y1318"/>
      <c r="Z1318"/>
      <c r="AA1318"/>
    </row>
    <row r="1319" spans="1:27" s="51" customFormat="1" ht="18.600000000000001" hidden="1" customHeight="1" x14ac:dyDescent="0.25">
      <c r="A1319" s="81" t="s">
        <v>2653</v>
      </c>
      <c r="B1319" s="31" t="s">
        <v>9298</v>
      </c>
      <c r="C1319" s="32" t="s">
        <v>9299</v>
      </c>
      <c r="D1319" s="31" t="s">
        <v>2958</v>
      </c>
      <c r="E1319" s="33" t="s">
        <v>2959</v>
      </c>
      <c r="F1319" s="33" t="s">
        <v>1937</v>
      </c>
      <c r="G1319" s="33" t="s">
        <v>2655</v>
      </c>
      <c r="H1319" s="84" t="s">
        <v>2960</v>
      </c>
      <c r="I1319" s="23" t="s">
        <v>24</v>
      </c>
      <c r="J1319" s="34">
        <v>135</v>
      </c>
      <c r="K1319" s="35">
        <v>0.25</v>
      </c>
      <c r="L1319" s="36">
        <f t="shared" si="208"/>
        <v>33.75</v>
      </c>
      <c r="M1319" s="37">
        <f t="shared" si="209"/>
        <v>101.25</v>
      </c>
      <c r="N1319" s="38">
        <v>0.16</v>
      </c>
      <c r="O1319" s="39">
        <f t="shared" si="210"/>
        <v>16.2</v>
      </c>
      <c r="P1319" s="40">
        <f t="shared" si="211"/>
        <v>117.45</v>
      </c>
      <c r="Q1319" s="23"/>
      <c r="R1319" s="56"/>
      <c r="S1319" s="57"/>
      <c r="T1319" s="58">
        <f t="shared" si="212"/>
        <v>0</v>
      </c>
      <c r="U1319" s="36">
        <f t="shared" si="213"/>
        <v>0</v>
      </c>
      <c r="V1319" s="59">
        <f t="shared" si="214"/>
        <v>0</v>
      </c>
      <c r="W1319" s="39">
        <f t="shared" si="215"/>
        <v>0</v>
      </c>
      <c r="X1319" s="40">
        <f t="shared" si="216"/>
        <v>0</v>
      </c>
      <c r="Y1319"/>
      <c r="Z1319"/>
      <c r="AA1319"/>
    </row>
    <row r="1320" spans="1:27" s="51" customFormat="1" ht="18.600000000000001" hidden="1" customHeight="1" x14ac:dyDescent="0.25">
      <c r="A1320" s="82" t="s">
        <v>2653</v>
      </c>
      <c r="B1320" s="41" t="s">
        <v>9298</v>
      </c>
      <c r="C1320" s="42" t="s">
        <v>9300</v>
      </c>
      <c r="D1320" s="41" t="s">
        <v>2961</v>
      </c>
      <c r="E1320" s="43" t="s">
        <v>2962</v>
      </c>
      <c r="F1320" s="43" t="s">
        <v>1937</v>
      </c>
      <c r="G1320" s="43" t="s">
        <v>2963</v>
      </c>
      <c r="H1320" s="85" t="s">
        <v>2964</v>
      </c>
      <c r="I1320" s="23" t="s">
        <v>24</v>
      </c>
      <c r="J1320" s="44">
        <v>405</v>
      </c>
      <c r="K1320" s="45">
        <v>0.25</v>
      </c>
      <c r="L1320" s="46">
        <f t="shared" si="208"/>
        <v>101.25</v>
      </c>
      <c r="M1320" s="47">
        <f t="shared" si="209"/>
        <v>303.75</v>
      </c>
      <c r="N1320" s="48">
        <v>0.16</v>
      </c>
      <c r="O1320" s="49">
        <f t="shared" si="210"/>
        <v>48.6</v>
      </c>
      <c r="P1320" s="50">
        <f t="shared" si="211"/>
        <v>352.35</v>
      </c>
      <c r="Q1320" s="23"/>
      <c r="R1320" s="60"/>
      <c r="S1320" s="61"/>
      <c r="T1320" s="62">
        <f t="shared" si="212"/>
        <v>0</v>
      </c>
      <c r="U1320" s="46">
        <f t="shared" si="213"/>
        <v>0</v>
      </c>
      <c r="V1320" s="63">
        <f t="shared" si="214"/>
        <v>0</v>
      </c>
      <c r="W1320" s="49">
        <f t="shared" si="215"/>
        <v>0</v>
      </c>
      <c r="X1320" s="50">
        <f t="shared" si="216"/>
        <v>0</v>
      </c>
      <c r="Y1320"/>
      <c r="Z1320"/>
      <c r="AA1320"/>
    </row>
    <row r="1321" spans="1:27" s="51" customFormat="1" ht="18.600000000000001" hidden="1" customHeight="1" x14ac:dyDescent="0.25">
      <c r="A1321" s="80" t="s">
        <v>2653</v>
      </c>
      <c r="B1321" s="20" t="s">
        <v>9298</v>
      </c>
      <c r="C1321" s="21" t="s">
        <v>9300</v>
      </c>
      <c r="D1321" s="20" t="s">
        <v>2965</v>
      </c>
      <c r="E1321" s="22" t="s">
        <v>2966</v>
      </c>
      <c r="F1321" s="22" t="s">
        <v>1937</v>
      </c>
      <c r="G1321" s="22" t="s">
        <v>2963</v>
      </c>
      <c r="H1321" s="83" t="s">
        <v>2967</v>
      </c>
      <c r="I1321" s="23" t="s">
        <v>24</v>
      </c>
      <c r="J1321" s="24">
        <v>405</v>
      </c>
      <c r="K1321" s="25">
        <v>0.25</v>
      </c>
      <c r="L1321" s="26">
        <f t="shared" si="208"/>
        <v>101.25</v>
      </c>
      <c r="M1321" s="27">
        <f t="shared" si="209"/>
        <v>303.75</v>
      </c>
      <c r="N1321" s="28">
        <v>0.16</v>
      </c>
      <c r="O1321" s="29">
        <f t="shared" si="210"/>
        <v>48.6</v>
      </c>
      <c r="P1321" s="30">
        <f t="shared" si="211"/>
        <v>352.35</v>
      </c>
      <c r="Q1321" s="23"/>
      <c r="R1321" s="52"/>
      <c r="S1321" s="53"/>
      <c r="T1321" s="54">
        <f t="shared" si="212"/>
        <v>0</v>
      </c>
      <c r="U1321" s="26">
        <f t="shared" si="213"/>
        <v>0</v>
      </c>
      <c r="V1321" s="55">
        <f t="shared" si="214"/>
        <v>0</v>
      </c>
      <c r="W1321" s="29">
        <f t="shared" si="215"/>
        <v>0</v>
      </c>
      <c r="X1321" s="30">
        <f t="shared" si="216"/>
        <v>0</v>
      </c>
      <c r="Y1321"/>
      <c r="Z1321"/>
      <c r="AA1321"/>
    </row>
    <row r="1322" spans="1:27" s="51" customFormat="1" ht="18.600000000000001" hidden="1" customHeight="1" x14ac:dyDescent="0.25">
      <c r="A1322" s="81" t="s">
        <v>2653</v>
      </c>
      <c r="B1322" s="31" t="s">
        <v>9298</v>
      </c>
      <c r="C1322" s="32" t="s">
        <v>9300</v>
      </c>
      <c r="D1322" s="31" t="s">
        <v>2968</v>
      </c>
      <c r="E1322" s="33" t="s">
        <v>2969</v>
      </c>
      <c r="F1322" s="33" t="s">
        <v>1937</v>
      </c>
      <c r="G1322" s="33" t="s">
        <v>2963</v>
      </c>
      <c r="H1322" s="84" t="s">
        <v>2970</v>
      </c>
      <c r="I1322" s="23" t="s">
        <v>24</v>
      </c>
      <c r="J1322" s="34">
        <v>405</v>
      </c>
      <c r="K1322" s="35">
        <v>0.25</v>
      </c>
      <c r="L1322" s="36">
        <f t="shared" si="208"/>
        <v>101.25</v>
      </c>
      <c r="M1322" s="37">
        <f t="shared" si="209"/>
        <v>303.75</v>
      </c>
      <c r="N1322" s="38">
        <v>0.16</v>
      </c>
      <c r="O1322" s="39">
        <f t="shared" si="210"/>
        <v>48.6</v>
      </c>
      <c r="P1322" s="40">
        <f t="shared" si="211"/>
        <v>352.35</v>
      </c>
      <c r="Q1322" s="23"/>
      <c r="R1322" s="56"/>
      <c r="S1322" s="57"/>
      <c r="T1322" s="58">
        <f t="shared" si="212"/>
        <v>0</v>
      </c>
      <c r="U1322" s="36">
        <f t="shared" si="213"/>
        <v>0</v>
      </c>
      <c r="V1322" s="59">
        <f t="shared" si="214"/>
        <v>0</v>
      </c>
      <c r="W1322" s="39">
        <f t="shared" si="215"/>
        <v>0</v>
      </c>
      <c r="X1322" s="40">
        <f t="shared" si="216"/>
        <v>0</v>
      </c>
      <c r="Y1322"/>
      <c r="Z1322"/>
      <c r="AA1322"/>
    </row>
    <row r="1323" spans="1:27" s="51" customFormat="1" ht="18.600000000000001" hidden="1" customHeight="1" x14ac:dyDescent="0.25">
      <c r="A1323" s="82" t="s">
        <v>2653</v>
      </c>
      <c r="B1323" s="41" t="s">
        <v>9298</v>
      </c>
      <c r="C1323" s="42" t="s">
        <v>9300</v>
      </c>
      <c r="D1323" s="41" t="s">
        <v>2971</v>
      </c>
      <c r="E1323" s="43" t="s">
        <v>2972</v>
      </c>
      <c r="F1323" s="43" t="s">
        <v>1937</v>
      </c>
      <c r="G1323" s="43" t="s">
        <v>2963</v>
      </c>
      <c r="H1323" s="85" t="s">
        <v>2973</v>
      </c>
      <c r="I1323" s="23" t="s">
        <v>24</v>
      </c>
      <c r="J1323" s="44">
        <v>405</v>
      </c>
      <c r="K1323" s="45">
        <v>0.25</v>
      </c>
      <c r="L1323" s="46">
        <f t="shared" si="208"/>
        <v>101.25</v>
      </c>
      <c r="M1323" s="47">
        <f t="shared" si="209"/>
        <v>303.75</v>
      </c>
      <c r="N1323" s="48">
        <v>0.16</v>
      </c>
      <c r="O1323" s="49">
        <f t="shared" si="210"/>
        <v>48.6</v>
      </c>
      <c r="P1323" s="50">
        <f t="shared" si="211"/>
        <v>352.35</v>
      </c>
      <c r="Q1323" s="23"/>
      <c r="R1323" s="60"/>
      <c r="S1323" s="61"/>
      <c r="T1323" s="62">
        <f t="shared" si="212"/>
        <v>0</v>
      </c>
      <c r="U1323" s="46">
        <f t="shared" si="213"/>
        <v>0</v>
      </c>
      <c r="V1323" s="63">
        <f t="shared" si="214"/>
        <v>0</v>
      </c>
      <c r="W1323" s="49">
        <f t="shared" si="215"/>
        <v>0</v>
      </c>
      <c r="X1323" s="50">
        <f t="shared" si="216"/>
        <v>0</v>
      </c>
      <c r="Y1323"/>
      <c r="Z1323"/>
      <c r="AA1323"/>
    </row>
    <row r="1324" spans="1:27" s="51" customFormat="1" ht="18.600000000000001" hidden="1" customHeight="1" x14ac:dyDescent="0.25">
      <c r="A1324" s="80" t="s">
        <v>2653</v>
      </c>
      <c r="B1324" s="20" t="s">
        <v>9298</v>
      </c>
      <c r="C1324" s="21" t="s">
        <v>9300</v>
      </c>
      <c r="D1324" s="20" t="s">
        <v>2974</v>
      </c>
      <c r="E1324" s="22" t="s">
        <v>2975</v>
      </c>
      <c r="F1324" s="22" t="s">
        <v>1937</v>
      </c>
      <c r="G1324" s="22" t="s">
        <v>2963</v>
      </c>
      <c r="H1324" s="83" t="s">
        <v>2976</v>
      </c>
      <c r="I1324" s="23" t="s">
        <v>24</v>
      </c>
      <c r="J1324" s="24">
        <v>405</v>
      </c>
      <c r="K1324" s="25">
        <v>0.25</v>
      </c>
      <c r="L1324" s="26">
        <f t="shared" si="208"/>
        <v>101.25</v>
      </c>
      <c r="M1324" s="27">
        <f t="shared" si="209"/>
        <v>303.75</v>
      </c>
      <c r="N1324" s="28">
        <v>0.16</v>
      </c>
      <c r="O1324" s="29">
        <f t="shared" si="210"/>
        <v>48.6</v>
      </c>
      <c r="P1324" s="30">
        <f t="shared" si="211"/>
        <v>352.35</v>
      </c>
      <c r="Q1324" s="23"/>
      <c r="R1324" s="52"/>
      <c r="S1324" s="53"/>
      <c r="T1324" s="54">
        <f t="shared" si="212"/>
        <v>0</v>
      </c>
      <c r="U1324" s="26">
        <f t="shared" si="213"/>
        <v>0</v>
      </c>
      <c r="V1324" s="55">
        <f t="shared" si="214"/>
        <v>0</v>
      </c>
      <c r="W1324" s="29">
        <f t="shared" si="215"/>
        <v>0</v>
      </c>
      <c r="X1324" s="30">
        <f t="shared" si="216"/>
        <v>0</v>
      </c>
      <c r="Y1324"/>
      <c r="Z1324"/>
      <c r="AA1324"/>
    </row>
    <row r="1325" spans="1:27" s="51" customFormat="1" ht="18.600000000000001" hidden="1" customHeight="1" x14ac:dyDescent="0.25">
      <c r="A1325" s="81" t="s">
        <v>2653</v>
      </c>
      <c r="B1325" s="31" t="s">
        <v>9301</v>
      </c>
      <c r="C1325" s="32"/>
      <c r="D1325" s="31" t="s">
        <v>2977</v>
      </c>
      <c r="E1325" s="33" t="s">
        <v>9965</v>
      </c>
      <c r="F1325" s="33" t="s">
        <v>1937</v>
      </c>
      <c r="G1325" s="33" t="s">
        <v>10003</v>
      </c>
      <c r="H1325" s="84" t="s">
        <v>2978</v>
      </c>
      <c r="I1325" s="23" t="s">
        <v>24</v>
      </c>
      <c r="J1325" s="34">
        <v>50</v>
      </c>
      <c r="K1325" s="35">
        <v>0.25</v>
      </c>
      <c r="L1325" s="36">
        <f t="shared" si="208"/>
        <v>12.5</v>
      </c>
      <c r="M1325" s="37">
        <f t="shared" si="209"/>
        <v>37.5</v>
      </c>
      <c r="N1325" s="38">
        <v>0.16</v>
      </c>
      <c r="O1325" s="39">
        <f t="shared" si="210"/>
        <v>6</v>
      </c>
      <c r="P1325" s="40">
        <f t="shared" si="211"/>
        <v>43.5</v>
      </c>
      <c r="Q1325" s="23"/>
      <c r="R1325" s="56"/>
      <c r="S1325" s="57"/>
      <c r="T1325" s="58">
        <f t="shared" si="212"/>
        <v>0</v>
      </c>
      <c r="U1325" s="36">
        <f t="shared" si="213"/>
        <v>0</v>
      </c>
      <c r="V1325" s="59">
        <f t="shared" si="214"/>
        <v>0</v>
      </c>
      <c r="W1325" s="39">
        <f t="shared" si="215"/>
        <v>0</v>
      </c>
      <c r="X1325" s="40">
        <f t="shared" si="216"/>
        <v>0</v>
      </c>
      <c r="Y1325"/>
      <c r="Z1325"/>
      <c r="AA1325"/>
    </row>
    <row r="1326" spans="1:27" s="51" customFormat="1" ht="18.600000000000001" hidden="1" customHeight="1" x14ac:dyDescent="0.25">
      <c r="A1326" s="82" t="s">
        <v>2653</v>
      </c>
      <c r="B1326" s="41" t="s">
        <v>9301</v>
      </c>
      <c r="C1326" s="42"/>
      <c r="D1326" s="41" t="s">
        <v>2979</v>
      </c>
      <c r="E1326" s="43" t="s">
        <v>9966</v>
      </c>
      <c r="F1326" s="43" t="s">
        <v>1937</v>
      </c>
      <c r="G1326" s="43" t="s">
        <v>10003</v>
      </c>
      <c r="H1326" s="85" t="s">
        <v>2980</v>
      </c>
      <c r="I1326" s="23" t="s">
        <v>24</v>
      </c>
      <c r="J1326" s="44">
        <v>50</v>
      </c>
      <c r="K1326" s="45">
        <v>0.25</v>
      </c>
      <c r="L1326" s="46">
        <f t="shared" si="208"/>
        <v>12.5</v>
      </c>
      <c r="M1326" s="47">
        <f t="shared" si="209"/>
        <v>37.5</v>
      </c>
      <c r="N1326" s="48">
        <v>0.16</v>
      </c>
      <c r="O1326" s="49">
        <f t="shared" si="210"/>
        <v>6</v>
      </c>
      <c r="P1326" s="50">
        <f t="shared" si="211"/>
        <v>43.5</v>
      </c>
      <c r="Q1326" s="23"/>
      <c r="R1326" s="60"/>
      <c r="S1326" s="61"/>
      <c r="T1326" s="62">
        <f t="shared" si="212"/>
        <v>0</v>
      </c>
      <c r="U1326" s="46">
        <f t="shared" si="213"/>
        <v>0</v>
      </c>
      <c r="V1326" s="63">
        <f t="shared" si="214"/>
        <v>0</v>
      </c>
      <c r="W1326" s="49">
        <f t="shared" si="215"/>
        <v>0</v>
      </c>
      <c r="X1326" s="50">
        <f t="shared" si="216"/>
        <v>0</v>
      </c>
      <c r="Y1326"/>
      <c r="Z1326"/>
      <c r="AA1326"/>
    </row>
    <row r="1327" spans="1:27" s="51" customFormat="1" ht="18.600000000000001" hidden="1" customHeight="1" x14ac:dyDescent="0.25">
      <c r="A1327" s="80" t="s">
        <v>2653</v>
      </c>
      <c r="B1327" s="20" t="s">
        <v>9301</v>
      </c>
      <c r="C1327" s="21"/>
      <c r="D1327" s="20" t="s">
        <v>2981</v>
      </c>
      <c r="E1327" s="22" t="s">
        <v>9967</v>
      </c>
      <c r="F1327" s="22" t="s">
        <v>1937</v>
      </c>
      <c r="G1327" s="22" t="s">
        <v>10003</v>
      </c>
      <c r="H1327" s="83" t="s">
        <v>2982</v>
      </c>
      <c r="I1327" s="23" t="s">
        <v>24</v>
      </c>
      <c r="J1327" s="24">
        <v>50</v>
      </c>
      <c r="K1327" s="25">
        <v>0.25</v>
      </c>
      <c r="L1327" s="26">
        <f t="shared" si="208"/>
        <v>12.5</v>
      </c>
      <c r="M1327" s="27">
        <f t="shared" si="209"/>
        <v>37.5</v>
      </c>
      <c r="N1327" s="28">
        <v>0.16</v>
      </c>
      <c r="O1327" s="29">
        <f t="shared" si="210"/>
        <v>6</v>
      </c>
      <c r="P1327" s="30">
        <f t="shared" si="211"/>
        <v>43.5</v>
      </c>
      <c r="Q1327" s="23"/>
      <c r="R1327" s="52"/>
      <c r="S1327" s="53"/>
      <c r="T1327" s="54">
        <f t="shared" si="212"/>
        <v>0</v>
      </c>
      <c r="U1327" s="26">
        <f t="shared" si="213"/>
        <v>0</v>
      </c>
      <c r="V1327" s="55">
        <f t="shared" si="214"/>
        <v>0</v>
      </c>
      <c r="W1327" s="29">
        <f t="shared" si="215"/>
        <v>0</v>
      </c>
      <c r="X1327" s="30">
        <f t="shared" si="216"/>
        <v>0</v>
      </c>
      <c r="Y1327"/>
      <c r="Z1327"/>
      <c r="AA1327"/>
    </row>
    <row r="1328" spans="1:27" s="51" customFormat="1" ht="18.600000000000001" hidden="1" customHeight="1" x14ac:dyDescent="0.25">
      <c r="A1328" s="81" t="s">
        <v>2653</v>
      </c>
      <c r="B1328" s="31" t="s">
        <v>9301</v>
      </c>
      <c r="C1328" s="32"/>
      <c r="D1328" s="31" t="s">
        <v>2983</v>
      </c>
      <c r="E1328" s="33" t="s">
        <v>9968</v>
      </c>
      <c r="F1328" s="33" t="s">
        <v>1937</v>
      </c>
      <c r="G1328" s="33" t="s">
        <v>10003</v>
      </c>
      <c r="H1328" s="84" t="s">
        <v>2984</v>
      </c>
      <c r="I1328" s="23" t="s">
        <v>24</v>
      </c>
      <c r="J1328" s="34">
        <v>50</v>
      </c>
      <c r="K1328" s="35">
        <v>0.25</v>
      </c>
      <c r="L1328" s="36">
        <f t="shared" si="208"/>
        <v>12.5</v>
      </c>
      <c r="M1328" s="37">
        <f t="shared" si="209"/>
        <v>37.5</v>
      </c>
      <c r="N1328" s="38">
        <v>0.16</v>
      </c>
      <c r="O1328" s="39">
        <f t="shared" si="210"/>
        <v>6</v>
      </c>
      <c r="P1328" s="40">
        <f t="shared" si="211"/>
        <v>43.5</v>
      </c>
      <c r="Q1328" s="23"/>
      <c r="R1328" s="56"/>
      <c r="S1328" s="57"/>
      <c r="T1328" s="58">
        <f t="shared" si="212"/>
        <v>0</v>
      </c>
      <c r="U1328" s="36">
        <f t="shared" si="213"/>
        <v>0</v>
      </c>
      <c r="V1328" s="59">
        <f t="shared" si="214"/>
        <v>0</v>
      </c>
      <c r="W1328" s="39">
        <f t="shared" si="215"/>
        <v>0</v>
      </c>
      <c r="X1328" s="40">
        <f t="shared" si="216"/>
        <v>0</v>
      </c>
      <c r="Y1328"/>
      <c r="Z1328"/>
      <c r="AA1328"/>
    </row>
    <row r="1329" spans="1:27" s="51" customFormat="1" ht="18.600000000000001" hidden="1" customHeight="1" x14ac:dyDescent="0.25">
      <c r="A1329" s="82" t="s">
        <v>2653</v>
      </c>
      <c r="B1329" s="41" t="s">
        <v>9301</v>
      </c>
      <c r="C1329" s="42"/>
      <c r="D1329" s="41" t="s">
        <v>2985</v>
      </c>
      <c r="E1329" s="43" t="s">
        <v>9969</v>
      </c>
      <c r="F1329" s="43" t="s">
        <v>1937</v>
      </c>
      <c r="G1329" s="43" t="s">
        <v>10003</v>
      </c>
      <c r="H1329" s="85" t="s">
        <v>2986</v>
      </c>
      <c r="I1329" s="23" t="s">
        <v>24</v>
      </c>
      <c r="J1329" s="44">
        <v>50</v>
      </c>
      <c r="K1329" s="45">
        <v>0.25</v>
      </c>
      <c r="L1329" s="46">
        <f t="shared" si="208"/>
        <v>12.5</v>
      </c>
      <c r="M1329" s="47">
        <f t="shared" si="209"/>
        <v>37.5</v>
      </c>
      <c r="N1329" s="48">
        <v>0.16</v>
      </c>
      <c r="O1329" s="49">
        <f t="shared" si="210"/>
        <v>6</v>
      </c>
      <c r="P1329" s="50">
        <f t="shared" si="211"/>
        <v>43.5</v>
      </c>
      <c r="Q1329" s="23"/>
      <c r="R1329" s="60"/>
      <c r="S1329" s="61"/>
      <c r="T1329" s="62">
        <f t="shared" si="212"/>
        <v>0</v>
      </c>
      <c r="U1329" s="46">
        <f t="shared" si="213"/>
        <v>0</v>
      </c>
      <c r="V1329" s="63">
        <f t="shared" si="214"/>
        <v>0</v>
      </c>
      <c r="W1329" s="49">
        <f t="shared" si="215"/>
        <v>0</v>
      </c>
      <c r="X1329" s="50">
        <f t="shared" si="216"/>
        <v>0</v>
      </c>
      <c r="Y1329"/>
      <c r="Z1329"/>
      <c r="AA1329"/>
    </row>
    <row r="1330" spans="1:27" s="51" customFormat="1" ht="18.600000000000001" hidden="1" customHeight="1" x14ac:dyDescent="0.25">
      <c r="A1330" s="80" t="s">
        <v>2653</v>
      </c>
      <c r="B1330" s="20" t="s">
        <v>9301</v>
      </c>
      <c r="C1330" s="21"/>
      <c r="D1330" s="20" t="s">
        <v>2987</v>
      </c>
      <c r="E1330" s="22" t="s">
        <v>9970</v>
      </c>
      <c r="F1330" s="22" t="s">
        <v>1937</v>
      </c>
      <c r="G1330" s="22" t="s">
        <v>10003</v>
      </c>
      <c r="H1330" s="83" t="s">
        <v>2988</v>
      </c>
      <c r="I1330" s="23" t="s">
        <v>24</v>
      </c>
      <c r="J1330" s="24">
        <v>50</v>
      </c>
      <c r="K1330" s="25">
        <v>0.25</v>
      </c>
      <c r="L1330" s="26">
        <f t="shared" si="208"/>
        <v>12.5</v>
      </c>
      <c r="M1330" s="27">
        <f t="shared" si="209"/>
        <v>37.5</v>
      </c>
      <c r="N1330" s="28">
        <v>0.16</v>
      </c>
      <c r="O1330" s="29">
        <f t="shared" si="210"/>
        <v>6</v>
      </c>
      <c r="P1330" s="30">
        <f t="shared" si="211"/>
        <v>43.5</v>
      </c>
      <c r="Q1330" s="23"/>
      <c r="R1330" s="52"/>
      <c r="S1330" s="53"/>
      <c r="T1330" s="54">
        <f t="shared" si="212"/>
        <v>0</v>
      </c>
      <c r="U1330" s="26">
        <f t="shared" si="213"/>
        <v>0</v>
      </c>
      <c r="V1330" s="55">
        <f t="shared" si="214"/>
        <v>0</v>
      </c>
      <c r="W1330" s="29">
        <f t="shared" si="215"/>
        <v>0</v>
      </c>
      <c r="X1330" s="30">
        <f t="shared" si="216"/>
        <v>0</v>
      </c>
      <c r="Y1330"/>
      <c r="Z1330"/>
      <c r="AA1330"/>
    </row>
    <row r="1331" spans="1:27" s="51" customFormat="1" ht="18.600000000000001" hidden="1" customHeight="1" x14ac:dyDescent="0.25">
      <c r="A1331" s="81" t="s">
        <v>2653</v>
      </c>
      <c r="B1331" s="31" t="s">
        <v>9301</v>
      </c>
      <c r="C1331" s="32"/>
      <c r="D1331" s="31" t="s">
        <v>2989</v>
      </c>
      <c r="E1331" s="33" t="s">
        <v>9971</v>
      </c>
      <c r="F1331" s="33" t="s">
        <v>1937</v>
      </c>
      <c r="G1331" s="33" t="s">
        <v>10003</v>
      </c>
      <c r="H1331" s="84" t="s">
        <v>2990</v>
      </c>
      <c r="I1331" s="23" t="s">
        <v>24</v>
      </c>
      <c r="J1331" s="34">
        <v>50</v>
      </c>
      <c r="K1331" s="35">
        <v>0.25</v>
      </c>
      <c r="L1331" s="36">
        <f t="shared" si="208"/>
        <v>12.5</v>
      </c>
      <c r="M1331" s="37">
        <f t="shared" si="209"/>
        <v>37.5</v>
      </c>
      <c r="N1331" s="38">
        <v>0.16</v>
      </c>
      <c r="O1331" s="39">
        <f t="shared" si="210"/>
        <v>6</v>
      </c>
      <c r="P1331" s="40">
        <f t="shared" si="211"/>
        <v>43.5</v>
      </c>
      <c r="Q1331" s="23"/>
      <c r="R1331" s="56"/>
      <c r="S1331" s="57"/>
      <c r="T1331" s="58">
        <f t="shared" si="212"/>
        <v>0</v>
      </c>
      <c r="U1331" s="36">
        <f t="shared" si="213"/>
        <v>0</v>
      </c>
      <c r="V1331" s="59">
        <f t="shared" si="214"/>
        <v>0</v>
      </c>
      <c r="W1331" s="39">
        <f t="shared" si="215"/>
        <v>0</v>
      </c>
      <c r="X1331" s="40">
        <f t="shared" si="216"/>
        <v>0</v>
      </c>
      <c r="Y1331"/>
      <c r="Z1331"/>
      <c r="AA1331"/>
    </row>
    <row r="1332" spans="1:27" s="51" customFormat="1" ht="18.600000000000001" hidden="1" customHeight="1" x14ac:dyDescent="0.25">
      <c r="A1332" s="82" t="s">
        <v>2653</v>
      </c>
      <c r="B1332" s="41" t="s">
        <v>9301</v>
      </c>
      <c r="C1332" s="42"/>
      <c r="D1332" s="41" t="s">
        <v>2991</v>
      </c>
      <c r="E1332" s="43" t="s">
        <v>9972</v>
      </c>
      <c r="F1332" s="43" t="s">
        <v>1937</v>
      </c>
      <c r="G1332" s="43" t="s">
        <v>10003</v>
      </c>
      <c r="H1332" s="85" t="s">
        <v>2992</v>
      </c>
      <c r="I1332" s="23" t="s">
        <v>24</v>
      </c>
      <c r="J1332" s="44">
        <v>50</v>
      </c>
      <c r="K1332" s="45">
        <v>0.25</v>
      </c>
      <c r="L1332" s="46">
        <f t="shared" si="208"/>
        <v>12.5</v>
      </c>
      <c r="M1332" s="47">
        <f t="shared" si="209"/>
        <v>37.5</v>
      </c>
      <c r="N1332" s="48">
        <v>0.16</v>
      </c>
      <c r="O1332" s="49">
        <f t="shared" si="210"/>
        <v>6</v>
      </c>
      <c r="P1332" s="50">
        <f t="shared" si="211"/>
        <v>43.5</v>
      </c>
      <c r="Q1332" s="23"/>
      <c r="R1332" s="60"/>
      <c r="S1332" s="61"/>
      <c r="T1332" s="62">
        <f t="shared" si="212"/>
        <v>0</v>
      </c>
      <c r="U1332" s="46">
        <f t="shared" si="213"/>
        <v>0</v>
      </c>
      <c r="V1332" s="63">
        <f t="shared" si="214"/>
        <v>0</v>
      </c>
      <c r="W1332" s="49">
        <f t="shared" si="215"/>
        <v>0</v>
      </c>
      <c r="X1332" s="50">
        <f t="shared" si="216"/>
        <v>0</v>
      </c>
      <c r="Y1332"/>
      <c r="Z1332"/>
      <c r="AA1332"/>
    </row>
    <row r="1333" spans="1:27" s="51" customFormat="1" ht="18.600000000000001" hidden="1" customHeight="1" x14ac:dyDescent="0.25">
      <c r="A1333" s="80" t="s">
        <v>2653</v>
      </c>
      <c r="B1333" s="20" t="s">
        <v>9301</v>
      </c>
      <c r="C1333" s="21"/>
      <c r="D1333" s="20" t="s">
        <v>2993</v>
      </c>
      <c r="E1333" s="22" t="s">
        <v>9973</v>
      </c>
      <c r="F1333" s="22" t="s">
        <v>1937</v>
      </c>
      <c r="G1333" s="22" t="s">
        <v>10003</v>
      </c>
      <c r="H1333" s="83" t="s">
        <v>2994</v>
      </c>
      <c r="I1333" s="23" t="s">
        <v>24</v>
      </c>
      <c r="J1333" s="24">
        <v>50</v>
      </c>
      <c r="K1333" s="25">
        <v>0.25</v>
      </c>
      <c r="L1333" s="26">
        <f t="shared" si="208"/>
        <v>12.5</v>
      </c>
      <c r="M1333" s="27">
        <f t="shared" si="209"/>
        <v>37.5</v>
      </c>
      <c r="N1333" s="28">
        <v>0.16</v>
      </c>
      <c r="O1333" s="29">
        <f t="shared" si="210"/>
        <v>6</v>
      </c>
      <c r="P1333" s="30">
        <f t="shared" si="211"/>
        <v>43.5</v>
      </c>
      <c r="Q1333" s="23"/>
      <c r="R1333" s="52"/>
      <c r="S1333" s="53"/>
      <c r="T1333" s="54">
        <f t="shared" si="212"/>
        <v>0</v>
      </c>
      <c r="U1333" s="26">
        <f t="shared" si="213"/>
        <v>0</v>
      </c>
      <c r="V1333" s="55">
        <f t="shared" si="214"/>
        <v>0</v>
      </c>
      <c r="W1333" s="29">
        <f t="shared" si="215"/>
        <v>0</v>
      </c>
      <c r="X1333" s="30">
        <f t="shared" si="216"/>
        <v>0</v>
      </c>
      <c r="Y1333"/>
      <c r="Z1333"/>
      <c r="AA1333"/>
    </row>
    <row r="1334" spans="1:27" s="51" customFormat="1" ht="18.600000000000001" hidden="1" customHeight="1" x14ac:dyDescent="0.25">
      <c r="A1334" s="81" t="s">
        <v>2653</v>
      </c>
      <c r="B1334" s="31" t="s">
        <v>9301</v>
      </c>
      <c r="C1334" s="32"/>
      <c r="D1334" s="31" t="s">
        <v>2995</v>
      </c>
      <c r="E1334" s="33" t="s">
        <v>9974</v>
      </c>
      <c r="F1334" s="33" t="s">
        <v>1937</v>
      </c>
      <c r="G1334" s="33" t="s">
        <v>10003</v>
      </c>
      <c r="H1334" s="84" t="s">
        <v>2996</v>
      </c>
      <c r="I1334" s="23" t="s">
        <v>24</v>
      </c>
      <c r="J1334" s="34">
        <v>50</v>
      </c>
      <c r="K1334" s="35">
        <v>0.25</v>
      </c>
      <c r="L1334" s="36">
        <f t="shared" si="208"/>
        <v>12.5</v>
      </c>
      <c r="M1334" s="37">
        <f t="shared" si="209"/>
        <v>37.5</v>
      </c>
      <c r="N1334" s="38">
        <v>0.16</v>
      </c>
      <c r="O1334" s="39">
        <f t="shared" si="210"/>
        <v>6</v>
      </c>
      <c r="P1334" s="40">
        <f t="shared" si="211"/>
        <v>43.5</v>
      </c>
      <c r="Q1334" s="23"/>
      <c r="R1334" s="56"/>
      <c r="S1334" s="57"/>
      <c r="T1334" s="58">
        <f t="shared" si="212"/>
        <v>0</v>
      </c>
      <c r="U1334" s="36">
        <f t="shared" si="213"/>
        <v>0</v>
      </c>
      <c r="V1334" s="59">
        <f t="shared" si="214"/>
        <v>0</v>
      </c>
      <c r="W1334" s="39">
        <f t="shared" si="215"/>
        <v>0</v>
      </c>
      <c r="X1334" s="40">
        <f t="shared" si="216"/>
        <v>0</v>
      </c>
      <c r="Y1334"/>
      <c r="Z1334"/>
      <c r="AA1334"/>
    </row>
    <row r="1335" spans="1:27" s="51" customFormat="1" ht="18.600000000000001" hidden="1" customHeight="1" x14ac:dyDescent="0.25">
      <c r="A1335" s="82" t="s">
        <v>2653</v>
      </c>
      <c r="B1335" s="41" t="s">
        <v>9301</v>
      </c>
      <c r="C1335" s="42"/>
      <c r="D1335" s="41" t="s">
        <v>2997</v>
      </c>
      <c r="E1335" s="43" t="s">
        <v>9975</v>
      </c>
      <c r="F1335" s="43" t="s">
        <v>1937</v>
      </c>
      <c r="G1335" s="43" t="s">
        <v>10003</v>
      </c>
      <c r="H1335" s="85" t="s">
        <v>2998</v>
      </c>
      <c r="I1335" s="23" t="s">
        <v>24</v>
      </c>
      <c r="J1335" s="44">
        <v>50</v>
      </c>
      <c r="K1335" s="45">
        <v>0.25</v>
      </c>
      <c r="L1335" s="46">
        <f t="shared" si="208"/>
        <v>12.5</v>
      </c>
      <c r="M1335" s="47">
        <f t="shared" si="209"/>
        <v>37.5</v>
      </c>
      <c r="N1335" s="48">
        <v>0.16</v>
      </c>
      <c r="O1335" s="49">
        <f t="shared" si="210"/>
        <v>6</v>
      </c>
      <c r="P1335" s="50">
        <f t="shared" si="211"/>
        <v>43.5</v>
      </c>
      <c r="Q1335" s="23"/>
      <c r="R1335" s="60"/>
      <c r="S1335" s="61"/>
      <c r="T1335" s="62">
        <f t="shared" si="212"/>
        <v>0</v>
      </c>
      <c r="U1335" s="46">
        <f t="shared" si="213"/>
        <v>0</v>
      </c>
      <c r="V1335" s="63">
        <f t="shared" si="214"/>
        <v>0</v>
      </c>
      <c r="W1335" s="49">
        <f t="shared" si="215"/>
        <v>0</v>
      </c>
      <c r="X1335" s="50">
        <f t="shared" si="216"/>
        <v>0</v>
      </c>
      <c r="Y1335"/>
      <c r="Z1335"/>
      <c r="AA1335"/>
    </row>
    <row r="1336" spans="1:27" s="51" customFormat="1" ht="18.600000000000001" hidden="1" customHeight="1" x14ac:dyDescent="0.25">
      <c r="A1336" s="80" t="s">
        <v>2653</v>
      </c>
      <c r="B1336" s="20" t="s">
        <v>9301</v>
      </c>
      <c r="C1336" s="21"/>
      <c r="D1336" s="20" t="s">
        <v>2999</v>
      </c>
      <c r="E1336" s="22" t="s">
        <v>9976</v>
      </c>
      <c r="F1336" s="22" t="s">
        <v>1937</v>
      </c>
      <c r="G1336" s="22" t="s">
        <v>10003</v>
      </c>
      <c r="H1336" s="83" t="s">
        <v>3000</v>
      </c>
      <c r="I1336" s="23" t="s">
        <v>24</v>
      </c>
      <c r="J1336" s="24">
        <v>50</v>
      </c>
      <c r="K1336" s="25">
        <v>0.25</v>
      </c>
      <c r="L1336" s="26">
        <f t="shared" si="208"/>
        <v>12.5</v>
      </c>
      <c r="M1336" s="27">
        <f t="shared" si="209"/>
        <v>37.5</v>
      </c>
      <c r="N1336" s="28">
        <v>0.16</v>
      </c>
      <c r="O1336" s="29">
        <f t="shared" si="210"/>
        <v>6</v>
      </c>
      <c r="P1336" s="30">
        <f t="shared" si="211"/>
        <v>43.5</v>
      </c>
      <c r="Q1336" s="23"/>
      <c r="R1336" s="52"/>
      <c r="S1336" s="53"/>
      <c r="T1336" s="54">
        <f t="shared" si="212"/>
        <v>0</v>
      </c>
      <c r="U1336" s="26">
        <f t="shared" si="213"/>
        <v>0</v>
      </c>
      <c r="V1336" s="55">
        <f t="shared" si="214"/>
        <v>0</v>
      </c>
      <c r="W1336" s="29">
        <f t="shared" si="215"/>
        <v>0</v>
      </c>
      <c r="X1336" s="30">
        <f t="shared" si="216"/>
        <v>0</v>
      </c>
      <c r="Y1336"/>
      <c r="Z1336"/>
      <c r="AA1336"/>
    </row>
    <row r="1337" spans="1:27" s="51" customFormat="1" ht="18.600000000000001" hidden="1" customHeight="1" x14ac:dyDescent="0.25">
      <c r="A1337" s="81" t="s">
        <v>2653</v>
      </c>
      <c r="B1337" s="31" t="s">
        <v>9301</v>
      </c>
      <c r="C1337" s="32"/>
      <c r="D1337" s="31" t="s">
        <v>3001</v>
      </c>
      <c r="E1337" s="33" t="s">
        <v>9977</v>
      </c>
      <c r="F1337" s="33" t="s">
        <v>1937</v>
      </c>
      <c r="G1337" s="33" t="s">
        <v>10003</v>
      </c>
      <c r="H1337" s="84" t="s">
        <v>3002</v>
      </c>
      <c r="I1337" s="23" t="s">
        <v>24</v>
      </c>
      <c r="J1337" s="34">
        <v>50</v>
      </c>
      <c r="K1337" s="35">
        <v>0.25</v>
      </c>
      <c r="L1337" s="36">
        <f t="shared" si="208"/>
        <v>12.5</v>
      </c>
      <c r="M1337" s="37">
        <f t="shared" si="209"/>
        <v>37.5</v>
      </c>
      <c r="N1337" s="38">
        <v>0.16</v>
      </c>
      <c r="O1337" s="39">
        <f t="shared" si="210"/>
        <v>6</v>
      </c>
      <c r="P1337" s="40">
        <f t="shared" si="211"/>
        <v>43.5</v>
      </c>
      <c r="Q1337" s="23"/>
      <c r="R1337" s="56"/>
      <c r="S1337" s="57"/>
      <c r="T1337" s="58">
        <f t="shared" si="212"/>
        <v>0</v>
      </c>
      <c r="U1337" s="36">
        <f t="shared" si="213"/>
        <v>0</v>
      </c>
      <c r="V1337" s="59">
        <f t="shared" si="214"/>
        <v>0</v>
      </c>
      <c r="W1337" s="39">
        <f t="shared" si="215"/>
        <v>0</v>
      </c>
      <c r="X1337" s="40">
        <f t="shared" si="216"/>
        <v>0</v>
      </c>
      <c r="Y1337"/>
      <c r="Z1337"/>
      <c r="AA1337"/>
    </row>
    <row r="1338" spans="1:27" s="51" customFormat="1" ht="18.600000000000001" hidden="1" customHeight="1" x14ac:dyDescent="0.25">
      <c r="A1338" s="82" t="s">
        <v>2653</v>
      </c>
      <c r="B1338" s="41" t="s">
        <v>9301</v>
      </c>
      <c r="C1338" s="42"/>
      <c r="D1338" s="41" t="s">
        <v>3003</v>
      </c>
      <c r="E1338" s="43" t="s">
        <v>9978</v>
      </c>
      <c r="F1338" s="43" t="s">
        <v>1937</v>
      </c>
      <c r="G1338" s="43" t="s">
        <v>10003</v>
      </c>
      <c r="H1338" s="85" t="s">
        <v>3004</v>
      </c>
      <c r="I1338" s="23" t="s">
        <v>24</v>
      </c>
      <c r="J1338" s="44">
        <v>50</v>
      </c>
      <c r="K1338" s="45">
        <v>0.25</v>
      </c>
      <c r="L1338" s="46">
        <f t="shared" si="208"/>
        <v>12.5</v>
      </c>
      <c r="M1338" s="47">
        <f t="shared" si="209"/>
        <v>37.5</v>
      </c>
      <c r="N1338" s="48">
        <v>0.16</v>
      </c>
      <c r="O1338" s="49">
        <f t="shared" si="210"/>
        <v>6</v>
      </c>
      <c r="P1338" s="50">
        <f t="shared" si="211"/>
        <v>43.5</v>
      </c>
      <c r="Q1338" s="23"/>
      <c r="R1338" s="60"/>
      <c r="S1338" s="61"/>
      <c r="T1338" s="62">
        <f t="shared" si="212"/>
        <v>0</v>
      </c>
      <c r="U1338" s="46">
        <f t="shared" si="213"/>
        <v>0</v>
      </c>
      <c r="V1338" s="63">
        <f t="shared" si="214"/>
        <v>0</v>
      </c>
      <c r="W1338" s="49">
        <f t="shared" si="215"/>
        <v>0</v>
      </c>
      <c r="X1338" s="50">
        <f t="shared" si="216"/>
        <v>0</v>
      </c>
      <c r="Y1338"/>
      <c r="Z1338"/>
      <c r="AA1338"/>
    </row>
    <row r="1339" spans="1:27" s="51" customFormat="1" ht="18.600000000000001" hidden="1" customHeight="1" x14ac:dyDescent="0.25">
      <c r="A1339" s="80" t="s">
        <v>2653</v>
      </c>
      <c r="B1339" s="20" t="s">
        <v>9301</v>
      </c>
      <c r="C1339" s="21"/>
      <c r="D1339" s="20" t="s">
        <v>3005</v>
      </c>
      <c r="E1339" s="22" t="s">
        <v>9979</v>
      </c>
      <c r="F1339" s="22" t="s">
        <v>1937</v>
      </c>
      <c r="G1339" s="22" t="s">
        <v>10003</v>
      </c>
      <c r="H1339" s="83" t="s">
        <v>3006</v>
      </c>
      <c r="I1339" s="23" t="s">
        <v>24</v>
      </c>
      <c r="J1339" s="24">
        <v>50</v>
      </c>
      <c r="K1339" s="25">
        <v>0.25</v>
      </c>
      <c r="L1339" s="26">
        <f t="shared" si="208"/>
        <v>12.5</v>
      </c>
      <c r="M1339" s="27">
        <f t="shared" si="209"/>
        <v>37.5</v>
      </c>
      <c r="N1339" s="28">
        <v>0.16</v>
      </c>
      <c r="O1339" s="29">
        <f t="shared" si="210"/>
        <v>6</v>
      </c>
      <c r="P1339" s="30">
        <f t="shared" si="211"/>
        <v>43.5</v>
      </c>
      <c r="Q1339" s="23"/>
      <c r="R1339" s="52"/>
      <c r="S1339" s="53"/>
      <c r="T1339" s="54">
        <f t="shared" si="212"/>
        <v>0</v>
      </c>
      <c r="U1339" s="26">
        <f t="shared" si="213"/>
        <v>0</v>
      </c>
      <c r="V1339" s="55">
        <f t="shared" si="214"/>
        <v>0</v>
      </c>
      <c r="W1339" s="29">
        <f t="shared" si="215"/>
        <v>0</v>
      </c>
      <c r="X1339" s="30">
        <f t="shared" si="216"/>
        <v>0</v>
      </c>
      <c r="Y1339"/>
      <c r="Z1339"/>
      <c r="AA1339"/>
    </row>
    <row r="1340" spans="1:27" s="51" customFormat="1" ht="18.600000000000001" hidden="1" customHeight="1" x14ac:dyDescent="0.25">
      <c r="A1340" s="81" t="s">
        <v>2653</v>
      </c>
      <c r="B1340" s="31" t="s">
        <v>9301</v>
      </c>
      <c r="C1340" s="32"/>
      <c r="D1340" s="31" t="s">
        <v>3007</v>
      </c>
      <c r="E1340" s="33" t="s">
        <v>9980</v>
      </c>
      <c r="F1340" s="33" t="s">
        <v>1937</v>
      </c>
      <c r="G1340" s="33" t="s">
        <v>10003</v>
      </c>
      <c r="H1340" s="84" t="s">
        <v>3008</v>
      </c>
      <c r="I1340" s="23" t="s">
        <v>24</v>
      </c>
      <c r="J1340" s="34">
        <v>50</v>
      </c>
      <c r="K1340" s="35">
        <v>0.25</v>
      </c>
      <c r="L1340" s="36">
        <f t="shared" si="208"/>
        <v>12.5</v>
      </c>
      <c r="M1340" s="37">
        <f t="shared" si="209"/>
        <v>37.5</v>
      </c>
      <c r="N1340" s="38">
        <v>0.16</v>
      </c>
      <c r="O1340" s="39">
        <f t="shared" si="210"/>
        <v>6</v>
      </c>
      <c r="P1340" s="40">
        <f t="shared" si="211"/>
        <v>43.5</v>
      </c>
      <c r="Q1340" s="23"/>
      <c r="R1340" s="56"/>
      <c r="S1340" s="57"/>
      <c r="T1340" s="58">
        <f t="shared" si="212"/>
        <v>0</v>
      </c>
      <c r="U1340" s="36">
        <f t="shared" si="213"/>
        <v>0</v>
      </c>
      <c r="V1340" s="59">
        <f t="shared" si="214"/>
        <v>0</v>
      </c>
      <c r="W1340" s="39">
        <f t="shared" si="215"/>
        <v>0</v>
      </c>
      <c r="X1340" s="40">
        <f t="shared" si="216"/>
        <v>0</v>
      </c>
      <c r="Y1340"/>
      <c r="Z1340"/>
      <c r="AA1340"/>
    </row>
    <row r="1341" spans="1:27" s="51" customFormat="1" ht="18.600000000000001" hidden="1" customHeight="1" x14ac:dyDescent="0.25">
      <c r="A1341" s="82" t="s">
        <v>2653</v>
      </c>
      <c r="B1341" s="41" t="s">
        <v>9301</v>
      </c>
      <c r="C1341" s="42"/>
      <c r="D1341" s="41" t="s">
        <v>3009</v>
      </c>
      <c r="E1341" s="43" t="s">
        <v>9981</v>
      </c>
      <c r="F1341" s="43" t="s">
        <v>1937</v>
      </c>
      <c r="G1341" s="43" t="s">
        <v>10003</v>
      </c>
      <c r="H1341" s="85" t="s">
        <v>3010</v>
      </c>
      <c r="I1341" s="23" t="s">
        <v>24</v>
      </c>
      <c r="J1341" s="44">
        <v>50</v>
      </c>
      <c r="K1341" s="45">
        <v>0.25</v>
      </c>
      <c r="L1341" s="46">
        <f t="shared" si="208"/>
        <v>12.5</v>
      </c>
      <c r="M1341" s="47">
        <f t="shared" si="209"/>
        <v>37.5</v>
      </c>
      <c r="N1341" s="48">
        <v>0.16</v>
      </c>
      <c r="O1341" s="49">
        <f t="shared" si="210"/>
        <v>6</v>
      </c>
      <c r="P1341" s="50">
        <f t="shared" si="211"/>
        <v>43.5</v>
      </c>
      <c r="Q1341" s="23"/>
      <c r="R1341" s="60"/>
      <c r="S1341" s="61"/>
      <c r="T1341" s="62">
        <f t="shared" si="212"/>
        <v>0</v>
      </c>
      <c r="U1341" s="46">
        <f t="shared" si="213"/>
        <v>0</v>
      </c>
      <c r="V1341" s="63">
        <f t="shared" si="214"/>
        <v>0</v>
      </c>
      <c r="W1341" s="49">
        <f t="shared" si="215"/>
        <v>0</v>
      </c>
      <c r="X1341" s="50">
        <f t="shared" si="216"/>
        <v>0</v>
      </c>
      <c r="Y1341"/>
      <c r="Z1341"/>
      <c r="AA1341"/>
    </row>
    <row r="1342" spans="1:27" s="51" customFormat="1" ht="18.600000000000001" hidden="1" customHeight="1" x14ac:dyDescent="0.25">
      <c r="A1342" s="80" t="s">
        <v>2653</v>
      </c>
      <c r="B1342" s="20" t="s">
        <v>9301</v>
      </c>
      <c r="C1342" s="21"/>
      <c r="D1342" s="20" t="s">
        <v>3011</v>
      </c>
      <c r="E1342" s="22" t="s">
        <v>9982</v>
      </c>
      <c r="F1342" s="22" t="s">
        <v>1937</v>
      </c>
      <c r="G1342" s="22" t="s">
        <v>10003</v>
      </c>
      <c r="H1342" s="83" t="s">
        <v>3012</v>
      </c>
      <c r="I1342" s="23" t="s">
        <v>24</v>
      </c>
      <c r="J1342" s="24">
        <v>50</v>
      </c>
      <c r="K1342" s="25">
        <v>0.25</v>
      </c>
      <c r="L1342" s="26">
        <f t="shared" si="208"/>
        <v>12.5</v>
      </c>
      <c r="M1342" s="27">
        <f t="shared" si="209"/>
        <v>37.5</v>
      </c>
      <c r="N1342" s="28">
        <v>0.16</v>
      </c>
      <c r="O1342" s="29">
        <f t="shared" si="210"/>
        <v>6</v>
      </c>
      <c r="P1342" s="30">
        <f t="shared" si="211"/>
        <v>43.5</v>
      </c>
      <c r="Q1342" s="23"/>
      <c r="R1342" s="52"/>
      <c r="S1342" s="53"/>
      <c r="T1342" s="54">
        <f t="shared" si="212"/>
        <v>0</v>
      </c>
      <c r="U1342" s="26">
        <f t="shared" si="213"/>
        <v>0</v>
      </c>
      <c r="V1342" s="55">
        <f t="shared" si="214"/>
        <v>0</v>
      </c>
      <c r="W1342" s="29">
        <f t="shared" si="215"/>
        <v>0</v>
      </c>
      <c r="X1342" s="30">
        <f t="shared" si="216"/>
        <v>0</v>
      </c>
      <c r="Y1342"/>
      <c r="Z1342"/>
      <c r="AA1342"/>
    </row>
    <row r="1343" spans="1:27" s="51" customFormat="1" ht="18.600000000000001" hidden="1" customHeight="1" x14ac:dyDescent="0.25">
      <c r="A1343" s="81" t="s">
        <v>2653</v>
      </c>
      <c r="B1343" s="31" t="s">
        <v>9301</v>
      </c>
      <c r="C1343" s="32"/>
      <c r="D1343" s="31" t="s">
        <v>3013</v>
      </c>
      <c r="E1343" s="33" t="s">
        <v>9983</v>
      </c>
      <c r="F1343" s="33" t="s">
        <v>1937</v>
      </c>
      <c r="G1343" s="33" t="s">
        <v>10003</v>
      </c>
      <c r="H1343" s="84" t="s">
        <v>3014</v>
      </c>
      <c r="I1343" s="23" t="s">
        <v>24</v>
      </c>
      <c r="J1343" s="34">
        <v>50</v>
      </c>
      <c r="K1343" s="35">
        <v>0.25</v>
      </c>
      <c r="L1343" s="36">
        <f t="shared" si="208"/>
        <v>12.5</v>
      </c>
      <c r="M1343" s="37">
        <f t="shared" si="209"/>
        <v>37.5</v>
      </c>
      <c r="N1343" s="38">
        <v>0.16</v>
      </c>
      <c r="O1343" s="39">
        <f t="shared" si="210"/>
        <v>6</v>
      </c>
      <c r="P1343" s="40">
        <f t="shared" si="211"/>
        <v>43.5</v>
      </c>
      <c r="Q1343" s="23"/>
      <c r="R1343" s="56"/>
      <c r="S1343" s="57"/>
      <c r="T1343" s="58">
        <f t="shared" si="212"/>
        <v>0</v>
      </c>
      <c r="U1343" s="36">
        <f t="shared" si="213"/>
        <v>0</v>
      </c>
      <c r="V1343" s="59">
        <f t="shared" si="214"/>
        <v>0</v>
      </c>
      <c r="W1343" s="39">
        <f t="shared" si="215"/>
        <v>0</v>
      </c>
      <c r="X1343" s="40">
        <f t="shared" si="216"/>
        <v>0</v>
      </c>
      <c r="Y1343"/>
      <c r="Z1343"/>
      <c r="AA1343"/>
    </row>
    <row r="1344" spans="1:27" s="51" customFormat="1" ht="18.600000000000001" hidden="1" customHeight="1" x14ac:dyDescent="0.25">
      <c r="A1344" s="82" t="s">
        <v>2653</v>
      </c>
      <c r="B1344" s="41" t="s">
        <v>9301</v>
      </c>
      <c r="C1344" s="42"/>
      <c r="D1344" s="41" t="s">
        <v>3015</v>
      </c>
      <c r="E1344" s="43" t="s">
        <v>9984</v>
      </c>
      <c r="F1344" s="43" t="s">
        <v>1937</v>
      </c>
      <c r="G1344" s="43" t="s">
        <v>10003</v>
      </c>
      <c r="H1344" s="85" t="s">
        <v>3016</v>
      </c>
      <c r="I1344" s="23" t="s">
        <v>24</v>
      </c>
      <c r="J1344" s="44">
        <v>50</v>
      </c>
      <c r="K1344" s="45">
        <v>0.25</v>
      </c>
      <c r="L1344" s="46">
        <f t="shared" si="208"/>
        <v>12.5</v>
      </c>
      <c r="M1344" s="47">
        <f t="shared" si="209"/>
        <v>37.5</v>
      </c>
      <c r="N1344" s="48">
        <v>0.16</v>
      </c>
      <c r="O1344" s="49">
        <f t="shared" si="210"/>
        <v>6</v>
      </c>
      <c r="P1344" s="50">
        <f t="shared" si="211"/>
        <v>43.5</v>
      </c>
      <c r="Q1344" s="23"/>
      <c r="R1344" s="60"/>
      <c r="S1344" s="61"/>
      <c r="T1344" s="62">
        <f t="shared" si="212"/>
        <v>0</v>
      </c>
      <c r="U1344" s="46">
        <f t="shared" si="213"/>
        <v>0</v>
      </c>
      <c r="V1344" s="63">
        <f t="shared" si="214"/>
        <v>0</v>
      </c>
      <c r="W1344" s="49">
        <f t="shared" si="215"/>
        <v>0</v>
      </c>
      <c r="X1344" s="50">
        <f t="shared" si="216"/>
        <v>0</v>
      </c>
      <c r="Y1344"/>
      <c r="Z1344"/>
      <c r="AA1344"/>
    </row>
    <row r="1345" spans="1:27" s="51" customFormat="1" ht="18.600000000000001" hidden="1" customHeight="1" x14ac:dyDescent="0.25">
      <c r="A1345" s="80" t="s">
        <v>2653</v>
      </c>
      <c r="B1345" s="20" t="s">
        <v>9301</v>
      </c>
      <c r="C1345" s="21"/>
      <c r="D1345" s="20" t="s">
        <v>3017</v>
      </c>
      <c r="E1345" s="22" t="s">
        <v>9985</v>
      </c>
      <c r="F1345" s="22" t="s">
        <v>1937</v>
      </c>
      <c r="G1345" s="22" t="s">
        <v>10003</v>
      </c>
      <c r="H1345" s="83" t="s">
        <v>3018</v>
      </c>
      <c r="I1345" s="23" t="s">
        <v>24</v>
      </c>
      <c r="J1345" s="24">
        <v>50</v>
      </c>
      <c r="K1345" s="25">
        <v>0.25</v>
      </c>
      <c r="L1345" s="26">
        <f t="shared" si="208"/>
        <v>12.5</v>
      </c>
      <c r="M1345" s="27">
        <f t="shared" si="209"/>
        <v>37.5</v>
      </c>
      <c r="N1345" s="28">
        <v>0.16</v>
      </c>
      <c r="O1345" s="29">
        <f t="shared" si="210"/>
        <v>6</v>
      </c>
      <c r="P1345" s="30">
        <f t="shared" si="211"/>
        <v>43.5</v>
      </c>
      <c r="Q1345" s="23"/>
      <c r="R1345" s="52"/>
      <c r="S1345" s="53"/>
      <c r="T1345" s="54">
        <f t="shared" si="212"/>
        <v>0</v>
      </c>
      <c r="U1345" s="26">
        <f t="shared" si="213"/>
        <v>0</v>
      </c>
      <c r="V1345" s="55">
        <f t="shared" si="214"/>
        <v>0</v>
      </c>
      <c r="W1345" s="29">
        <f t="shared" si="215"/>
        <v>0</v>
      </c>
      <c r="X1345" s="30">
        <f t="shared" si="216"/>
        <v>0</v>
      </c>
      <c r="Y1345"/>
      <c r="Z1345"/>
      <c r="AA1345"/>
    </row>
    <row r="1346" spans="1:27" s="51" customFormat="1" ht="18.600000000000001" hidden="1" customHeight="1" x14ac:dyDescent="0.25">
      <c r="A1346" s="81" t="s">
        <v>2653</v>
      </c>
      <c r="B1346" s="31" t="s">
        <v>9301</v>
      </c>
      <c r="C1346" s="32"/>
      <c r="D1346" s="31" t="s">
        <v>3019</v>
      </c>
      <c r="E1346" s="33" t="s">
        <v>9986</v>
      </c>
      <c r="F1346" s="33" t="s">
        <v>1937</v>
      </c>
      <c r="G1346" s="33" t="s">
        <v>10003</v>
      </c>
      <c r="H1346" s="84" t="s">
        <v>3020</v>
      </c>
      <c r="I1346" s="23" t="s">
        <v>24</v>
      </c>
      <c r="J1346" s="34">
        <v>50</v>
      </c>
      <c r="K1346" s="35">
        <v>0.25</v>
      </c>
      <c r="L1346" s="36">
        <f t="shared" si="208"/>
        <v>12.5</v>
      </c>
      <c r="M1346" s="37">
        <f t="shared" si="209"/>
        <v>37.5</v>
      </c>
      <c r="N1346" s="38">
        <v>0.16</v>
      </c>
      <c r="O1346" s="39">
        <f t="shared" si="210"/>
        <v>6</v>
      </c>
      <c r="P1346" s="40">
        <f t="shared" si="211"/>
        <v>43.5</v>
      </c>
      <c r="Q1346" s="23"/>
      <c r="R1346" s="56"/>
      <c r="S1346" s="57"/>
      <c r="T1346" s="58">
        <f t="shared" si="212"/>
        <v>0</v>
      </c>
      <c r="U1346" s="36">
        <f t="shared" si="213"/>
        <v>0</v>
      </c>
      <c r="V1346" s="59">
        <f t="shared" si="214"/>
        <v>0</v>
      </c>
      <c r="W1346" s="39">
        <f t="shared" si="215"/>
        <v>0</v>
      </c>
      <c r="X1346" s="40">
        <f t="shared" si="216"/>
        <v>0</v>
      </c>
      <c r="Y1346"/>
      <c r="Z1346"/>
      <c r="AA1346"/>
    </row>
    <row r="1347" spans="1:27" s="51" customFormat="1" ht="18.600000000000001" hidden="1" customHeight="1" x14ac:dyDescent="0.25">
      <c r="A1347" s="82" t="s">
        <v>2653</v>
      </c>
      <c r="B1347" s="41" t="s">
        <v>9301</v>
      </c>
      <c r="C1347" s="42"/>
      <c r="D1347" s="41" t="s">
        <v>3021</v>
      </c>
      <c r="E1347" s="43" t="s">
        <v>9987</v>
      </c>
      <c r="F1347" s="43" t="s">
        <v>1937</v>
      </c>
      <c r="G1347" s="43" t="s">
        <v>10003</v>
      </c>
      <c r="H1347" s="85" t="s">
        <v>3022</v>
      </c>
      <c r="I1347" s="23" t="s">
        <v>24</v>
      </c>
      <c r="J1347" s="44">
        <v>50</v>
      </c>
      <c r="K1347" s="45">
        <v>0.25</v>
      </c>
      <c r="L1347" s="46">
        <f t="shared" si="208"/>
        <v>12.5</v>
      </c>
      <c r="M1347" s="47">
        <f t="shared" si="209"/>
        <v>37.5</v>
      </c>
      <c r="N1347" s="48">
        <v>0.16</v>
      </c>
      <c r="O1347" s="49">
        <f t="shared" si="210"/>
        <v>6</v>
      </c>
      <c r="P1347" s="50">
        <f t="shared" si="211"/>
        <v>43.5</v>
      </c>
      <c r="Q1347" s="23"/>
      <c r="R1347" s="60"/>
      <c r="S1347" s="61"/>
      <c r="T1347" s="62">
        <f t="shared" si="212"/>
        <v>0</v>
      </c>
      <c r="U1347" s="46">
        <f t="shared" si="213"/>
        <v>0</v>
      </c>
      <c r="V1347" s="63">
        <f t="shared" si="214"/>
        <v>0</v>
      </c>
      <c r="W1347" s="49">
        <f t="shared" si="215"/>
        <v>0</v>
      </c>
      <c r="X1347" s="50">
        <f t="shared" si="216"/>
        <v>0</v>
      </c>
      <c r="Y1347"/>
      <c r="Z1347"/>
      <c r="AA1347"/>
    </row>
    <row r="1348" spans="1:27" s="51" customFormat="1" ht="18.600000000000001" hidden="1" customHeight="1" x14ac:dyDescent="0.25">
      <c r="A1348" s="80" t="s">
        <v>2653</v>
      </c>
      <c r="B1348" s="20" t="s">
        <v>9301</v>
      </c>
      <c r="C1348" s="21"/>
      <c r="D1348" s="20" t="s">
        <v>3023</v>
      </c>
      <c r="E1348" s="22" t="s">
        <v>9988</v>
      </c>
      <c r="F1348" s="22" t="s">
        <v>1937</v>
      </c>
      <c r="G1348" s="22" t="s">
        <v>10003</v>
      </c>
      <c r="H1348" s="83" t="s">
        <v>3024</v>
      </c>
      <c r="I1348" s="23" t="s">
        <v>24</v>
      </c>
      <c r="J1348" s="24">
        <v>50</v>
      </c>
      <c r="K1348" s="25">
        <v>0.25</v>
      </c>
      <c r="L1348" s="26">
        <f t="shared" si="208"/>
        <v>12.5</v>
      </c>
      <c r="M1348" s="27">
        <f t="shared" si="209"/>
        <v>37.5</v>
      </c>
      <c r="N1348" s="28">
        <v>0.16</v>
      </c>
      <c r="O1348" s="29">
        <f t="shared" si="210"/>
        <v>6</v>
      </c>
      <c r="P1348" s="30">
        <f t="shared" si="211"/>
        <v>43.5</v>
      </c>
      <c r="Q1348" s="23"/>
      <c r="R1348" s="52"/>
      <c r="S1348" s="53"/>
      <c r="T1348" s="54">
        <f t="shared" si="212"/>
        <v>0</v>
      </c>
      <c r="U1348" s="26">
        <f t="shared" si="213"/>
        <v>0</v>
      </c>
      <c r="V1348" s="55">
        <f t="shared" si="214"/>
        <v>0</v>
      </c>
      <c r="W1348" s="29">
        <f t="shared" si="215"/>
        <v>0</v>
      </c>
      <c r="X1348" s="30">
        <f t="shared" si="216"/>
        <v>0</v>
      </c>
      <c r="Y1348"/>
      <c r="Z1348"/>
      <c r="AA1348"/>
    </row>
    <row r="1349" spans="1:27" s="51" customFormat="1" ht="18.600000000000001" hidden="1" customHeight="1" x14ac:dyDescent="0.25">
      <c r="A1349" s="81" t="s">
        <v>2653</v>
      </c>
      <c r="B1349" s="31" t="s">
        <v>9301</v>
      </c>
      <c r="C1349" s="32"/>
      <c r="D1349" s="31" t="s">
        <v>3025</v>
      </c>
      <c r="E1349" s="33" t="s">
        <v>9989</v>
      </c>
      <c r="F1349" s="33" t="s">
        <v>1937</v>
      </c>
      <c r="G1349" s="33" t="s">
        <v>10003</v>
      </c>
      <c r="H1349" s="84" t="s">
        <v>3026</v>
      </c>
      <c r="I1349" s="23" t="s">
        <v>24</v>
      </c>
      <c r="J1349" s="34">
        <v>50</v>
      </c>
      <c r="K1349" s="35">
        <v>0.25</v>
      </c>
      <c r="L1349" s="36">
        <f t="shared" si="208"/>
        <v>12.5</v>
      </c>
      <c r="M1349" s="37">
        <f t="shared" si="209"/>
        <v>37.5</v>
      </c>
      <c r="N1349" s="38">
        <v>0.16</v>
      </c>
      <c r="O1349" s="39">
        <f t="shared" si="210"/>
        <v>6</v>
      </c>
      <c r="P1349" s="40">
        <f t="shared" si="211"/>
        <v>43.5</v>
      </c>
      <c r="Q1349" s="23"/>
      <c r="R1349" s="56"/>
      <c r="S1349" s="57"/>
      <c r="T1349" s="58">
        <f t="shared" si="212"/>
        <v>0</v>
      </c>
      <c r="U1349" s="36">
        <f t="shared" si="213"/>
        <v>0</v>
      </c>
      <c r="V1349" s="59">
        <f t="shared" si="214"/>
        <v>0</v>
      </c>
      <c r="W1349" s="39">
        <f t="shared" si="215"/>
        <v>0</v>
      </c>
      <c r="X1349" s="40">
        <f t="shared" si="216"/>
        <v>0</v>
      </c>
      <c r="Y1349"/>
      <c r="Z1349"/>
      <c r="AA1349"/>
    </row>
    <row r="1350" spans="1:27" s="51" customFormat="1" ht="18.600000000000001" hidden="1" customHeight="1" x14ac:dyDescent="0.25">
      <c r="A1350" s="82" t="s">
        <v>2653</v>
      </c>
      <c r="B1350" s="41" t="s">
        <v>9301</v>
      </c>
      <c r="C1350" s="42"/>
      <c r="D1350" s="41" t="s">
        <v>3027</v>
      </c>
      <c r="E1350" s="43" t="s">
        <v>9990</v>
      </c>
      <c r="F1350" s="43" t="s">
        <v>1937</v>
      </c>
      <c r="G1350" s="43" t="s">
        <v>10003</v>
      </c>
      <c r="H1350" s="85" t="s">
        <v>3028</v>
      </c>
      <c r="I1350" s="23" t="s">
        <v>24</v>
      </c>
      <c r="J1350" s="44">
        <v>50</v>
      </c>
      <c r="K1350" s="45">
        <v>0.25</v>
      </c>
      <c r="L1350" s="46">
        <f t="shared" si="208"/>
        <v>12.5</v>
      </c>
      <c r="M1350" s="47">
        <f t="shared" si="209"/>
        <v>37.5</v>
      </c>
      <c r="N1350" s="48">
        <v>0.16</v>
      </c>
      <c r="O1350" s="49">
        <f t="shared" si="210"/>
        <v>6</v>
      </c>
      <c r="P1350" s="50">
        <f t="shared" si="211"/>
        <v>43.5</v>
      </c>
      <c r="Q1350" s="23"/>
      <c r="R1350" s="60"/>
      <c r="S1350" s="61"/>
      <c r="T1350" s="62">
        <f t="shared" si="212"/>
        <v>0</v>
      </c>
      <c r="U1350" s="46">
        <f t="shared" si="213"/>
        <v>0</v>
      </c>
      <c r="V1350" s="63">
        <f t="shared" si="214"/>
        <v>0</v>
      </c>
      <c r="W1350" s="49">
        <f t="shared" si="215"/>
        <v>0</v>
      </c>
      <c r="X1350" s="50">
        <f t="shared" si="216"/>
        <v>0</v>
      </c>
      <c r="Y1350"/>
      <c r="Z1350"/>
      <c r="AA1350"/>
    </row>
    <row r="1351" spans="1:27" s="51" customFormat="1" ht="18.600000000000001" hidden="1" customHeight="1" x14ac:dyDescent="0.25">
      <c r="A1351" s="80" t="s">
        <v>2653</v>
      </c>
      <c r="B1351" s="20" t="s">
        <v>9301</v>
      </c>
      <c r="C1351" s="21"/>
      <c r="D1351" s="20" t="s">
        <v>3029</v>
      </c>
      <c r="E1351" s="22" t="s">
        <v>9991</v>
      </c>
      <c r="F1351" s="22" t="s">
        <v>1937</v>
      </c>
      <c r="G1351" s="22" t="s">
        <v>10003</v>
      </c>
      <c r="H1351" s="83" t="s">
        <v>3030</v>
      </c>
      <c r="I1351" s="23" t="s">
        <v>24</v>
      </c>
      <c r="J1351" s="24">
        <v>50</v>
      </c>
      <c r="K1351" s="25">
        <v>0.25</v>
      </c>
      <c r="L1351" s="26">
        <f t="shared" si="208"/>
        <v>12.5</v>
      </c>
      <c r="M1351" s="27">
        <f t="shared" si="209"/>
        <v>37.5</v>
      </c>
      <c r="N1351" s="28">
        <v>0.16</v>
      </c>
      <c r="O1351" s="29">
        <f t="shared" si="210"/>
        <v>6</v>
      </c>
      <c r="P1351" s="30">
        <f t="shared" si="211"/>
        <v>43.5</v>
      </c>
      <c r="Q1351" s="23"/>
      <c r="R1351" s="52"/>
      <c r="S1351" s="53"/>
      <c r="T1351" s="54">
        <f t="shared" si="212"/>
        <v>0</v>
      </c>
      <c r="U1351" s="26">
        <f t="shared" si="213"/>
        <v>0</v>
      </c>
      <c r="V1351" s="55">
        <f t="shared" si="214"/>
        <v>0</v>
      </c>
      <c r="W1351" s="29">
        <f t="shared" si="215"/>
        <v>0</v>
      </c>
      <c r="X1351" s="30">
        <f t="shared" si="216"/>
        <v>0</v>
      </c>
      <c r="Y1351"/>
      <c r="Z1351"/>
      <c r="AA1351"/>
    </row>
    <row r="1352" spans="1:27" s="51" customFormat="1" ht="18.600000000000001" hidden="1" customHeight="1" x14ac:dyDescent="0.25">
      <c r="A1352" s="81" t="s">
        <v>2653</v>
      </c>
      <c r="B1352" s="31" t="s">
        <v>9301</v>
      </c>
      <c r="C1352" s="32"/>
      <c r="D1352" s="31" t="s">
        <v>3031</v>
      </c>
      <c r="E1352" s="33" t="s">
        <v>9992</v>
      </c>
      <c r="F1352" s="33" t="s">
        <v>1937</v>
      </c>
      <c r="G1352" s="33" t="s">
        <v>10003</v>
      </c>
      <c r="H1352" s="84" t="s">
        <v>3032</v>
      </c>
      <c r="I1352" s="23" t="s">
        <v>24</v>
      </c>
      <c r="J1352" s="34">
        <v>50</v>
      </c>
      <c r="K1352" s="35">
        <v>0.25</v>
      </c>
      <c r="L1352" s="36">
        <f t="shared" si="208"/>
        <v>12.5</v>
      </c>
      <c r="M1352" s="37">
        <f t="shared" si="209"/>
        <v>37.5</v>
      </c>
      <c r="N1352" s="38">
        <v>0.16</v>
      </c>
      <c r="O1352" s="39">
        <f t="shared" si="210"/>
        <v>6</v>
      </c>
      <c r="P1352" s="40">
        <f t="shared" si="211"/>
        <v>43.5</v>
      </c>
      <c r="Q1352" s="23"/>
      <c r="R1352" s="56"/>
      <c r="S1352" s="57"/>
      <c r="T1352" s="58">
        <f t="shared" si="212"/>
        <v>0</v>
      </c>
      <c r="U1352" s="36">
        <f t="shared" si="213"/>
        <v>0</v>
      </c>
      <c r="V1352" s="59">
        <f t="shared" si="214"/>
        <v>0</v>
      </c>
      <c r="W1352" s="39">
        <f t="shared" si="215"/>
        <v>0</v>
      </c>
      <c r="X1352" s="40">
        <f t="shared" si="216"/>
        <v>0</v>
      </c>
      <c r="Y1352"/>
      <c r="Z1352"/>
      <c r="AA1352"/>
    </row>
    <row r="1353" spans="1:27" s="51" customFormat="1" ht="18.600000000000001" hidden="1" customHeight="1" x14ac:dyDescent="0.25">
      <c r="A1353" s="82" t="s">
        <v>2653</v>
      </c>
      <c r="B1353" s="41" t="s">
        <v>9301</v>
      </c>
      <c r="C1353" s="42"/>
      <c r="D1353" s="41" t="s">
        <v>3033</v>
      </c>
      <c r="E1353" s="43" t="s">
        <v>9993</v>
      </c>
      <c r="F1353" s="43" t="s">
        <v>1937</v>
      </c>
      <c r="G1353" s="43" t="s">
        <v>10003</v>
      </c>
      <c r="H1353" s="85" t="s">
        <v>3034</v>
      </c>
      <c r="I1353" s="23" t="s">
        <v>24</v>
      </c>
      <c r="J1353" s="44">
        <v>50</v>
      </c>
      <c r="K1353" s="45">
        <v>0.25</v>
      </c>
      <c r="L1353" s="46">
        <f t="shared" si="208"/>
        <v>12.5</v>
      </c>
      <c r="M1353" s="47">
        <f t="shared" si="209"/>
        <v>37.5</v>
      </c>
      <c r="N1353" s="48">
        <v>0.16</v>
      </c>
      <c r="O1353" s="49">
        <f t="shared" si="210"/>
        <v>6</v>
      </c>
      <c r="P1353" s="50">
        <f t="shared" si="211"/>
        <v>43.5</v>
      </c>
      <c r="Q1353" s="23"/>
      <c r="R1353" s="60"/>
      <c r="S1353" s="61"/>
      <c r="T1353" s="62">
        <f t="shared" si="212"/>
        <v>0</v>
      </c>
      <c r="U1353" s="46">
        <f t="shared" si="213"/>
        <v>0</v>
      </c>
      <c r="V1353" s="63">
        <f t="shared" si="214"/>
        <v>0</v>
      </c>
      <c r="W1353" s="49">
        <f t="shared" si="215"/>
        <v>0</v>
      </c>
      <c r="X1353" s="50">
        <f t="shared" si="216"/>
        <v>0</v>
      </c>
      <c r="Y1353"/>
      <c r="Z1353"/>
      <c r="AA1353"/>
    </row>
    <row r="1354" spans="1:27" s="51" customFormat="1" ht="18.600000000000001" hidden="1" customHeight="1" x14ac:dyDescent="0.25">
      <c r="A1354" s="80" t="s">
        <v>2653</v>
      </c>
      <c r="B1354" s="20" t="s">
        <v>9301</v>
      </c>
      <c r="C1354" s="21"/>
      <c r="D1354" s="20" t="s">
        <v>3035</v>
      </c>
      <c r="E1354" s="22" t="s">
        <v>9994</v>
      </c>
      <c r="F1354" s="22" t="s">
        <v>1937</v>
      </c>
      <c r="G1354" s="22" t="s">
        <v>10003</v>
      </c>
      <c r="H1354" s="83" t="s">
        <v>3036</v>
      </c>
      <c r="I1354" s="23" t="s">
        <v>24</v>
      </c>
      <c r="J1354" s="24">
        <v>50</v>
      </c>
      <c r="K1354" s="25">
        <v>0.25</v>
      </c>
      <c r="L1354" s="26">
        <f t="shared" si="208"/>
        <v>12.5</v>
      </c>
      <c r="M1354" s="27">
        <f t="shared" si="209"/>
        <v>37.5</v>
      </c>
      <c r="N1354" s="28">
        <v>0.16</v>
      </c>
      <c r="O1354" s="29">
        <f t="shared" si="210"/>
        <v>6</v>
      </c>
      <c r="P1354" s="30">
        <f t="shared" si="211"/>
        <v>43.5</v>
      </c>
      <c r="Q1354" s="23"/>
      <c r="R1354" s="52"/>
      <c r="S1354" s="53"/>
      <c r="T1354" s="54">
        <f t="shared" si="212"/>
        <v>0</v>
      </c>
      <c r="U1354" s="26">
        <f t="shared" si="213"/>
        <v>0</v>
      </c>
      <c r="V1354" s="55">
        <f t="shared" si="214"/>
        <v>0</v>
      </c>
      <c r="W1354" s="29">
        <f t="shared" si="215"/>
        <v>0</v>
      </c>
      <c r="X1354" s="30">
        <f t="shared" si="216"/>
        <v>0</v>
      </c>
      <c r="Y1354"/>
      <c r="Z1354"/>
      <c r="AA1354"/>
    </row>
    <row r="1355" spans="1:27" s="51" customFormat="1" ht="18.600000000000001" hidden="1" customHeight="1" x14ac:dyDescent="0.25">
      <c r="A1355" s="81" t="s">
        <v>2653</v>
      </c>
      <c r="B1355" s="31" t="s">
        <v>9301</v>
      </c>
      <c r="C1355" s="32"/>
      <c r="D1355" s="31" t="s">
        <v>3037</v>
      </c>
      <c r="E1355" s="33" t="s">
        <v>9995</v>
      </c>
      <c r="F1355" s="33" t="s">
        <v>1937</v>
      </c>
      <c r="G1355" s="33" t="s">
        <v>10003</v>
      </c>
      <c r="H1355" s="84" t="s">
        <v>3038</v>
      </c>
      <c r="I1355" s="23" t="s">
        <v>24</v>
      </c>
      <c r="J1355" s="34">
        <v>50</v>
      </c>
      <c r="K1355" s="35">
        <v>0.25</v>
      </c>
      <c r="L1355" s="36">
        <f t="shared" si="208"/>
        <v>12.5</v>
      </c>
      <c r="M1355" s="37">
        <f t="shared" si="209"/>
        <v>37.5</v>
      </c>
      <c r="N1355" s="38">
        <v>0.16</v>
      </c>
      <c r="O1355" s="39">
        <f t="shared" si="210"/>
        <v>6</v>
      </c>
      <c r="P1355" s="40">
        <f t="shared" si="211"/>
        <v>43.5</v>
      </c>
      <c r="Q1355" s="23"/>
      <c r="R1355" s="56"/>
      <c r="S1355" s="57"/>
      <c r="T1355" s="58">
        <f t="shared" si="212"/>
        <v>0</v>
      </c>
      <c r="U1355" s="36">
        <f t="shared" si="213"/>
        <v>0</v>
      </c>
      <c r="V1355" s="59">
        <f t="shared" si="214"/>
        <v>0</v>
      </c>
      <c r="W1355" s="39">
        <f t="shared" si="215"/>
        <v>0</v>
      </c>
      <c r="X1355" s="40">
        <f t="shared" si="216"/>
        <v>0</v>
      </c>
      <c r="Y1355"/>
      <c r="Z1355"/>
      <c r="AA1355"/>
    </row>
    <row r="1356" spans="1:27" s="51" customFormat="1" ht="18.600000000000001" hidden="1" customHeight="1" x14ac:dyDescent="0.25">
      <c r="A1356" s="82" t="s">
        <v>2653</v>
      </c>
      <c r="B1356" s="41" t="s">
        <v>9301</v>
      </c>
      <c r="C1356" s="42"/>
      <c r="D1356" s="41" t="s">
        <v>3039</v>
      </c>
      <c r="E1356" s="43" t="s">
        <v>9996</v>
      </c>
      <c r="F1356" s="43" t="s">
        <v>1937</v>
      </c>
      <c r="G1356" s="43" t="s">
        <v>10003</v>
      </c>
      <c r="H1356" s="85" t="s">
        <v>3040</v>
      </c>
      <c r="I1356" s="23" t="s">
        <v>24</v>
      </c>
      <c r="J1356" s="44">
        <v>50</v>
      </c>
      <c r="K1356" s="45">
        <v>0.25</v>
      </c>
      <c r="L1356" s="46">
        <f t="shared" si="208"/>
        <v>12.5</v>
      </c>
      <c r="M1356" s="47">
        <f t="shared" si="209"/>
        <v>37.5</v>
      </c>
      <c r="N1356" s="48">
        <v>0.16</v>
      </c>
      <c r="O1356" s="49">
        <f t="shared" si="210"/>
        <v>6</v>
      </c>
      <c r="P1356" s="50">
        <f t="shared" si="211"/>
        <v>43.5</v>
      </c>
      <c r="Q1356" s="23"/>
      <c r="R1356" s="60"/>
      <c r="S1356" s="61"/>
      <c r="T1356" s="62">
        <f t="shared" si="212"/>
        <v>0</v>
      </c>
      <c r="U1356" s="46">
        <f t="shared" si="213"/>
        <v>0</v>
      </c>
      <c r="V1356" s="63">
        <f t="shared" si="214"/>
        <v>0</v>
      </c>
      <c r="W1356" s="49">
        <f t="shared" si="215"/>
        <v>0</v>
      </c>
      <c r="X1356" s="50">
        <f t="shared" si="216"/>
        <v>0</v>
      </c>
      <c r="Y1356"/>
      <c r="Z1356"/>
      <c r="AA1356"/>
    </row>
    <row r="1357" spans="1:27" s="51" customFormat="1" ht="18.600000000000001" hidden="1" customHeight="1" x14ac:dyDescent="0.25">
      <c r="A1357" s="80" t="s">
        <v>2653</v>
      </c>
      <c r="B1357" s="20" t="s">
        <v>9301</v>
      </c>
      <c r="C1357" s="21"/>
      <c r="D1357" s="20" t="s">
        <v>3041</v>
      </c>
      <c r="E1357" s="22" t="s">
        <v>9997</v>
      </c>
      <c r="F1357" s="22" t="s">
        <v>1937</v>
      </c>
      <c r="G1357" s="22" t="s">
        <v>10003</v>
      </c>
      <c r="H1357" s="83" t="s">
        <v>3042</v>
      </c>
      <c r="I1357" s="23" t="s">
        <v>24</v>
      </c>
      <c r="J1357" s="24">
        <v>50</v>
      </c>
      <c r="K1357" s="25">
        <v>0.25</v>
      </c>
      <c r="L1357" s="26">
        <f t="shared" si="208"/>
        <v>12.5</v>
      </c>
      <c r="M1357" s="27">
        <f t="shared" si="209"/>
        <v>37.5</v>
      </c>
      <c r="N1357" s="28">
        <v>0.16</v>
      </c>
      <c r="O1357" s="29">
        <f t="shared" si="210"/>
        <v>6</v>
      </c>
      <c r="P1357" s="30">
        <f t="shared" si="211"/>
        <v>43.5</v>
      </c>
      <c r="Q1357" s="23"/>
      <c r="R1357" s="52"/>
      <c r="S1357" s="53"/>
      <c r="T1357" s="54">
        <f t="shared" si="212"/>
        <v>0</v>
      </c>
      <c r="U1357" s="26">
        <f t="shared" si="213"/>
        <v>0</v>
      </c>
      <c r="V1357" s="55">
        <f t="shared" si="214"/>
        <v>0</v>
      </c>
      <c r="W1357" s="29">
        <f t="shared" si="215"/>
        <v>0</v>
      </c>
      <c r="X1357" s="30">
        <f t="shared" si="216"/>
        <v>0</v>
      </c>
      <c r="Y1357"/>
      <c r="Z1357"/>
      <c r="AA1357"/>
    </row>
    <row r="1358" spans="1:27" s="51" customFormat="1" ht="18.600000000000001" hidden="1" customHeight="1" x14ac:dyDescent="0.25">
      <c r="A1358" s="81" t="s">
        <v>2653</v>
      </c>
      <c r="B1358" s="31" t="s">
        <v>9301</v>
      </c>
      <c r="C1358" s="32"/>
      <c r="D1358" s="31" t="s">
        <v>3043</v>
      </c>
      <c r="E1358" s="33" t="s">
        <v>9998</v>
      </c>
      <c r="F1358" s="33" t="s">
        <v>1937</v>
      </c>
      <c r="G1358" s="33" t="s">
        <v>10003</v>
      </c>
      <c r="H1358" s="84" t="s">
        <v>3044</v>
      </c>
      <c r="I1358" s="23" t="s">
        <v>24</v>
      </c>
      <c r="J1358" s="34">
        <v>50</v>
      </c>
      <c r="K1358" s="35">
        <v>0.25</v>
      </c>
      <c r="L1358" s="36">
        <f t="shared" si="208"/>
        <v>12.5</v>
      </c>
      <c r="M1358" s="37">
        <f t="shared" si="209"/>
        <v>37.5</v>
      </c>
      <c r="N1358" s="38">
        <v>0.16</v>
      </c>
      <c r="O1358" s="39">
        <f t="shared" si="210"/>
        <v>6</v>
      </c>
      <c r="P1358" s="40">
        <f t="shared" si="211"/>
        <v>43.5</v>
      </c>
      <c r="Q1358" s="23"/>
      <c r="R1358" s="56"/>
      <c r="S1358" s="57"/>
      <c r="T1358" s="58">
        <f t="shared" si="212"/>
        <v>0</v>
      </c>
      <c r="U1358" s="36">
        <f t="shared" si="213"/>
        <v>0</v>
      </c>
      <c r="V1358" s="59">
        <f t="shared" si="214"/>
        <v>0</v>
      </c>
      <c r="W1358" s="39">
        <f t="shared" si="215"/>
        <v>0</v>
      </c>
      <c r="X1358" s="40">
        <f t="shared" si="216"/>
        <v>0</v>
      </c>
      <c r="Y1358"/>
      <c r="Z1358"/>
      <c r="AA1358"/>
    </row>
    <row r="1359" spans="1:27" s="51" customFormat="1" ht="18.600000000000001" hidden="1" customHeight="1" x14ac:dyDescent="0.25">
      <c r="A1359" s="82" t="s">
        <v>2653</v>
      </c>
      <c r="B1359" s="41" t="s">
        <v>9301</v>
      </c>
      <c r="C1359" s="42"/>
      <c r="D1359" s="41" t="s">
        <v>3045</v>
      </c>
      <c r="E1359" s="43" t="s">
        <v>9999</v>
      </c>
      <c r="F1359" s="43" t="s">
        <v>1937</v>
      </c>
      <c r="G1359" s="43" t="s">
        <v>10003</v>
      </c>
      <c r="H1359" s="85" t="s">
        <v>3046</v>
      </c>
      <c r="I1359" s="23" t="s">
        <v>24</v>
      </c>
      <c r="J1359" s="44">
        <v>50</v>
      </c>
      <c r="K1359" s="45">
        <v>0.25</v>
      </c>
      <c r="L1359" s="46">
        <f t="shared" si="208"/>
        <v>12.5</v>
      </c>
      <c r="M1359" s="47">
        <f t="shared" si="209"/>
        <v>37.5</v>
      </c>
      <c r="N1359" s="48">
        <v>0.16</v>
      </c>
      <c r="O1359" s="49">
        <f t="shared" si="210"/>
        <v>6</v>
      </c>
      <c r="P1359" s="50">
        <f t="shared" si="211"/>
        <v>43.5</v>
      </c>
      <c r="Q1359" s="23"/>
      <c r="R1359" s="60"/>
      <c r="S1359" s="61"/>
      <c r="T1359" s="62">
        <f t="shared" si="212"/>
        <v>0</v>
      </c>
      <c r="U1359" s="46">
        <f t="shared" si="213"/>
        <v>0</v>
      </c>
      <c r="V1359" s="63">
        <f t="shared" si="214"/>
        <v>0</v>
      </c>
      <c r="W1359" s="49">
        <f t="shared" si="215"/>
        <v>0</v>
      </c>
      <c r="X1359" s="50">
        <f t="shared" si="216"/>
        <v>0</v>
      </c>
      <c r="Y1359"/>
      <c r="Z1359"/>
      <c r="AA1359"/>
    </row>
    <row r="1360" spans="1:27" s="51" customFormat="1" ht="18.600000000000001" hidden="1" customHeight="1" x14ac:dyDescent="0.25">
      <c r="A1360" s="80" t="s">
        <v>2653</v>
      </c>
      <c r="B1360" s="20" t="s">
        <v>9301</v>
      </c>
      <c r="C1360" s="21"/>
      <c r="D1360" s="20" t="s">
        <v>3047</v>
      </c>
      <c r="E1360" s="22" t="s">
        <v>10000</v>
      </c>
      <c r="F1360" s="22" t="s">
        <v>1937</v>
      </c>
      <c r="G1360" s="22" t="s">
        <v>10003</v>
      </c>
      <c r="H1360" s="83" t="s">
        <v>3048</v>
      </c>
      <c r="I1360" s="23" t="s">
        <v>24</v>
      </c>
      <c r="J1360" s="24">
        <v>50</v>
      </c>
      <c r="K1360" s="25">
        <v>0.25</v>
      </c>
      <c r="L1360" s="26">
        <f t="shared" si="208"/>
        <v>12.5</v>
      </c>
      <c r="M1360" s="27">
        <f t="shared" si="209"/>
        <v>37.5</v>
      </c>
      <c r="N1360" s="28">
        <v>0.16</v>
      </c>
      <c r="O1360" s="29">
        <f t="shared" si="210"/>
        <v>6</v>
      </c>
      <c r="P1360" s="30">
        <f t="shared" si="211"/>
        <v>43.5</v>
      </c>
      <c r="Q1360" s="23"/>
      <c r="R1360" s="52"/>
      <c r="S1360" s="53"/>
      <c r="T1360" s="54">
        <f t="shared" si="212"/>
        <v>0</v>
      </c>
      <c r="U1360" s="26">
        <f t="shared" si="213"/>
        <v>0</v>
      </c>
      <c r="V1360" s="55">
        <f t="shared" si="214"/>
        <v>0</v>
      </c>
      <c r="W1360" s="29">
        <f t="shared" si="215"/>
        <v>0</v>
      </c>
      <c r="X1360" s="30">
        <f t="shared" si="216"/>
        <v>0</v>
      </c>
      <c r="Y1360"/>
      <c r="Z1360"/>
      <c r="AA1360"/>
    </row>
    <row r="1361" spans="1:27" s="51" customFormat="1" ht="18.600000000000001" hidden="1" customHeight="1" x14ac:dyDescent="0.25">
      <c r="A1361" s="81" t="s">
        <v>2653</v>
      </c>
      <c r="B1361" s="31" t="s">
        <v>9301</v>
      </c>
      <c r="C1361" s="32"/>
      <c r="D1361" s="31" t="s">
        <v>3049</v>
      </c>
      <c r="E1361" s="33" t="s">
        <v>10001</v>
      </c>
      <c r="F1361" s="33" t="s">
        <v>1937</v>
      </c>
      <c r="G1361" s="33" t="s">
        <v>10003</v>
      </c>
      <c r="H1361" s="84" t="s">
        <v>3050</v>
      </c>
      <c r="I1361" s="23" t="s">
        <v>24</v>
      </c>
      <c r="J1361" s="34">
        <v>50</v>
      </c>
      <c r="K1361" s="35">
        <v>0.25</v>
      </c>
      <c r="L1361" s="36">
        <f t="shared" si="208"/>
        <v>12.5</v>
      </c>
      <c r="M1361" s="37">
        <f t="shared" si="209"/>
        <v>37.5</v>
      </c>
      <c r="N1361" s="38">
        <v>0.16</v>
      </c>
      <c r="O1361" s="39">
        <f t="shared" si="210"/>
        <v>6</v>
      </c>
      <c r="P1361" s="40">
        <f t="shared" si="211"/>
        <v>43.5</v>
      </c>
      <c r="Q1361" s="23"/>
      <c r="R1361" s="56"/>
      <c r="S1361" s="57"/>
      <c r="T1361" s="58">
        <f t="shared" si="212"/>
        <v>0</v>
      </c>
      <c r="U1361" s="36">
        <f t="shared" si="213"/>
        <v>0</v>
      </c>
      <c r="V1361" s="59">
        <f t="shared" si="214"/>
        <v>0</v>
      </c>
      <c r="W1361" s="39">
        <f t="shared" si="215"/>
        <v>0</v>
      </c>
      <c r="X1361" s="40">
        <f t="shared" si="216"/>
        <v>0</v>
      </c>
      <c r="Y1361"/>
      <c r="Z1361"/>
      <c r="AA1361"/>
    </row>
    <row r="1362" spans="1:27" s="51" customFormat="1" ht="18.600000000000001" hidden="1" customHeight="1" x14ac:dyDescent="0.25">
      <c r="A1362" s="82" t="s">
        <v>2653</v>
      </c>
      <c r="B1362" s="41" t="s">
        <v>9301</v>
      </c>
      <c r="C1362" s="42" t="s">
        <v>9302</v>
      </c>
      <c r="D1362" s="41" t="s">
        <v>3051</v>
      </c>
      <c r="E1362" s="43" t="s">
        <v>3052</v>
      </c>
      <c r="F1362" s="43" t="s">
        <v>1937</v>
      </c>
      <c r="G1362" s="43" t="s">
        <v>9950</v>
      </c>
      <c r="H1362" s="85" t="s">
        <v>3053</v>
      </c>
      <c r="I1362" s="23" t="s">
        <v>24</v>
      </c>
      <c r="J1362" s="44">
        <v>250</v>
      </c>
      <c r="K1362" s="45">
        <v>0.25</v>
      </c>
      <c r="L1362" s="46">
        <f t="shared" si="208"/>
        <v>62.5</v>
      </c>
      <c r="M1362" s="47">
        <f t="shared" si="209"/>
        <v>187.5</v>
      </c>
      <c r="N1362" s="48">
        <v>0.16</v>
      </c>
      <c r="O1362" s="49">
        <f t="shared" si="210"/>
        <v>30</v>
      </c>
      <c r="P1362" s="50">
        <f t="shared" si="211"/>
        <v>217.5</v>
      </c>
      <c r="Q1362" s="23"/>
      <c r="R1362" s="60"/>
      <c r="S1362" s="61"/>
      <c r="T1362" s="62">
        <f t="shared" si="212"/>
        <v>0</v>
      </c>
      <c r="U1362" s="46">
        <f t="shared" si="213"/>
        <v>0</v>
      </c>
      <c r="V1362" s="63">
        <f t="shared" si="214"/>
        <v>0</v>
      </c>
      <c r="W1362" s="49">
        <f t="shared" si="215"/>
        <v>0</v>
      </c>
      <c r="X1362" s="50">
        <f t="shared" si="216"/>
        <v>0</v>
      </c>
      <c r="Y1362"/>
      <c r="Z1362"/>
      <c r="AA1362"/>
    </row>
    <row r="1363" spans="1:27" s="51" customFormat="1" ht="18.600000000000001" hidden="1" customHeight="1" x14ac:dyDescent="0.25">
      <c r="A1363" s="80" t="s">
        <v>2653</v>
      </c>
      <c r="B1363" s="20" t="s">
        <v>9301</v>
      </c>
      <c r="C1363" s="21" t="s">
        <v>9302</v>
      </c>
      <c r="D1363" s="20" t="s">
        <v>3054</v>
      </c>
      <c r="E1363" s="22" t="s">
        <v>3055</v>
      </c>
      <c r="F1363" s="22" t="s">
        <v>1937</v>
      </c>
      <c r="G1363" s="22" t="s">
        <v>9950</v>
      </c>
      <c r="H1363" s="83" t="s">
        <v>3056</v>
      </c>
      <c r="I1363" s="23" t="s">
        <v>24</v>
      </c>
      <c r="J1363" s="24">
        <v>250</v>
      </c>
      <c r="K1363" s="25">
        <v>0.25</v>
      </c>
      <c r="L1363" s="26">
        <f t="shared" si="208"/>
        <v>62.5</v>
      </c>
      <c r="M1363" s="27">
        <f t="shared" si="209"/>
        <v>187.5</v>
      </c>
      <c r="N1363" s="28">
        <v>0.16</v>
      </c>
      <c r="O1363" s="29">
        <f t="shared" si="210"/>
        <v>30</v>
      </c>
      <c r="P1363" s="30">
        <f t="shared" si="211"/>
        <v>217.5</v>
      </c>
      <c r="Q1363" s="23"/>
      <c r="R1363" s="52"/>
      <c r="S1363" s="53"/>
      <c r="T1363" s="54">
        <f t="shared" si="212"/>
        <v>0</v>
      </c>
      <c r="U1363" s="26">
        <f t="shared" si="213"/>
        <v>0</v>
      </c>
      <c r="V1363" s="55">
        <f t="shared" si="214"/>
        <v>0</v>
      </c>
      <c r="W1363" s="29">
        <f t="shared" si="215"/>
        <v>0</v>
      </c>
      <c r="X1363" s="30">
        <f t="shared" si="216"/>
        <v>0</v>
      </c>
      <c r="Y1363"/>
      <c r="Z1363"/>
      <c r="AA1363"/>
    </row>
    <row r="1364" spans="1:27" s="51" customFormat="1" ht="18.600000000000001" hidden="1" customHeight="1" x14ac:dyDescent="0.25">
      <c r="A1364" s="81" t="s">
        <v>2653</v>
      </c>
      <c r="B1364" s="31" t="s">
        <v>9301</v>
      </c>
      <c r="C1364" s="32" t="s">
        <v>9302</v>
      </c>
      <c r="D1364" s="31" t="s">
        <v>3057</v>
      </c>
      <c r="E1364" s="33" t="s">
        <v>3058</v>
      </c>
      <c r="F1364" s="33" t="s">
        <v>1937</v>
      </c>
      <c r="G1364" s="33" t="s">
        <v>9950</v>
      </c>
      <c r="H1364" s="84" t="s">
        <v>3059</v>
      </c>
      <c r="I1364" s="23" t="s">
        <v>24</v>
      </c>
      <c r="J1364" s="34">
        <v>250</v>
      </c>
      <c r="K1364" s="35">
        <v>0.25</v>
      </c>
      <c r="L1364" s="36">
        <f t="shared" si="208"/>
        <v>62.5</v>
      </c>
      <c r="M1364" s="37">
        <f t="shared" si="209"/>
        <v>187.5</v>
      </c>
      <c r="N1364" s="38">
        <v>0.16</v>
      </c>
      <c r="O1364" s="39">
        <f t="shared" si="210"/>
        <v>30</v>
      </c>
      <c r="P1364" s="40">
        <f t="shared" si="211"/>
        <v>217.5</v>
      </c>
      <c r="Q1364" s="23"/>
      <c r="R1364" s="56"/>
      <c r="S1364" s="57"/>
      <c r="T1364" s="58">
        <f t="shared" si="212"/>
        <v>0</v>
      </c>
      <c r="U1364" s="36">
        <f t="shared" si="213"/>
        <v>0</v>
      </c>
      <c r="V1364" s="59">
        <f t="shared" si="214"/>
        <v>0</v>
      </c>
      <c r="W1364" s="39">
        <f t="shared" si="215"/>
        <v>0</v>
      </c>
      <c r="X1364" s="40">
        <f t="shared" si="216"/>
        <v>0</v>
      </c>
      <c r="Y1364"/>
      <c r="Z1364"/>
      <c r="AA1364"/>
    </row>
    <row r="1365" spans="1:27" s="51" customFormat="1" ht="18.600000000000001" hidden="1" customHeight="1" x14ac:dyDescent="0.25">
      <c r="A1365" s="82" t="s">
        <v>2653</v>
      </c>
      <c r="B1365" s="41" t="s">
        <v>9301</v>
      </c>
      <c r="C1365" s="42" t="s">
        <v>9302</v>
      </c>
      <c r="D1365" s="41" t="s">
        <v>3060</v>
      </c>
      <c r="E1365" s="43" t="s">
        <v>3061</v>
      </c>
      <c r="F1365" s="43" t="s">
        <v>1937</v>
      </c>
      <c r="G1365" s="43" t="s">
        <v>9950</v>
      </c>
      <c r="H1365" s="85" t="s">
        <v>3062</v>
      </c>
      <c r="I1365" s="23" t="s">
        <v>24</v>
      </c>
      <c r="J1365" s="44">
        <v>250</v>
      </c>
      <c r="K1365" s="45">
        <v>0.25</v>
      </c>
      <c r="L1365" s="46">
        <f t="shared" si="208"/>
        <v>62.5</v>
      </c>
      <c r="M1365" s="47">
        <f t="shared" si="209"/>
        <v>187.5</v>
      </c>
      <c r="N1365" s="48">
        <v>0.16</v>
      </c>
      <c r="O1365" s="49">
        <f t="shared" si="210"/>
        <v>30</v>
      </c>
      <c r="P1365" s="50">
        <f t="shared" si="211"/>
        <v>217.5</v>
      </c>
      <c r="Q1365" s="23"/>
      <c r="R1365" s="60"/>
      <c r="S1365" s="61"/>
      <c r="T1365" s="62">
        <f t="shared" si="212"/>
        <v>0</v>
      </c>
      <c r="U1365" s="46">
        <f t="shared" si="213"/>
        <v>0</v>
      </c>
      <c r="V1365" s="63">
        <f t="shared" si="214"/>
        <v>0</v>
      </c>
      <c r="W1365" s="49">
        <f t="shared" si="215"/>
        <v>0</v>
      </c>
      <c r="X1365" s="50">
        <f t="shared" si="216"/>
        <v>0</v>
      </c>
      <c r="Y1365"/>
      <c r="Z1365"/>
      <c r="AA1365"/>
    </row>
    <row r="1366" spans="1:27" s="51" customFormat="1" ht="18.600000000000001" hidden="1" customHeight="1" x14ac:dyDescent="0.25">
      <c r="A1366" s="80" t="s">
        <v>2653</v>
      </c>
      <c r="B1366" s="20" t="s">
        <v>9301</v>
      </c>
      <c r="C1366" s="21" t="s">
        <v>9302</v>
      </c>
      <c r="D1366" s="20" t="s">
        <v>3063</v>
      </c>
      <c r="E1366" s="22" t="s">
        <v>3064</v>
      </c>
      <c r="F1366" s="22" t="s">
        <v>1937</v>
      </c>
      <c r="G1366" s="22" t="s">
        <v>9950</v>
      </c>
      <c r="H1366" s="83" t="s">
        <v>3065</v>
      </c>
      <c r="I1366" s="23" t="s">
        <v>24</v>
      </c>
      <c r="J1366" s="24">
        <v>250</v>
      </c>
      <c r="K1366" s="25">
        <v>0.25</v>
      </c>
      <c r="L1366" s="26">
        <f t="shared" si="208"/>
        <v>62.5</v>
      </c>
      <c r="M1366" s="27">
        <f t="shared" si="209"/>
        <v>187.5</v>
      </c>
      <c r="N1366" s="28">
        <v>0.16</v>
      </c>
      <c r="O1366" s="29">
        <f t="shared" si="210"/>
        <v>30</v>
      </c>
      <c r="P1366" s="30">
        <f t="shared" si="211"/>
        <v>217.5</v>
      </c>
      <c r="Q1366" s="23"/>
      <c r="R1366" s="52"/>
      <c r="S1366" s="53"/>
      <c r="T1366" s="54">
        <f t="shared" si="212"/>
        <v>0</v>
      </c>
      <c r="U1366" s="26">
        <f t="shared" si="213"/>
        <v>0</v>
      </c>
      <c r="V1366" s="55">
        <f t="shared" si="214"/>
        <v>0</v>
      </c>
      <c r="W1366" s="29">
        <f t="shared" si="215"/>
        <v>0</v>
      </c>
      <c r="X1366" s="30">
        <f t="shared" si="216"/>
        <v>0</v>
      </c>
      <c r="Y1366"/>
      <c r="Z1366"/>
      <c r="AA1366"/>
    </row>
    <row r="1367" spans="1:27" s="51" customFormat="1" ht="18.600000000000001" hidden="1" customHeight="1" x14ac:dyDescent="0.25">
      <c r="A1367" s="81" t="s">
        <v>2653</v>
      </c>
      <c r="B1367" s="31" t="s">
        <v>9301</v>
      </c>
      <c r="C1367" s="32" t="s">
        <v>9302</v>
      </c>
      <c r="D1367" s="31" t="s">
        <v>3066</v>
      </c>
      <c r="E1367" s="33" t="s">
        <v>3067</v>
      </c>
      <c r="F1367" s="33" t="s">
        <v>1937</v>
      </c>
      <c r="G1367" s="33" t="s">
        <v>9950</v>
      </c>
      <c r="H1367" s="84" t="s">
        <v>3068</v>
      </c>
      <c r="I1367" s="23" t="s">
        <v>24</v>
      </c>
      <c r="J1367" s="34">
        <v>250</v>
      </c>
      <c r="K1367" s="35">
        <v>0.25</v>
      </c>
      <c r="L1367" s="36">
        <f t="shared" ref="L1367:L1430" si="217">+J1367*K1367</f>
        <v>62.5</v>
      </c>
      <c r="M1367" s="37">
        <f t="shared" ref="M1367:M1430" si="218">+J1367-L1367</f>
        <v>187.5</v>
      </c>
      <c r="N1367" s="38">
        <v>0.16</v>
      </c>
      <c r="O1367" s="39">
        <f t="shared" ref="O1367:O1430" si="219">+M1367*N1367</f>
        <v>30</v>
      </c>
      <c r="P1367" s="40">
        <f t="shared" ref="P1367:P1430" si="220">+M1367+O1367</f>
        <v>217.5</v>
      </c>
      <c r="Q1367" s="23"/>
      <c r="R1367" s="56"/>
      <c r="S1367" s="57"/>
      <c r="T1367" s="58">
        <f t="shared" ref="T1367:T1430" si="221">+S1367*J1367</f>
        <v>0</v>
      </c>
      <c r="U1367" s="36">
        <f t="shared" ref="U1367:U1430" si="222">+T1367*K1367</f>
        <v>0</v>
      </c>
      <c r="V1367" s="59">
        <f t="shared" ref="V1367:V1430" si="223">+T1367-U1367</f>
        <v>0</v>
      </c>
      <c r="W1367" s="39">
        <f t="shared" ref="W1367:W1430" si="224">+V1367*N1367</f>
        <v>0</v>
      </c>
      <c r="X1367" s="40">
        <f t="shared" ref="X1367:X1430" si="225">+V1367+W1367</f>
        <v>0</v>
      </c>
      <c r="Y1367"/>
      <c r="Z1367"/>
      <c r="AA1367"/>
    </row>
    <row r="1368" spans="1:27" s="51" customFormat="1" ht="18.600000000000001" hidden="1" customHeight="1" x14ac:dyDescent="0.25">
      <c r="A1368" s="82" t="s">
        <v>2653</v>
      </c>
      <c r="B1368" s="41" t="s">
        <v>9301</v>
      </c>
      <c r="C1368" s="42" t="s">
        <v>9302</v>
      </c>
      <c r="D1368" s="41" t="s">
        <v>3069</v>
      </c>
      <c r="E1368" s="43" t="s">
        <v>3070</v>
      </c>
      <c r="F1368" s="43" t="s">
        <v>1937</v>
      </c>
      <c r="G1368" s="43" t="s">
        <v>9950</v>
      </c>
      <c r="H1368" s="85" t="s">
        <v>3071</v>
      </c>
      <c r="I1368" s="23" t="s">
        <v>24</v>
      </c>
      <c r="J1368" s="44">
        <v>250</v>
      </c>
      <c r="K1368" s="45">
        <v>0.25</v>
      </c>
      <c r="L1368" s="46">
        <f t="shared" si="217"/>
        <v>62.5</v>
      </c>
      <c r="M1368" s="47">
        <f t="shared" si="218"/>
        <v>187.5</v>
      </c>
      <c r="N1368" s="48">
        <v>0.16</v>
      </c>
      <c r="O1368" s="49">
        <f t="shared" si="219"/>
        <v>30</v>
      </c>
      <c r="P1368" s="50">
        <f t="shared" si="220"/>
        <v>217.5</v>
      </c>
      <c r="Q1368" s="23"/>
      <c r="R1368" s="60"/>
      <c r="S1368" s="61"/>
      <c r="T1368" s="62">
        <f t="shared" si="221"/>
        <v>0</v>
      </c>
      <c r="U1368" s="46">
        <f t="shared" si="222"/>
        <v>0</v>
      </c>
      <c r="V1368" s="63">
        <f t="shared" si="223"/>
        <v>0</v>
      </c>
      <c r="W1368" s="49">
        <f t="shared" si="224"/>
        <v>0</v>
      </c>
      <c r="X1368" s="50">
        <f t="shared" si="225"/>
        <v>0</v>
      </c>
      <c r="Y1368"/>
      <c r="Z1368"/>
      <c r="AA1368"/>
    </row>
    <row r="1369" spans="1:27" s="51" customFormat="1" ht="18.600000000000001" hidden="1" customHeight="1" x14ac:dyDescent="0.25">
      <c r="A1369" s="80" t="s">
        <v>2653</v>
      </c>
      <c r="B1369" s="20" t="s">
        <v>9301</v>
      </c>
      <c r="C1369" s="21" t="s">
        <v>9302</v>
      </c>
      <c r="D1369" s="20" t="s">
        <v>3072</v>
      </c>
      <c r="E1369" s="22" t="s">
        <v>3073</v>
      </c>
      <c r="F1369" s="22" t="s">
        <v>1937</v>
      </c>
      <c r="G1369" s="22" t="s">
        <v>9950</v>
      </c>
      <c r="H1369" s="83" t="s">
        <v>3074</v>
      </c>
      <c r="I1369" s="23" t="s">
        <v>24</v>
      </c>
      <c r="J1369" s="24">
        <v>250</v>
      </c>
      <c r="K1369" s="25">
        <v>0.25</v>
      </c>
      <c r="L1369" s="26">
        <f t="shared" si="217"/>
        <v>62.5</v>
      </c>
      <c r="M1369" s="27">
        <f t="shared" si="218"/>
        <v>187.5</v>
      </c>
      <c r="N1369" s="28">
        <v>0.16</v>
      </c>
      <c r="O1369" s="29">
        <f t="shared" si="219"/>
        <v>30</v>
      </c>
      <c r="P1369" s="30">
        <f t="shared" si="220"/>
        <v>217.5</v>
      </c>
      <c r="Q1369" s="23"/>
      <c r="R1369" s="52"/>
      <c r="S1369" s="53"/>
      <c r="T1369" s="54">
        <f t="shared" si="221"/>
        <v>0</v>
      </c>
      <c r="U1369" s="26">
        <f t="shared" si="222"/>
        <v>0</v>
      </c>
      <c r="V1369" s="55">
        <f t="shared" si="223"/>
        <v>0</v>
      </c>
      <c r="W1369" s="29">
        <f t="shared" si="224"/>
        <v>0</v>
      </c>
      <c r="X1369" s="30">
        <f t="shared" si="225"/>
        <v>0</v>
      </c>
      <c r="Y1369"/>
      <c r="Z1369"/>
      <c r="AA1369"/>
    </row>
    <row r="1370" spans="1:27" s="51" customFormat="1" ht="18.600000000000001" hidden="1" customHeight="1" x14ac:dyDescent="0.25">
      <c r="A1370" s="81" t="s">
        <v>2653</v>
      </c>
      <c r="B1370" s="31" t="s">
        <v>9301</v>
      </c>
      <c r="C1370" s="32" t="s">
        <v>9302</v>
      </c>
      <c r="D1370" s="31">
        <v>8435568301580</v>
      </c>
      <c r="E1370" s="33" t="s">
        <v>3075</v>
      </c>
      <c r="F1370" s="33" t="s">
        <v>1937</v>
      </c>
      <c r="G1370" s="33" t="s">
        <v>9952</v>
      </c>
      <c r="H1370" s="84" t="s">
        <v>3076</v>
      </c>
      <c r="I1370" s="23" t="s">
        <v>24</v>
      </c>
      <c r="J1370" s="34">
        <v>1850</v>
      </c>
      <c r="K1370" s="35">
        <v>0.25</v>
      </c>
      <c r="L1370" s="36">
        <f t="shared" si="217"/>
        <v>462.5</v>
      </c>
      <c r="M1370" s="37">
        <f t="shared" si="218"/>
        <v>1387.5</v>
      </c>
      <c r="N1370" s="38">
        <v>0.16</v>
      </c>
      <c r="O1370" s="39">
        <f t="shared" si="219"/>
        <v>222</v>
      </c>
      <c r="P1370" s="40">
        <f t="shared" si="220"/>
        <v>1609.5</v>
      </c>
      <c r="Q1370" s="23"/>
      <c r="R1370" s="56"/>
      <c r="S1370" s="57"/>
      <c r="T1370" s="58">
        <f t="shared" si="221"/>
        <v>0</v>
      </c>
      <c r="U1370" s="36">
        <f t="shared" si="222"/>
        <v>0</v>
      </c>
      <c r="V1370" s="59">
        <f t="shared" si="223"/>
        <v>0</v>
      </c>
      <c r="W1370" s="39">
        <f t="shared" si="224"/>
        <v>0</v>
      </c>
      <c r="X1370" s="40">
        <f t="shared" si="225"/>
        <v>0</v>
      </c>
      <c r="Y1370"/>
      <c r="Z1370"/>
      <c r="AA1370"/>
    </row>
    <row r="1371" spans="1:27" s="51" customFormat="1" ht="18.600000000000001" hidden="1" customHeight="1" x14ac:dyDescent="0.25">
      <c r="A1371" s="82" t="s">
        <v>2653</v>
      </c>
      <c r="B1371" s="41" t="s">
        <v>9301</v>
      </c>
      <c r="C1371" s="42" t="s">
        <v>9302</v>
      </c>
      <c r="D1371" s="41">
        <v>8435568309296</v>
      </c>
      <c r="E1371" s="43" t="s">
        <v>3077</v>
      </c>
      <c r="F1371" s="43" t="s">
        <v>1937</v>
      </c>
      <c r="G1371" s="43" t="s">
        <v>9952</v>
      </c>
      <c r="H1371" s="85" t="s">
        <v>3078</v>
      </c>
      <c r="I1371" s="23" t="s">
        <v>24</v>
      </c>
      <c r="J1371" s="44">
        <v>1850</v>
      </c>
      <c r="K1371" s="45">
        <v>0.25</v>
      </c>
      <c r="L1371" s="46">
        <f t="shared" si="217"/>
        <v>462.5</v>
      </c>
      <c r="M1371" s="47">
        <f t="shared" si="218"/>
        <v>1387.5</v>
      </c>
      <c r="N1371" s="48">
        <v>0.16</v>
      </c>
      <c r="O1371" s="49">
        <f t="shared" si="219"/>
        <v>222</v>
      </c>
      <c r="P1371" s="50">
        <f t="shared" si="220"/>
        <v>1609.5</v>
      </c>
      <c r="Q1371" s="23"/>
      <c r="R1371" s="60"/>
      <c r="S1371" s="61"/>
      <c r="T1371" s="62">
        <f t="shared" si="221"/>
        <v>0</v>
      </c>
      <c r="U1371" s="46">
        <f t="shared" si="222"/>
        <v>0</v>
      </c>
      <c r="V1371" s="63">
        <f t="shared" si="223"/>
        <v>0</v>
      </c>
      <c r="W1371" s="49">
        <f t="shared" si="224"/>
        <v>0</v>
      </c>
      <c r="X1371" s="50">
        <f t="shared" si="225"/>
        <v>0</v>
      </c>
      <c r="Y1371"/>
      <c r="Z1371"/>
      <c r="AA1371"/>
    </row>
    <row r="1372" spans="1:27" s="51" customFormat="1" ht="18.600000000000001" hidden="1" customHeight="1" x14ac:dyDescent="0.25">
      <c r="A1372" s="80" t="s">
        <v>2653</v>
      </c>
      <c r="B1372" s="20" t="s">
        <v>9303</v>
      </c>
      <c r="C1372" s="21" t="s">
        <v>9304</v>
      </c>
      <c r="D1372" s="20">
        <v>8435568307063</v>
      </c>
      <c r="E1372" s="22" t="s">
        <v>3079</v>
      </c>
      <c r="F1372" s="22" t="s">
        <v>1937</v>
      </c>
      <c r="G1372" s="22" t="s">
        <v>9953</v>
      </c>
      <c r="H1372" s="83" t="s">
        <v>3080</v>
      </c>
      <c r="I1372" s="23" t="s">
        <v>24</v>
      </c>
      <c r="J1372" s="24">
        <v>540</v>
      </c>
      <c r="K1372" s="25">
        <v>0.25</v>
      </c>
      <c r="L1372" s="26">
        <f t="shared" si="217"/>
        <v>135</v>
      </c>
      <c r="M1372" s="27">
        <f t="shared" si="218"/>
        <v>405</v>
      </c>
      <c r="N1372" s="28">
        <v>0.16</v>
      </c>
      <c r="O1372" s="29">
        <f t="shared" si="219"/>
        <v>64.8</v>
      </c>
      <c r="P1372" s="30">
        <f t="shared" si="220"/>
        <v>469.8</v>
      </c>
      <c r="Q1372" s="23"/>
      <c r="R1372" s="52"/>
      <c r="S1372" s="53"/>
      <c r="T1372" s="54">
        <f t="shared" si="221"/>
        <v>0</v>
      </c>
      <c r="U1372" s="26">
        <f t="shared" si="222"/>
        <v>0</v>
      </c>
      <c r="V1372" s="55">
        <f t="shared" si="223"/>
        <v>0</v>
      </c>
      <c r="W1372" s="29">
        <f t="shared" si="224"/>
        <v>0</v>
      </c>
      <c r="X1372" s="30">
        <f t="shared" si="225"/>
        <v>0</v>
      </c>
      <c r="Y1372"/>
      <c r="Z1372"/>
      <c r="AA1372"/>
    </row>
    <row r="1373" spans="1:27" s="51" customFormat="1" ht="18.600000000000001" hidden="1" customHeight="1" x14ac:dyDescent="0.25">
      <c r="A1373" s="81" t="s">
        <v>2653</v>
      </c>
      <c r="B1373" s="31" t="s">
        <v>9303</v>
      </c>
      <c r="C1373" s="32" t="s">
        <v>9304</v>
      </c>
      <c r="D1373" s="31">
        <v>8435568307346</v>
      </c>
      <c r="E1373" s="33" t="s">
        <v>3081</v>
      </c>
      <c r="F1373" s="33" t="s">
        <v>1937</v>
      </c>
      <c r="G1373" s="33" t="s">
        <v>9953</v>
      </c>
      <c r="H1373" s="84" t="s">
        <v>3082</v>
      </c>
      <c r="I1373" s="23" t="s">
        <v>24</v>
      </c>
      <c r="J1373" s="34">
        <v>540</v>
      </c>
      <c r="K1373" s="35">
        <v>0.25</v>
      </c>
      <c r="L1373" s="36">
        <f t="shared" si="217"/>
        <v>135</v>
      </c>
      <c r="M1373" s="37">
        <f t="shared" si="218"/>
        <v>405</v>
      </c>
      <c r="N1373" s="38">
        <v>0.16</v>
      </c>
      <c r="O1373" s="39">
        <f t="shared" si="219"/>
        <v>64.8</v>
      </c>
      <c r="P1373" s="40">
        <f t="shared" si="220"/>
        <v>469.8</v>
      </c>
      <c r="Q1373" s="23"/>
      <c r="R1373" s="56"/>
      <c r="S1373" s="57"/>
      <c r="T1373" s="58">
        <f t="shared" si="221"/>
        <v>0</v>
      </c>
      <c r="U1373" s="36">
        <f t="shared" si="222"/>
        <v>0</v>
      </c>
      <c r="V1373" s="59">
        <f t="shared" si="223"/>
        <v>0</v>
      </c>
      <c r="W1373" s="39">
        <f t="shared" si="224"/>
        <v>0</v>
      </c>
      <c r="X1373" s="40">
        <f t="shared" si="225"/>
        <v>0</v>
      </c>
      <c r="Y1373"/>
      <c r="Z1373"/>
      <c r="AA1373"/>
    </row>
    <row r="1374" spans="1:27" s="51" customFormat="1" ht="18.600000000000001" hidden="1" customHeight="1" x14ac:dyDescent="0.25">
      <c r="A1374" s="82" t="s">
        <v>2653</v>
      </c>
      <c r="B1374" s="41" t="s">
        <v>9303</v>
      </c>
      <c r="C1374" s="42" t="s">
        <v>9304</v>
      </c>
      <c r="D1374" s="41">
        <v>8435568307353</v>
      </c>
      <c r="E1374" s="43" t="s">
        <v>3083</v>
      </c>
      <c r="F1374" s="43" t="s">
        <v>1937</v>
      </c>
      <c r="G1374" s="43" t="s">
        <v>9953</v>
      </c>
      <c r="H1374" s="85" t="s">
        <v>3084</v>
      </c>
      <c r="I1374" s="23" t="s">
        <v>24</v>
      </c>
      <c r="J1374" s="44">
        <v>540</v>
      </c>
      <c r="K1374" s="45">
        <v>0.25</v>
      </c>
      <c r="L1374" s="46">
        <f t="shared" si="217"/>
        <v>135</v>
      </c>
      <c r="M1374" s="47">
        <f t="shared" si="218"/>
        <v>405</v>
      </c>
      <c r="N1374" s="48">
        <v>0.16</v>
      </c>
      <c r="O1374" s="49">
        <f t="shared" si="219"/>
        <v>64.8</v>
      </c>
      <c r="P1374" s="50">
        <f t="shared" si="220"/>
        <v>469.8</v>
      </c>
      <c r="Q1374" s="23"/>
      <c r="R1374" s="60"/>
      <c r="S1374" s="61"/>
      <c r="T1374" s="62">
        <f t="shared" si="221"/>
        <v>0</v>
      </c>
      <c r="U1374" s="46">
        <f t="shared" si="222"/>
        <v>0</v>
      </c>
      <c r="V1374" s="63">
        <f t="shared" si="223"/>
        <v>0</v>
      </c>
      <c r="W1374" s="49">
        <f t="shared" si="224"/>
        <v>0</v>
      </c>
      <c r="X1374" s="50">
        <f t="shared" si="225"/>
        <v>0</v>
      </c>
      <c r="Y1374"/>
      <c r="Z1374"/>
      <c r="AA1374"/>
    </row>
    <row r="1375" spans="1:27" s="51" customFormat="1" ht="18.600000000000001" hidden="1" customHeight="1" x14ac:dyDescent="0.25">
      <c r="A1375" s="80" t="s">
        <v>2653</v>
      </c>
      <c r="B1375" s="20" t="s">
        <v>9303</v>
      </c>
      <c r="C1375" s="21" t="s">
        <v>9304</v>
      </c>
      <c r="D1375" s="20">
        <v>8435568307360</v>
      </c>
      <c r="E1375" s="22" t="s">
        <v>3085</v>
      </c>
      <c r="F1375" s="22" t="s">
        <v>1937</v>
      </c>
      <c r="G1375" s="22" t="s">
        <v>9953</v>
      </c>
      <c r="H1375" s="83" t="s">
        <v>3086</v>
      </c>
      <c r="I1375" s="23" t="s">
        <v>24</v>
      </c>
      <c r="J1375" s="24">
        <v>540</v>
      </c>
      <c r="K1375" s="25">
        <v>0.25</v>
      </c>
      <c r="L1375" s="26">
        <f t="shared" si="217"/>
        <v>135</v>
      </c>
      <c r="M1375" s="27">
        <f t="shared" si="218"/>
        <v>405</v>
      </c>
      <c r="N1375" s="28">
        <v>0.16</v>
      </c>
      <c r="O1375" s="29">
        <f t="shared" si="219"/>
        <v>64.8</v>
      </c>
      <c r="P1375" s="30">
        <f t="shared" si="220"/>
        <v>469.8</v>
      </c>
      <c r="Q1375" s="23"/>
      <c r="R1375" s="52"/>
      <c r="S1375" s="53"/>
      <c r="T1375" s="54">
        <f t="shared" si="221"/>
        <v>0</v>
      </c>
      <c r="U1375" s="26">
        <f t="shared" si="222"/>
        <v>0</v>
      </c>
      <c r="V1375" s="55">
        <f t="shared" si="223"/>
        <v>0</v>
      </c>
      <c r="W1375" s="29">
        <f t="shared" si="224"/>
        <v>0</v>
      </c>
      <c r="X1375" s="30">
        <f t="shared" si="225"/>
        <v>0</v>
      </c>
      <c r="Y1375"/>
      <c r="Z1375"/>
      <c r="AA1375"/>
    </row>
    <row r="1376" spans="1:27" s="51" customFormat="1" ht="18.600000000000001" hidden="1" customHeight="1" x14ac:dyDescent="0.25">
      <c r="A1376" s="81" t="s">
        <v>2653</v>
      </c>
      <c r="B1376" s="31" t="s">
        <v>9303</v>
      </c>
      <c r="C1376" s="32" t="s">
        <v>9304</v>
      </c>
      <c r="D1376" s="31">
        <v>8435568307377</v>
      </c>
      <c r="E1376" s="33" t="s">
        <v>3087</v>
      </c>
      <c r="F1376" s="33" t="s">
        <v>1937</v>
      </c>
      <c r="G1376" s="33" t="s">
        <v>9953</v>
      </c>
      <c r="H1376" s="84" t="s">
        <v>3088</v>
      </c>
      <c r="I1376" s="23" t="s">
        <v>24</v>
      </c>
      <c r="J1376" s="34">
        <v>540</v>
      </c>
      <c r="K1376" s="35">
        <v>0.25</v>
      </c>
      <c r="L1376" s="36">
        <f t="shared" si="217"/>
        <v>135</v>
      </c>
      <c r="M1376" s="37">
        <f t="shared" si="218"/>
        <v>405</v>
      </c>
      <c r="N1376" s="38">
        <v>0.16</v>
      </c>
      <c r="O1376" s="39">
        <f t="shared" si="219"/>
        <v>64.8</v>
      </c>
      <c r="P1376" s="40">
        <f t="shared" si="220"/>
        <v>469.8</v>
      </c>
      <c r="Q1376" s="23"/>
      <c r="R1376" s="56"/>
      <c r="S1376" s="57"/>
      <c r="T1376" s="58">
        <f t="shared" si="221"/>
        <v>0</v>
      </c>
      <c r="U1376" s="36">
        <f t="shared" si="222"/>
        <v>0</v>
      </c>
      <c r="V1376" s="59">
        <f t="shared" si="223"/>
        <v>0</v>
      </c>
      <c r="W1376" s="39">
        <f t="shared" si="224"/>
        <v>0</v>
      </c>
      <c r="X1376" s="40">
        <f t="shared" si="225"/>
        <v>0</v>
      </c>
      <c r="Y1376"/>
      <c r="Z1376"/>
      <c r="AA1376"/>
    </row>
    <row r="1377" spans="1:27" s="51" customFormat="1" ht="18.600000000000001" hidden="1" customHeight="1" x14ac:dyDescent="0.25">
      <c r="A1377" s="82" t="s">
        <v>2653</v>
      </c>
      <c r="B1377" s="41" t="s">
        <v>9303</v>
      </c>
      <c r="C1377" s="42" t="s">
        <v>9304</v>
      </c>
      <c r="D1377" s="41">
        <v>8435568307490</v>
      </c>
      <c r="E1377" s="43" t="s">
        <v>3089</v>
      </c>
      <c r="F1377" s="43" t="s">
        <v>1937</v>
      </c>
      <c r="G1377" s="43" t="s">
        <v>9953</v>
      </c>
      <c r="H1377" s="85" t="s">
        <v>3090</v>
      </c>
      <c r="I1377" s="23" t="s">
        <v>24</v>
      </c>
      <c r="J1377" s="44">
        <v>540</v>
      </c>
      <c r="K1377" s="45">
        <v>0.25</v>
      </c>
      <c r="L1377" s="46">
        <f t="shared" si="217"/>
        <v>135</v>
      </c>
      <c r="M1377" s="47">
        <f t="shared" si="218"/>
        <v>405</v>
      </c>
      <c r="N1377" s="48">
        <v>0.16</v>
      </c>
      <c r="O1377" s="49">
        <f t="shared" si="219"/>
        <v>64.8</v>
      </c>
      <c r="P1377" s="50">
        <f t="shared" si="220"/>
        <v>469.8</v>
      </c>
      <c r="Q1377" s="23"/>
      <c r="R1377" s="60"/>
      <c r="S1377" s="61"/>
      <c r="T1377" s="62">
        <f t="shared" si="221"/>
        <v>0</v>
      </c>
      <c r="U1377" s="46">
        <f t="shared" si="222"/>
        <v>0</v>
      </c>
      <c r="V1377" s="63">
        <f t="shared" si="223"/>
        <v>0</v>
      </c>
      <c r="W1377" s="49">
        <f t="shared" si="224"/>
        <v>0</v>
      </c>
      <c r="X1377" s="50">
        <f t="shared" si="225"/>
        <v>0</v>
      </c>
      <c r="Y1377"/>
      <c r="Z1377"/>
      <c r="AA1377"/>
    </row>
    <row r="1378" spans="1:27" s="51" customFormat="1" ht="18.600000000000001" hidden="1" customHeight="1" x14ac:dyDescent="0.25">
      <c r="A1378" s="80" t="s">
        <v>2653</v>
      </c>
      <c r="B1378" s="20" t="s">
        <v>9303</v>
      </c>
      <c r="C1378" s="21" t="s">
        <v>9304</v>
      </c>
      <c r="D1378" s="20" t="s">
        <v>3091</v>
      </c>
      <c r="E1378" s="22" t="s">
        <v>3092</v>
      </c>
      <c r="F1378" s="22" t="s">
        <v>1937</v>
      </c>
      <c r="G1378" s="22" t="s">
        <v>9953</v>
      </c>
      <c r="H1378" s="83" t="s">
        <v>3093</v>
      </c>
      <c r="I1378" s="23" t="s">
        <v>24</v>
      </c>
      <c r="J1378" s="24">
        <v>540</v>
      </c>
      <c r="K1378" s="25">
        <v>0.25</v>
      </c>
      <c r="L1378" s="26">
        <f t="shared" si="217"/>
        <v>135</v>
      </c>
      <c r="M1378" s="27">
        <f t="shared" si="218"/>
        <v>405</v>
      </c>
      <c r="N1378" s="28">
        <v>0.16</v>
      </c>
      <c r="O1378" s="29">
        <f t="shared" si="219"/>
        <v>64.8</v>
      </c>
      <c r="P1378" s="30">
        <f t="shared" si="220"/>
        <v>469.8</v>
      </c>
      <c r="Q1378" s="23"/>
      <c r="R1378" s="52"/>
      <c r="S1378" s="53"/>
      <c r="T1378" s="54">
        <f t="shared" si="221"/>
        <v>0</v>
      </c>
      <c r="U1378" s="26">
        <f t="shared" si="222"/>
        <v>0</v>
      </c>
      <c r="V1378" s="55">
        <f t="shared" si="223"/>
        <v>0</v>
      </c>
      <c r="W1378" s="29">
        <f t="shared" si="224"/>
        <v>0</v>
      </c>
      <c r="X1378" s="30">
        <f t="shared" si="225"/>
        <v>0</v>
      </c>
      <c r="Y1378"/>
      <c r="Z1378"/>
      <c r="AA1378"/>
    </row>
    <row r="1379" spans="1:27" s="51" customFormat="1" ht="18.600000000000001" hidden="1" customHeight="1" x14ac:dyDescent="0.25">
      <c r="A1379" s="81" t="s">
        <v>2653</v>
      </c>
      <c r="B1379" s="31" t="s">
        <v>9303</v>
      </c>
      <c r="C1379" s="32" t="s">
        <v>9304</v>
      </c>
      <c r="D1379" s="31" t="s">
        <v>3094</v>
      </c>
      <c r="E1379" s="33" t="s">
        <v>3095</v>
      </c>
      <c r="F1379" s="33" t="s">
        <v>1937</v>
      </c>
      <c r="G1379" s="33" t="s">
        <v>9953</v>
      </c>
      <c r="H1379" s="84" t="s">
        <v>3096</v>
      </c>
      <c r="I1379" s="23" t="s">
        <v>24</v>
      </c>
      <c r="J1379" s="34">
        <v>540</v>
      </c>
      <c r="K1379" s="35">
        <v>0.25</v>
      </c>
      <c r="L1379" s="36">
        <f t="shared" si="217"/>
        <v>135</v>
      </c>
      <c r="M1379" s="37">
        <f t="shared" si="218"/>
        <v>405</v>
      </c>
      <c r="N1379" s="38">
        <v>0.16</v>
      </c>
      <c r="O1379" s="39">
        <f t="shared" si="219"/>
        <v>64.8</v>
      </c>
      <c r="P1379" s="40">
        <f t="shared" si="220"/>
        <v>469.8</v>
      </c>
      <c r="Q1379" s="23"/>
      <c r="R1379" s="56"/>
      <c r="S1379" s="57"/>
      <c r="T1379" s="58">
        <f t="shared" si="221"/>
        <v>0</v>
      </c>
      <c r="U1379" s="36">
        <f t="shared" si="222"/>
        <v>0</v>
      </c>
      <c r="V1379" s="59">
        <f t="shared" si="223"/>
        <v>0</v>
      </c>
      <c r="W1379" s="39">
        <f t="shared" si="224"/>
        <v>0</v>
      </c>
      <c r="X1379" s="40">
        <f t="shared" si="225"/>
        <v>0</v>
      </c>
      <c r="Y1379"/>
      <c r="Z1379"/>
      <c r="AA1379"/>
    </row>
    <row r="1380" spans="1:27" s="51" customFormat="1" ht="18.600000000000001" hidden="1" customHeight="1" x14ac:dyDescent="0.25">
      <c r="A1380" s="82" t="s">
        <v>2653</v>
      </c>
      <c r="B1380" s="41" t="s">
        <v>9303</v>
      </c>
      <c r="C1380" s="42" t="s">
        <v>9304</v>
      </c>
      <c r="D1380" s="41" t="s">
        <v>3097</v>
      </c>
      <c r="E1380" s="43" t="s">
        <v>3098</v>
      </c>
      <c r="F1380" s="43" t="s">
        <v>1937</v>
      </c>
      <c r="G1380" s="43" t="s">
        <v>9953</v>
      </c>
      <c r="H1380" s="85" t="s">
        <v>3099</v>
      </c>
      <c r="I1380" s="23" t="s">
        <v>24</v>
      </c>
      <c r="J1380" s="44">
        <v>540</v>
      </c>
      <c r="K1380" s="45">
        <v>0.25</v>
      </c>
      <c r="L1380" s="46">
        <f t="shared" si="217"/>
        <v>135</v>
      </c>
      <c r="M1380" s="47">
        <f t="shared" si="218"/>
        <v>405</v>
      </c>
      <c r="N1380" s="48">
        <v>0.16</v>
      </c>
      <c r="O1380" s="49">
        <f t="shared" si="219"/>
        <v>64.8</v>
      </c>
      <c r="P1380" s="50">
        <f t="shared" si="220"/>
        <v>469.8</v>
      </c>
      <c r="Q1380" s="23"/>
      <c r="R1380" s="60"/>
      <c r="S1380" s="61"/>
      <c r="T1380" s="62">
        <f t="shared" si="221"/>
        <v>0</v>
      </c>
      <c r="U1380" s="46">
        <f t="shared" si="222"/>
        <v>0</v>
      </c>
      <c r="V1380" s="63">
        <f t="shared" si="223"/>
        <v>0</v>
      </c>
      <c r="W1380" s="49">
        <f t="shared" si="224"/>
        <v>0</v>
      </c>
      <c r="X1380" s="50">
        <f t="shared" si="225"/>
        <v>0</v>
      </c>
      <c r="Y1380"/>
      <c r="Z1380"/>
      <c r="AA1380"/>
    </row>
    <row r="1381" spans="1:27" s="51" customFormat="1" ht="18.600000000000001" hidden="1" customHeight="1" x14ac:dyDescent="0.25">
      <c r="A1381" s="80" t="s">
        <v>2653</v>
      </c>
      <c r="B1381" s="20" t="s">
        <v>9303</v>
      </c>
      <c r="C1381" s="21" t="s">
        <v>9304</v>
      </c>
      <c r="D1381" s="20" t="s">
        <v>3100</v>
      </c>
      <c r="E1381" s="22" t="s">
        <v>3101</v>
      </c>
      <c r="F1381" s="22" t="s">
        <v>1937</v>
      </c>
      <c r="G1381" s="22" t="s">
        <v>9953</v>
      </c>
      <c r="H1381" s="83" t="s">
        <v>3102</v>
      </c>
      <c r="I1381" s="23" t="s">
        <v>24</v>
      </c>
      <c r="J1381" s="24">
        <v>540</v>
      </c>
      <c r="K1381" s="25">
        <v>0.25</v>
      </c>
      <c r="L1381" s="26">
        <f t="shared" si="217"/>
        <v>135</v>
      </c>
      <c r="M1381" s="27">
        <f t="shared" si="218"/>
        <v>405</v>
      </c>
      <c r="N1381" s="28">
        <v>0.16</v>
      </c>
      <c r="O1381" s="29">
        <f t="shared" si="219"/>
        <v>64.8</v>
      </c>
      <c r="P1381" s="30">
        <f t="shared" si="220"/>
        <v>469.8</v>
      </c>
      <c r="Q1381" s="23"/>
      <c r="R1381" s="52"/>
      <c r="S1381" s="53"/>
      <c r="T1381" s="54">
        <f t="shared" si="221"/>
        <v>0</v>
      </c>
      <c r="U1381" s="26">
        <f t="shared" si="222"/>
        <v>0</v>
      </c>
      <c r="V1381" s="55">
        <f t="shared" si="223"/>
        <v>0</v>
      </c>
      <c r="W1381" s="29">
        <f t="shared" si="224"/>
        <v>0</v>
      </c>
      <c r="X1381" s="30">
        <f t="shared" si="225"/>
        <v>0</v>
      </c>
      <c r="Y1381"/>
      <c r="Z1381"/>
      <c r="AA1381"/>
    </row>
    <row r="1382" spans="1:27" s="51" customFormat="1" ht="18.600000000000001" hidden="1" customHeight="1" x14ac:dyDescent="0.25">
      <c r="A1382" s="81" t="s">
        <v>2653</v>
      </c>
      <c r="B1382" s="31" t="s">
        <v>9303</v>
      </c>
      <c r="C1382" s="32" t="s">
        <v>9304</v>
      </c>
      <c r="D1382" s="31" t="s">
        <v>3103</v>
      </c>
      <c r="E1382" s="33" t="s">
        <v>3104</v>
      </c>
      <c r="F1382" s="33" t="s">
        <v>1937</v>
      </c>
      <c r="G1382" s="33" t="s">
        <v>9953</v>
      </c>
      <c r="H1382" s="84" t="s">
        <v>3105</v>
      </c>
      <c r="I1382" s="23" t="s">
        <v>24</v>
      </c>
      <c r="J1382" s="34">
        <v>540</v>
      </c>
      <c r="K1382" s="35">
        <v>0.25</v>
      </c>
      <c r="L1382" s="36">
        <f t="shared" si="217"/>
        <v>135</v>
      </c>
      <c r="M1382" s="37">
        <f t="shared" si="218"/>
        <v>405</v>
      </c>
      <c r="N1382" s="38">
        <v>0.16</v>
      </c>
      <c r="O1382" s="39">
        <f t="shared" si="219"/>
        <v>64.8</v>
      </c>
      <c r="P1382" s="40">
        <f t="shared" si="220"/>
        <v>469.8</v>
      </c>
      <c r="Q1382" s="23"/>
      <c r="R1382" s="56"/>
      <c r="S1382" s="57"/>
      <c r="T1382" s="58">
        <f t="shared" si="221"/>
        <v>0</v>
      </c>
      <c r="U1382" s="36">
        <f t="shared" si="222"/>
        <v>0</v>
      </c>
      <c r="V1382" s="59">
        <f t="shared" si="223"/>
        <v>0</v>
      </c>
      <c r="W1382" s="39">
        <f t="shared" si="224"/>
        <v>0</v>
      </c>
      <c r="X1382" s="40">
        <f t="shared" si="225"/>
        <v>0</v>
      </c>
      <c r="Y1382"/>
      <c r="Z1382"/>
      <c r="AA1382"/>
    </row>
    <row r="1383" spans="1:27" s="51" customFormat="1" ht="18.600000000000001" hidden="1" customHeight="1" x14ac:dyDescent="0.25">
      <c r="A1383" s="82" t="s">
        <v>2653</v>
      </c>
      <c r="B1383" s="41" t="s">
        <v>9303</v>
      </c>
      <c r="C1383" s="42" t="s">
        <v>9304</v>
      </c>
      <c r="D1383" s="41" t="s">
        <v>3106</v>
      </c>
      <c r="E1383" s="43" t="s">
        <v>3107</v>
      </c>
      <c r="F1383" s="43" t="s">
        <v>1937</v>
      </c>
      <c r="G1383" s="43" t="s">
        <v>9953</v>
      </c>
      <c r="H1383" s="85" t="s">
        <v>3108</v>
      </c>
      <c r="I1383" s="23" t="s">
        <v>24</v>
      </c>
      <c r="J1383" s="44">
        <v>540</v>
      </c>
      <c r="K1383" s="45">
        <v>0.25</v>
      </c>
      <c r="L1383" s="46">
        <f t="shared" si="217"/>
        <v>135</v>
      </c>
      <c r="M1383" s="47">
        <f t="shared" si="218"/>
        <v>405</v>
      </c>
      <c r="N1383" s="48">
        <v>0.16</v>
      </c>
      <c r="O1383" s="49">
        <f t="shared" si="219"/>
        <v>64.8</v>
      </c>
      <c r="P1383" s="50">
        <f t="shared" si="220"/>
        <v>469.8</v>
      </c>
      <c r="Q1383" s="23"/>
      <c r="R1383" s="60"/>
      <c r="S1383" s="61"/>
      <c r="T1383" s="62">
        <f t="shared" si="221"/>
        <v>0</v>
      </c>
      <c r="U1383" s="46">
        <f t="shared" si="222"/>
        <v>0</v>
      </c>
      <c r="V1383" s="63">
        <f t="shared" si="223"/>
        <v>0</v>
      </c>
      <c r="W1383" s="49">
        <f t="shared" si="224"/>
        <v>0</v>
      </c>
      <c r="X1383" s="50">
        <f t="shared" si="225"/>
        <v>0</v>
      </c>
      <c r="Y1383"/>
      <c r="Z1383"/>
      <c r="AA1383"/>
    </row>
    <row r="1384" spans="1:27" s="51" customFormat="1" ht="18.600000000000001" hidden="1" customHeight="1" x14ac:dyDescent="0.25">
      <c r="A1384" s="80" t="s">
        <v>2653</v>
      </c>
      <c r="B1384" s="20" t="s">
        <v>9303</v>
      </c>
      <c r="C1384" s="21" t="s">
        <v>9304</v>
      </c>
      <c r="D1384" s="20" t="s">
        <v>3109</v>
      </c>
      <c r="E1384" s="22" t="s">
        <v>3110</v>
      </c>
      <c r="F1384" s="22" t="s">
        <v>1937</v>
      </c>
      <c r="G1384" s="22" t="s">
        <v>9953</v>
      </c>
      <c r="H1384" s="83" t="s">
        <v>3111</v>
      </c>
      <c r="I1384" s="23" t="s">
        <v>24</v>
      </c>
      <c r="J1384" s="24">
        <v>540</v>
      </c>
      <c r="K1384" s="25">
        <v>0.25</v>
      </c>
      <c r="L1384" s="26">
        <f t="shared" si="217"/>
        <v>135</v>
      </c>
      <c r="M1384" s="27">
        <f t="shared" si="218"/>
        <v>405</v>
      </c>
      <c r="N1384" s="28">
        <v>0.16</v>
      </c>
      <c r="O1384" s="29">
        <f t="shared" si="219"/>
        <v>64.8</v>
      </c>
      <c r="P1384" s="30">
        <f t="shared" si="220"/>
        <v>469.8</v>
      </c>
      <c r="Q1384" s="23"/>
      <c r="R1384" s="52"/>
      <c r="S1384" s="53"/>
      <c r="T1384" s="54">
        <f t="shared" si="221"/>
        <v>0</v>
      </c>
      <c r="U1384" s="26">
        <f t="shared" si="222"/>
        <v>0</v>
      </c>
      <c r="V1384" s="55">
        <f t="shared" si="223"/>
        <v>0</v>
      </c>
      <c r="W1384" s="29">
        <f t="shared" si="224"/>
        <v>0</v>
      </c>
      <c r="X1384" s="30">
        <f t="shared" si="225"/>
        <v>0</v>
      </c>
      <c r="Y1384"/>
      <c r="Z1384"/>
      <c r="AA1384"/>
    </row>
    <row r="1385" spans="1:27" s="51" customFormat="1" ht="18.600000000000001" hidden="1" customHeight="1" x14ac:dyDescent="0.25">
      <c r="A1385" s="81" t="s">
        <v>2653</v>
      </c>
      <c r="B1385" s="31" t="s">
        <v>9303</v>
      </c>
      <c r="C1385" s="32" t="s">
        <v>9304</v>
      </c>
      <c r="D1385" s="31" t="s">
        <v>3112</v>
      </c>
      <c r="E1385" s="33" t="s">
        <v>3113</v>
      </c>
      <c r="F1385" s="33" t="s">
        <v>1937</v>
      </c>
      <c r="G1385" s="33" t="s">
        <v>9953</v>
      </c>
      <c r="H1385" s="84" t="s">
        <v>3114</v>
      </c>
      <c r="I1385" s="23" t="s">
        <v>24</v>
      </c>
      <c r="J1385" s="34">
        <v>540</v>
      </c>
      <c r="K1385" s="35">
        <v>0.25</v>
      </c>
      <c r="L1385" s="36">
        <f t="shared" si="217"/>
        <v>135</v>
      </c>
      <c r="M1385" s="37">
        <f t="shared" si="218"/>
        <v>405</v>
      </c>
      <c r="N1385" s="38">
        <v>0.16</v>
      </c>
      <c r="O1385" s="39">
        <f t="shared" si="219"/>
        <v>64.8</v>
      </c>
      <c r="P1385" s="40">
        <f t="shared" si="220"/>
        <v>469.8</v>
      </c>
      <c r="Q1385" s="23"/>
      <c r="R1385" s="56"/>
      <c r="S1385" s="57"/>
      <c r="T1385" s="58">
        <f t="shared" si="221"/>
        <v>0</v>
      </c>
      <c r="U1385" s="36">
        <f t="shared" si="222"/>
        <v>0</v>
      </c>
      <c r="V1385" s="59">
        <f t="shared" si="223"/>
        <v>0</v>
      </c>
      <c r="W1385" s="39">
        <f t="shared" si="224"/>
        <v>0</v>
      </c>
      <c r="X1385" s="40">
        <f t="shared" si="225"/>
        <v>0</v>
      </c>
      <c r="Y1385"/>
      <c r="Z1385"/>
      <c r="AA1385"/>
    </row>
    <row r="1386" spans="1:27" s="51" customFormat="1" ht="18.600000000000001" hidden="1" customHeight="1" x14ac:dyDescent="0.25">
      <c r="A1386" s="82" t="s">
        <v>2653</v>
      </c>
      <c r="B1386" s="41" t="s">
        <v>9303</v>
      </c>
      <c r="C1386" s="42" t="s">
        <v>9304</v>
      </c>
      <c r="D1386" s="41">
        <v>8435568309357</v>
      </c>
      <c r="E1386" s="43" t="s">
        <v>3115</v>
      </c>
      <c r="F1386" s="43" t="s">
        <v>1937</v>
      </c>
      <c r="G1386" s="43" t="s">
        <v>9953</v>
      </c>
      <c r="H1386" s="85" t="s">
        <v>3116</v>
      </c>
      <c r="I1386" s="23" t="s">
        <v>24</v>
      </c>
      <c r="J1386" s="44">
        <v>540</v>
      </c>
      <c r="K1386" s="45">
        <v>0.25</v>
      </c>
      <c r="L1386" s="46">
        <f t="shared" si="217"/>
        <v>135</v>
      </c>
      <c r="M1386" s="47">
        <f t="shared" si="218"/>
        <v>405</v>
      </c>
      <c r="N1386" s="48">
        <v>0.16</v>
      </c>
      <c r="O1386" s="49">
        <f t="shared" si="219"/>
        <v>64.8</v>
      </c>
      <c r="P1386" s="50">
        <f t="shared" si="220"/>
        <v>469.8</v>
      </c>
      <c r="Q1386" s="23"/>
      <c r="R1386" s="60"/>
      <c r="S1386" s="61"/>
      <c r="T1386" s="62">
        <f t="shared" si="221"/>
        <v>0</v>
      </c>
      <c r="U1386" s="46">
        <f t="shared" si="222"/>
        <v>0</v>
      </c>
      <c r="V1386" s="63">
        <f t="shared" si="223"/>
        <v>0</v>
      </c>
      <c r="W1386" s="49">
        <f t="shared" si="224"/>
        <v>0</v>
      </c>
      <c r="X1386" s="50">
        <f t="shared" si="225"/>
        <v>0</v>
      </c>
      <c r="Y1386"/>
      <c r="Z1386"/>
      <c r="AA1386"/>
    </row>
    <row r="1387" spans="1:27" s="51" customFormat="1" ht="18.600000000000001" hidden="1" customHeight="1" x14ac:dyDescent="0.25">
      <c r="A1387" s="80" t="s">
        <v>2653</v>
      </c>
      <c r="B1387" s="20" t="s">
        <v>9303</v>
      </c>
      <c r="C1387" s="21" t="s">
        <v>9304</v>
      </c>
      <c r="D1387" s="20">
        <v>8435568309388</v>
      </c>
      <c r="E1387" s="22" t="s">
        <v>3117</v>
      </c>
      <c r="F1387" s="22" t="s">
        <v>1937</v>
      </c>
      <c r="G1387" s="22" t="s">
        <v>9953</v>
      </c>
      <c r="H1387" s="83" t="s">
        <v>3118</v>
      </c>
      <c r="I1387" s="23" t="s">
        <v>24</v>
      </c>
      <c r="J1387" s="24">
        <v>540</v>
      </c>
      <c r="K1387" s="25">
        <v>0.25</v>
      </c>
      <c r="L1387" s="26">
        <f t="shared" si="217"/>
        <v>135</v>
      </c>
      <c r="M1387" s="27">
        <f t="shared" si="218"/>
        <v>405</v>
      </c>
      <c r="N1387" s="28">
        <v>0.16</v>
      </c>
      <c r="O1387" s="29">
        <f t="shared" si="219"/>
        <v>64.8</v>
      </c>
      <c r="P1387" s="30">
        <f t="shared" si="220"/>
        <v>469.8</v>
      </c>
      <c r="Q1387" s="23"/>
      <c r="R1387" s="52"/>
      <c r="S1387" s="53"/>
      <c r="T1387" s="54">
        <f t="shared" si="221"/>
        <v>0</v>
      </c>
      <c r="U1387" s="26">
        <f t="shared" si="222"/>
        <v>0</v>
      </c>
      <c r="V1387" s="55">
        <f t="shared" si="223"/>
        <v>0</v>
      </c>
      <c r="W1387" s="29">
        <f t="shared" si="224"/>
        <v>0</v>
      </c>
      <c r="X1387" s="30">
        <f t="shared" si="225"/>
        <v>0</v>
      </c>
      <c r="Y1387"/>
      <c r="Z1387"/>
      <c r="AA1387"/>
    </row>
    <row r="1388" spans="1:27" s="51" customFormat="1" ht="18.600000000000001" hidden="1" customHeight="1" x14ac:dyDescent="0.25">
      <c r="A1388" s="81" t="s">
        <v>2653</v>
      </c>
      <c r="B1388" s="31" t="s">
        <v>9303</v>
      </c>
      <c r="C1388" s="32" t="s">
        <v>9304</v>
      </c>
      <c r="D1388" s="31" t="s">
        <v>3119</v>
      </c>
      <c r="E1388" s="33" t="s">
        <v>3120</v>
      </c>
      <c r="F1388" s="33" t="s">
        <v>1937</v>
      </c>
      <c r="G1388" s="33" t="s">
        <v>9953</v>
      </c>
      <c r="H1388" s="84" t="s">
        <v>3121</v>
      </c>
      <c r="I1388" s="23" t="s">
        <v>24</v>
      </c>
      <c r="J1388" s="34">
        <v>540</v>
      </c>
      <c r="K1388" s="35">
        <v>0.25</v>
      </c>
      <c r="L1388" s="36">
        <f t="shared" si="217"/>
        <v>135</v>
      </c>
      <c r="M1388" s="37">
        <f t="shared" si="218"/>
        <v>405</v>
      </c>
      <c r="N1388" s="38">
        <v>0.16</v>
      </c>
      <c r="O1388" s="39">
        <f t="shared" si="219"/>
        <v>64.8</v>
      </c>
      <c r="P1388" s="40">
        <f t="shared" si="220"/>
        <v>469.8</v>
      </c>
      <c r="Q1388" s="23"/>
      <c r="R1388" s="56"/>
      <c r="S1388" s="57"/>
      <c r="T1388" s="58">
        <f t="shared" si="221"/>
        <v>0</v>
      </c>
      <c r="U1388" s="36">
        <f t="shared" si="222"/>
        <v>0</v>
      </c>
      <c r="V1388" s="59">
        <f t="shared" si="223"/>
        <v>0</v>
      </c>
      <c r="W1388" s="39">
        <f t="shared" si="224"/>
        <v>0</v>
      </c>
      <c r="X1388" s="40">
        <f t="shared" si="225"/>
        <v>0</v>
      </c>
      <c r="Y1388"/>
      <c r="Z1388"/>
      <c r="AA1388"/>
    </row>
    <row r="1389" spans="1:27" s="51" customFormat="1" ht="18.600000000000001" hidden="1" customHeight="1" x14ac:dyDescent="0.25">
      <c r="A1389" s="82" t="s">
        <v>2653</v>
      </c>
      <c r="B1389" s="41" t="s">
        <v>9303</v>
      </c>
      <c r="C1389" s="42" t="s">
        <v>9304</v>
      </c>
      <c r="D1389" s="41" t="s">
        <v>3122</v>
      </c>
      <c r="E1389" s="43" t="s">
        <v>3123</v>
      </c>
      <c r="F1389" s="43" t="s">
        <v>1937</v>
      </c>
      <c r="G1389" s="43" t="s">
        <v>9953</v>
      </c>
      <c r="H1389" s="85" t="s">
        <v>3124</v>
      </c>
      <c r="I1389" s="23" t="s">
        <v>24</v>
      </c>
      <c r="J1389" s="44">
        <v>540</v>
      </c>
      <c r="K1389" s="45">
        <v>0.25</v>
      </c>
      <c r="L1389" s="46">
        <f t="shared" si="217"/>
        <v>135</v>
      </c>
      <c r="M1389" s="47">
        <f t="shared" si="218"/>
        <v>405</v>
      </c>
      <c r="N1389" s="48">
        <v>0.16</v>
      </c>
      <c r="O1389" s="49">
        <f t="shared" si="219"/>
        <v>64.8</v>
      </c>
      <c r="P1389" s="50">
        <f t="shared" si="220"/>
        <v>469.8</v>
      </c>
      <c r="Q1389" s="23"/>
      <c r="R1389" s="60"/>
      <c r="S1389" s="61"/>
      <c r="T1389" s="62">
        <f t="shared" si="221"/>
        <v>0</v>
      </c>
      <c r="U1389" s="46">
        <f t="shared" si="222"/>
        <v>0</v>
      </c>
      <c r="V1389" s="63">
        <f t="shared" si="223"/>
        <v>0</v>
      </c>
      <c r="W1389" s="49">
        <f t="shared" si="224"/>
        <v>0</v>
      </c>
      <c r="X1389" s="50">
        <f t="shared" si="225"/>
        <v>0</v>
      </c>
      <c r="Y1389"/>
      <c r="Z1389"/>
      <c r="AA1389"/>
    </row>
    <row r="1390" spans="1:27" s="51" customFormat="1" ht="18.600000000000001" hidden="1" customHeight="1" x14ac:dyDescent="0.25">
      <c r="A1390" s="80" t="s">
        <v>2653</v>
      </c>
      <c r="B1390" s="20" t="s">
        <v>9303</v>
      </c>
      <c r="C1390" s="21" t="s">
        <v>9304</v>
      </c>
      <c r="D1390" s="20" t="s">
        <v>3125</v>
      </c>
      <c r="E1390" s="22" t="s">
        <v>3126</v>
      </c>
      <c r="F1390" s="22" t="s">
        <v>1937</v>
      </c>
      <c r="G1390" s="22" t="s">
        <v>9953</v>
      </c>
      <c r="H1390" s="83" t="s">
        <v>3127</v>
      </c>
      <c r="I1390" s="23" t="s">
        <v>24</v>
      </c>
      <c r="J1390" s="24">
        <v>540</v>
      </c>
      <c r="K1390" s="25">
        <v>0.25</v>
      </c>
      <c r="L1390" s="26">
        <f t="shared" si="217"/>
        <v>135</v>
      </c>
      <c r="M1390" s="27">
        <f t="shared" si="218"/>
        <v>405</v>
      </c>
      <c r="N1390" s="28">
        <v>0.16</v>
      </c>
      <c r="O1390" s="29">
        <f t="shared" si="219"/>
        <v>64.8</v>
      </c>
      <c r="P1390" s="30">
        <f t="shared" si="220"/>
        <v>469.8</v>
      </c>
      <c r="Q1390" s="23"/>
      <c r="R1390" s="52"/>
      <c r="S1390" s="53"/>
      <c r="T1390" s="54">
        <f t="shared" si="221"/>
        <v>0</v>
      </c>
      <c r="U1390" s="26">
        <f t="shared" si="222"/>
        <v>0</v>
      </c>
      <c r="V1390" s="55">
        <f t="shared" si="223"/>
        <v>0</v>
      </c>
      <c r="W1390" s="29">
        <f t="shared" si="224"/>
        <v>0</v>
      </c>
      <c r="X1390" s="30">
        <f t="shared" si="225"/>
        <v>0</v>
      </c>
      <c r="Y1390"/>
      <c r="Z1390"/>
      <c r="AA1390"/>
    </row>
    <row r="1391" spans="1:27" s="51" customFormat="1" ht="18.600000000000001" hidden="1" customHeight="1" x14ac:dyDescent="0.25">
      <c r="A1391" s="81" t="s">
        <v>2653</v>
      </c>
      <c r="B1391" s="31" t="s">
        <v>9303</v>
      </c>
      <c r="C1391" s="32" t="s">
        <v>9304</v>
      </c>
      <c r="D1391" s="31">
        <v>8435568333901</v>
      </c>
      <c r="E1391" s="33" t="s">
        <v>3128</v>
      </c>
      <c r="F1391" s="33" t="s">
        <v>1937</v>
      </c>
      <c r="G1391" s="33" t="s">
        <v>9954</v>
      </c>
      <c r="H1391" s="84" t="s">
        <v>3129</v>
      </c>
      <c r="I1391" s="23" t="s">
        <v>24</v>
      </c>
      <c r="J1391" s="34">
        <v>1260</v>
      </c>
      <c r="K1391" s="35">
        <v>0.25</v>
      </c>
      <c r="L1391" s="36">
        <f t="shared" si="217"/>
        <v>315</v>
      </c>
      <c r="M1391" s="37">
        <f t="shared" si="218"/>
        <v>945</v>
      </c>
      <c r="N1391" s="38">
        <v>0.16</v>
      </c>
      <c r="O1391" s="39">
        <f t="shared" si="219"/>
        <v>151.20000000000002</v>
      </c>
      <c r="P1391" s="40">
        <f t="shared" si="220"/>
        <v>1096.2</v>
      </c>
      <c r="Q1391" s="23"/>
      <c r="R1391" s="56"/>
      <c r="S1391" s="57"/>
      <c r="T1391" s="58">
        <f t="shared" si="221"/>
        <v>0</v>
      </c>
      <c r="U1391" s="36">
        <f t="shared" si="222"/>
        <v>0</v>
      </c>
      <c r="V1391" s="59">
        <f t="shared" si="223"/>
        <v>0</v>
      </c>
      <c r="W1391" s="39">
        <f t="shared" si="224"/>
        <v>0</v>
      </c>
      <c r="X1391" s="40">
        <f t="shared" si="225"/>
        <v>0</v>
      </c>
      <c r="Y1391"/>
      <c r="Z1391"/>
      <c r="AA1391"/>
    </row>
    <row r="1392" spans="1:27" s="51" customFormat="1" ht="18.600000000000001" hidden="1" customHeight="1" x14ac:dyDescent="0.25">
      <c r="A1392" s="82" t="s">
        <v>2653</v>
      </c>
      <c r="B1392" s="41" t="s">
        <v>9303</v>
      </c>
      <c r="C1392" s="42" t="s">
        <v>9304</v>
      </c>
      <c r="D1392" s="41" t="s">
        <v>3130</v>
      </c>
      <c r="E1392" s="43" t="s">
        <v>3131</v>
      </c>
      <c r="F1392" s="43" t="s">
        <v>1937</v>
      </c>
      <c r="G1392" s="43" t="s">
        <v>9954</v>
      </c>
      <c r="H1392" s="85" t="s">
        <v>3132</v>
      </c>
      <c r="I1392" s="23" t="s">
        <v>24</v>
      </c>
      <c r="J1392" s="44">
        <v>1310</v>
      </c>
      <c r="K1392" s="45">
        <v>0.25</v>
      </c>
      <c r="L1392" s="46">
        <f t="shared" si="217"/>
        <v>327.5</v>
      </c>
      <c r="M1392" s="47">
        <f t="shared" si="218"/>
        <v>982.5</v>
      </c>
      <c r="N1392" s="48">
        <v>0.16</v>
      </c>
      <c r="O1392" s="49">
        <f t="shared" si="219"/>
        <v>157.20000000000002</v>
      </c>
      <c r="P1392" s="50">
        <f t="shared" si="220"/>
        <v>1139.7</v>
      </c>
      <c r="Q1392" s="23"/>
      <c r="R1392" s="60"/>
      <c r="S1392" s="61"/>
      <c r="T1392" s="62">
        <f t="shared" si="221"/>
        <v>0</v>
      </c>
      <c r="U1392" s="46">
        <f t="shared" si="222"/>
        <v>0</v>
      </c>
      <c r="V1392" s="63">
        <f t="shared" si="223"/>
        <v>0</v>
      </c>
      <c r="W1392" s="49">
        <f t="shared" si="224"/>
        <v>0</v>
      </c>
      <c r="X1392" s="50">
        <f t="shared" si="225"/>
        <v>0</v>
      </c>
      <c r="Y1392"/>
      <c r="Z1392"/>
      <c r="AA1392"/>
    </row>
    <row r="1393" spans="1:27" s="51" customFormat="1" ht="18.600000000000001" hidden="1" customHeight="1" x14ac:dyDescent="0.25">
      <c r="A1393" s="80" t="s">
        <v>2653</v>
      </c>
      <c r="B1393" s="20" t="s">
        <v>9303</v>
      </c>
      <c r="C1393" s="21" t="s">
        <v>9305</v>
      </c>
      <c r="D1393" s="20" t="s">
        <v>9425</v>
      </c>
      <c r="E1393" s="22" t="s">
        <v>9511</v>
      </c>
      <c r="F1393" s="22" t="s">
        <v>1937</v>
      </c>
      <c r="G1393" s="22" t="s">
        <v>9953</v>
      </c>
      <c r="H1393" s="83" t="s">
        <v>9638</v>
      </c>
      <c r="I1393" s="23" t="s">
        <v>24</v>
      </c>
      <c r="J1393" s="24">
        <v>570</v>
      </c>
      <c r="K1393" s="25">
        <v>0.25</v>
      </c>
      <c r="L1393" s="26">
        <f t="shared" si="217"/>
        <v>142.5</v>
      </c>
      <c r="M1393" s="27">
        <f t="shared" si="218"/>
        <v>427.5</v>
      </c>
      <c r="N1393" s="28">
        <v>0.16</v>
      </c>
      <c r="O1393" s="29">
        <f t="shared" si="219"/>
        <v>68.400000000000006</v>
      </c>
      <c r="P1393" s="30">
        <f t="shared" si="220"/>
        <v>495.9</v>
      </c>
      <c r="Q1393" s="23"/>
      <c r="R1393" s="52"/>
      <c r="S1393" s="53"/>
      <c r="T1393" s="54">
        <f t="shared" si="221"/>
        <v>0</v>
      </c>
      <c r="U1393" s="26">
        <f t="shared" si="222"/>
        <v>0</v>
      </c>
      <c r="V1393" s="55">
        <f t="shared" si="223"/>
        <v>0</v>
      </c>
      <c r="W1393" s="29">
        <f t="shared" si="224"/>
        <v>0</v>
      </c>
      <c r="X1393" s="30">
        <f t="shared" si="225"/>
        <v>0</v>
      </c>
      <c r="Y1393"/>
      <c r="Z1393"/>
      <c r="AA1393"/>
    </row>
    <row r="1394" spans="1:27" s="51" customFormat="1" ht="18.600000000000001" hidden="1" customHeight="1" x14ac:dyDescent="0.25">
      <c r="A1394" s="81" t="s">
        <v>2653</v>
      </c>
      <c r="B1394" s="31" t="s">
        <v>9303</v>
      </c>
      <c r="C1394" s="32" t="s">
        <v>9305</v>
      </c>
      <c r="D1394" s="31" t="s">
        <v>3133</v>
      </c>
      <c r="E1394" s="33" t="s">
        <v>3134</v>
      </c>
      <c r="F1394" s="33" t="s">
        <v>1937</v>
      </c>
      <c r="G1394" s="33" t="s">
        <v>9955</v>
      </c>
      <c r="H1394" s="84" t="s">
        <v>3135</v>
      </c>
      <c r="I1394" s="23" t="s">
        <v>24</v>
      </c>
      <c r="J1394" s="34">
        <v>1620</v>
      </c>
      <c r="K1394" s="35">
        <v>0.25</v>
      </c>
      <c r="L1394" s="36">
        <f t="shared" si="217"/>
        <v>405</v>
      </c>
      <c r="M1394" s="37">
        <f t="shared" si="218"/>
        <v>1215</v>
      </c>
      <c r="N1394" s="38">
        <v>0.16</v>
      </c>
      <c r="O1394" s="39">
        <f t="shared" si="219"/>
        <v>194.4</v>
      </c>
      <c r="P1394" s="40">
        <f t="shared" si="220"/>
        <v>1409.4</v>
      </c>
      <c r="Q1394" s="23"/>
      <c r="R1394" s="56"/>
      <c r="S1394" s="57"/>
      <c r="T1394" s="58">
        <f t="shared" si="221"/>
        <v>0</v>
      </c>
      <c r="U1394" s="36">
        <f t="shared" si="222"/>
        <v>0</v>
      </c>
      <c r="V1394" s="59">
        <f t="shared" si="223"/>
        <v>0</v>
      </c>
      <c r="W1394" s="39">
        <f t="shared" si="224"/>
        <v>0</v>
      </c>
      <c r="X1394" s="40">
        <f t="shared" si="225"/>
        <v>0</v>
      </c>
      <c r="Y1394"/>
      <c r="Z1394"/>
      <c r="AA1394"/>
    </row>
    <row r="1395" spans="1:27" s="51" customFormat="1" ht="18.600000000000001" hidden="1" customHeight="1" x14ac:dyDescent="0.25">
      <c r="A1395" s="82" t="s">
        <v>2653</v>
      </c>
      <c r="B1395" s="41" t="s">
        <v>9303</v>
      </c>
      <c r="C1395" s="42" t="s">
        <v>9305</v>
      </c>
      <c r="D1395" s="41" t="s">
        <v>3136</v>
      </c>
      <c r="E1395" s="43" t="s">
        <v>3137</v>
      </c>
      <c r="F1395" s="43" t="s">
        <v>1937</v>
      </c>
      <c r="G1395" s="43" t="s">
        <v>9955</v>
      </c>
      <c r="H1395" s="85" t="s">
        <v>3138</v>
      </c>
      <c r="I1395" s="23" t="s">
        <v>24</v>
      </c>
      <c r="J1395" s="44">
        <v>1620</v>
      </c>
      <c r="K1395" s="45">
        <v>0.25</v>
      </c>
      <c r="L1395" s="46">
        <f t="shared" si="217"/>
        <v>405</v>
      </c>
      <c r="M1395" s="47">
        <f t="shared" si="218"/>
        <v>1215</v>
      </c>
      <c r="N1395" s="48">
        <v>0.16</v>
      </c>
      <c r="O1395" s="49">
        <f t="shared" si="219"/>
        <v>194.4</v>
      </c>
      <c r="P1395" s="50">
        <f t="shared" si="220"/>
        <v>1409.4</v>
      </c>
      <c r="Q1395" s="23"/>
      <c r="R1395" s="60"/>
      <c r="S1395" s="61"/>
      <c r="T1395" s="62">
        <f t="shared" si="221"/>
        <v>0</v>
      </c>
      <c r="U1395" s="46">
        <f t="shared" si="222"/>
        <v>0</v>
      </c>
      <c r="V1395" s="63">
        <f t="shared" si="223"/>
        <v>0</v>
      </c>
      <c r="W1395" s="49">
        <f t="shared" si="224"/>
        <v>0</v>
      </c>
      <c r="X1395" s="50">
        <f t="shared" si="225"/>
        <v>0</v>
      </c>
      <c r="Y1395"/>
      <c r="Z1395"/>
      <c r="AA1395"/>
    </row>
    <row r="1396" spans="1:27" s="51" customFormat="1" ht="18.600000000000001" hidden="1" customHeight="1" x14ac:dyDescent="0.25">
      <c r="A1396" s="80" t="s">
        <v>2653</v>
      </c>
      <c r="B1396" s="20" t="s">
        <v>9303</v>
      </c>
      <c r="C1396" s="21" t="s">
        <v>9305</v>
      </c>
      <c r="D1396" s="20">
        <v>8435568328044</v>
      </c>
      <c r="E1396" s="22" t="s">
        <v>3139</v>
      </c>
      <c r="F1396" s="22" t="s">
        <v>1937</v>
      </c>
      <c r="G1396" s="22" t="s">
        <v>9955</v>
      </c>
      <c r="H1396" s="83" t="s">
        <v>3140</v>
      </c>
      <c r="I1396" s="23" t="s">
        <v>24</v>
      </c>
      <c r="J1396" s="24">
        <v>1620</v>
      </c>
      <c r="K1396" s="25">
        <v>0.25</v>
      </c>
      <c r="L1396" s="26">
        <f t="shared" si="217"/>
        <v>405</v>
      </c>
      <c r="M1396" s="27">
        <f t="shared" si="218"/>
        <v>1215</v>
      </c>
      <c r="N1396" s="28">
        <v>0.16</v>
      </c>
      <c r="O1396" s="29">
        <f t="shared" si="219"/>
        <v>194.4</v>
      </c>
      <c r="P1396" s="30">
        <f t="shared" si="220"/>
        <v>1409.4</v>
      </c>
      <c r="Q1396" s="23"/>
      <c r="R1396" s="52"/>
      <c r="S1396" s="53"/>
      <c r="T1396" s="54">
        <f t="shared" si="221"/>
        <v>0</v>
      </c>
      <c r="U1396" s="26">
        <f t="shared" si="222"/>
        <v>0</v>
      </c>
      <c r="V1396" s="55">
        <f t="shared" si="223"/>
        <v>0</v>
      </c>
      <c r="W1396" s="29">
        <f t="shared" si="224"/>
        <v>0</v>
      </c>
      <c r="X1396" s="30">
        <f t="shared" si="225"/>
        <v>0</v>
      </c>
      <c r="Y1396"/>
      <c r="Z1396"/>
      <c r="AA1396"/>
    </row>
    <row r="1397" spans="1:27" s="51" customFormat="1" ht="18.600000000000001" hidden="1" customHeight="1" x14ac:dyDescent="0.25">
      <c r="A1397" s="81" t="s">
        <v>2653</v>
      </c>
      <c r="B1397" s="31" t="s">
        <v>9303</v>
      </c>
      <c r="C1397" s="32" t="s">
        <v>9305</v>
      </c>
      <c r="D1397" s="31" t="s">
        <v>3141</v>
      </c>
      <c r="E1397" s="33" t="s">
        <v>3142</v>
      </c>
      <c r="F1397" s="33" t="s">
        <v>1937</v>
      </c>
      <c r="G1397" s="33" t="s">
        <v>9955</v>
      </c>
      <c r="H1397" s="84" t="s">
        <v>3143</v>
      </c>
      <c r="I1397" s="23" t="s">
        <v>24</v>
      </c>
      <c r="J1397" s="34">
        <v>1620</v>
      </c>
      <c r="K1397" s="35">
        <v>0.25</v>
      </c>
      <c r="L1397" s="36">
        <f t="shared" si="217"/>
        <v>405</v>
      </c>
      <c r="M1397" s="37">
        <f t="shared" si="218"/>
        <v>1215</v>
      </c>
      <c r="N1397" s="38">
        <v>0.16</v>
      </c>
      <c r="O1397" s="39">
        <f t="shared" si="219"/>
        <v>194.4</v>
      </c>
      <c r="P1397" s="40">
        <f t="shared" si="220"/>
        <v>1409.4</v>
      </c>
      <c r="Q1397" s="23"/>
      <c r="R1397" s="56"/>
      <c r="S1397" s="57"/>
      <c r="T1397" s="58">
        <f t="shared" si="221"/>
        <v>0</v>
      </c>
      <c r="U1397" s="36">
        <f t="shared" si="222"/>
        <v>0</v>
      </c>
      <c r="V1397" s="59">
        <f t="shared" si="223"/>
        <v>0</v>
      </c>
      <c r="W1397" s="39">
        <f t="shared" si="224"/>
        <v>0</v>
      </c>
      <c r="X1397" s="40">
        <f t="shared" si="225"/>
        <v>0</v>
      </c>
      <c r="Y1397"/>
      <c r="Z1397"/>
      <c r="AA1397"/>
    </row>
    <row r="1398" spans="1:27" s="51" customFormat="1" ht="18.600000000000001" hidden="1" customHeight="1" x14ac:dyDescent="0.25">
      <c r="A1398" s="82" t="s">
        <v>2653</v>
      </c>
      <c r="B1398" s="41" t="s">
        <v>9303</v>
      </c>
      <c r="C1398" s="42" t="s">
        <v>9305</v>
      </c>
      <c r="D1398" s="41" t="s">
        <v>3144</v>
      </c>
      <c r="E1398" s="43" t="s">
        <v>3145</v>
      </c>
      <c r="F1398" s="43" t="s">
        <v>1937</v>
      </c>
      <c r="G1398" s="43" t="s">
        <v>9955</v>
      </c>
      <c r="H1398" s="85" t="s">
        <v>3146</v>
      </c>
      <c r="I1398" s="23" t="s">
        <v>24</v>
      </c>
      <c r="J1398" s="44">
        <v>1620</v>
      </c>
      <c r="K1398" s="45">
        <v>0.25</v>
      </c>
      <c r="L1398" s="46">
        <f t="shared" si="217"/>
        <v>405</v>
      </c>
      <c r="M1398" s="47">
        <f t="shared" si="218"/>
        <v>1215</v>
      </c>
      <c r="N1398" s="48">
        <v>0.16</v>
      </c>
      <c r="O1398" s="49">
        <f t="shared" si="219"/>
        <v>194.4</v>
      </c>
      <c r="P1398" s="50">
        <f t="shared" si="220"/>
        <v>1409.4</v>
      </c>
      <c r="Q1398" s="23"/>
      <c r="R1398" s="60"/>
      <c r="S1398" s="61"/>
      <c r="T1398" s="62">
        <f t="shared" si="221"/>
        <v>0</v>
      </c>
      <c r="U1398" s="46">
        <f t="shared" si="222"/>
        <v>0</v>
      </c>
      <c r="V1398" s="63">
        <f t="shared" si="223"/>
        <v>0</v>
      </c>
      <c r="W1398" s="49">
        <f t="shared" si="224"/>
        <v>0</v>
      </c>
      <c r="X1398" s="50">
        <f t="shared" si="225"/>
        <v>0</v>
      </c>
      <c r="Y1398"/>
      <c r="Z1398"/>
      <c r="AA1398"/>
    </row>
    <row r="1399" spans="1:27" s="51" customFormat="1" ht="18.600000000000001" hidden="1" customHeight="1" x14ac:dyDescent="0.25">
      <c r="A1399" s="80" t="s">
        <v>2653</v>
      </c>
      <c r="B1399" s="20" t="s">
        <v>9303</v>
      </c>
      <c r="C1399" s="21" t="s">
        <v>9305</v>
      </c>
      <c r="D1399" s="20">
        <v>8435568330443</v>
      </c>
      <c r="E1399" s="22" t="s">
        <v>3147</v>
      </c>
      <c r="F1399" s="22" t="s">
        <v>1937</v>
      </c>
      <c r="G1399" s="22" t="s">
        <v>9955</v>
      </c>
      <c r="H1399" s="83" t="s">
        <v>3148</v>
      </c>
      <c r="I1399" s="23" t="s">
        <v>24</v>
      </c>
      <c r="J1399" s="24">
        <v>1620</v>
      </c>
      <c r="K1399" s="25">
        <v>0.25</v>
      </c>
      <c r="L1399" s="26">
        <f t="shared" si="217"/>
        <v>405</v>
      </c>
      <c r="M1399" s="27">
        <f t="shared" si="218"/>
        <v>1215</v>
      </c>
      <c r="N1399" s="28">
        <v>0.16</v>
      </c>
      <c r="O1399" s="29">
        <f t="shared" si="219"/>
        <v>194.4</v>
      </c>
      <c r="P1399" s="30">
        <f t="shared" si="220"/>
        <v>1409.4</v>
      </c>
      <c r="Q1399" s="23"/>
      <c r="R1399" s="52"/>
      <c r="S1399" s="53"/>
      <c r="T1399" s="54">
        <f t="shared" si="221"/>
        <v>0</v>
      </c>
      <c r="U1399" s="26">
        <f t="shared" si="222"/>
        <v>0</v>
      </c>
      <c r="V1399" s="55">
        <f t="shared" si="223"/>
        <v>0</v>
      </c>
      <c r="W1399" s="29">
        <f t="shared" si="224"/>
        <v>0</v>
      </c>
      <c r="X1399" s="30">
        <f t="shared" si="225"/>
        <v>0</v>
      </c>
      <c r="Y1399"/>
      <c r="Z1399"/>
      <c r="AA1399"/>
    </row>
    <row r="1400" spans="1:27" s="51" customFormat="1" ht="18.600000000000001" hidden="1" customHeight="1" x14ac:dyDescent="0.25">
      <c r="A1400" s="81" t="s">
        <v>2653</v>
      </c>
      <c r="B1400" s="31" t="s">
        <v>9303</v>
      </c>
      <c r="C1400" s="32" t="s">
        <v>9305</v>
      </c>
      <c r="D1400" s="31">
        <v>8435568330450</v>
      </c>
      <c r="E1400" s="33" t="s">
        <v>3149</v>
      </c>
      <c r="F1400" s="33" t="s">
        <v>1937</v>
      </c>
      <c r="G1400" s="33" t="s">
        <v>9955</v>
      </c>
      <c r="H1400" s="84" t="s">
        <v>3150</v>
      </c>
      <c r="I1400" s="23" t="s">
        <v>24</v>
      </c>
      <c r="J1400" s="34">
        <v>1620</v>
      </c>
      <c r="K1400" s="35">
        <v>0.25</v>
      </c>
      <c r="L1400" s="36">
        <f t="shared" si="217"/>
        <v>405</v>
      </c>
      <c r="M1400" s="37">
        <f t="shared" si="218"/>
        <v>1215</v>
      </c>
      <c r="N1400" s="38">
        <v>0.16</v>
      </c>
      <c r="O1400" s="39">
        <f t="shared" si="219"/>
        <v>194.4</v>
      </c>
      <c r="P1400" s="40">
        <f t="shared" si="220"/>
        <v>1409.4</v>
      </c>
      <c r="Q1400" s="23"/>
      <c r="R1400" s="56"/>
      <c r="S1400" s="57"/>
      <c r="T1400" s="58">
        <f t="shared" si="221"/>
        <v>0</v>
      </c>
      <c r="U1400" s="36">
        <f t="shared" si="222"/>
        <v>0</v>
      </c>
      <c r="V1400" s="59">
        <f t="shared" si="223"/>
        <v>0</v>
      </c>
      <c r="W1400" s="39">
        <f t="shared" si="224"/>
        <v>0</v>
      </c>
      <c r="X1400" s="40">
        <f t="shared" si="225"/>
        <v>0</v>
      </c>
      <c r="Y1400"/>
      <c r="Z1400"/>
      <c r="AA1400"/>
    </row>
    <row r="1401" spans="1:27" s="51" customFormat="1" ht="18.600000000000001" hidden="1" customHeight="1" x14ac:dyDescent="0.25">
      <c r="A1401" s="82" t="s">
        <v>2653</v>
      </c>
      <c r="B1401" s="41" t="s">
        <v>9303</v>
      </c>
      <c r="C1401" s="42" t="s">
        <v>9305</v>
      </c>
      <c r="D1401" s="41" t="s">
        <v>3151</v>
      </c>
      <c r="E1401" s="43" t="s">
        <v>3152</v>
      </c>
      <c r="F1401" s="43" t="s">
        <v>1937</v>
      </c>
      <c r="G1401" s="43" t="s">
        <v>9955</v>
      </c>
      <c r="H1401" s="85" t="s">
        <v>3153</v>
      </c>
      <c r="I1401" s="23" t="s">
        <v>24</v>
      </c>
      <c r="J1401" s="44">
        <v>1620</v>
      </c>
      <c r="K1401" s="45">
        <v>0.25</v>
      </c>
      <c r="L1401" s="46">
        <f t="shared" si="217"/>
        <v>405</v>
      </c>
      <c r="M1401" s="47">
        <f t="shared" si="218"/>
        <v>1215</v>
      </c>
      <c r="N1401" s="48">
        <v>0.16</v>
      </c>
      <c r="O1401" s="49">
        <f t="shared" si="219"/>
        <v>194.4</v>
      </c>
      <c r="P1401" s="50">
        <f t="shared" si="220"/>
        <v>1409.4</v>
      </c>
      <c r="Q1401" s="23"/>
      <c r="R1401" s="60"/>
      <c r="S1401" s="61"/>
      <c r="T1401" s="62">
        <f t="shared" si="221"/>
        <v>0</v>
      </c>
      <c r="U1401" s="46">
        <f t="shared" si="222"/>
        <v>0</v>
      </c>
      <c r="V1401" s="63">
        <f t="shared" si="223"/>
        <v>0</v>
      </c>
      <c r="W1401" s="49">
        <f t="shared" si="224"/>
        <v>0</v>
      </c>
      <c r="X1401" s="50">
        <f t="shared" si="225"/>
        <v>0</v>
      </c>
      <c r="Y1401"/>
      <c r="Z1401"/>
      <c r="AA1401"/>
    </row>
    <row r="1402" spans="1:27" s="51" customFormat="1" ht="18.600000000000001" hidden="1" customHeight="1" x14ac:dyDescent="0.25">
      <c r="A1402" s="80" t="s">
        <v>2653</v>
      </c>
      <c r="B1402" s="20" t="s">
        <v>9303</v>
      </c>
      <c r="C1402" s="21" t="s">
        <v>9305</v>
      </c>
      <c r="D1402" s="20">
        <v>8435568331907</v>
      </c>
      <c r="E1402" s="22" t="s">
        <v>3154</v>
      </c>
      <c r="F1402" s="22" t="s">
        <v>1937</v>
      </c>
      <c r="G1402" s="22" t="s">
        <v>9955</v>
      </c>
      <c r="H1402" s="83" t="s">
        <v>3155</v>
      </c>
      <c r="I1402" s="23" t="s">
        <v>24</v>
      </c>
      <c r="J1402" s="24">
        <v>1620</v>
      </c>
      <c r="K1402" s="25">
        <v>0.25</v>
      </c>
      <c r="L1402" s="26">
        <f t="shared" si="217"/>
        <v>405</v>
      </c>
      <c r="M1402" s="27">
        <f t="shared" si="218"/>
        <v>1215</v>
      </c>
      <c r="N1402" s="28">
        <v>0.16</v>
      </c>
      <c r="O1402" s="29">
        <f t="shared" si="219"/>
        <v>194.4</v>
      </c>
      <c r="P1402" s="30">
        <f t="shared" si="220"/>
        <v>1409.4</v>
      </c>
      <c r="Q1402" s="23"/>
      <c r="R1402" s="52"/>
      <c r="S1402" s="53"/>
      <c r="T1402" s="54">
        <f t="shared" si="221"/>
        <v>0</v>
      </c>
      <c r="U1402" s="26">
        <f t="shared" si="222"/>
        <v>0</v>
      </c>
      <c r="V1402" s="55">
        <f t="shared" si="223"/>
        <v>0</v>
      </c>
      <c r="W1402" s="29">
        <f t="shared" si="224"/>
        <v>0</v>
      </c>
      <c r="X1402" s="30">
        <f t="shared" si="225"/>
        <v>0</v>
      </c>
      <c r="Y1402"/>
      <c r="Z1402"/>
      <c r="AA1402"/>
    </row>
    <row r="1403" spans="1:27" s="51" customFormat="1" ht="18.600000000000001" hidden="1" customHeight="1" x14ac:dyDescent="0.25">
      <c r="A1403" s="81" t="s">
        <v>2653</v>
      </c>
      <c r="B1403" s="31" t="s">
        <v>9303</v>
      </c>
      <c r="C1403" s="32" t="s">
        <v>9305</v>
      </c>
      <c r="D1403" s="31" t="s">
        <v>3156</v>
      </c>
      <c r="E1403" s="33" t="s">
        <v>3157</v>
      </c>
      <c r="F1403" s="33" t="s">
        <v>1937</v>
      </c>
      <c r="G1403" s="33" t="s">
        <v>9955</v>
      </c>
      <c r="H1403" s="84" t="s">
        <v>3158</v>
      </c>
      <c r="I1403" s="23" t="s">
        <v>24</v>
      </c>
      <c r="J1403" s="34">
        <v>1620</v>
      </c>
      <c r="K1403" s="35">
        <v>0.25</v>
      </c>
      <c r="L1403" s="36">
        <f t="shared" si="217"/>
        <v>405</v>
      </c>
      <c r="M1403" s="37">
        <f t="shared" si="218"/>
        <v>1215</v>
      </c>
      <c r="N1403" s="38">
        <v>0.16</v>
      </c>
      <c r="O1403" s="39">
        <f t="shared" si="219"/>
        <v>194.4</v>
      </c>
      <c r="P1403" s="40">
        <f t="shared" si="220"/>
        <v>1409.4</v>
      </c>
      <c r="Q1403" s="23"/>
      <c r="R1403" s="56"/>
      <c r="S1403" s="57"/>
      <c r="T1403" s="58">
        <f t="shared" si="221"/>
        <v>0</v>
      </c>
      <c r="U1403" s="36">
        <f t="shared" si="222"/>
        <v>0</v>
      </c>
      <c r="V1403" s="59">
        <f t="shared" si="223"/>
        <v>0</v>
      </c>
      <c r="W1403" s="39">
        <f t="shared" si="224"/>
        <v>0</v>
      </c>
      <c r="X1403" s="40">
        <f t="shared" si="225"/>
        <v>0</v>
      </c>
      <c r="Y1403"/>
      <c r="Z1403"/>
      <c r="AA1403"/>
    </row>
    <row r="1404" spans="1:27" s="51" customFormat="1" ht="18.600000000000001" hidden="1" customHeight="1" x14ac:dyDescent="0.25">
      <c r="A1404" s="82" t="s">
        <v>2653</v>
      </c>
      <c r="B1404" s="41" t="s">
        <v>9303</v>
      </c>
      <c r="C1404" s="42" t="s">
        <v>9305</v>
      </c>
      <c r="D1404" s="41">
        <v>8435568337947</v>
      </c>
      <c r="E1404" s="43" t="s">
        <v>3159</v>
      </c>
      <c r="F1404" s="43" t="s">
        <v>1937</v>
      </c>
      <c r="G1404" s="43" t="s">
        <v>9956</v>
      </c>
      <c r="H1404" s="85" t="s">
        <v>3160</v>
      </c>
      <c r="I1404" s="23" t="s">
        <v>24</v>
      </c>
      <c r="J1404" s="44">
        <v>1550</v>
      </c>
      <c r="K1404" s="45">
        <v>0.25</v>
      </c>
      <c r="L1404" s="46">
        <f t="shared" si="217"/>
        <v>387.5</v>
      </c>
      <c r="M1404" s="47">
        <f t="shared" si="218"/>
        <v>1162.5</v>
      </c>
      <c r="N1404" s="48">
        <v>0.16</v>
      </c>
      <c r="O1404" s="49">
        <f t="shared" si="219"/>
        <v>186</v>
      </c>
      <c r="P1404" s="50">
        <f t="shared" si="220"/>
        <v>1348.5</v>
      </c>
      <c r="Q1404" s="23"/>
      <c r="R1404" s="60"/>
      <c r="S1404" s="61"/>
      <c r="T1404" s="62">
        <f t="shared" si="221"/>
        <v>0</v>
      </c>
      <c r="U1404" s="46">
        <f t="shared" si="222"/>
        <v>0</v>
      </c>
      <c r="V1404" s="63">
        <f t="shared" si="223"/>
        <v>0</v>
      </c>
      <c r="W1404" s="49">
        <f t="shared" si="224"/>
        <v>0</v>
      </c>
      <c r="X1404" s="50">
        <f t="shared" si="225"/>
        <v>0</v>
      </c>
      <c r="Y1404"/>
      <c r="Z1404"/>
      <c r="AA1404"/>
    </row>
    <row r="1405" spans="1:27" s="51" customFormat="1" ht="18.600000000000001" hidden="1" customHeight="1" x14ac:dyDescent="0.25">
      <c r="A1405" s="80" t="s">
        <v>2653</v>
      </c>
      <c r="B1405" s="20" t="s">
        <v>9303</v>
      </c>
      <c r="C1405" s="21" t="s">
        <v>9305</v>
      </c>
      <c r="D1405" s="20" t="s">
        <v>3161</v>
      </c>
      <c r="E1405" s="22" t="s">
        <v>3162</v>
      </c>
      <c r="F1405" s="22" t="s">
        <v>1937</v>
      </c>
      <c r="G1405" s="22" t="s">
        <v>9956</v>
      </c>
      <c r="H1405" s="83" t="s">
        <v>3163</v>
      </c>
      <c r="I1405" s="23" t="s">
        <v>24</v>
      </c>
      <c r="J1405" s="24">
        <v>1550</v>
      </c>
      <c r="K1405" s="25">
        <v>0.25</v>
      </c>
      <c r="L1405" s="26">
        <f t="shared" si="217"/>
        <v>387.5</v>
      </c>
      <c r="M1405" s="27">
        <f t="shared" si="218"/>
        <v>1162.5</v>
      </c>
      <c r="N1405" s="28">
        <v>0.16</v>
      </c>
      <c r="O1405" s="29">
        <f t="shared" si="219"/>
        <v>186</v>
      </c>
      <c r="P1405" s="30">
        <f t="shared" si="220"/>
        <v>1348.5</v>
      </c>
      <c r="Q1405" s="23"/>
      <c r="R1405" s="52"/>
      <c r="S1405" s="53"/>
      <c r="T1405" s="54">
        <f t="shared" si="221"/>
        <v>0</v>
      </c>
      <c r="U1405" s="26">
        <f t="shared" si="222"/>
        <v>0</v>
      </c>
      <c r="V1405" s="55">
        <f t="shared" si="223"/>
        <v>0</v>
      </c>
      <c r="W1405" s="29">
        <f t="shared" si="224"/>
        <v>0</v>
      </c>
      <c r="X1405" s="30">
        <f t="shared" si="225"/>
        <v>0</v>
      </c>
      <c r="Y1405"/>
      <c r="Z1405"/>
      <c r="AA1405"/>
    </row>
    <row r="1406" spans="1:27" s="51" customFormat="1" ht="18.600000000000001" hidden="1" customHeight="1" x14ac:dyDescent="0.25">
      <c r="A1406" s="81" t="s">
        <v>2653</v>
      </c>
      <c r="B1406" s="31" t="s">
        <v>9303</v>
      </c>
      <c r="C1406" s="32" t="s">
        <v>9305</v>
      </c>
      <c r="D1406" s="31" t="s">
        <v>9426</v>
      </c>
      <c r="E1406" s="33" t="s">
        <v>9512</v>
      </c>
      <c r="F1406" s="33" t="s">
        <v>1937</v>
      </c>
      <c r="G1406" s="33" t="s">
        <v>9957</v>
      </c>
      <c r="H1406" s="84" t="s">
        <v>9639</v>
      </c>
      <c r="I1406" s="23" t="s">
        <v>24</v>
      </c>
      <c r="J1406" s="34">
        <v>1600</v>
      </c>
      <c r="K1406" s="35">
        <v>0.25</v>
      </c>
      <c r="L1406" s="36">
        <f t="shared" si="217"/>
        <v>400</v>
      </c>
      <c r="M1406" s="37">
        <f t="shared" si="218"/>
        <v>1200</v>
      </c>
      <c r="N1406" s="38">
        <v>0.16</v>
      </c>
      <c r="O1406" s="39">
        <f t="shared" si="219"/>
        <v>192</v>
      </c>
      <c r="P1406" s="40">
        <f t="shared" si="220"/>
        <v>1392</v>
      </c>
      <c r="Q1406" s="23"/>
      <c r="R1406" s="56"/>
      <c r="S1406" s="57"/>
      <c r="T1406" s="58">
        <f t="shared" si="221"/>
        <v>0</v>
      </c>
      <c r="U1406" s="36">
        <f t="shared" si="222"/>
        <v>0</v>
      </c>
      <c r="V1406" s="59">
        <f t="shared" si="223"/>
        <v>0</v>
      </c>
      <c r="W1406" s="39">
        <f t="shared" si="224"/>
        <v>0</v>
      </c>
      <c r="X1406" s="40">
        <f t="shared" si="225"/>
        <v>0</v>
      </c>
      <c r="Y1406"/>
      <c r="Z1406"/>
      <c r="AA1406"/>
    </row>
    <row r="1407" spans="1:27" s="51" customFormat="1" ht="18.600000000000001" hidden="1" customHeight="1" x14ac:dyDescent="0.25">
      <c r="A1407" s="82" t="s">
        <v>2653</v>
      </c>
      <c r="B1407" s="41" t="s">
        <v>9303</v>
      </c>
      <c r="C1407" s="42" t="s">
        <v>9306</v>
      </c>
      <c r="D1407" s="41">
        <v>8435568339248</v>
      </c>
      <c r="E1407" s="43" t="s">
        <v>9513</v>
      </c>
      <c r="F1407" s="43" t="s">
        <v>1937</v>
      </c>
      <c r="G1407" s="43" t="s">
        <v>9956</v>
      </c>
      <c r="H1407" s="85" t="s">
        <v>9640</v>
      </c>
      <c r="I1407" s="23" t="s">
        <v>24</v>
      </c>
      <c r="J1407" s="44">
        <v>1430</v>
      </c>
      <c r="K1407" s="45">
        <v>0.25</v>
      </c>
      <c r="L1407" s="46">
        <f t="shared" si="217"/>
        <v>357.5</v>
      </c>
      <c r="M1407" s="47">
        <f t="shared" si="218"/>
        <v>1072.5</v>
      </c>
      <c r="N1407" s="48">
        <v>0.16</v>
      </c>
      <c r="O1407" s="49">
        <f t="shared" si="219"/>
        <v>171.6</v>
      </c>
      <c r="P1407" s="50">
        <f t="shared" si="220"/>
        <v>1244.0999999999999</v>
      </c>
      <c r="Q1407" s="23"/>
      <c r="R1407" s="60"/>
      <c r="S1407" s="61"/>
      <c r="T1407" s="62">
        <f t="shared" si="221"/>
        <v>0</v>
      </c>
      <c r="U1407" s="46">
        <f t="shared" si="222"/>
        <v>0</v>
      </c>
      <c r="V1407" s="63">
        <f t="shared" si="223"/>
        <v>0</v>
      </c>
      <c r="W1407" s="49">
        <f t="shared" si="224"/>
        <v>0</v>
      </c>
      <c r="X1407" s="50">
        <f t="shared" si="225"/>
        <v>0</v>
      </c>
      <c r="Y1407"/>
      <c r="Z1407"/>
      <c r="AA1407"/>
    </row>
    <row r="1408" spans="1:27" s="51" customFormat="1" ht="18.600000000000001" hidden="1" customHeight="1" x14ac:dyDescent="0.25">
      <c r="A1408" s="80" t="s">
        <v>2653</v>
      </c>
      <c r="B1408" s="20" t="s">
        <v>9303</v>
      </c>
      <c r="C1408" s="21" t="s">
        <v>9306</v>
      </c>
      <c r="D1408" s="20" t="s">
        <v>3165</v>
      </c>
      <c r="E1408" s="22" t="s">
        <v>3166</v>
      </c>
      <c r="F1408" s="22" t="s">
        <v>1937</v>
      </c>
      <c r="G1408" s="22" t="s">
        <v>9958</v>
      </c>
      <c r="H1408" s="83" t="s">
        <v>9641</v>
      </c>
      <c r="I1408" s="23" t="s">
        <v>24</v>
      </c>
      <c r="J1408" s="24">
        <v>1080</v>
      </c>
      <c r="K1408" s="25">
        <v>0.25</v>
      </c>
      <c r="L1408" s="26">
        <f t="shared" si="217"/>
        <v>270</v>
      </c>
      <c r="M1408" s="27">
        <f t="shared" si="218"/>
        <v>810</v>
      </c>
      <c r="N1408" s="28">
        <v>0.16</v>
      </c>
      <c r="O1408" s="29">
        <f t="shared" si="219"/>
        <v>129.6</v>
      </c>
      <c r="P1408" s="30">
        <f t="shared" si="220"/>
        <v>939.6</v>
      </c>
      <c r="Q1408" s="23"/>
      <c r="R1408" s="52"/>
      <c r="S1408" s="53"/>
      <c r="T1408" s="54">
        <f t="shared" si="221"/>
        <v>0</v>
      </c>
      <c r="U1408" s="26">
        <f t="shared" si="222"/>
        <v>0</v>
      </c>
      <c r="V1408" s="55">
        <f t="shared" si="223"/>
        <v>0</v>
      </c>
      <c r="W1408" s="29">
        <f t="shared" si="224"/>
        <v>0</v>
      </c>
      <c r="X1408" s="30">
        <f t="shared" si="225"/>
        <v>0</v>
      </c>
      <c r="Y1408"/>
      <c r="Z1408"/>
      <c r="AA1408"/>
    </row>
    <row r="1409" spans="1:27" s="51" customFormat="1" ht="18.600000000000001" hidden="1" customHeight="1" x14ac:dyDescent="0.25">
      <c r="A1409" s="81" t="s">
        <v>2653</v>
      </c>
      <c r="B1409" s="31" t="s">
        <v>9303</v>
      </c>
      <c r="C1409" s="32" t="s">
        <v>9307</v>
      </c>
      <c r="D1409" s="31" t="s">
        <v>3168</v>
      </c>
      <c r="E1409" s="33" t="s">
        <v>3169</v>
      </c>
      <c r="F1409" s="33" t="s">
        <v>1937</v>
      </c>
      <c r="G1409" s="33" t="s">
        <v>3170</v>
      </c>
      <c r="H1409" s="84" t="s">
        <v>3171</v>
      </c>
      <c r="I1409" s="23" t="s">
        <v>24</v>
      </c>
      <c r="J1409" s="34">
        <v>7020</v>
      </c>
      <c r="K1409" s="35">
        <v>0.25</v>
      </c>
      <c r="L1409" s="36">
        <f t="shared" si="217"/>
        <v>1755</v>
      </c>
      <c r="M1409" s="37">
        <f t="shared" si="218"/>
        <v>5265</v>
      </c>
      <c r="N1409" s="38">
        <v>0.16</v>
      </c>
      <c r="O1409" s="39">
        <f t="shared" si="219"/>
        <v>842.4</v>
      </c>
      <c r="P1409" s="40">
        <f t="shared" si="220"/>
        <v>6107.4</v>
      </c>
      <c r="Q1409" s="23"/>
      <c r="R1409" s="56"/>
      <c r="S1409" s="57"/>
      <c r="T1409" s="58">
        <f t="shared" si="221"/>
        <v>0</v>
      </c>
      <c r="U1409" s="36">
        <f t="shared" si="222"/>
        <v>0</v>
      </c>
      <c r="V1409" s="59">
        <f t="shared" si="223"/>
        <v>0</v>
      </c>
      <c r="W1409" s="39">
        <f t="shared" si="224"/>
        <v>0</v>
      </c>
      <c r="X1409" s="40">
        <f t="shared" si="225"/>
        <v>0</v>
      </c>
      <c r="Y1409"/>
      <c r="Z1409"/>
      <c r="AA1409"/>
    </row>
    <row r="1410" spans="1:27" s="51" customFormat="1" ht="18.600000000000001" hidden="1" customHeight="1" x14ac:dyDescent="0.25">
      <c r="A1410" s="82" t="s">
        <v>2653</v>
      </c>
      <c r="B1410" s="41" t="s">
        <v>9303</v>
      </c>
      <c r="C1410" s="42" t="s">
        <v>9308</v>
      </c>
      <c r="D1410" s="41" t="s">
        <v>3172</v>
      </c>
      <c r="E1410" s="43" t="s">
        <v>3173</v>
      </c>
      <c r="F1410" s="43" t="s">
        <v>1937</v>
      </c>
      <c r="G1410" s="43" t="s">
        <v>9951</v>
      </c>
      <c r="H1410" s="85" t="s">
        <v>3174</v>
      </c>
      <c r="I1410" s="23" t="s">
        <v>24</v>
      </c>
      <c r="J1410" s="44">
        <v>360</v>
      </c>
      <c r="K1410" s="45">
        <v>0.25</v>
      </c>
      <c r="L1410" s="46">
        <f t="shared" si="217"/>
        <v>90</v>
      </c>
      <c r="M1410" s="47">
        <f t="shared" si="218"/>
        <v>270</v>
      </c>
      <c r="N1410" s="48">
        <v>0.16</v>
      </c>
      <c r="O1410" s="49">
        <f t="shared" si="219"/>
        <v>43.2</v>
      </c>
      <c r="P1410" s="50">
        <f t="shared" si="220"/>
        <v>313.2</v>
      </c>
      <c r="Q1410" s="23"/>
      <c r="R1410" s="60"/>
      <c r="S1410" s="61"/>
      <c r="T1410" s="62">
        <f t="shared" si="221"/>
        <v>0</v>
      </c>
      <c r="U1410" s="46">
        <f t="shared" si="222"/>
        <v>0</v>
      </c>
      <c r="V1410" s="63">
        <f t="shared" si="223"/>
        <v>0</v>
      </c>
      <c r="W1410" s="49">
        <f t="shared" si="224"/>
        <v>0</v>
      </c>
      <c r="X1410" s="50">
        <f t="shared" si="225"/>
        <v>0</v>
      </c>
      <c r="Y1410"/>
      <c r="Z1410"/>
      <c r="AA1410"/>
    </row>
    <row r="1411" spans="1:27" s="51" customFormat="1" ht="18.600000000000001" hidden="1" customHeight="1" x14ac:dyDescent="0.25">
      <c r="A1411" s="80" t="s">
        <v>2653</v>
      </c>
      <c r="B1411" s="20" t="s">
        <v>9303</v>
      </c>
      <c r="C1411" s="21" t="s">
        <v>9308</v>
      </c>
      <c r="D1411" s="20" t="s">
        <v>3175</v>
      </c>
      <c r="E1411" s="22" t="s">
        <v>3176</v>
      </c>
      <c r="F1411" s="22" t="s">
        <v>1937</v>
      </c>
      <c r="G1411" s="22" t="s">
        <v>9951</v>
      </c>
      <c r="H1411" s="83" t="s">
        <v>3177</v>
      </c>
      <c r="I1411" s="23" t="s">
        <v>24</v>
      </c>
      <c r="J1411" s="24">
        <v>360</v>
      </c>
      <c r="K1411" s="25">
        <v>0.25</v>
      </c>
      <c r="L1411" s="26">
        <f t="shared" si="217"/>
        <v>90</v>
      </c>
      <c r="M1411" s="27">
        <f t="shared" si="218"/>
        <v>270</v>
      </c>
      <c r="N1411" s="28">
        <v>0.16</v>
      </c>
      <c r="O1411" s="29">
        <f t="shared" si="219"/>
        <v>43.2</v>
      </c>
      <c r="P1411" s="30">
        <f t="shared" si="220"/>
        <v>313.2</v>
      </c>
      <c r="Q1411" s="23"/>
      <c r="R1411" s="52"/>
      <c r="S1411" s="53"/>
      <c r="T1411" s="54">
        <f t="shared" si="221"/>
        <v>0</v>
      </c>
      <c r="U1411" s="26">
        <f t="shared" si="222"/>
        <v>0</v>
      </c>
      <c r="V1411" s="55">
        <f t="shared" si="223"/>
        <v>0</v>
      </c>
      <c r="W1411" s="29">
        <f t="shared" si="224"/>
        <v>0</v>
      </c>
      <c r="X1411" s="30">
        <f t="shared" si="225"/>
        <v>0</v>
      </c>
      <c r="Y1411"/>
      <c r="Z1411"/>
      <c r="AA1411"/>
    </row>
    <row r="1412" spans="1:27" s="51" customFormat="1" ht="18.600000000000001" hidden="1" customHeight="1" x14ac:dyDescent="0.25">
      <c r="A1412" s="81" t="s">
        <v>2653</v>
      </c>
      <c r="B1412" s="31" t="s">
        <v>9303</v>
      </c>
      <c r="C1412" s="32" t="s">
        <v>9308</v>
      </c>
      <c r="D1412" s="31" t="s">
        <v>3178</v>
      </c>
      <c r="E1412" s="33" t="s">
        <v>3179</v>
      </c>
      <c r="F1412" s="33" t="s">
        <v>1937</v>
      </c>
      <c r="G1412" s="33" t="s">
        <v>9951</v>
      </c>
      <c r="H1412" s="84" t="s">
        <v>3180</v>
      </c>
      <c r="I1412" s="23" t="s">
        <v>24</v>
      </c>
      <c r="J1412" s="34">
        <v>360</v>
      </c>
      <c r="K1412" s="35">
        <v>0.25</v>
      </c>
      <c r="L1412" s="36">
        <f t="shared" si="217"/>
        <v>90</v>
      </c>
      <c r="M1412" s="37">
        <f t="shared" si="218"/>
        <v>270</v>
      </c>
      <c r="N1412" s="38">
        <v>0.16</v>
      </c>
      <c r="O1412" s="39">
        <f t="shared" si="219"/>
        <v>43.2</v>
      </c>
      <c r="P1412" s="40">
        <f t="shared" si="220"/>
        <v>313.2</v>
      </c>
      <c r="Q1412" s="23"/>
      <c r="R1412" s="56"/>
      <c r="S1412" s="57"/>
      <c r="T1412" s="58">
        <f t="shared" si="221"/>
        <v>0</v>
      </c>
      <c r="U1412" s="36">
        <f t="shared" si="222"/>
        <v>0</v>
      </c>
      <c r="V1412" s="59">
        <f t="shared" si="223"/>
        <v>0</v>
      </c>
      <c r="W1412" s="39">
        <f t="shared" si="224"/>
        <v>0</v>
      </c>
      <c r="X1412" s="40">
        <f t="shared" si="225"/>
        <v>0</v>
      </c>
      <c r="Y1412"/>
      <c r="Z1412"/>
      <c r="AA1412"/>
    </row>
    <row r="1413" spans="1:27" s="51" customFormat="1" ht="18.600000000000001" hidden="1" customHeight="1" x14ac:dyDescent="0.25">
      <c r="A1413" s="82" t="s">
        <v>2653</v>
      </c>
      <c r="B1413" s="41" t="s">
        <v>9303</v>
      </c>
      <c r="C1413" s="42" t="s">
        <v>9308</v>
      </c>
      <c r="D1413" s="41" t="s">
        <v>3181</v>
      </c>
      <c r="E1413" s="43" t="s">
        <v>3182</v>
      </c>
      <c r="F1413" s="43" t="s">
        <v>1937</v>
      </c>
      <c r="G1413" s="43" t="s">
        <v>9951</v>
      </c>
      <c r="H1413" s="85" t="s">
        <v>3183</v>
      </c>
      <c r="I1413" s="23" t="s">
        <v>24</v>
      </c>
      <c r="J1413" s="44">
        <v>360</v>
      </c>
      <c r="K1413" s="45">
        <v>0.25</v>
      </c>
      <c r="L1413" s="46">
        <f t="shared" si="217"/>
        <v>90</v>
      </c>
      <c r="M1413" s="47">
        <f t="shared" si="218"/>
        <v>270</v>
      </c>
      <c r="N1413" s="48">
        <v>0.16</v>
      </c>
      <c r="O1413" s="49">
        <f t="shared" si="219"/>
        <v>43.2</v>
      </c>
      <c r="P1413" s="50">
        <f t="shared" si="220"/>
        <v>313.2</v>
      </c>
      <c r="Q1413" s="23"/>
      <c r="R1413" s="60"/>
      <c r="S1413" s="61"/>
      <c r="T1413" s="62">
        <f t="shared" si="221"/>
        <v>0</v>
      </c>
      <c r="U1413" s="46">
        <f t="shared" si="222"/>
        <v>0</v>
      </c>
      <c r="V1413" s="63">
        <f t="shared" si="223"/>
        <v>0</v>
      </c>
      <c r="W1413" s="49">
        <f t="shared" si="224"/>
        <v>0</v>
      </c>
      <c r="X1413" s="50">
        <f t="shared" si="225"/>
        <v>0</v>
      </c>
      <c r="Y1413"/>
      <c r="Z1413"/>
      <c r="AA1413"/>
    </row>
    <row r="1414" spans="1:27" s="51" customFormat="1" ht="18.600000000000001" hidden="1" customHeight="1" x14ac:dyDescent="0.25">
      <c r="A1414" s="80" t="s">
        <v>2653</v>
      </c>
      <c r="B1414" s="20" t="s">
        <v>9303</v>
      </c>
      <c r="C1414" s="21" t="s">
        <v>9308</v>
      </c>
      <c r="D1414" s="20" t="s">
        <v>3184</v>
      </c>
      <c r="E1414" s="22" t="s">
        <v>3185</v>
      </c>
      <c r="F1414" s="22" t="s">
        <v>1937</v>
      </c>
      <c r="G1414" s="22" t="s">
        <v>9951</v>
      </c>
      <c r="H1414" s="83" t="s">
        <v>3186</v>
      </c>
      <c r="I1414" s="23" t="s">
        <v>24</v>
      </c>
      <c r="J1414" s="24">
        <v>360</v>
      </c>
      <c r="K1414" s="25">
        <v>0.25</v>
      </c>
      <c r="L1414" s="26">
        <f t="shared" si="217"/>
        <v>90</v>
      </c>
      <c r="M1414" s="27">
        <f t="shared" si="218"/>
        <v>270</v>
      </c>
      <c r="N1414" s="28">
        <v>0.16</v>
      </c>
      <c r="O1414" s="29">
        <f t="shared" si="219"/>
        <v>43.2</v>
      </c>
      <c r="P1414" s="30">
        <f t="shared" si="220"/>
        <v>313.2</v>
      </c>
      <c r="Q1414" s="23"/>
      <c r="R1414" s="52"/>
      <c r="S1414" s="53"/>
      <c r="T1414" s="54">
        <f t="shared" si="221"/>
        <v>0</v>
      </c>
      <c r="U1414" s="26">
        <f t="shared" si="222"/>
        <v>0</v>
      </c>
      <c r="V1414" s="55">
        <f t="shared" si="223"/>
        <v>0</v>
      </c>
      <c r="W1414" s="29">
        <f t="shared" si="224"/>
        <v>0</v>
      </c>
      <c r="X1414" s="30">
        <f t="shared" si="225"/>
        <v>0</v>
      </c>
      <c r="Y1414"/>
      <c r="Z1414"/>
      <c r="AA1414"/>
    </row>
    <row r="1415" spans="1:27" s="51" customFormat="1" ht="18.600000000000001" hidden="1" customHeight="1" x14ac:dyDescent="0.25">
      <c r="A1415" s="81" t="s">
        <v>2653</v>
      </c>
      <c r="B1415" s="31" t="s">
        <v>9303</v>
      </c>
      <c r="C1415" s="32" t="s">
        <v>9308</v>
      </c>
      <c r="D1415" s="31" t="s">
        <v>3187</v>
      </c>
      <c r="E1415" s="33" t="s">
        <v>3188</v>
      </c>
      <c r="F1415" s="33" t="s">
        <v>1937</v>
      </c>
      <c r="G1415" s="33" t="s">
        <v>9959</v>
      </c>
      <c r="H1415" s="84" t="s">
        <v>3189</v>
      </c>
      <c r="I1415" s="23" t="s">
        <v>24</v>
      </c>
      <c r="J1415" s="34">
        <v>720</v>
      </c>
      <c r="K1415" s="35">
        <v>0.25</v>
      </c>
      <c r="L1415" s="36">
        <f t="shared" si="217"/>
        <v>180</v>
      </c>
      <c r="M1415" s="37">
        <f t="shared" si="218"/>
        <v>540</v>
      </c>
      <c r="N1415" s="38">
        <v>0.16</v>
      </c>
      <c r="O1415" s="39">
        <f t="shared" si="219"/>
        <v>86.4</v>
      </c>
      <c r="P1415" s="40">
        <f t="shared" si="220"/>
        <v>626.4</v>
      </c>
      <c r="Q1415" s="23"/>
      <c r="R1415" s="56"/>
      <c r="S1415" s="57"/>
      <c r="T1415" s="58">
        <f t="shared" si="221"/>
        <v>0</v>
      </c>
      <c r="U1415" s="36">
        <f t="shared" si="222"/>
        <v>0</v>
      </c>
      <c r="V1415" s="59">
        <f t="shared" si="223"/>
        <v>0</v>
      </c>
      <c r="W1415" s="39">
        <f t="shared" si="224"/>
        <v>0</v>
      </c>
      <c r="X1415" s="40">
        <f t="shared" si="225"/>
        <v>0</v>
      </c>
      <c r="Y1415"/>
      <c r="Z1415"/>
      <c r="AA1415"/>
    </row>
    <row r="1416" spans="1:27" s="51" customFormat="1" ht="18.600000000000001" hidden="1" customHeight="1" x14ac:dyDescent="0.25">
      <c r="A1416" s="82" t="s">
        <v>2653</v>
      </c>
      <c r="B1416" s="41" t="s">
        <v>9303</v>
      </c>
      <c r="C1416" s="42" t="s">
        <v>9308</v>
      </c>
      <c r="D1416" s="41" t="s">
        <v>3190</v>
      </c>
      <c r="E1416" s="43" t="s">
        <v>3191</v>
      </c>
      <c r="F1416" s="43" t="s">
        <v>1937</v>
      </c>
      <c r="G1416" s="43" t="s">
        <v>9951</v>
      </c>
      <c r="H1416" s="85" t="s">
        <v>3192</v>
      </c>
      <c r="I1416" s="23" t="s">
        <v>24</v>
      </c>
      <c r="J1416" s="44">
        <v>360</v>
      </c>
      <c r="K1416" s="45">
        <v>0.25</v>
      </c>
      <c r="L1416" s="46">
        <f t="shared" si="217"/>
        <v>90</v>
      </c>
      <c r="M1416" s="47">
        <f t="shared" si="218"/>
        <v>270</v>
      </c>
      <c r="N1416" s="48">
        <v>0.16</v>
      </c>
      <c r="O1416" s="49">
        <f t="shared" si="219"/>
        <v>43.2</v>
      </c>
      <c r="P1416" s="50">
        <f t="shared" si="220"/>
        <v>313.2</v>
      </c>
      <c r="Q1416" s="23"/>
      <c r="R1416" s="60"/>
      <c r="S1416" s="61"/>
      <c r="T1416" s="62">
        <f t="shared" si="221"/>
        <v>0</v>
      </c>
      <c r="U1416" s="46">
        <f t="shared" si="222"/>
        <v>0</v>
      </c>
      <c r="V1416" s="63">
        <f t="shared" si="223"/>
        <v>0</v>
      </c>
      <c r="W1416" s="49">
        <f t="shared" si="224"/>
        <v>0</v>
      </c>
      <c r="X1416" s="50">
        <f t="shared" si="225"/>
        <v>0</v>
      </c>
      <c r="Y1416"/>
      <c r="Z1416"/>
      <c r="AA1416"/>
    </row>
    <row r="1417" spans="1:27" s="51" customFormat="1" ht="18.600000000000001" hidden="1" customHeight="1" x14ac:dyDescent="0.25">
      <c r="A1417" s="80" t="s">
        <v>2653</v>
      </c>
      <c r="B1417" s="20" t="s">
        <v>9303</v>
      </c>
      <c r="C1417" s="21" t="s">
        <v>9308</v>
      </c>
      <c r="D1417" s="20" t="s">
        <v>3193</v>
      </c>
      <c r="E1417" s="22" t="s">
        <v>3194</v>
      </c>
      <c r="F1417" s="22" t="s">
        <v>1937</v>
      </c>
      <c r="G1417" s="22" t="s">
        <v>2963</v>
      </c>
      <c r="H1417" s="83" t="s">
        <v>3195</v>
      </c>
      <c r="I1417" s="23" t="s">
        <v>24</v>
      </c>
      <c r="J1417" s="24">
        <v>270</v>
      </c>
      <c r="K1417" s="25">
        <v>0.25</v>
      </c>
      <c r="L1417" s="26">
        <f t="shared" si="217"/>
        <v>67.5</v>
      </c>
      <c r="M1417" s="27">
        <f t="shared" si="218"/>
        <v>202.5</v>
      </c>
      <c r="N1417" s="28">
        <v>0.16</v>
      </c>
      <c r="O1417" s="29">
        <f t="shared" si="219"/>
        <v>32.4</v>
      </c>
      <c r="P1417" s="30">
        <f t="shared" si="220"/>
        <v>234.9</v>
      </c>
      <c r="Q1417" s="23"/>
      <c r="R1417" s="52"/>
      <c r="S1417" s="53"/>
      <c r="T1417" s="54">
        <f t="shared" si="221"/>
        <v>0</v>
      </c>
      <c r="U1417" s="26">
        <f t="shared" si="222"/>
        <v>0</v>
      </c>
      <c r="V1417" s="55">
        <f t="shared" si="223"/>
        <v>0</v>
      </c>
      <c r="W1417" s="29">
        <f t="shared" si="224"/>
        <v>0</v>
      </c>
      <c r="X1417" s="30">
        <f t="shared" si="225"/>
        <v>0</v>
      </c>
      <c r="Y1417"/>
      <c r="Z1417"/>
      <c r="AA1417"/>
    </row>
    <row r="1418" spans="1:27" s="51" customFormat="1" ht="18.600000000000001" hidden="1" customHeight="1" x14ac:dyDescent="0.25">
      <c r="A1418" s="81" t="s">
        <v>2653</v>
      </c>
      <c r="B1418" s="31" t="s">
        <v>9303</v>
      </c>
      <c r="C1418" s="32" t="s">
        <v>9308</v>
      </c>
      <c r="D1418" s="31" t="s">
        <v>3196</v>
      </c>
      <c r="E1418" s="33" t="s">
        <v>3197</v>
      </c>
      <c r="F1418" s="33" t="s">
        <v>1937</v>
      </c>
      <c r="G1418" s="33" t="s">
        <v>9951</v>
      </c>
      <c r="H1418" s="84" t="s">
        <v>3198</v>
      </c>
      <c r="I1418" s="23" t="s">
        <v>24</v>
      </c>
      <c r="J1418" s="34">
        <v>360</v>
      </c>
      <c r="K1418" s="35">
        <v>0.25</v>
      </c>
      <c r="L1418" s="36">
        <f t="shared" si="217"/>
        <v>90</v>
      </c>
      <c r="M1418" s="37">
        <f t="shared" si="218"/>
        <v>270</v>
      </c>
      <c r="N1418" s="38">
        <v>0.16</v>
      </c>
      <c r="O1418" s="39">
        <f t="shared" si="219"/>
        <v>43.2</v>
      </c>
      <c r="P1418" s="40">
        <f t="shared" si="220"/>
        <v>313.2</v>
      </c>
      <c r="Q1418" s="23"/>
      <c r="R1418" s="56"/>
      <c r="S1418" s="57"/>
      <c r="T1418" s="58">
        <f t="shared" si="221"/>
        <v>0</v>
      </c>
      <c r="U1418" s="36">
        <f t="shared" si="222"/>
        <v>0</v>
      </c>
      <c r="V1418" s="59">
        <f t="shared" si="223"/>
        <v>0</v>
      </c>
      <c r="W1418" s="39">
        <f t="shared" si="224"/>
        <v>0</v>
      </c>
      <c r="X1418" s="40">
        <f t="shared" si="225"/>
        <v>0</v>
      </c>
      <c r="Y1418"/>
      <c r="Z1418"/>
      <c r="AA1418"/>
    </row>
    <row r="1419" spans="1:27" s="51" customFormat="1" ht="18.600000000000001" hidden="1" customHeight="1" x14ac:dyDescent="0.25">
      <c r="A1419" s="82" t="s">
        <v>2653</v>
      </c>
      <c r="B1419" s="41" t="s">
        <v>9303</v>
      </c>
      <c r="C1419" s="42" t="s">
        <v>9308</v>
      </c>
      <c r="D1419" s="41" t="s">
        <v>3199</v>
      </c>
      <c r="E1419" s="43" t="s">
        <v>3200</v>
      </c>
      <c r="F1419" s="43" t="s">
        <v>1937</v>
      </c>
      <c r="G1419" s="43" t="s">
        <v>9953</v>
      </c>
      <c r="H1419" s="85" t="s">
        <v>3201</v>
      </c>
      <c r="I1419" s="23" t="s">
        <v>24</v>
      </c>
      <c r="J1419" s="44">
        <v>540</v>
      </c>
      <c r="K1419" s="45">
        <v>0.25</v>
      </c>
      <c r="L1419" s="46">
        <f t="shared" si="217"/>
        <v>135</v>
      </c>
      <c r="M1419" s="47">
        <f t="shared" si="218"/>
        <v>405</v>
      </c>
      <c r="N1419" s="48">
        <v>0.16</v>
      </c>
      <c r="O1419" s="49">
        <f t="shared" si="219"/>
        <v>64.8</v>
      </c>
      <c r="P1419" s="50">
        <f t="shared" si="220"/>
        <v>469.8</v>
      </c>
      <c r="Q1419" s="23"/>
      <c r="R1419" s="60"/>
      <c r="S1419" s="61"/>
      <c r="T1419" s="62">
        <f t="shared" si="221"/>
        <v>0</v>
      </c>
      <c r="U1419" s="46">
        <f t="shared" si="222"/>
        <v>0</v>
      </c>
      <c r="V1419" s="63">
        <f t="shared" si="223"/>
        <v>0</v>
      </c>
      <c r="W1419" s="49">
        <f t="shared" si="224"/>
        <v>0</v>
      </c>
      <c r="X1419" s="50">
        <f t="shared" si="225"/>
        <v>0</v>
      </c>
      <c r="Y1419"/>
      <c r="Z1419"/>
      <c r="AA1419"/>
    </row>
    <row r="1420" spans="1:27" s="51" customFormat="1" ht="18.600000000000001" hidden="1" customHeight="1" x14ac:dyDescent="0.25">
      <c r="A1420" s="80" t="s">
        <v>2653</v>
      </c>
      <c r="B1420" s="20" t="s">
        <v>9303</v>
      </c>
      <c r="C1420" s="21" t="s">
        <v>9308</v>
      </c>
      <c r="D1420" s="20" t="s">
        <v>3202</v>
      </c>
      <c r="E1420" s="22" t="s">
        <v>3203</v>
      </c>
      <c r="F1420" s="22" t="s">
        <v>1937</v>
      </c>
      <c r="G1420" s="22" t="s">
        <v>9951</v>
      </c>
      <c r="H1420" s="83" t="s">
        <v>3204</v>
      </c>
      <c r="I1420" s="23" t="s">
        <v>24</v>
      </c>
      <c r="J1420" s="24">
        <v>360</v>
      </c>
      <c r="K1420" s="25">
        <v>0.25</v>
      </c>
      <c r="L1420" s="26">
        <f t="shared" si="217"/>
        <v>90</v>
      </c>
      <c r="M1420" s="27">
        <f t="shared" si="218"/>
        <v>270</v>
      </c>
      <c r="N1420" s="28">
        <v>0.16</v>
      </c>
      <c r="O1420" s="29">
        <f t="shared" si="219"/>
        <v>43.2</v>
      </c>
      <c r="P1420" s="30">
        <f t="shared" si="220"/>
        <v>313.2</v>
      </c>
      <c r="Q1420" s="23"/>
      <c r="R1420" s="52"/>
      <c r="S1420" s="53"/>
      <c r="T1420" s="54">
        <f t="shared" si="221"/>
        <v>0</v>
      </c>
      <c r="U1420" s="26">
        <f t="shared" si="222"/>
        <v>0</v>
      </c>
      <c r="V1420" s="55">
        <f t="shared" si="223"/>
        <v>0</v>
      </c>
      <c r="W1420" s="29">
        <f t="shared" si="224"/>
        <v>0</v>
      </c>
      <c r="X1420" s="30">
        <f t="shared" si="225"/>
        <v>0</v>
      </c>
      <c r="Y1420"/>
      <c r="Z1420"/>
      <c r="AA1420"/>
    </row>
    <row r="1421" spans="1:27" s="51" customFormat="1" ht="18.600000000000001" hidden="1" customHeight="1" x14ac:dyDescent="0.25">
      <c r="A1421" s="81" t="s">
        <v>2653</v>
      </c>
      <c r="B1421" s="31" t="s">
        <v>9303</v>
      </c>
      <c r="C1421" s="32" t="s">
        <v>9308</v>
      </c>
      <c r="D1421" s="31" t="s">
        <v>3205</v>
      </c>
      <c r="E1421" s="33" t="s">
        <v>3206</v>
      </c>
      <c r="F1421" s="33" t="s">
        <v>1937</v>
      </c>
      <c r="G1421" s="33" t="s">
        <v>9951</v>
      </c>
      <c r="H1421" s="84" t="s">
        <v>3207</v>
      </c>
      <c r="I1421" s="23" t="s">
        <v>24</v>
      </c>
      <c r="J1421" s="34">
        <v>360</v>
      </c>
      <c r="K1421" s="35">
        <v>0.25</v>
      </c>
      <c r="L1421" s="36">
        <f t="shared" si="217"/>
        <v>90</v>
      </c>
      <c r="M1421" s="37">
        <f t="shared" si="218"/>
        <v>270</v>
      </c>
      <c r="N1421" s="38">
        <v>0.16</v>
      </c>
      <c r="O1421" s="39">
        <f t="shared" si="219"/>
        <v>43.2</v>
      </c>
      <c r="P1421" s="40">
        <f t="shared" si="220"/>
        <v>313.2</v>
      </c>
      <c r="Q1421" s="23"/>
      <c r="R1421" s="56"/>
      <c r="S1421" s="57"/>
      <c r="T1421" s="58">
        <f t="shared" si="221"/>
        <v>0</v>
      </c>
      <c r="U1421" s="36">
        <f t="shared" si="222"/>
        <v>0</v>
      </c>
      <c r="V1421" s="59">
        <f t="shared" si="223"/>
        <v>0</v>
      </c>
      <c r="W1421" s="39">
        <f t="shared" si="224"/>
        <v>0</v>
      </c>
      <c r="X1421" s="40">
        <f t="shared" si="225"/>
        <v>0</v>
      </c>
      <c r="Y1421"/>
      <c r="Z1421"/>
      <c r="AA1421"/>
    </row>
    <row r="1422" spans="1:27" s="51" customFormat="1" ht="18.600000000000001" hidden="1" customHeight="1" x14ac:dyDescent="0.25">
      <c r="A1422" s="82" t="s">
        <v>2653</v>
      </c>
      <c r="B1422" s="41" t="s">
        <v>9303</v>
      </c>
      <c r="C1422" s="42" t="s">
        <v>9308</v>
      </c>
      <c r="D1422" s="41" t="s">
        <v>3208</v>
      </c>
      <c r="E1422" s="43" t="s">
        <v>3209</v>
      </c>
      <c r="F1422" s="43" t="s">
        <v>1937</v>
      </c>
      <c r="G1422" s="43" t="s">
        <v>9959</v>
      </c>
      <c r="H1422" s="85" t="s">
        <v>3210</v>
      </c>
      <c r="I1422" s="23" t="s">
        <v>24</v>
      </c>
      <c r="J1422" s="44">
        <v>720</v>
      </c>
      <c r="K1422" s="45">
        <v>0.25</v>
      </c>
      <c r="L1422" s="46">
        <f t="shared" si="217"/>
        <v>180</v>
      </c>
      <c r="M1422" s="47">
        <f t="shared" si="218"/>
        <v>540</v>
      </c>
      <c r="N1422" s="48">
        <v>0.16</v>
      </c>
      <c r="O1422" s="49">
        <f t="shared" si="219"/>
        <v>86.4</v>
      </c>
      <c r="P1422" s="50">
        <f t="shared" si="220"/>
        <v>626.4</v>
      </c>
      <c r="Q1422" s="23"/>
      <c r="R1422" s="60"/>
      <c r="S1422" s="61"/>
      <c r="T1422" s="62">
        <f t="shared" si="221"/>
        <v>0</v>
      </c>
      <c r="U1422" s="46">
        <f t="shared" si="222"/>
        <v>0</v>
      </c>
      <c r="V1422" s="63">
        <f t="shared" si="223"/>
        <v>0</v>
      </c>
      <c r="W1422" s="49">
        <f t="shared" si="224"/>
        <v>0</v>
      </c>
      <c r="X1422" s="50">
        <f t="shared" si="225"/>
        <v>0</v>
      </c>
      <c r="Y1422"/>
      <c r="Z1422"/>
      <c r="AA1422"/>
    </row>
    <row r="1423" spans="1:27" s="51" customFormat="1" ht="18.600000000000001" hidden="1" customHeight="1" x14ac:dyDescent="0.25">
      <c r="A1423" s="80" t="s">
        <v>2653</v>
      </c>
      <c r="B1423" s="20" t="s">
        <v>9303</v>
      </c>
      <c r="C1423" s="21" t="s">
        <v>9308</v>
      </c>
      <c r="D1423" s="20" t="s">
        <v>3211</v>
      </c>
      <c r="E1423" s="22" t="s">
        <v>3212</v>
      </c>
      <c r="F1423" s="22" t="s">
        <v>1937</v>
      </c>
      <c r="G1423" s="22" t="s">
        <v>9953</v>
      </c>
      <c r="H1423" s="83" t="s">
        <v>3213</v>
      </c>
      <c r="I1423" s="23" t="s">
        <v>24</v>
      </c>
      <c r="J1423" s="24">
        <v>540</v>
      </c>
      <c r="K1423" s="25">
        <v>0.25</v>
      </c>
      <c r="L1423" s="26">
        <f t="shared" si="217"/>
        <v>135</v>
      </c>
      <c r="M1423" s="27">
        <f t="shared" si="218"/>
        <v>405</v>
      </c>
      <c r="N1423" s="28">
        <v>0.16</v>
      </c>
      <c r="O1423" s="29">
        <f t="shared" si="219"/>
        <v>64.8</v>
      </c>
      <c r="P1423" s="30">
        <f t="shared" si="220"/>
        <v>469.8</v>
      </c>
      <c r="Q1423" s="23"/>
      <c r="R1423" s="52"/>
      <c r="S1423" s="53"/>
      <c r="T1423" s="54">
        <f t="shared" si="221"/>
        <v>0</v>
      </c>
      <c r="U1423" s="26">
        <f t="shared" si="222"/>
        <v>0</v>
      </c>
      <c r="V1423" s="55">
        <f t="shared" si="223"/>
        <v>0</v>
      </c>
      <c r="W1423" s="29">
        <f t="shared" si="224"/>
        <v>0</v>
      </c>
      <c r="X1423" s="30">
        <f t="shared" si="225"/>
        <v>0</v>
      </c>
      <c r="Y1423"/>
      <c r="Z1423"/>
      <c r="AA1423"/>
    </row>
    <row r="1424" spans="1:27" s="51" customFormat="1" ht="18.600000000000001" hidden="1" customHeight="1" x14ac:dyDescent="0.25">
      <c r="A1424" s="81" t="s">
        <v>2653</v>
      </c>
      <c r="B1424" s="31" t="s">
        <v>9303</v>
      </c>
      <c r="C1424" s="32" t="s">
        <v>9308</v>
      </c>
      <c r="D1424" s="31" t="s">
        <v>3214</v>
      </c>
      <c r="E1424" s="33" t="s">
        <v>3215</v>
      </c>
      <c r="F1424" s="33" t="s">
        <v>1937</v>
      </c>
      <c r="G1424" s="33" t="s">
        <v>9953</v>
      </c>
      <c r="H1424" s="84" t="s">
        <v>3216</v>
      </c>
      <c r="I1424" s="23" t="s">
        <v>24</v>
      </c>
      <c r="J1424" s="34">
        <v>540</v>
      </c>
      <c r="K1424" s="35">
        <v>0.25</v>
      </c>
      <c r="L1424" s="36">
        <f t="shared" si="217"/>
        <v>135</v>
      </c>
      <c r="M1424" s="37">
        <f t="shared" si="218"/>
        <v>405</v>
      </c>
      <c r="N1424" s="38">
        <v>0.16</v>
      </c>
      <c r="O1424" s="39">
        <f t="shared" si="219"/>
        <v>64.8</v>
      </c>
      <c r="P1424" s="40">
        <f t="shared" si="220"/>
        <v>469.8</v>
      </c>
      <c r="Q1424" s="23"/>
      <c r="R1424" s="56"/>
      <c r="S1424" s="57"/>
      <c r="T1424" s="58">
        <f t="shared" si="221"/>
        <v>0</v>
      </c>
      <c r="U1424" s="36">
        <f t="shared" si="222"/>
        <v>0</v>
      </c>
      <c r="V1424" s="59">
        <f t="shared" si="223"/>
        <v>0</v>
      </c>
      <c r="W1424" s="39">
        <f t="shared" si="224"/>
        <v>0</v>
      </c>
      <c r="X1424" s="40">
        <f t="shared" si="225"/>
        <v>0</v>
      </c>
      <c r="Y1424"/>
      <c r="Z1424"/>
      <c r="AA1424"/>
    </row>
    <row r="1425" spans="1:27" s="51" customFormat="1" ht="18.600000000000001" hidden="1" customHeight="1" x14ac:dyDescent="0.25">
      <c r="A1425" s="82" t="s">
        <v>2653</v>
      </c>
      <c r="B1425" s="41" t="s">
        <v>9303</v>
      </c>
      <c r="C1425" s="42" t="s">
        <v>9308</v>
      </c>
      <c r="D1425" s="41" t="s">
        <v>3217</v>
      </c>
      <c r="E1425" s="43" t="s">
        <v>3218</v>
      </c>
      <c r="F1425" s="43" t="s">
        <v>1937</v>
      </c>
      <c r="G1425" s="43" t="s">
        <v>9951</v>
      </c>
      <c r="H1425" s="85" t="s">
        <v>3219</v>
      </c>
      <c r="I1425" s="23" t="s">
        <v>24</v>
      </c>
      <c r="J1425" s="44">
        <v>360</v>
      </c>
      <c r="K1425" s="45">
        <v>0.25</v>
      </c>
      <c r="L1425" s="46">
        <f t="shared" si="217"/>
        <v>90</v>
      </c>
      <c r="M1425" s="47">
        <f t="shared" si="218"/>
        <v>270</v>
      </c>
      <c r="N1425" s="48">
        <v>0.16</v>
      </c>
      <c r="O1425" s="49">
        <f t="shared" si="219"/>
        <v>43.2</v>
      </c>
      <c r="P1425" s="50">
        <f t="shared" si="220"/>
        <v>313.2</v>
      </c>
      <c r="Q1425" s="23"/>
      <c r="R1425" s="60"/>
      <c r="S1425" s="61"/>
      <c r="T1425" s="62">
        <f t="shared" si="221"/>
        <v>0</v>
      </c>
      <c r="U1425" s="46">
        <f t="shared" si="222"/>
        <v>0</v>
      </c>
      <c r="V1425" s="63">
        <f t="shared" si="223"/>
        <v>0</v>
      </c>
      <c r="W1425" s="49">
        <f t="shared" si="224"/>
        <v>0</v>
      </c>
      <c r="X1425" s="50">
        <f t="shared" si="225"/>
        <v>0</v>
      </c>
      <c r="Y1425"/>
      <c r="Z1425"/>
      <c r="AA1425"/>
    </row>
    <row r="1426" spans="1:27" s="51" customFormat="1" ht="18.600000000000001" hidden="1" customHeight="1" x14ac:dyDescent="0.25">
      <c r="A1426" s="80" t="s">
        <v>2653</v>
      </c>
      <c r="B1426" s="20" t="s">
        <v>9303</v>
      </c>
      <c r="C1426" s="21" t="s">
        <v>9308</v>
      </c>
      <c r="D1426" s="20" t="s">
        <v>3220</v>
      </c>
      <c r="E1426" s="22" t="s">
        <v>3221</v>
      </c>
      <c r="F1426" s="22" t="s">
        <v>1937</v>
      </c>
      <c r="G1426" s="22" t="s">
        <v>2963</v>
      </c>
      <c r="H1426" s="83" t="s">
        <v>3222</v>
      </c>
      <c r="I1426" s="23" t="s">
        <v>24</v>
      </c>
      <c r="J1426" s="24">
        <v>270</v>
      </c>
      <c r="K1426" s="25">
        <v>0.25</v>
      </c>
      <c r="L1426" s="26">
        <f t="shared" si="217"/>
        <v>67.5</v>
      </c>
      <c r="M1426" s="27">
        <f t="shared" si="218"/>
        <v>202.5</v>
      </c>
      <c r="N1426" s="28">
        <v>0.16</v>
      </c>
      <c r="O1426" s="29">
        <f t="shared" si="219"/>
        <v>32.4</v>
      </c>
      <c r="P1426" s="30">
        <f t="shared" si="220"/>
        <v>234.9</v>
      </c>
      <c r="Q1426" s="23"/>
      <c r="R1426" s="52"/>
      <c r="S1426" s="53"/>
      <c r="T1426" s="54">
        <f t="shared" si="221"/>
        <v>0</v>
      </c>
      <c r="U1426" s="26">
        <f t="shared" si="222"/>
        <v>0</v>
      </c>
      <c r="V1426" s="55">
        <f t="shared" si="223"/>
        <v>0</v>
      </c>
      <c r="W1426" s="29">
        <f t="shared" si="224"/>
        <v>0</v>
      </c>
      <c r="X1426" s="30">
        <f t="shared" si="225"/>
        <v>0</v>
      </c>
      <c r="Y1426"/>
      <c r="Z1426"/>
      <c r="AA1426"/>
    </row>
    <row r="1427" spans="1:27" s="51" customFormat="1" ht="18.600000000000001" hidden="1" customHeight="1" x14ac:dyDescent="0.25">
      <c r="A1427" s="81" t="s">
        <v>2653</v>
      </c>
      <c r="B1427" s="31" t="s">
        <v>9303</v>
      </c>
      <c r="C1427" s="32" t="s">
        <v>9308</v>
      </c>
      <c r="D1427" s="31" t="s">
        <v>3223</v>
      </c>
      <c r="E1427" s="33" t="s">
        <v>3224</v>
      </c>
      <c r="F1427" s="33" t="s">
        <v>1937</v>
      </c>
      <c r="G1427" s="33" t="s">
        <v>9951</v>
      </c>
      <c r="H1427" s="84" t="s">
        <v>3225</v>
      </c>
      <c r="I1427" s="23" t="s">
        <v>24</v>
      </c>
      <c r="J1427" s="34">
        <v>360</v>
      </c>
      <c r="K1427" s="35">
        <v>0.25</v>
      </c>
      <c r="L1427" s="36">
        <f t="shared" si="217"/>
        <v>90</v>
      </c>
      <c r="M1427" s="37">
        <f t="shared" si="218"/>
        <v>270</v>
      </c>
      <c r="N1427" s="38">
        <v>0.16</v>
      </c>
      <c r="O1427" s="39">
        <f t="shared" si="219"/>
        <v>43.2</v>
      </c>
      <c r="P1427" s="40">
        <f t="shared" si="220"/>
        <v>313.2</v>
      </c>
      <c r="Q1427" s="23"/>
      <c r="R1427" s="56"/>
      <c r="S1427" s="57"/>
      <c r="T1427" s="58">
        <f t="shared" si="221"/>
        <v>0</v>
      </c>
      <c r="U1427" s="36">
        <f t="shared" si="222"/>
        <v>0</v>
      </c>
      <c r="V1427" s="59">
        <f t="shared" si="223"/>
        <v>0</v>
      </c>
      <c r="W1427" s="39">
        <f t="shared" si="224"/>
        <v>0</v>
      </c>
      <c r="X1427" s="40">
        <f t="shared" si="225"/>
        <v>0</v>
      </c>
      <c r="Y1427"/>
      <c r="Z1427"/>
      <c r="AA1427"/>
    </row>
    <row r="1428" spans="1:27" s="51" customFormat="1" ht="18.600000000000001" hidden="1" customHeight="1" x14ac:dyDescent="0.25">
      <c r="A1428" s="82" t="s">
        <v>2653</v>
      </c>
      <c r="B1428" s="41" t="s">
        <v>9303</v>
      </c>
      <c r="C1428" s="42" t="s">
        <v>9308</v>
      </c>
      <c r="D1428" s="41" t="s">
        <v>3226</v>
      </c>
      <c r="E1428" s="43" t="s">
        <v>3227</v>
      </c>
      <c r="F1428" s="43" t="s">
        <v>1937</v>
      </c>
      <c r="G1428" s="43" t="s">
        <v>9959</v>
      </c>
      <c r="H1428" s="85" t="s">
        <v>3228</v>
      </c>
      <c r="I1428" s="23" t="s">
        <v>24</v>
      </c>
      <c r="J1428" s="44">
        <v>720</v>
      </c>
      <c r="K1428" s="45">
        <v>0.25</v>
      </c>
      <c r="L1428" s="46">
        <f t="shared" si="217"/>
        <v>180</v>
      </c>
      <c r="M1428" s="47">
        <f t="shared" si="218"/>
        <v>540</v>
      </c>
      <c r="N1428" s="48">
        <v>0.16</v>
      </c>
      <c r="O1428" s="49">
        <f t="shared" si="219"/>
        <v>86.4</v>
      </c>
      <c r="P1428" s="50">
        <f t="shared" si="220"/>
        <v>626.4</v>
      </c>
      <c r="Q1428" s="23"/>
      <c r="R1428" s="60"/>
      <c r="S1428" s="61"/>
      <c r="T1428" s="62">
        <f t="shared" si="221"/>
        <v>0</v>
      </c>
      <c r="U1428" s="46">
        <f t="shared" si="222"/>
        <v>0</v>
      </c>
      <c r="V1428" s="63">
        <f t="shared" si="223"/>
        <v>0</v>
      </c>
      <c r="W1428" s="49">
        <f t="shared" si="224"/>
        <v>0</v>
      </c>
      <c r="X1428" s="50">
        <f t="shared" si="225"/>
        <v>0</v>
      </c>
      <c r="Y1428"/>
      <c r="Z1428"/>
      <c r="AA1428"/>
    </row>
    <row r="1429" spans="1:27" s="51" customFormat="1" ht="18.600000000000001" hidden="1" customHeight="1" x14ac:dyDescent="0.25">
      <c r="A1429" s="80" t="s">
        <v>2653</v>
      </c>
      <c r="B1429" s="20" t="s">
        <v>9303</v>
      </c>
      <c r="C1429" s="21" t="s">
        <v>9308</v>
      </c>
      <c r="D1429" s="20" t="s">
        <v>3229</v>
      </c>
      <c r="E1429" s="22" t="s">
        <v>3230</v>
      </c>
      <c r="F1429" s="22" t="s">
        <v>1937</v>
      </c>
      <c r="G1429" s="22" t="s">
        <v>9951</v>
      </c>
      <c r="H1429" s="83" t="s">
        <v>3231</v>
      </c>
      <c r="I1429" s="23" t="s">
        <v>24</v>
      </c>
      <c r="J1429" s="24">
        <v>360</v>
      </c>
      <c r="K1429" s="25">
        <v>0.25</v>
      </c>
      <c r="L1429" s="26">
        <f t="shared" si="217"/>
        <v>90</v>
      </c>
      <c r="M1429" s="27">
        <f t="shared" si="218"/>
        <v>270</v>
      </c>
      <c r="N1429" s="28">
        <v>0.16</v>
      </c>
      <c r="O1429" s="29">
        <f t="shared" si="219"/>
        <v>43.2</v>
      </c>
      <c r="P1429" s="30">
        <f t="shared" si="220"/>
        <v>313.2</v>
      </c>
      <c r="Q1429" s="23"/>
      <c r="R1429" s="52"/>
      <c r="S1429" s="53"/>
      <c r="T1429" s="54">
        <f t="shared" si="221"/>
        <v>0</v>
      </c>
      <c r="U1429" s="26">
        <f t="shared" si="222"/>
        <v>0</v>
      </c>
      <c r="V1429" s="55">
        <f t="shared" si="223"/>
        <v>0</v>
      </c>
      <c r="W1429" s="29">
        <f t="shared" si="224"/>
        <v>0</v>
      </c>
      <c r="X1429" s="30">
        <f t="shared" si="225"/>
        <v>0</v>
      </c>
      <c r="Y1429"/>
      <c r="Z1429"/>
      <c r="AA1429"/>
    </row>
    <row r="1430" spans="1:27" s="51" customFormat="1" ht="18.600000000000001" hidden="1" customHeight="1" x14ac:dyDescent="0.25">
      <c r="A1430" s="81" t="s">
        <v>2653</v>
      </c>
      <c r="B1430" s="31" t="s">
        <v>9303</v>
      </c>
      <c r="C1430" s="32" t="s">
        <v>9308</v>
      </c>
      <c r="D1430" s="31" t="s">
        <v>3232</v>
      </c>
      <c r="E1430" s="33" t="s">
        <v>3233</v>
      </c>
      <c r="F1430" s="33" t="s">
        <v>1937</v>
      </c>
      <c r="G1430" s="33" t="s">
        <v>9951</v>
      </c>
      <c r="H1430" s="84" t="s">
        <v>3234</v>
      </c>
      <c r="I1430" s="23" t="s">
        <v>24</v>
      </c>
      <c r="J1430" s="34">
        <v>360</v>
      </c>
      <c r="K1430" s="35">
        <v>0.25</v>
      </c>
      <c r="L1430" s="36">
        <f t="shared" si="217"/>
        <v>90</v>
      </c>
      <c r="M1430" s="37">
        <f t="shared" si="218"/>
        <v>270</v>
      </c>
      <c r="N1430" s="38">
        <v>0.16</v>
      </c>
      <c r="O1430" s="39">
        <f t="shared" si="219"/>
        <v>43.2</v>
      </c>
      <c r="P1430" s="40">
        <f t="shared" si="220"/>
        <v>313.2</v>
      </c>
      <c r="Q1430" s="23"/>
      <c r="R1430" s="56"/>
      <c r="S1430" s="57"/>
      <c r="T1430" s="58">
        <f t="shared" si="221"/>
        <v>0</v>
      </c>
      <c r="U1430" s="36">
        <f t="shared" si="222"/>
        <v>0</v>
      </c>
      <c r="V1430" s="59">
        <f t="shared" si="223"/>
        <v>0</v>
      </c>
      <c r="W1430" s="39">
        <f t="shared" si="224"/>
        <v>0</v>
      </c>
      <c r="X1430" s="40">
        <f t="shared" si="225"/>
        <v>0</v>
      </c>
      <c r="Y1430"/>
      <c r="Z1430"/>
      <c r="AA1430"/>
    </row>
    <row r="1431" spans="1:27" s="51" customFormat="1" ht="18.600000000000001" hidden="1" customHeight="1" x14ac:dyDescent="0.25">
      <c r="A1431" s="82" t="s">
        <v>2653</v>
      </c>
      <c r="B1431" s="41" t="s">
        <v>9303</v>
      </c>
      <c r="C1431" s="42" t="s">
        <v>9308</v>
      </c>
      <c r="D1431" s="41" t="s">
        <v>3235</v>
      </c>
      <c r="E1431" s="43" t="s">
        <v>3236</v>
      </c>
      <c r="F1431" s="43" t="s">
        <v>1937</v>
      </c>
      <c r="G1431" s="43" t="s">
        <v>2963</v>
      </c>
      <c r="H1431" s="85" t="s">
        <v>3237</v>
      </c>
      <c r="I1431" s="23" t="s">
        <v>24</v>
      </c>
      <c r="J1431" s="44">
        <v>270</v>
      </c>
      <c r="K1431" s="45">
        <v>0.25</v>
      </c>
      <c r="L1431" s="46">
        <f t="shared" ref="L1431:L1494" si="226">+J1431*K1431</f>
        <v>67.5</v>
      </c>
      <c r="M1431" s="47">
        <f t="shared" ref="M1431:M1494" si="227">+J1431-L1431</f>
        <v>202.5</v>
      </c>
      <c r="N1431" s="48">
        <v>0.16</v>
      </c>
      <c r="O1431" s="49">
        <f t="shared" ref="O1431:O1494" si="228">+M1431*N1431</f>
        <v>32.4</v>
      </c>
      <c r="P1431" s="50">
        <f t="shared" ref="P1431:P1494" si="229">+M1431+O1431</f>
        <v>234.9</v>
      </c>
      <c r="Q1431" s="23"/>
      <c r="R1431" s="60"/>
      <c r="S1431" s="61"/>
      <c r="T1431" s="62">
        <f t="shared" ref="T1431:T1494" si="230">+S1431*J1431</f>
        <v>0</v>
      </c>
      <c r="U1431" s="46">
        <f t="shared" ref="U1431:U1494" si="231">+T1431*K1431</f>
        <v>0</v>
      </c>
      <c r="V1431" s="63">
        <f t="shared" ref="V1431:V1494" si="232">+T1431-U1431</f>
        <v>0</v>
      </c>
      <c r="W1431" s="49">
        <f t="shared" ref="W1431:W1494" si="233">+V1431*N1431</f>
        <v>0</v>
      </c>
      <c r="X1431" s="50">
        <f t="shared" ref="X1431:X1494" si="234">+V1431+W1431</f>
        <v>0</v>
      </c>
      <c r="Y1431"/>
      <c r="Z1431"/>
      <c r="AA1431"/>
    </row>
    <row r="1432" spans="1:27" s="51" customFormat="1" ht="18.600000000000001" hidden="1" customHeight="1" x14ac:dyDescent="0.25">
      <c r="A1432" s="80" t="s">
        <v>2653</v>
      </c>
      <c r="B1432" s="20" t="s">
        <v>9303</v>
      </c>
      <c r="C1432" s="21" t="s">
        <v>9308</v>
      </c>
      <c r="D1432" s="20" t="s">
        <v>3238</v>
      </c>
      <c r="E1432" s="22" t="s">
        <v>3239</v>
      </c>
      <c r="F1432" s="22" t="s">
        <v>1937</v>
      </c>
      <c r="G1432" s="22" t="s">
        <v>9951</v>
      </c>
      <c r="H1432" s="83" t="s">
        <v>3240</v>
      </c>
      <c r="I1432" s="23" t="s">
        <v>24</v>
      </c>
      <c r="J1432" s="24">
        <v>360</v>
      </c>
      <c r="K1432" s="25">
        <v>0.25</v>
      </c>
      <c r="L1432" s="26">
        <f t="shared" si="226"/>
        <v>90</v>
      </c>
      <c r="M1432" s="27">
        <f t="shared" si="227"/>
        <v>270</v>
      </c>
      <c r="N1432" s="28">
        <v>0.16</v>
      </c>
      <c r="O1432" s="29">
        <f t="shared" si="228"/>
        <v>43.2</v>
      </c>
      <c r="P1432" s="30">
        <f t="shared" si="229"/>
        <v>313.2</v>
      </c>
      <c r="Q1432" s="23"/>
      <c r="R1432" s="52"/>
      <c r="S1432" s="53"/>
      <c r="T1432" s="54">
        <f t="shared" si="230"/>
        <v>0</v>
      </c>
      <c r="U1432" s="26">
        <f t="shared" si="231"/>
        <v>0</v>
      </c>
      <c r="V1432" s="55">
        <f t="shared" si="232"/>
        <v>0</v>
      </c>
      <c r="W1432" s="29">
        <f t="shared" si="233"/>
        <v>0</v>
      </c>
      <c r="X1432" s="30">
        <f t="shared" si="234"/>
        <v>0</v>
      </c>
      <c r="Y1432"/>
      <c r="Z1432"/>
      <c r="AA1432"/>
    </row>
    <row r="1433" spans="1:27" s="51" customFormat="1" ht="18.600000000000001" hidden="1" customHeight="1" x14ac:dyDescent="0.25">
      <c r="A1433" s="81" t="s">
        <v>2653</v>
      </c>
      <c r="B1433" s="31" t="s">
        <v>9303</v>
      </c>
      <c r="C1433" s="32" t="s">
        <v>9308</v>
      </c>
      <c r="D1433" s="31" t="s">
        <v>3241</v>
      </c>
      <c r="E1433" s="33" t="s">
        <v>3242</v>
      </c>
      <c r="F1433" s="33" t="s">
        <v>1937</v>
      </c>
      <c r="G1433" s="33" t="s">
        <v>9953</v>
      </c>
      <c r="H1433" s="84" t="s">
        <v>3243</v>
      </c>
      <c r="I1433" s="23" t="s">
        <v>24</v>
      </c>
      <c r="J1433" s="34">
        <v>540</v>
      </c>
      <c r="K1433" s="35">
        <v>0.25</v>
      </c>
      <c r="L1433" s="36">
        <f t="shared" si="226"/>
        <v>135</v>
      </c>
      <c r="M1433" s="37">
        <f t="shared" si="227"/>
        <v>405</v>
      </c>
      <c r="N1433" s="38">
        <v>0.16</v>
      </c>
      <c r="O1433" s="39">
        <f t="shared" si="228"/>
        <v>64.8</v>
      </c>
      <c r="P1433" s="40">
        <f t="shared" si="229"/>
        <v>469.8</v>
      </c>
      <c r="Q1433" s="23"/>
      <c r="R1433" s="56"/>
      <c r="S1433" s="57"/>
      <c r="T1433" s="58">
        <f t="shared" si="230"/>
        <v>0</v>
      </c>
      <c r="U1433" s="36">
        <f t="shared" si="231"/>
        <v>0</v>
      </c>
      <c r="V1433" s="59">
        <f t="shared" si="232"/>
        <v>0</v>
      </c>
      <c r="W1433" s="39">
        <f t="shared" si="233"/>
        <v>0</v>
      </c>
      <c r="X1433" s="40">
        <f t="shared" si="234"/>
        <v>0</v>
      </c>
      <c r="Y1433"/>
      <c r="Z1433"/>
      <c r="AA1433"/>
    </row>
    <row r="1434" spans="1:27" s="51" customFormat="1" ht="18.600000000000001" hidden="1" customHeight="1" x14ac:dyDescent="0.25">
      <c r="A1434" s="82" t="s">
        <v>2653</v>
      </c>
      <c r="B1434" s="41" t="s">
        <v>9303</v>
      </c>
      <c r="C1434" s="42" t="s">
        <v>9308</v>
      </c>
      <c r="D1434" s="41" t="s">
        <v>3244</v>
      </c>
      <c r="E1434" s="43" t="s">
        <v>3245</v>
      </c>
      <c r="F1434" s="43" t="s">
        <v>1937</v>
      </c>
      <c r="G1434" s="43" t="s">
        <v>9953</v>
      </c>
      <c r="H1434" s="85" t="s">
        <v>3246</v>
      </c>
      <c r="I1434" s="23" t="s">
        <v>24</v>
      </c>
      <c r="J1434" s="44">
        <v>540</v>
      </c>
      <c r="K1434" s="45">
        <v>0.25</v>
      </c>
      <c r="L1434" s="46">
        <f t="shared" si="226"/>
        <v>135</v>
      </c>
      <c r="M1434" s="47">
        <f t="shared" si="227"/>
        <v>405</v>
      </c>
      <c r="N1434" s="48">
        <v>0.16</v>
      </c>
      <c r="O1434" s="49">
        <f t="shared" si="228"/>
        <v>64.8</v>
      </c>
      <c r="P1434" s="50">
        <f t="shared" si="229"/>
        <v>469.8</v>
      </c>
      <c r="Q1434" s="23"/>
      <c r="R1434" s="60"/>
      <c r="S1434" s="61"/>
      <c r="T1434" s="62">
        <f t="shared" si="230"/>
        <v>0</v>
      </c>
      <c r="U1434" s="46">
        <f t="shared" si="231"/>
        <v>0</v>
      </c>
      <c r="V1434" s="63">
        <f t="shared" si="232"/>
        <v>0</v>
      </c>
      <c r="W1434" s="49">
        <f t="shared" si="233"/>
        <v>0</v>
      </c>
      <c r="X1434" s="50">
        <f t="shared" si="234"/>
        <v>0</v>
      </c>
      <c r="Y1434"/>
      <c r="Z1434"/>
      <c r="AA1434"/>
    </row>
    <row r="1435" spans="1:27" s="51" customFormat="1" ht="18.600000000000001" hidden="1" customHeight="1" x14ac:dyDescent="0.25">
      <c r="A1435" s="80" t="s">
        <v>2653</v>
      </c>
      <c r="B1435" s="20" t="s">
        <v>9303</v>
      </c>
      <c r="C1435" s="21" t="s">
        <v>9308</v>
      </c>
      <c r="D1435" s="20" t="s">
        <v>3247</v>
      </c>
      <c r="E1435" s="22" t="s">
        <v>3248</v>
      </c>
      <c r="F1435" s="22" t="s">
        <v>1937</v>
      </c>
      <c r="G1435" s="22" t="s">
        <v>9951</v>
      </c>
      <c r="H1435" s="83" t="s">
        <v>3249</v>
      </c>
      <c r="I1435" s="23" t="s">
        <v>24</v>
      </c>
      <c r="J1435" s="24">
        <v>360</v>
      </c>
      <c r="K1435" s="25">
        <v>0.25</v>
      </c>
      <c r="L1435" s="26">
        <f t="shared" si="226"/>
        <v>90</v>
      </c>
      <c r="M1435" s="27">
        <f t="shared" si="227"/>
        <v>270</v>
      </c>
      <c r="N1435" s="28">
        <v>0.16</v>
      </c>
      <c r="O1435" s="29">
        <f t="shared" si="228"/>
        <v>43.2</v>
      </c>
      <c r="P1435" s="30">
        <f t="shared" si="229"/>
        <v>313.2</v>
      </c>
      <c r="Q1435" s="23"/>
      <c r="R1435" s="52"/>
      <c r="S1435" s="53"/>
      <c r="T1435" s="54">
        <f t="shared" si="230"/>
        <v>0</v>
      </c>
      <c r="U1435" s="26">
        <f t="shared" si="231"/>
        <v>0</v>
      </c>
      <c r="V1435" s="55">
        <f t="shared" si="232"/>
        <v>0</v>
      </c>
      <c r="W1435" s="29">
        <f t="shared" si="233"/>
        <v>0</v>
      </c>
      <c r="X1435" s="30">
        <f t="shared" si="234"/>
        <v>0</v>
      </c>
      <c r="Y1435"/>
      <c r="Z1435"/>
      <c r="AA1435"/>
    </row>
    <row r="1436" spans="1:27" s="51" customFormat="1" ht="18.600000000000001" hidden="1" customHeight="1" x14ac:dyDescent="0.25">
      <c r="A1436" s="81" t="s">
        <v>2653</v>
      </c>
      <c r="B1436" s="31" t="s">
        <v>9303</v>
      </c>
      <c r="C1436" s="32" t="s">
        <v>9308</v>
      </c>
      <c r="D1436" s="31" t="s">
        <v>3250</v>
      </c>
      <c r="E1436" s="33" t="s">
        <v>3251</v>
      </c>
      <c r="F1436" s="33" t="s">
        <v>1937</v>
      </c>
      <c r="G1436" s="33" t="s">
        <v>2963</v>
      </c>
      <c r="H1436" s="84" t="s">
        <v>3252</v>
      </c>
      <c r="I1436" s="23" t="s">
        <v>24</v>
      </c>
      <c r="J1436" s="34">
        <v>270</v>
      </c>
      <c r="K1436" s="35">
        <v>0.25</v>
      </c>
      <c r="L1436" s="36">
        <f t="shared" si="226"/>
        <v>67.5</v>
      </c>
      <c r="M1436" s="37">
        <f t="shared" si="227"/>
        <v>202.5</v>
      </c>
      <c r="N1436" s="38">
        <v>0.16</v>
      </c>
      <c r="O1436" s="39">
        <f t="shared" si="228"/>
        <v>32.4</v>
      </c>
      <c r="P1436" s="40">
        <f t="shared" si="229"/>
        <v>234.9</v>
      </c>
      <c r="Q1436" s="23"/>
      <c r="R1436" s="56"/>
      <c r="S1436" s="57"/>
      <c r="T1436" s="58">
        <f t="shared" si="230"/>
        <v>0</v>
      </c>
      <c r="U1436" s="36">
        <f t="shared" si="231"/>
        <v>0</v>
      </c>
      <c r="V1436" s="59">
        <f t="shared" si="232"/>
        <v>0</v>
      </c>
      <c r="W1436" s="39">
        <f t="shared" si="233"/>
        <v>0</v>
      </c>
      <c r="X1436" s="40">
        <f t="shared" si="234"/>
        <v>0</v>
      </c>
      <c r="Y1436"/>
      <c r="Z1436"/>
      <c r="AA1436"/>
    </row>
    <row r="1437" spans="1:27" s="51" customFormat="1" ht="18.600000000000001" hidden="1" customHeight="1" x14ac:dyDescent="0.25">
      <c r="A1437" s="82" t="s">
        <v>2653</v>
      </c>
      <c r="B1437" s="41" t="s">
        <v>9303</v>
      </c>
      <c r="C1437" s="42" t="s">
        <v>9308</v>
      </c>
      <c r="D1437" s="41" t="s">
        <v>3253</v>
      </c>
      <c r="E1437" s="43" t="s">
        <v>3254</v>
      </c>
      <c r="F1437" s="43" t="s">
        <v>1937</v>
      </c>
      <c r="G1437" s="43" t="s">
        <v>9951</v>
      </c>
      <c r="H1437" s="85" t="s">
        <v>3255</v>
      </c>
      <c r="I1437" s="23" t="s">
        <v>24</v>
      </c>
      <c r="J1437" s="44">
        <v>360</v>
      </c>
      <c r="K1437" s="45">
        <v>0.25</v>
      </c>
      <c r="L1437" s="46">
        <f t="shared" si="226"/>
        <v>90</v>
      </c>
      <c r="M1437" s="47">
        <f t="shared" si="227"/>
        <v>270</v>
      </c>
      <c r="N1437" s="48">
        <v>0.16</v>
      </c>
      <c r="O1437" s="49">
        <f t="shared" si="228"/>
        <v>43.2</v>
      </c>
      <c r="P1437" s="50">
        <f t="shared" si="229"/>
        <v>313.2</v>
      </c>
      <c r="Q1437" s="23"/>
      <c r="R1437" s="60"/>
      <c r="S1437" s="61"/>
      <c r="T1437" s="62">
        <f t="shared" si="230"/>
        <v>0</v>
      </c>
      <c r="U1437" s="46">
        <f t="shared" si="231"/>
        <v>0</v>
      </c>
      <c r="V1437" s="63">
        <f t="shared" si="232"/>
        <v>0</v>
      </c>
      <c r="W1437" s="49">
        <f t="shared" si="233"/>
        <v>0</v>
      </c>
      <c r="X1437" s="50">
        <f t="shared" si="234"/>
        <v>0</v>
      </c>
      <c r="Y1437"/>
      <c r="Z1437"/>
      <c r="AA1437"/>
    </row>
    <row r="1438" spans="1:27" s="51" customFormat="1" ht="18.600000000000001" hidden="1" customHeight="1" x14ac:dyDescent="0.25">
      <c r="A1438" s="80" t="s">
        <v>2653</v>
      </c>
      <c r="B1438" s="20" t="s">
        <v>9303</v>
      </c>
      <c r="C1438" s="21" t="s">
        <v>9308</v>
      </c>
      <c r="D1438" s="20" t="s">
        <v>3256</v>
      </c>
      <c r="E1438" s="22" t="s">
        <v>3257</v>
      </c>
      <c r="F1438" s="22" t="s">
        <v>1937</v>
      </c>
      <c r="G1438" s="22" t="s">
        <v>9950</v>
      </c>
      <c r="H1438" s="83" t="s">
        <v>3258</v>
      </c>
      <c r="I1438" s="23" t="s">
        <v>24</v>
      </c>
      <c r="J1438" s="24">
        <v>750</v>
      </c>
      <c r="K1438" s="25">
        <v>0.25</v>
      </c>
      <c r="L1438" s="26">
        <f t="shared" si="226"/>
        <v>187.5</v>
      </c>
      <c r="M1438" s="27">
        <f t="shared" si="227"/>
        <v>562.5</v>
      </c>
      <c r="N1438" s="28">
        <v>0.16</v>
      </c>
      <c r="O1438" s="29">
        <f t="shared" si="228"/>
        <v>90</v>
      </c>
      <c r="P1438" s="30">
        <f t="shared" si="229"/>
        <v>652.5</v>
      </c>
      <c r="Q1438" s="23"/>
      <c r="R1438" s="52"/>
      <c r="S1438" s="53"/>
      <c r="T1438" s="54">
        <f t="shared" si="230"/>
        <v>0</v>
      </c>
      <c r="U1438" s="26">
        <f t="shared" si="231"/>
        <v>0</v>
      </c>
      <c r="V1438" s="55">
        <f t="shared" si="232"/>
        <v>0</v>
      </c>
      <c r="W1438" s="29">
        <f t="shared" si="233"/>
        <v>0</v>
      </c>
      <c r="X1438" s="30">
        <f t="shared" si="234"/>
        <v>0</v>
      </c>
      <c r="Y1438"/>
      <c r="Z1438"/>
      <c r="AA1438"/>
    </row>
    <row r="1439" spans="1:27" s="51" customFormat="1" ht="18.600000000000001" hidden="1" customHeight="1" x14ac:dyDescent="0.25">
      <c r="A1439" s="81" t="s">
        <v>2653</v>
      </c>
      <c r="B1439" s="31" t="s">
        <v>9303</v>
      </c>
      <c r="C1439" s="32" t="s">
        <v>9308</v>
      </c>
      <c r="D1439" s="31" t="s">
        <v>3259</v>
      </c>
      <c r="E1439" s="33" t="s">
        <v>3260</v>
      </c>
      <c r="F1439" s="33" t="s">
        <v>1937</v>
      </c>
      <c r="G1439" s="33" t="s">
        <v>9953</v>
      </c>
      <c r="H1439" s="84" t="s">
        <v>3261</v>
      </c>
      <c r="I1439" s="23" t="s">
        <v>24</v>
      </c>
      <c r="J1439" s="34">
        <v>540</v>
      </c>
      <c r="K1439" s="35">
        <v>0.25</v>
      </c>
      <c r="L1439" s="36">
        <f t="shared" si="226"/>
        <v>135</v>
      </c>
      <c r="M1439" s="37">
        <f t="shared" si="227"/>
        <v>405</v>
      </c>
      <c r="N1439" s="38">
        <v>0.16</v>
      </c>
      <c r="O1439" s="39">
        <f t="shared" si="228"/>
        <v>64.8</v>
      </c>
      <c r="P1439" s="40">
        <f t="shared" si="229"/>
        <v>469.8</v>
      </c>
      <c r="Q1439" s="23"/>
      <c r="R1439" s="56"/>
      <c r="S1439" s="57"/>
      <c r="T1439" s="58">
        <f t="shared" si="230"/>
        <v>0</v>
      </c>
      <c r="U1439" s="36">
        <f t="shared" si="231"/>
        <v>0</v>
      </c>
      <c r="V1439" s="59">
        <f t="shared" si="232"/>
        <v>0</v>
      </c>
      <c r="W1439" s="39">
        <f t="shared" si="233"/>
        <v>0</v>
      </c>
      <c r="X1439" s="40">
        <f t="shared" si="234"/>
        <v>0</v>
      </c>
      <c r="Y1439"/>
      <c r="Z1439"/>
      <c r="AA1439"/>
    </row>
    <row r="1440" spans="1:27" s="51" customFormat="1" ht="18.600000000000001" hidden="1" customHeight="1" x14ac:dyDescent="0.25">
      <c r="A1440" s="82" t="s">
        <v>2653</v>
      </c>
      <c r="B1440" s="41" t="s">
        <v>9303</v>
      </c>
      <c r="C1440" s="42" t="s">
        <v>9308</v>
      </c>
      <c r="D1440" s="41" t="s">
        <v>3262</v>
      </c>
      <c r="E1440" s="43" t="s">
        <v>3263</v>
      </c>
      <c r="F1440" s="43" t="s">
        <v>1937</v>
      </c>
      <c r="G1440" s="43" t="s">
        <v>9959</v>
      </c>
      <c r="H1440" s="85" t="s">
        <v>3264</v>
      </c>
      <c r="I1440" s="23" t="s">
        <v>24</v>
      </c>
      <c r="J1440" s="44">
        <v>720</v>
      </c>
      <c r="K1440" s="45">
        <v>0.25</v>
      </c>
      <c r="L1440" s="46">
        <f t="shared" si="226"/>
        <v>180</v>
      </c>
      <c r="M1440" s="47">
        <f t="shared" si="227"/>
        <v>540</v>
      </c>
      <c r="N1440" s="48">
        <v>0.16</v>
      </c>
      <c r="O1440" s="49">
        <f t="shared" si="228"/>
        <v>86.4</v>
      </c>
      <c r="P1440" s="50">
        <f t="shared" si="229"/>
        <v>626.4</v>
      </c>
      <c r="Q1440" s="23"/>
      <c r="R1440" s="60"/>
      <c r="S1440" s="61"/>
      <c r="T1440" s="62">
        <f t="shared" si="230"/>
        <v>0</v>
      </c>
      <c r="U1440" s="46">
        <f t="shared" si="231"/>
        <v>0</v>
      </c>
      <c r="V1440" s="63">
        <f t="shared" si="232"/>
        <v>0</v>
      </c>
      <c r="W1440" s="49">
        <f t="shared" si="233"/>
        <v>0</v>
      </c>
      <c r="X1440" s="50">
        <f t="shared" si="234"/>
        <v>0</v>
      </c>
      <c r="Y1440"/>
      <c r="Z1440"/>
      <c r="AA1440"/>
    </row>
    <row r="1441" spans="1:27" s="51" customFormat="1" ht="18.600000000000001" hidden="1" customHeight="1" x14ac:dyDescent="0.25">
      <c r="A1441" s="80" t="s">
        <v>2653</v>
      </c>
      <c r="B1441" s="20" t="s">
        <v>9303</v>
      </c>
      <c r="C1441" s="21" t="s">
        <v>9308</v>
      </c>
      <c r="D1441" s="20" t="s">
        <v>3265</v>
      </c>
      <c r="E1441" s="22" t="s">
        <v>3266</v>
      </c>
      <c r="F1441" s="22" t="s">
        <v>1937</v>
      </c>
      <c r="G1441" s="22" t="s">
        <v>9951</v>
      </c>
      <c r="H1441" s="83" t="s">
        <v>3267</v>
      </c>
      <c r="I1441" s="23" t="s">
        <v>24</v>
      </c>
      <c r="J1441" s="24">
        <v>360</v>
      </c>
      <c r="K1441" s="25">
        <v>0.25</v>
      </c>
      <c r="L1441" s="26">
        <f t="shared" si="226"/>
        <v>90</v>
      </c>
      <c r="M1441" s="27">
        <f t="shared" si="227"/>
        <v>270</v>
      </c>
      <c r="N1441" s="28">
        <v>0.16</v>
      </c>
      <c r="O1441" s="29">
        <f t="shared" si="228"/>
        <v>43.2</v>
      </c>
      <c r="P1441" s="30">
        <f t="shared" si="229"/>
        <v>313.2</v>
      </c>
      <c r="Q1441" s="23"/>
      <c r="R1441" s="52"/>
      <c r="S1441" s="53"/>
      <c r="T1441" s="54">
        <f t="shared" si="230"/>
        <v>0</v>
      </c>
      <c r="U1441" s="26">
        <f t="shared" si="231"/>
        <v>0</v>
      </c>
      <c r="V1441" s="55">
        <f t="shared" si="232"/>
        <v>0</v>
      </c>
      <c r="W1441" s="29">
        <f t="shared" si="233"/>
        <v>0</v>
      </c>
      <c r="X1441" s="30">
        <f t="shared" si="234"/>
        <v>0</v>
      </c>
      <c r="Y1441"/>
      <c r="Z1441"/>
      <c r="AA1441"/>
    </row>
    <row r="1442" spans="1:27" s="51" customFormat="1" ht="18.600000000000001" hidden="1" customHeight="1" x14ac:dyDescent="0.25">
      <c r="A1442" s="81" t="s">
        <v>2653</v>
      </c>
      <c r="B1442" s="31" t="s">
        <v>9303</v>
      </c>
      <c r="C1442" s="32" t="s">
        <v>9308</v>
      </c>
      <c r="D1442" s="31" t="s">
        <v>3268</v>
      </c>
      <c r="E1442" s="33" t="s">
        <v>3269</v>
      </c>
      <c r="F1442" s="33" t="s">
        <v>1937</v>
      </c>
      <c r="G1442" s="33" t="s">
        <v>9959</v>
      </c>
      <c r="H1442" s="84" t="s">
        <v>3270</v>
      </c>
      <c r="I1442" s="23" t="s">
        <v>24</v>
      </c>
      <c r="J1442" s="34">
        <v>720</v>
      </c>
      <c r="K1442" s="35">
        <v>0.25</v>
      </c>
      <c r="L1442" s="36">
        <f t="shared" si="226"/>
        <v>180</v>
      </c>
      <c r="M1442" s="37">
        <f t="shared" si="227"/>
        <v>540</v>
      </c>
      <c r="N1442" s="38">
        <v>0.16</v>
      </c>
      <c r="O1442" s="39">
        <f t="shared" si="228"/>
        <v>86.4</v>
      </c>
      <c r="P1442" s="40">
        <f t="shared" si="229"/>
        <v>626.4</v>
      </c>
      <c r="Q1442" s="23"/>
      <c r="R1442" s="56"/>
      <c r="S1442" s="57"/>
      <c r="T1442" s="58">
        <f t="shared" si="230"/>
        <v>0</v>
      </c>
      <c r="U1442" s="36">
        <f t="shared" si="231"/>
        <v>0</v>
      </c>
      <c r="V1442" s="59">
        <f t="shared" si="232"/>
        <v>0</v>
      </c>
      <c r="W1442" s="39">
        <f t="shared" si="233"/>
        <v>0</v>
      </c>
      <c r="X1442" s="40">
        <f t="shared" si="234"/>
        <v>0</v>
      </c>
      <c r="Y1442"/>
      <c r="Z1442"/>
      <c r="AA1442"/>
    </row>
    <row r="1443" spans="1:27" s="51" customFormat="1" ht="18.600000000000001" hidden="1" customHeight="1" x14ac:dyDescent="0.25">
      <c r="A1443" s="82" t="s">
        <v>2653</v>
      </c>
      <c r="B1443" s="41" t="s">
        <v>9303</v>
      </c>
      <c r="C1443" s="42" t="s">
        <v>9308</v>
      </c>
      <c r="D1443" s="41" t="s">
        <v>3271</v>
      </c>
      <c r="E1443" s="43" t="s">
        <v>3272</v>
      </c>
      <c r="F1443" s="43" t="s">
        <v>1937</v>
      </c>
      <c r="G1443" s="43" t="s">
        <v>9951</v>
      </c>
      <c r="H1443" s="85" t="s">
        <v>3273</v>
      </c>
      <c r="I1443" s="23" t="s">
        <v>24</v>
      </c>
      <c r="J1443" s="44">
        <v>360</v>
      </c>
      <c r="K1443" s="45">
        <v>0.25</v>
      </c>
      <c r="L1443" s="46">
        <f t="shared" si="226"/>
        <v>90</v>
      </c>
      <c r="M1443" s="47">
        <f t="shared" si="227"/>
        <v>270</v>
      </c>
      <c r="N1443" s="48">
        <v>0.16</v>
      </c>
      <c r="O1443" s="49">
        <f t="shared" si="228"/>
        <v>43.2</v>
      </c>
      <c r="P1443" s="50">
        <f t="shared" si="229"/>
        <v>313.2</v>
      </c>
      <c r="Q1443" s="23"/>
      <c r="R1443" s="60"/>
      <c r="S1443" s="61"/>
      <c r="T1443" s="62">
        <f t="shared" si="230"/>
        <v>0</v>
      </c>
      <c r="U1443" s="46">
        <f t="shared" si="231"/>
        <v>0</v>
      </c>
      <c r="V1443" s="63">
        <f t="shared" si="232"/>
        <v>0</v>
      </c>
      <c r="W1443" s="49">
        <f t="shared" si="233"/>
        <v>0</v>
      </c>
      <c r="X1443" s="50">
        <f t="shared" si="234"/>
        <v>0</v>
      </c>
      <c r="Y1443"/>
      <c r="Z1443"/>
      <c r="AA1443"/>
    </row>
    <row r="1444" spans="1:27" s="51" customFormat="1" ht="18.600000000000001" hidden="1" customHeight="1" x14ac:dyDescent="0.25">
      <c r="A1444" s="80" t="s">
        <v>2653</v>
      </c>
      <c r="B1444" s="20" t="s">
        <v>9303</v>
      </c>
      <c r="C1444" s="21" t="s">
        <v>9308</v>
      </c>
      <c r="D1444" s="20" t="s">
        <v>3274</v>
      </c>
      <c r="E1444" s="22" t="s">
        <v>3275</v>
      </c>
      <c r="F1444" s="22" t="s">
        <v>1937</v>
      </c>
      <c r="G1444" s="22" t="s">
        <v>9951</v>
      </c>
      <c r="H1444" s="83" t="s">
        <v>3276</v>
      </c>
      <c r="I1444" s="23" t="s">
        <v>24</v>
      </c>
      <c r="J1444" s="24">
        <v>360</v>
      </c>
      <c r="K1444" s="25">
        <v>0.25</v>
      </c>
      <c r="L1444" s="26">
        <f t="shared" si="226"/>
        <v>90</v>
      </c>
      <c r="M1444" s="27">
        <f t="shared" si="227"/>
        <v>270</v>
      </c>
      <c r="N1444" s="28">
        <v>0.16</v>
      </c>
      <c r="O1444" s="29">
        <f t="shared" si="228"/>
        <v>43.2</v>
      </c>
      <c r="P1444" s="30">
        <f t="shared" si="229"/>
        <v>313.2</v>
      </c>
      <c r="Q1444" s="23"/>
      <c r="R1444" s="52"/>
      <c r="S1444" s="53"/>
      <c r="T1444" s="54">
        <f t="shared" si="230"/>
        <v>0</v>
      </c>
      <c r="U1444" s="26">
        <f t="shared" si="231"/>
        <v>0</v>
      </c>
      <c r="V1444" s="55">
        <f t="shared" si="232"/>
        <v>0</v>
      </c>
      <c r="W1444" s="29">
        <f t="shared" si="233"/>
        <v>0</v>
      </c>
      <c r="X1444" s="30">
        <f t="shared" si="234"/>
        <v>0</v>
      </c>
      <c r="Y1444"/>
      <c r="Z1444"/>
      <c r="AA1444"/>
    </row>
    <row r="1445" spans="1:27" s="51" customFormat="1" ht="18.600000000000001" hidden="1" customHeight="1" x14ac:dyDescent="0.25">
      <c r="A1445" s="81" t="s">
        <v>2653</v>
      </c>
      <c r="B1445" s="31" t="s">
        <v>9303</v>
      </c>
      <c r="C1445" s="32" t="s">
        <v>9308</v>
      </c>
      <c r="D1445" s="31" t="s">
        <v>3277</v>
      </c>
      <c r="E1445" s="33" t="s">
        <v>3278</v>
      </c>
      <c r="F1445" s="33" t="s">
        <v>1937</v>
      </c>
      <c r="G1445" s="33" t="s">
        <v>9959</v>
      </c>
      <c r="H1445" s="84" t="s">
        <v>3279</v>
      </c>
      <c r="I1445" s="23" t="s">
        <v>24</v>
      </c>
      <c r="J1445" s="34">
        <v>720</v>
      </c>
      <c r="K1445" s="35">
        <v>0.25</v>
      </c>
      <c r="L1445" s="36">
        <f t="shared" si="226"/>
        <v>180</v>
      </c>
      <c r="M1445" s="37">
        <f t="shared" si="227"/>
        <v>540</v>
      </c>
      <c r="N1445" s="38">
        <v>0.16</v>
      </c>
      <c r="O1445" s="39">
        <f t="shared" si="228"/>
        <v>86.4</v>
      </c>
      <c r="P1445" s="40">
        <f t="shared" si="229"/>
        <v>626.4</v>
      </c>
      <c r="Q1445" s="23"/>
      <c r="R1445" s="56"/>
      <c r="S1445" s="57"/>
      <c r="T1445" s="58">
        <f t="shared" si="230"/>
        <v>0</v>
      </c>
      <c r="U1445" s="36">
        <f t="shared" si="231"/>
        <v>0</v>
      </c>
      <c r="V1445" s="59">
        <f t="shared" si="232"/>
        <v>0</v>
      </c>
      <c r="W1445" s="39">
        <f t="shared" si="233"/>
        <v>0</v>
      </c>
      <c r="X1445" s="40">
        <f t="shared" si="234"/>
        <v>0</v>
      </c>
      <c r="Y1445"/>
      <c r="Z1445"/>
      <c r="AA1445"/>
    </row>
    <row r="1446" spans="1:27" s="51" customFormat="1" ht="18.600000000000001" hidden="1" customHeight="1" x14ac:dyDescent="0.25">
      <c r="A1446" s="82" t="s">
        <v>2653</v>
      </c>
      <c r="B1446" s="41" t="s">
        <v>9303</v>
      </c>
      <c r="C1446" s="42" t="s">
        <v>9308</v>
      </c>
      <c r="D1446" s="41" t="s">
        <v>3280</v>
      </c>
      <c r="E1446" s="43" t="s">
        <v>3281</v>
      </c>
      <c r="F1446" s="43" t="s">
        <v>1937</v>
      </c>
      <c r="G1446" s="43" t="s">
        <v>9959</v>
      </c>
      <c r="H1446" s="85" t="s">
        <v>3282</v>
      </c>
      <c r="I1446" s="23" t="s">
        <v>24</v>
      </c>
      <c r="J1446" s="44">
        <v>720</v>
      </c>
      <c r="K1446" s="45">
        <v>0.25</v>
      </c>
      <c r="L1446" s="46">
        <f t="shared" si="226"/>
        <v>180</v>
      </c>
      <c r="M1446" s="47">
        <f t="shared" si="227"/>
        <v>540</v>
      </c>
      <c r="N1446" s="48">
        <v>0.16</v>
      </c>
      <c r="O1446" s="49">
        <f t="shared" si="228"/>
        <v>86.4</v>
      </c>
      <c r="P1446" s="50">
        <f t="shared" si="229"/>
        <v>626.4</v>
      </c>
      <c r="Q1446" s="23"/>
      <c r="R1446" s="60"/>
      <c r="S1446" s="61"/>
      <c r="T1446" s="62">
        <f t="shared" si="230"/>
        <v>0</v>
      </c>
      <c r="U1446" s="46">
        <f t="shared" si="231"/>
        <v>0</v>
      </c>
      <c r="V1446" s="63">
        <f t="shared" si="232"/>
        <v>0</v>
      </c>
      <c r="W1446" s="49">
        <f t="shared" si="233"/>
        <v>0</v>
      </c>
      <c r="X1446" s="50">
        <f t="shared" si="234"/>
        <v>0</v>
      </c>
      <c r="Y1446"/>
      <c r="Z1446"/>
      <c r="AA1446"/>
    </row>
    <row r="1447" spans="1:27" s="51" customFormat="1" ht="18.600000000000001" hidden="1" customHeight="1" x14ac:dyDescent="0.25">
      <c r="A1447" s="80" t="s">
        <v>2653</v>
      </c>
      <c r="B1447" s="20" t="s">
        <v>9303</v>
      </c>
      <c r="C1447" s="21" t="s">
        <v>9308</v>
      </c>
      <c r="D1447" s="20" t="s">
        <v>3283</v>
      </c>
      <c r="E1447" s="22" t="s">
        <v>3284</v>
      </c>
      <c r="F1447" s="22" t="s">
        <v>1937</v>
      </c>
      <c r="G1447" s="22" t="s">
        <v>2963</v>
      </c>
      <c r="H1447" s="83" t="s">
        <v>3285</v>
      </c>
      <c r="I1447" s="23" t="s">
        <v>24</v>
      </c>
      <c r="J1447" s="24">
        <v>270</v>
      </c>
      <c r="K1447" s="25">
        <v>0.25</v>
      </c>
      <c r="L1447" s="26">
        <f t="shared" si="226"/>
        <v>67.5</v>
      </c>
      <c r="M1447" s="27">
        <f t="shared" si="227"/>
        <v>202.5</v>
      </c>
      <c r="N1447" s="28">
        <v>0.16</v>
      </c>
      <c r="O1447" s="29">
        <f t="shared" si="228"/>
        <v>32.4</v>
      </c>
      <c r="P1447" s="30">
        <f t="shared" si="229"/>
        <v>234.9</v>
      </c>
      <c r="Q1447" s="23"/>
      <c r="R1447" s="52"/>
      <c r="S1447" s="53"/>
      <c r="T1447" s="54">
        <f t="shared" si="230"/>
        <v>0</v>
      </c>
      <c r="U1447" s="26">
        <f t="shared" si="231"/>
        <v>0</v>
      </c>
      <c r="V1447" s="55">
        <f t="shared" si="232"/>
        <v>0</v>
      </c>
      <c r="W1447" s="29">
        <f t="shared" si="233"/>
        <v>0</v>
      </c>
      <c r="X1447" s="30">
        <f t="shared" si="234"/>
        <v>0</v>
      </c>
      <c r="Y1447"/>
      <c r="Z1447"/>
      <c r="AA1447"/>
    </row>
    <row r="1448" spans="1:27" s="51" customFormat="1" ht="18.600000000000001" hidden="1" customHeight="1" x14ac:dyDescent="0.25">
      <c r="A1448" s="81" t="s">
        <v>2653</v>
      </c>
      <c r="B1448" s="31" t="s">
        <v>9303</v>
      </c>
      <c r="C1448" s="32" t="s">
        <v>9308</v>
      </c>
      <c r="D1448" s="31" t="s">
        <v>3286</v>
      </c>
      <c r="E1448" s="33" t="s">
        <v>3287</v>
      </c>
      <c r="F1448" s="33" t="s">
        <v>1937</v>
      </c>
      <c r="G1448" s="33" t="s">
        <v>9953</v>
      </c>
      <c r="H1448" s="84" t="s">
        <v>3288</v>
      </c>
      <c r="I1448" s="23" t="s">
        <v>24</v>
      </c>
      <c r="J1448" s="34">
        <v>740</v>
      </c>
      <c r="K1448" s="35">
        <v>0.25</v>
      </c>
      <c r="L1448" s="36">
        <f t="shared" si="226"/>
        <v>185</v>
      </c>
      <c r="M1448" s="37">
        <f t="shared" si="227"/>
        <v>555</v>
      </c>
      <c r="N1448" s="38">
        <v>0.16</v>
      </c>
      <c r="O1448" s="39">
        <f t="shared" si="228"/>
        <v>88.8</v>
      </c>
      <c r="P1448" s="40">
        <f t="shared" si="229"/>
        <v>643.79999999999995</v>
      </c>
      <c r="Q1448" s="23"/>
      <c r="R1448" s="56"/>
      <c r="S1448" s="57"/>
      <c r="T1448" s="58">
        <f t="shared" si="230"/>
        <v>0</v>
      </c>
      <c r="U1448" s="36">
        <f t="shared" si="231"/>
        <v>0</v>
      </c>
      <c r="V1448" s="59">
        <f t="shared" si="232"/>
        <v>0</v>
      </c>
      <c r="W1448" s="39">
        <f t="shared" si="233"/>
        <v>0</v>
      </c>
      <c r="X1448" s="40">
        <f t="shared" si="234"/>
        <v>0</v>
      </c>
      <c r="Y1448"/>
      <c r="Z1448"/>
      <c r="AA1448"/>
    </row>
    <row r="1449" spans="1:27" s="51" customFormat="1" ht="18.600000000000001" hidden="1" customHeight="1" x14ac:dyDescent="0.25">
      <c r="A1449" s="82" t="s">
        <v>2653</v>
      </c>
      <c r="B1449" s="41" t="s">
        <v>9303</v>
      </c>
      <c r="C1449" s="42" t="s">
        <v>9308</v>
      </c>
      <c r="D1449" s="41" t="s">
        <v>3289</v>
      </c>
      <c r="E1449" s="43" t="s">
        <v>3290</v>
      </c>
      <c r="F1449" s="43" t="s">
        <v>1937</v>
      </c>
      <c r="G1449" s="43" t="s">
        <v>9959</v>
      </c>
      <c r="H1449" s="85" t="s">
        <v>3291</v>
      </c>
      <c r="I1449" s="23" t="s">
        <v>24</v>
      </c>
      <c r="J1449" s="44">
        <v>720</v>
      </c>
      <c r="K1449" s="45">
        <v>0.25</v>
      </c>
      <c r="L1449" s="46">
        <f t="shared" si="226"/>
        <v>180</v>
      </c>
      <c r="M1449" s="47">
        <f t="shared" si="227"/>
        <v>540</v>
      </c>
      <c r="N1449" s="48">
        <v>0.16</v>
      </c>
      <c r="O1449" s="49">
        <f t="shared" si="228"/>
        <v>86.4</v>
      </c>
      <c r="P1449" s="50">
        <f t="shared" si="229"/>
        <v>626.4</v>
      </c>
      <c r="Q1449" s="23"/>
      <c r="R1449" s="60"/>
      <c r="S1449" s="61"/>
      <c r="T1449" s="62">
        <f t="shared" si="230"/>
        <v>0</v>
      </c>
      <c r="U1449" s="46">
        <f t="shared" si="231"/>
        <v>0</v>
      </c>
      <c r="V1449" s="63">
        <f t="shared" si="232"/>
        <v>0</v>
      </c>
      <c r="W1449" s="49">
        <f t="shared" si="233"/>
        <v>0</v>
      </c>
      <c r="X1449" s="50">
        <f t="shared" si="234"/>
        <v>0</v>
      </c>
      <c r="Y1449"/>
      <c r="Z1449"/>
      <c r="AA1449"/>
    </row>
    <row r="1450" spans="1:27" s="51" customFormat="1" ht="18.600000000000001" hidden="1" customHeight="1" x14ac:dyDescent="0.25">
      <c r="A1450" s="80" t="s">
        <v>2653</v>
      </c>
      <c r="B1450" s="20" t="s">
        <v>9303</v>
      </c>
      <c r="C1450" s="21" t="s">
        <v>9308</v>
      </c>
      <c r="D1450" s="20" t="s">
        <v>3292</v>
      </c>
      <c r="E1450" s="22" t="s">
        <v>3293</v>
      </c>
      <c r="F1450" s="22" t="s">
        <v>1937</v>
      </c>
      <c r="G1450" s="22" t="s">
        <v>2963</v>
      </c>
      <c r="H1450" s="83" t="s">
        <v>3294</v>
      </c>
      <c r="I1450" s="23" t="s">
        <v>24</v>
      </c>
      <c r="J1450" s="24">
        <v>270</v>
      </c>
      <c r="K1450" s="25">
        <v>0.25</v>
      </c>
      <c r="L1450" s="26">
        <f t="shared" si="226"/>
        <v>67.5</v>
      </c>
      <c r="M1450" s="27">
        <f t="shared" si="227"/>
        <v>202.5</v>
      </c>
      <c r="N1450" s="28">
        <v>0.16</v>
      </c>
      <c r="O1450" s="29">
        <f t="shared" si="228"/>
        <v>32.4</v>
      </c>
      <c r="P1450" s="30">
        <f t="shared" si="229"/>
        <v>234.9</v>
      </c>
      <c r="Q1450" s="23"/>
      <c r="R1450" s="52"/>
      <c r="S1450" s="53"/>
      <c r="T1450" s="54">
        <f t="shared" si="230"/>
        <v>0</v>
      </c>
      <c r="U1450" s="26">
        <f t="shared" si="231"/>
        <v>0</v>
      </c>
      <c r="V1450" s="55">
        <f t="shared" si="232"/>
        <v>0</v>
      </c>
      <c r="W1450" s="29">
        <f t="shared" si="233"/>
        <v>0</v>
      </c>
      <c r="X1450" s="30">
        <f t="shared" si="234"/>
        <v>0</v>
      </c>
      <c r="Y1450"/>
      <c r="Z1450"/>
      <c r="AA1450"/>
    </row>
    <row r="1451" spans="1:27" s="51" customFormat="1" ht="18.600000000000001" hidden="1" customHeight="1" x14ac:dyDescent="0.25">
      <c r="A1451" s="81" t="s">
        <v>2653</v>
      </c>
      <c r="B1451" s="31" t="s">
        <v>9303</v>
      </c>
      <c r="C1451" s="32" t="s">
        <v>9308</v>
      </c>
      <c r="D1451" s="31" t="s">
        <v>3295</v>
      </c>
      <c r="E1451" s="33" t="s">
        <v>3296</v>
      </c>
      <c r="F1451" s="33" t="s">
        <v>1937</v>
      </c>
      <c r="G1451" s="33" t="s">
        <v>9959</v>
      </c>
      <c r="H1451" s="84" t="s">
        <v>3297</v>
      </c>
      <c r="I1451" s="23" t="s">
        <v>24</v>
      </c>
      <c r="J1451" s="34">
        <v>720</v>
      </c>
      <c r="K1451" s="35">
        <v>0.25</v>
      </c>
      <c r="L1451" s="36">
        <f t="shared" si="226"/>
        <v>180</v>
      </c>
      <c r="M1451" s="37">
        <f t="shared" si="227"/>
        <v>540</v>
      </c>
      <c r="N1451" s="38">
        <v>0.16</v>
      </c>
      <c r="O1451" s="39">
        <f t="shared" si="228"/>
        <v>86.4</v>
      </c>
      <c r="P1451" s="40">
        <f t="shared" si="229"/>
        <v>626.4</v>
      </c>
      <c r="Q1451" s="23"/>
      <c r="R1451" s="56"/>
      <c r="S1451" s="57"/>
      <c r="T1451" s="58">
        <f t="shared" si="230"/>
        <v>0</v>
      </c>
      <c r="U1451" s="36">
        <f t="shared" si="231"/>
        <v>0</v>
      </c>
      <c r="V1451" s="59">
        <f t="shared" si="232"/>
        <v>0</v>
      </c>
      <c r="W1451" s="39">
        <f t="shared" si="233"/>
        <v>0</v>
      </c>
      <c r="X1451" s="40">
        <f t="shared" si="234"/>
        <v>0</v>
      </c>
      <c r="Y1451"/>
      <c r="Z1451"/>
      <c r="AA1451"/>
    </row>
    <row r="1452" spans="1:27" s="51" customFormat="1" ht="18.600000000000001" hidden="1" customHeight="1" x14ac:dyDescent="0.25">
      <c r="A1452" s="82" t="s">
        <v>2653</v>
      </c>
      <c r="B1452" s="41" t="s">
        <v>9303</v>
      </c>
      <c r="C1452" s="42" t="s">
        <v>9308</v>
      </c>
      <c r="D1452" s="41" t="s">
        <v>3298</v>
      </c>
      <c r="E1452" s="43" t="s">
        <v>3299</v>
      </c>
      <c r="F1452" s="43" t="s">
        <v>1937</v>
      </c>
      <c r="G1452" s="43" t="s">
        <v>9959</v>
      </c>
      <c r="H1452" s="85" t="s">
        <v>3300</v>
      </c>
      <c r="I1452" s="23" t="s">
        <v>24</v>
      </c>
      <c r="J1452" s="44">
        <v>720</v>
      </c>
      <c r="K1452" s="45">
        <v>0.25</v>
      </c>
      <c r="L1452" s="46">
        <f t="shared" si="226"/>
        <v>180</v>
      </c>
      <c r="M1452" s="47">
        <f t="shared" si="227"/>
        <v>540</v>
      </c>
      <c r="N1452" s="48">
        <v>0.16</v>
      </c>
      <c r="O1452" s="49">
        <f t="shared" si="228"/>
        <v>86.4</v>
      </c>
      <c r="P1452" s="50">
        <f t="shared" si="229"/>
        <v>626.4</v>
      </c>
      <c r="Q1452" s="23"/>
      <c r="R1452" s="60"/>
      <c r="S1452" s="61"/>
      <c r="T1452" s="62">
        <f t="shared" si="230"/>
        <v>0</v>
      </c>
      <c r="U1452" s="46">
        <f t="shared" si="231"/>
        <v>0</v>
      </c>
      <c r="V1452" s="63">
        <f t="shared" si="232"/>
        <v>0</v>
      </c>
      <c r="W1452" s="49">
        <f t="shared" si="233"/>
        <v>0</v>
      </c>
      <c r="X1452" s="50">
        <f t="shared" si="234"/>
        <v>0</v>
      </c>
      <c r="Y1452"/>
      <c r="Z1452"/>
      <c r="AA1452"/>
    </row>
    <row r="1453" spans="1:27" s="51" customFormat="1" ht="18.600000000000001" hidden="1" customHeight="1" x14ac:dyDescent="0.25">
      <c r="A1453" s="80" t="s">
        <v>2653</v>
      </c>
      <c r="B1453" s="20" t="s">
        <v>9303</v>
      </c>
      <c r="C1453" s="21" t="s">
        <v>9308</v>
      </c>
      <c r="D1453" s="20" t="s">
        <v>3301</v>
      </c>
      <c r="E1453" s="22" t="s">
        <v>3302</v>
      </c>
      <c r="F1453" s="22" t="s">
        <v>1937</v>
      </c>
      <c r="G1453" s="22" t="s">
        <v>9951</v>
      </c>
      <c r="H1453" s="83" t="s">
        <v>3303</v>
      </c>
      <c r="I1453" s="23" t="s">
        <v>24</v>
      </c>
      <c r="J1453" s="24">
        <v>360</v>
      </c>
      <c r="K1453" s="25">
        <v>0.25</v>
      </c>
      <c r="L1453" s="26">
        <f t="shared" si="226"/>
        <v>90</v>
      </c>
      <c r="M1453" s="27">
        <f t="shared" si="227"/>
        <v>270</v>
      </c>
      <c r="N1453" s="28">
        <v>0.16</v>
      </c>
      <c r="O1453" s="29">
        <f t="shared" si="228"/>
        <v>43.2</v>
      </c>
      <c r="P1453" s="30">
        <f t="shared" si="229"/>
        <v>313.2</v>
      </c>
      <c r="Q1453" s="23"/>
      <c r="R1453" s="52"/>
      <c r="S1453" s="53"/>
      <c r="T1453" s="54">
        <f t="shared" si="230"/>
        <v>0</v>
      </c>
      <c r="U1453" s="26">
        <f t="shared" si="231"/>
        <v>0</v>
      </c>
      <c r="V1453" s="55">
        <f t="shared" si="232"/>
        <v>0</v>
      </c>
      <c r="W1453" s="29">
        <f t="shared" si="233"/>
        <v>0</v>
      </c>
      <c r="X1453" s="30">
        <f t="shared" si="234"/>
        <v>0</v>
      </c>
      <c r="Y1453"/>
      <c r="Z1453"/>
      <c r="AA1453"/>
    </row>
    <row r="1454" spans="1:27" s="51" customFormat="1" ht="18.600000000000001" hidden="1" customHeight="1" x14ac:dyDescent="0.25">
      <c r="A1454" s="81" t="s">
        <v>2653</v>
      </c>
      <c r="B1454" s="31" t="s">
        <v>9303</v>
      </c>
      <c r="C1454" s="32" t="s">
        <v>9308</v>
      </c>
      <c r="D1454" s="31" t="s">
        <v>3304</v>
      </c>
      <c r="E1454" s="33" t="s">
        <v>3305</v>
      </c>
      <c r="F1454" s="33" t="s">
        <v>1937</v>
      </c>
      <c r="G1454" s="33" t="s">
        <v>9951</v>
      </c>
      <c r="H1454" s="84" t="s">
        <v>3306</v>
      </c>
      <c r="I1454" s="23" t="s">
        <v>24</v>
      </c>
      <c r="J1454" s="34">
        <v>360</v>
      </c>
      <c r="K1454" s="35">
        <v>0.25</v>
      </c>
      <c r="L1454" s="36">
        <f t="shared" si="226"/>
        <v>90</v>
      </c>
      <c r="M1454" s="37">
        <f t="shared" si="227"/>
        <v>270</v>
      </c>
      <c r="N1454" s="38">
        <v>0.16</v>
      </c>
      <c r="O1454" s="39">
        <f t="shared" si="228"/>
        <v>43.2</v>
      </c>
      <c r="P1454" s="40">
        <f t="shared" si="229"/>
        <v>313.2</v>
      </c>
      <c r="Q1454" s="23"/>
      <c r="R1454" s="56"/>
      <c r="S1454" s="57"/>
      <c r="T1454" s="58">
        <f t="shared" si="230"/>
        <v>0</v>
      </c>
      <c r="U1454" s="36">
        <f t="shared" si="231"/>
        <v>0</v>
      </c>
      <c r="V1454" s="59">
        <f t="shared" si="232"/>
        <v>0</v>
      </c>
      <c r="W1454" s="39">
        <f t="shared" si="233"/>
        <v>0</v>
      </c>
      <c r="X1454" s="40">
        <f t="shared" si="234"/>
        <v>0</v>
      </c>
      <c r="Y1454"/>
      <c r="Z1454"/>
      <c r="AA1454"/>
    </row>
    <row r="1455" spans="1:27" s="51" customFormat="1" ht="18.600000000000001" hidden="1" customHeight="1" x14ac:dyDescent="0.25">
      <c r="A1455" s="82" t="s">
        <v>2653</v>
      </c>
      <c r="B1455" s="41" t="s">
        <v>9303</v>
      </c>
      <c r="C1455" s="42" t="s">
        <v>9308</v>
      </c>
      <c r="D1455" s="41" t="s">
        <v>3307</v>
      </c>
      <c r="E1455" s="43" t="s">
        <v>3308</v>
      </c>
      <c r="F1455" s="43" t="s">
        <v>1937</v>
      </c>
      <c r="G1455" s="43" t="s">
        <v>9951</v>
      </c>
      <c r="H1455" s="85" t="s">
        <v>3309</v>
      </c>
      <c r="I1455" s="23" t="s">
        <v>24</v>
      </c>
      <c r="J1455" s="44">
        <v>360</v>
      </c>
      <c r="K1455" s="45">
        <v>0.25</v>
      </c>
      <c r="L1455" s="46">
        <f t="shared" si="226"/>
        <v>90</v>
      </c>
      <c r="M1455" s="47">
        <f t="shared" si="227"/>
        <v>270</v>
      </c>
      <c r="N1455" s="48">
        <v>0.16</v>
      </c>
      <c r="O1455" s="49">
        <f t="shared" si="228"/>
        <v>43.2</v>
      </c>
      <c r="P1455" s="50">
        <f t="shared" si="229"/>
        <v>313.2</v>
      </c>
      <c r="Q1455" s="23"/>
      <c r="R1455" s="60"/>
      <c r="S1455" s="61"/>
      <c r="T1455" s="62">
        <f t="shared" si="230"/>
        <v>0</v>
      </c>
      <c r="U1455" s="46">
        <f t="shared" si="231"/>
        <v>0</v>
      </c>
      <c r="V1455" s="63">
        <f t="shared" si="232"/>
        <v>0</v>
      </c>
      <c r="W1455" s="49">
        <f t="shared" si="233"/>
        <v>0</v>
      </c>
      <c r="X1455" s="50">
        <f t="shared" si="234"/>
        <v>0</v>
      </c>
      <c r="Y1455"/>
      <c r="Z1455"/>
      <c r="AA1455"/>
    </row>
    <row r="1456" spans="1:27" s="51" customFormat="1" ht="18.600000000000001" hidden="1" customHeight="1" x14ac:dyDescent="0.25">
      <c r="A1456" s="80" t="s">
        <v>2653</v>
      </c>
      <c r="B1456" s="20" t="s">
        <v>9303</v>
      </c>
      <c r="C1456" s="21" t="s">
        <v>9308</v>
      </c>
      <c r="D1456" s="20" t="s">
        <v>3310</v>
      </c>
      <c r="E1456" s="22" t="s">
        <v>3311</v>
      </c>
      <c r="F1456" s="22" t="s">
        <v>1937</v>
      </c>
      <c r="G1456" s="22" t="s">
        <v>9951</v>
      </c>
      <c r="H1456" s="83" t="s">
        <v>3312</v>
      </c>
      <c r="I1456" s="23" t="s">
        <v>24</v>
      </c>
      <c r="J1456" s="24">
        <v>360</v>
      </c>
      <c r="K1456" s="25">
        <v>0.25</v>
      </c>
      <c r="L1456" s="26">
        <f t="shared" si="226"/>
        <v>90</v>
      </c>
      <c r="M1456" s="27">
        <f t="shared" si="227"/>
        <v>270</v>
      </c>
      <c r="N1456" s="28">
        <v>0.16</v>
      </c>
      <c r="O1456" s="29">
        <f t="shared" si="228"/>
        <v>43.2</v>
      </c>
      <c r="P1456" s="30">
        <f t="shared" si="229"/>
        <v>313.2</v>
      </c>
      <c r="Q1456" s="23"/>
      <c r="R1456" s="52"/>
      <c r="S1456" s="53"/>
      <c r="T1456" s="54">
        <f t="shared" si="230"/>
        <v>0</v>
      </c>
      <c r="U1456" s="26">
        <f t="shared" si="231"/>
        <v>0</v>
      </c>
      <c r="V1456" s="55">
        <f t="shared" si="232"/>
        <v>0</v>
      </c>
      <c r="W1456" s="29">
        <f t="shared" si="233"/>
        <v>0</v>
      </c>
      <c r="X1456" s="30">
        <f t="shared" si="234"/>
        <v>0</v>
      </c>
      <c r="Y1456"/>
      <c r="Z1456"/>
      <c r="AA1456"/>
    </row>
    <row r="1457" spans="1:27" s="51" customFormat="1" ht="18.600000000000001" hidden="1" customHeight="1" x14ac:dyDescent="0.25">
      <c r="A1457" s="81" t="s">
        <v>2653</v>
      </c>
      <c r="B1457" s="31" t="s">
        <v>9303</v>
      </c>
      <c r="C1457" s="32" t="s">
        <v>9308</v>
      </c>
      <c r="D1457" s="31" t="s">
        <v>3313</v>
      </c>
      <c r="E1457" s="33" t="s">
        <v>3314</v>
      </c>
      <c r="F1457" s="33" t="s">
        <v>1937</v>
      </c>
      <c r="G1457" s="33" t="s">
        <v>9959</v>
      </c>
      <c r="H1457" s="84" t="s">
        <v>3315</v>
      </c>
      <c r="I1457" s="23" t="s">
        <v>24</v>
      </c>
      <c r="J1457" s="34">
        <v>720</v>
      </c>
      <c r="K1457" s="35">
        <v>0.25</v>
      </c>
      <c r="L1457" s="36">
        <f t="shared" si="226"/>
        <v>180</v>
      </c>
      <c r="M1457" s="37">
        <f t="shared" si="227"/>
        <v>540</v>
      </c>
      <c r="N1457" s="38">
        <v>0.16</v>
      </c>
      <c r="O1457" s="39">
        <f t="shared" si="228"/>
        <v>86.4</v>
      </c>
      <c r="P1457" s="40">
        <f t="shared" si="229"/>
        <v>626.4</v>
      </c>
      <c r="Q1457" s="23"/>
      <c r="R1457" s="56"/>
      <c r="S1457" s="57"/>
      <c r="T1457" s="58">
        <f t="shared" si="230"/>
        <v>0</v>
      </c>
      <c r="U1457" s="36">
        <f t="shared" si="231"/>
        <v>0</v>
      </c>
      <c r="V1457" s="59">
        <f t="shared" si="232"/>
        <v>0</v>
      </c>
      <c r="W1457" s="39">
        <f t="shared" si="233"/>
        <v>0</v>
      </c>
      <c r="X1457" s="40">
        <f t="shared" si="234"/>
        <v>0</v>
      </c>
      <c r="Y1457"/>
      <c r="Z1457"/>
      <c r="AA1457"/>
    </row>
    <row r="1458" spans="1:27" s="51" customFormat="1" ht="18.600000000000001" hidden="1" customHeight="1" x14ac:dyDescent="0.25">
      <c r="A1458" s="82" t="s">
        <v>2653</v>
      </c>
      <c r="B1458" s="41" t="s">
        <v>9303</v>
      </c>
      <c r="C1458" s="42" t="s">
        <v>9308</v>
      </c>
      <c r="D1458" s="41" t="s">
        <v>3316</v>
      </c>
      <c r="E1458" s="43" t="s">
        <v>3317</v>
      </c>
      <c r="F1458" s="43" t="s">
        <v>1937</v>
      </c>
      <c r="G1458" s="43" t="s">
        <v>9951</v>
      </c>
      <c r="H1458" s="85" t="s">
        <v>3318</v>
      </c>
      <c r="I1458" s="23" t="s">
        <v>24</v>
      </c>
      <c r="J1458" s="44">
        <v>360</v>
      </c>
      <c r="K1458" s="45">
        <v>0.25</v>
      </c>
      <c r="L1458" s="46">
        <f t="shared" si="226"/>
        <v>90</v>
      </c>
      <c r="M1458" s="47">
        <f t="shared" si="227"/>
        <v>270</v>
      </c>
      <c r="N1458" s="48">
        <v>0.16</v>
      </c>
      <c r="O1458" s="49">
        <f t="shared" si="228"/>
        <v>43.2</v>
      </c>
      <c r="P1458" s="50">
        <f t="shared" si="229"/>
        <v>313.2</v>
      </c>
      <c r="Q1458" s="23"/>
      <c r="R1458" s="60"/>
      <c r="S1458" s="61"/>
      <c r="T1458" s="62">
        <f t="shared" si="230"/>
        <v>0</v>
      </c>
      <c r="U1458" s="46">
        <f t="shared" si="231"/>
        <v>0</v>
      </c>
      <c r="V1458" s="63">
        <f t="shared" si="232"/>
        <v>0</v>
      </c>
      <c r="W1458" s="49">
        <f t="shared" si="233"/>
        <v>0</v>
      </c>
      <c r="X1458" s="50">
        <f t="shared" si="234"/>
        <v>0</v>
      </c>
      <c r="Y1458"/>
      <c r="Z1458"/>
      <c r="AA1458"/>
    </row>
    <row r="1459" spans="1:27" s="51" customFormat="1" ht="18.600000000000001" hidden="1" customHeight="1" x14ac:dyDescent="0.25">
      <c r="A1459" s="80" t="s">
        <v>2653</v>
      </c>
      <c r="B1459" s="20" t="s">
        <v>9303</v>
      </c>
      <c r="C1459" s="21" t="s">
        <v>9308</v>
      </c>
      <c r="D1459" s="20" t="s">
        <v>3319</v>
      </c>
      <c r="E1459" s="22" t="s">
        <v>3320</v>
      </c>
      <c r="F1459" s="22" t="s">
        <v>1937</v>
      </c>
      <c r="G1459" s="22" t="s">
        <v>9953</v>
      </c>
      <c r="H1459" s="83" t="s">
        <v>3321</v>
      </c>
      <c r="I1459" s="23" t="s">
        <v>24</v>
      </c>
      <c r="J1459" s="24">
        <v>540</v>
      </c>
      <c r="K1459" s="25">
        <v>0.25</v>
      </c>
      <c r="L1459" s="26">
        <f t="shared" si="226"/>
        <v>135</v>
      </c>
      <c r="M1459" s="27">
        <f t="shared" si="227"/>
        <v>405</v>
      </c>
      <c r="N1459" s="28">
        <v>0.16</v>
      </c>
      <c r="O1459" s="29">
        <f t="shared" si="228"/>
        <v>64.8</v>
      </c>
      <c r="P1459" s="30">
        <f t="shared" si="229"/>
        <v>469.8</v>
      </c>
      <c r="Q1459" s="23"/>
      <c r="R1459" s="52"/>
      <c r="S1459" s="53"/>
      <c r="T1459" s="54">
        <f t="shared" si="230"/>
        <v>0</v>
      </c>
      <c r="U1459" s="26">
        <f t="shared" si="231"/>
        <v>0</v>
      </c>
      <c r="V1459" s="55">
        <f t="shared" si="232"/>
        <v>0</v>
      </c>
      <c r="W1459" s="29">
        <f t="shared" si="233"/>
        <v>0</v>
      </c>
      <c r="X1459" s="30">
        <f t="shared" si="234"/>
        <v>0</v>
      </c>
      <c r="Y1459"/>
      <c r="Z1459"/>
      <c r="AA1459"/>
    </row>
    <row r="1460" spans="1:27" s="51" customFormat="1" ht="18.600000000000001" hidden="1" customHeight="1" x14ac:dyDescent="0.25">
      <c r="A1460" s="81" t="s">
        <v>2653</v>
      </c>
      <c r="B1460" s="31" t="s">
        <v>9303</v>
      </c>
      <c r="C1460" s="32" t="s">
        <v>9308</v>
      </c>
      <c r="D1460" s="31" t="s">
        <v>3322</v>
      </c>
      <c r="E1460" s="33" t="s">
        <v>3323</v>
      </c>
      <c r="F1460" s="33" t="s">
        <v>1937</v>
      </c>
      <c r="G1460" s="33" t="s">
        <v>9959</v>
      </c>
      <c r="H1460" s="84" t="s">
        <v>3324</v>
      </c>
      <c r="I1460" s="23" t="s">
        <v>24</v>
      </c>
      <c r="J1460" s="34">
        <v>720</v>
      </c>
      <c r="K1460" s="35">
        <v>0.25</v>
      </c>
      <c r="L1460" s="36">
        <f t="shared" si="226"/>
        <v>180</v>
      </c>
      <c r="M1460" s="37">
        <f t="shared" si="227"/>
        <v>540</v>
      </c>
      <c r="N1460" s="38">
        <v>0.16</v>
      </c>
      <c r="O1460" s="39">
        <f t="shared" si="228"/>
        <v>86.4</v>
      </c>
      <c r="P1460" s="40">
        <f t="shared" si="229"/>
        <v>626.4</v>
      </c>
      <c r="Q1460" s="23"/>
      <c r="R1460" s="56"/>
      <c r="S1460" s="57"/>
      <c r="T1460" s="58">
        <f t="shared" si="230"/>
        <v>0</v>
      </c>
      <c r="U1460" s="36">
        <f t="shared" si="231"/>
        <v>0</v>
      </c>
      <c r="V1460" s="59">
        <f t="shared" si="232"/>
        <v>0</v>
      </c>
      <c r="W1460" s="39">
        <f t="shared" si="233"/>
        <v>0</v>
      </c>
      <c r="X1460" s="40">
        <f t="shared" si="234"/>
        <v>0</v>
      </c>
      <c r="Y1460"/>
      <c r="Z1460"/>
      <c r="AA1460"/>
    </row>
    <row r="1461" spans="1:27" s="51" customFormat="1" ht="18.600000000000001" hidden="1" customHeight="1" x14ac:dyDescent="0.25">
      <c r="A1461" s="82" t="s">
        <v>2653</v>
      </c>
      <c r="B1461" s="41" t="s">
        <v>9303</v>
      </c>
      <c r="C1461" s="42" t="s">
        <v>9308</v>
      </c>
      <c r="D1461" s="41" t="s">
        <v>3325</v>
      </c>
      <c r="E1461" s="43" t="s">
        <v>3326</v>
      </c>
      <c r="F1461" s="43" t="s">
        <v>1937</v>
      </c>
      <c r="G1461" s="43" t="s">
        <v>9950</v>
      </c>
      <c r="H1461" s="85" t="s">
        <v>3327</v>
      </c>
      <c r="I1461" s="23" t="s">
        <v>24</v>
      </c>
      <c r="J1461" s="44">
        <v>750</v>
      </c>
      <c r="K1461" s="45">
        <v>0.25</v>
      </c>
      <c r="L1461" s="46">
        <f t="shared" si="226"/>
        <v>187.5</v>
      </c>
      <c r="M1461" s="47">
        <f t="shared" si="227"/>
        <v>562.5</v>
      </c>
      <c r="N1461" s="48">
        <v>0.16</v>
      </c>
      <c r="O1461" s="49">
        <f t="shared" si="228"/>
        <v>90</v>
      </c>
      <c r="P1461" s="50">
        <f t="shared" si="229"/>
        <v>652.5</v>
      </c>
      <c r="Q1461" s="23"/>
      <c r="R1461" s="60"/>
      <c r="S1461" s="61"/>
      <c r="T1461" s="62">
        <f t="shared" si="230"/>
        <v>0</v>
      </c>
      <c r="U1461" s="46">
        <f t="shared" si="231"/>
        <v>0</v>
      </c>
      <c r="V1461" s="63">
        <f t="shared" si="232"/>
        <v>0</v>
      </c>
      <c r="W1461" s="49">
        <f t="shared" si="233"/>
        <v>0</v>
      </c>
      <c r="X1461" s="50">
        <f t="shared" si="234"/>
        <v>0</v>
      </c>
      <c r="Y1461"/>
      <c r="Z1461"/>
      <c r="AA1461"/>
    </row>
    <row r="1462" spans="1:27" s="51" customFormat="1" ht="18.600000000000001" hidden="1" customHeight="1" x14ac:dyDescent="0.25">
      <c r="A1462" s="80" t="s">
        <v>2653</v>
      </c>
      <c r="B1462" s="20" t="s">
        <v>9303</v>
      </c>
      <c r="C1462" s="21" t="s">
        <v>9308</v>
      </c>
      <c r="D1462" s="20">
        <v>8435568326552</v>
      </c>
      <c r="E1462" s="22" t="s">
        <v>3328</v>
      </c>
      <c r="F1462" s="22" t="s">
        <v>1937</v>
      </c>
      <c r="G1462" s="22" t="s">
        <v>9951</v>
      </c>
      <c r="H1462" s="83" t="s">
        <v>3329</v>
      </c>
      <c r="I1462" s="23" t="s">
        <v>24</v>
      </c>
      <c r="J1462" s="24">
        <v>360</v>
      </c>
      <c r="K1462" s="25">
        <v>0.25</v>
      </c>
      <c r="L1462" s="26">
        <f t="shared" si="226"/>
        <v>90</v>
      </c>
      <c r="M1462" s="27">
        <f t="shared" si="227"/>
        <v>270</v>
      </c>
      <c r="N1462" s="28">
        <v>0.16</v>
      </c>
      <c r="O1462" s="29">
        <f t="shared" si="228"/>
        <v>43.2</v>
      </c>
      <c r="P1462" s="30">
        <f t="shared" si="229"/>
        <v>313.2</v>
      </c>
      <c r="Q1462" s="23"/>
      <c r="R1462" s="52"/>
      <c r="S1462" s="53"/>
      <c r="T1462" s="54">
        <f t="shared" si="230"/>
        <v>0</v>
      </c>
      <c r="U1462" s="26">
        <f t="shared" si="231"/>
        <v>0</v>
      </c>
      <c r="V1462" s="55">
        <f t="shared" si="232"/>
        <v>0</v>
      </c>
      <c r="W1462" s="29">
        <f t="shared" si="233"/>
        <v>0</v>
      </c>
      <c r="X1462" s="30">
        <f t="shared" si="234"/>
        <v>0</v>
      </c>
      <c r="Y1462"/>
      <c r="Z1462"/>
      <c r="AA1462"/>
    </row>
    <row r="1463" spans="1:27" s="51" customFormat="1" ht="18.600000000000001" hidden="1" customHeight="1" x14ac:dyDescent="0.25">
      <c r="A1463" s="81" t="s">
        <v>2653</v>
      </c>
      <c r="B1463" s="31" t="s">
        <v>9303</v>
      </c>
      <c r="C1463" s="32" t="s">
        <v>9309</v>
      </c>
      <c r="D1463" s="31" t="s">
        <v>3330</v>
      </c>
      <c r="E1463" s="33" t="s">
        <v>3331</v>
      </c>
      <c r="F1463" s="33" t="s">
        <v>1937</v>
      </c>
      <c r="G1463" s="33" t="s">
        <v>9953</v>
      </c>
      <c r="H1463" s="84" t="s">
        <v>3332</v>
      </c>
      <c r="I1463" s="23" t="s">
        <v>24</v>
      </c>
      <c r="J1463" s="34">
        <v>540</v>
      </c>
      <c r="K1463" s="35">
        <v>0.25</v>
      </c>
      <c r="L1463" s="36">
        <f t="shared" si="226"/>
        <v>135</v>
      </c>
      <c r="M1463" s="37">
        <f t="shared" si="227"/>
        <v>405</v>
      </c>
      <c r="N1463" s="38">
        <v>0.16</v>
      </c>
      <c r="O1463" s="39">
        <f t="shared" si="228"/>
        <v>64.8</v>
      </c>
      <c r="P1463" s="40">
        <f t="shared" si="229"/>
        <v>469.8</v>
      </c>
      <c r="Q1463" s="23"/>
      <c r="R1463" s="56"/>
      <c r="S1463" s="57"/>
      <c r="T1463" s="58">
        <f t="shared" si="230"/>
        <v>0</v>
      </c>
      <c r="U1463" s="36">
        <f t="shared" si="231"/>
        <v>0</v>
      </c>
      <c r="V1463" s="59">
        <f t="shared" si="232"/>
        <v>0</v>
      </c>
      <c r="W1463" s="39">
        <f t="shared" si="233"/>
        <v>0</v>
      </c>
      <c r="X1463" s="40">
        <f t="shared" si="234"/>
        <v>0</v>
      </c>
      <c r="Y1463"/>
      <c r="Z1463"/>
      <c r="AA1463"/>
    </row>
    <row r="1464" spans="1:27" s="51" customFormat="1" ht="18.600000000000001" hidden="1" customHeight="1" x14ac:dyDescent="0.25">
      <c r="A1464" s="82" t="s">
        <v>2653</v>
      </c>
      <c r="B1464" s="41" t="s">
        <v>9303</v>
      </c>
      <c r="C1464" s="42" t="s">
        <v>9309</v>
      </c>
      <c r="D1464" s="41" t="s">
        <v>3333</v>
      </c>
      <c r="E1464" s="43" t="s">
        <v>3334</v>
      </c>
      <c r="F1464" s="43" t="s">
        <v>1937</v>
      </c>
      <c r="G1464" s="43" t="s">
        <v>9953</v>
      </c>
      <c r="H1464" s="85" t="s">
        <v>3335</v>
      </c>
      <c r="I1464" s="23" t="s">
        <v>24</v>
      </c>
      <c r="J1464" s="44">
        <v>540</v>
      </c>
      <c r="K1464" s="45">
        <v>0.25</v>
      </c>
      <c r="L1464" s="46">
        <f t="shared" si="226"/>
        <v>135</v>
      </c>
      <c r="M1464" s="47">
        <f t="shared" si="227"/>
        <v>405</v>
      </c>
      <c r="N1464" s="48">
        <v>0.16</v>
      </c>
      <c r="O1464" s="49">
        <f t="shared" si="228"/>
        <v>64.8</v>
      </c>
      <c r="P1464" s="50">
        <f t="shared" si="229"/>
        <v>469.8</v>
      </c>
      <c r="Q1464" s="23"/>
      <c r="R1464" s="60"/>
      <c r="S1464" s="61"/>
      <c r="T1464" s="62">
        <f t="shared" si="230"/>
        <v>0</v>
      </c>
      <c r="U1464" s="46">
        <f t="shared" si="231"/>
        <v>0</v>
      </c>
      <c r="V1464" s="63">
        <f t="shared" si="232"/>
        <v>0</v>
      </c>
      <c r="W1464" s="49">
        <f t="shared" si="233"/>
        <v>0</v>
      </c>
      <c r="X1464" s="50">
        <f t="shared" si="234"/>
        <v>0</v>
      </c>
      <c r="Y1464"/>
      <c r="Z1464"/>
      <c r="AA1464"/>
    </row>
    <row r="1465" spans="1:27" s="51" customFormat="1" ht="18.600000000000001" hidden="1" customHeight="1" x14ac:dyDescent="0.25">
      <c r="A1465" s="80" t="s">
        <v>2653</v>
      </c>
      <c r="B1465" s="20" t="s">
        <v>9303</v>
      </c>
      <c r="C1465" s="21" t="s">
        <v>9309</v>
      </c>
      <c r="D1465" s="20" t="s">
        <v>3336</v>
      </c>
      <c r="E1465" s="22" t="s">
        <v>3337</v>
      </c>
      <c r="F1465" s="22" t="s">
        <v>1937</v>
      </c>
      <c r="G1465" s="22" t="s">
        <v>9953</v>
      </c>
      <c r="H1465" s="83" t="s">
        <v>3338</v>
      </c>
      <c r="I1465" s="23" t="s">
        <v>24</v>
      </c>
      <c r="J1465" s="24">
        <v>540</v>
      </c>
      <c r="K1465" s="25">
        <v>0.25</v>
      </c>
      <c r="L1465" s="26">
        <f t="shared" si="226"/>
        <v>135</v>
      </c>
      <c r="M1465" s="27">
        <f t="shared" si="227"/>
        <v>405</v>
      </c>
      <c r="N1465" s="28">
        <v>0.16</v>
      </c>
      <c r="O1465" s="29">
        <f t="shared" si="228"/>
        <v>64.8</v>
      </c>
      <c r="P1465" s="30">
        <f t="shared" si="229"/>
        <v>469.8</v>
      </c>
      <c r="Q1465" s="23"/>
      <c r="R1465" s="52"/>
      <c r="S1465" s="53"/>
      <c r="T1465" s="54">
        <f t="shared" si="230"/>
        <v>0</v>
      </c>
      <c r="U1465" s="26">
        <f t="shared" si="231"/>
        <v>0</v>
      </c>
      <c r="V1465" s="55">
        <f t="shared" si="232"/>
        <v>0</v>
      </c>
      <c r="W1465" s="29">
        <f t="shared" si="233"/>
        <v>0</v>
      </c>
      <c r="X1465" s="30">
        <f t="shared" si="234"/>
        <v>0</v>
      </c>
      <c r="Y1465"/>
      <c r="Z1465"/>
      <c r="AA1465"/>
    </row>
    <row r="1466" spans="1:27" s="51" customFormat="1" ht="18.600000000000001" hidden="1" customHeight="1" x14ac:dyDescent="0.25">
      <c r="A1466" s="81" t="s">
        <v>2653</v>
      </c>
      <c r="B1466" s="31" t="s">
        <v>9303</v>
      </c>
      <c r="C1466" s="32" t="s">
        <v>9309</v>
      </c>
      <c r="D1466" s="31" t="s">
        <v>3339</v>
      </c>
      <c r="E1466" s="33" t="s">
        <v>3340</v>
      </c>
      <c r="F1466" s="33" t="s">
        <v>1937</v>
      </c>
      <c r="G1466" s="33" t="s">
        <v>9953</v>
      </c>
      <c r="H1466" s="84" t="s">
        <v>3341</v>
      </c>
      <c r="I1466" s="23" t="s">
        <v>24</v>
      </c>
      <c r="J1466" s="34">
        <v>540</v>
      </c>
      <c r="K1466" s="35">
        <v>0.25</v>
      </c>
      <c r="L1466" s="36">
        <f t="shared" si="226"/>
        <v>135</v>
      </c>
      <c r="M1466" s="37">
        <f t="shared" si="227"/>
        <v>405</v>
      </c>
      <c r="N1466" s="38">
        <v>0.16</v>
      </c>
      <c r="O1466" s="39">
        <f t="shared" si="228"/>
        <v>64.8</v>
      </c>
      <c r="P1466" s="40">
        <f t="shared" si="229"/>
        <v>469.8</v>
      </c>
      <c r="Q1466" s="23"/>
      <c r="R1466" s="56"/>
      <c r="S1466" s="57"/>
      <c r="T1466" s="58">
        <f t="shared" si="230"/>
        <v>0</v>
      </c>
      <c r="U1466" s="36">
        <f t="shared" si="231"/>
        <v>0</v>
      </c>
      <c r="V1466" s="59">
        <f t="shared" si="232"/>
        <v>0</v>
      </c>
      <c r="W1466" s="39">
        <f t="shared" si="233"/>
        <v>0</v>
      </c>
      <c r="X1466" s="40">
        <f t="shared" si="234"/>
        <v>0</v>
      </c>
      <c r="Y1466"/>
      <c r="Z1466"/>
      <c r="AA1466"/>
    </row>
    <row r="1467" spans="1:27" s="51" customFormat="1" ht="18.600000000000001" hidden="1" customHeight="1" x14ac:dyDescent="0.25">
      <c r="A1467" s="82" t="s">
        <v>2653</v>
      </c>
      <c r="B1467" s="41" t="s">
        <v>9303</v>
      </c>
      <c r="C1467" s="42" t="s">
        <v>9309</v>
      </c>
      <c r="D1467" s="41" t="s">
        <v>3342</v>
      </c>
      <c r="E1467" s="43" t="s">
        <v>3343</v>
      </c>
      <c r="F1467" s="43" t="s">
        <v>1937</v>
      </c>
      <c r="G1467" s="43" t="s">
        <v>9953</v>
      </c>
      <c r="H1467" s="85" t="s">
        <v>3344</v>
      </c>
      <c r="I1467" s="23" t="s">
        <v>24</v>
      </c>
      <c r="J1467" s="44">
        <v>540</v>
      </c>
      <c r="K1467" s="45">
        <v>0.25</v>
      </c>
      <c r="L1467" s="46">
        <f t="shared" si="226"/>
        <v>135</v>
      </c>
      <c r="M1467" s="47">
        <f t="shared" si="227"/>
        <v>405</v>
      </c>
      <c r="N1467" s="48">
        <v>0.16</v>
      </c>
      <c r="O1467" s="49">
        <f t="shared" si="228"/>
        <v>64.8</v>
      </c>
      <c r="P1467" s="50">
        <f t="shared" si="229"/>
        <v>469.8</v>
      </c>
      <c r="Q1467" s="23"/>
      <c r="R1467" s="60"/>
      <c r="S1467" s="61"/>
      <c r="T1467" s="62">
        <f t="shared" si="230"/>
        <v>0</v>
      </c>
      <c r="U1467" s="46">
        <f t="shared" si="231"/>
        <v>0</v>
      </c>
      <c r="V1467" s="63">
        <f t="shared" si="232"/>
        <v>0</v>
      </c>
      <c r="W1467" s="49">
        <f t="shared" si="233"/>
        <v>0</v>
      </c>
      <c r="X1467" s="50">
        <f t="shared" si="234"/>
        <v>0</v>
      </c>
      <c r="Y1467"/>
      <c r="Z1467"/>
      <c r="AA1467"/>
    </row>
    <row r="1468" spans="1:27" s="51" customFormat="1" ht="18.600000000000001" hidden="1" customHeight="1" x14ac:dyDescent="0.25">
      <c r="A1468" s="80" t="s">
        <v>2653</v>
      </c>
      <c r="B1468" s="20" t="s">
        <v>9303</v>
      </c>
      <c r="C1468" s="21" t="s">
        <v>9309</v>
      </c>
      <c r="D1468" s="20" t="s">
        <v>3345</v>
      </c>
      <c r="E1468" s="22" t="s">
        <v>3346</v>
      </c>
      <c r="F1468" s="22" t="s">
        <v>1937</v>
      </c>
      <c r="G1468" s="22" t="s">
        <v>9953</v>
      </c>
      <c r="H1468" s="83" t="s">
        <v>3347</v>
      </c>
      <c r="I1468" s="23" t="s">
        <v>24</v>
      </c>
      <c r="J1468" s="24">
        <v>540</v>
      </c>
      <c r="K1468" s="25">
        <v>0.25</v>
      </c>
      <c r="L1468" s="26">
        <f t="shared" si="226"/>
        <v>135</v>
      </c>
      <c r="M1468" s="27">
        <f t="shared" si="227"/>
        <v>405</v>
      </c>
      <c r="N1468" s="28">
        <v>0.16</v>
      </c>
      <c r="O1468" s="29">
        <f t="shared" si="228"/>
        <v>64.8</v>
      </c>
      <c r="P1468" s="30">
        <f t="shared" si="229"/>
        <v>469.8</v>
      </c>
      <c r="Q1468" s="23"/>
      <c r="R1468" s="52"/>
      <c r="S1468" s="53"/>
      <c r="T1468" s="54">
        <f t="shared" si="230"/>
        <v>0</v>
      </c>
      <c r="U1468" s="26">
        <f t="shared" si="231"/>
        <v>0</v>
      </c>
      <c r="V1468" s="55">
        <f t="shared" si="232"/>
        <v>0</v>
      </c>
      <c r="W1468" s="29">
        <f t="shared" si="233"/>
        <v>0</v>
      </c>
      <c r="X1468" s="30">
        <f t="shared" si="234"/>
        <v>0</v>
      </c>
      <c r="Y1468"/>
      <c r="Z1468"/>
      <c r="AA1468"/>
    </row>
    <row r="1469" spans="1:27" s="51" customFormat="1" ht="18.600000000000001" hidden="1" customHeight="1" x14ac:dyDescent="0.25">
      <c r="A1469" s="81" t="s">
        <v>2653</v>
      </c>
      <c r="B1469" s="31" t="s">
        <v>9303</v>
      </c>
      <c r="C1469" s="32" t="s">
        <v>9309</v>
      </c>
      <c r="D1469" s="31" t="s">
        <v>3348</v>
      </c>
      <c r="E1469" s="33" t="s">
        <v>3349</v>
      </c>
      <c r="F1469" s="33" t="s">
        <v>1937</v>
      </c>
      <c r="G1469" s="33" t="s">
        <v>9953</v>
      </c>
      <c r="H1469" s="84" t="s">
        <v>3350</v>
      </c>
      <c r="I1469" s="23" t="s">
        <v>24</v>
      </c>
      <c r="J1469" s="34">
        <v>540</v>
      </c>
      <c r="K1469" s="35">
        <v>0.25</v>
      </c>
      <c r="L1469" s="36">
        <f t="shared" si="226"/>
        <v>135</v>
      </c>
      <c r="M1469" s="37">
        <f t="shared" si="227"/>
        <v>405</v>
      </c>
      <c r="N1469" s="38">
        <v>0.16</v>
      </c>
      <c r="O1469" s="39">
        <f t="shared" si="228"/>
        <v>64.8</v>
      </c>
      <c r="P1469" s="40">
        <f t="shared" si="229"/>
        <v>469.8</v>
      </c>
      <c r="Q1469" s="23"/>
      <c r="R1469" s="56"/>
      <c r="S1469" s="57"/>
      <c r="T1469" s="58">
        <f t="shared" si="230"/>
        <v>0</v>
      </c>
      <c r="U1469" s="36">
        <f t="shared" si="231"/>
        <v>0</v>
      </c>
      <c r="V1469" s="59">
        <f t="shared" si="232"/>
        <v>0</v>
      </c>
      <c r="W1469" s="39">
        <f t="shared" si="233"/>
        <v>0</v>
      </c>
      <c r="X1469" s="40">
        <f t="shared" si="234"/>
        <v>0</v>
      </c>
      <c r="Y1469"/>
      <c r="Z1469"/>
      <c r="AA1469"/>
    </row>
    <row r="1470" spans="1:27" s="51" customFormat="1" ht="18.600000000000001" hidden="1" customHeight="1" x14ac:dyDescent="0.25">
      <c r="A1470" s="82" t="s">
        <v>2653</v>
      </c>
      <c r="B1470" s="41" t="s">
        <v>9303</v>
      </c>
      <c r="C1470" s="42" t="s">
        <v>9309</v>
      </c>
      <c r="D1470" s="41" t="s">
        <v>3351</v>
      </c>
      <c r="E1470" s="43" t="s">
        <v>3352</v>
      </c>
      <c r="F1470" s="43" t="s">
        <v>1937</v>
      </c>
      <c r="G1470" s="43" t="s">
        <v>9953</v>
      </c>
      <c r="H1470" s="85" t="s">
        <v>3353</v>
      </c>
      <c r="I1470" s="23" t="s">
        <v>24</v>
      </c>
      <c r="J1470" s="44">
        <v>540</v>
      </c>
      <c r="K1470" s="45">
        <v>0.25</v>
      </c>
      <c r="L1470" s="46">
        <f t="shared" si="226"/>
        <v>135</v>
      </c>
      <c r="M1470" s="47">
        <f t="shared" si="227"/>
        <v>405</v>
      </c>
      <c r="N1470" s="48">
        <v>0.16</v>
      </c>
      <c r="O1470" s="49">
        <f t="shared" si="228"/>
        <v>64.8</v>
      </c>
      <c r="P1470" s="50">
        <f t="shared" si="229"/>
        <v>469.8</v>
      </c>
      <c r="Q1470" s="23"/>
      <c r="R1470" s="60"/>
      <c r="S1470" s="61"/>
      <c r="T1470" s="62">
        <f t="shared" si="230"/>
        <v>0</v>
      </c>
      <c r="U1470" s="46">
        <f t="shared" si="231"/>
        <v>0</v>
      </c>
      <c r="V1470" s="63">
        <f t="shared" si="232"/>
        <v>0</v>
      </c>
      <c r="W1470" s="49">
        <f t="shared" si="233"/>
        <v>0</v>
      </c>
      <c r="X1470" s="50">
        <f t="shared" si="234"/>
        <v>0</v>
      </c>
      <c r="Y1470"/>
      <c r="Z1470"/>
      <c r="AA1470"/>
    </row>
    <row r="1471" spans="1:27" s="51" customFormat="1" ht="18.600000000000001" hidden="1" customHeight="1" x14ac:dyDescent="0.25">
      <c r="A1471" s="80" t="s">
        <v>2653</v>
      </c>
      <c r="B1471" s="20" t="s">
        <v>9303</v>
      </c>
      <c r="C1471" s="21" t="s">
        <v>9309</v>
      </c>
      <c r="D1471" s="20" t="s">
        <v>3354</v>
      </c>
      <c r="E1471" s="22" t="s">
        <v>3355</v>
      </c>
      <c r="F1471" s="22" t="s">
        <v>1937</v>
      </c>
      <c r="G1471" s="22" t="s">
        <v>9953</v>
      </c>
      <c r="H1471" s="83" t="s">
        <v>3356</v>
      </c>
      <c r="I1471" s="23" t="s">
        <v>24</v>
      </c>
      <c r="J1471" s="24">
        <v>540</v>
      </c>
      <c r="K1471" s="25">
        <v>0.25</v>
      </c>
      <c r="L1471" s="26">
        <f t="shared" si="226"/>
        <v>135</v>
      </c>
      <c r="M1471" s="27">
        <f t="shared" si="227"/>
        <v>405</v>
      </c>
      <c r="N1471" s="28">
        <v>0.16</v>
      </c>
      <c r="O1471" s="29">
        <f t="shared" si="228"/>
        <v>64.8</v>
      </c>
      <c r="P1471" s="30">
        <f t="shared" si="229"/>
        <v>469.8</v>
      </c>
      <c r="Q1471" s="23"/>
      <c r="R1471" s="52"/>
      <c r="S1471" s="53"/>
      <c r="T1471" s="54">
        <f t="shared" si="230"/>
        <v>0</v>
      </c>
      <c r="U1471" s="26">
        <f t="shared" si="231"/>
        <v>0</v>
      </c>
      <c r="V1471" s="55">
        <f t="shared" si="232"/>
        <v>0</v>
      </c>
      <c r="W1471" s="29">
        <f t="shared" si="233"/>
        <v>0</v>
      </c>
      <c r="X1471" s="30">
        <f t="shared" si="234"/>
        <v>0</v>
      </c>
      <c r="Y1471"/>
      <c r="Z1471"/>
      <c r="AA1471"/>
    </row>
    <row r="1472" spans="1:27" s="51" customFormat="1" ht="18.600000000000001" hidden="1" customHeight="1" x14ac:dyDescent="0.25">
      <c r="A1472" s="81" t="s">
        <v>2653</v>
      </c>
      <c r="B1472" s="31" t="s">
        <v>9303</v>
      </c>
      <c r="C1472" s="32" t="s">
        <v>9309</v>
      </c>
      <c r="D1472" s="31" t="s">
        <v>3357</v>
      </c>
      <c r="E1472" s="33" t="s">
        <v>3358</v>
      </c>
      <c r="F1472" s="33" t="s">
        <v>1937</v>
      </c>
      <c r="G1472" s="33" t="s">
        <v>9953</v>
      </c>
      <c r="H1472" s="84" t="s">
        <v>3359</v>
      </c>
      <c r="I1472" s="23" t="s">
        <v>24</v>
      </c>
      <c r="J1472" s="34">
        <v>540</v>
      </c>
      <c r="K1472" s="35">
        <v>0.25</v>
      </c>
      <c r="L1472" s="36">
        <f t="shared" si="226"/>
        <v>135</v>
      </c>
      <c r="M1472" s="37">
        <f t="shared" si="227"/>
        <v>405</v>
      </c>
      <c r="N1472" s="38">
        <v>0.16</v>
      </c>
      <c r="O1472" s="39">
        <f t="shared" si="228"/>
        <v>64.8</v>
      </c>
      <c r="P1472" s="40">
        <f t="shared" si="229"/>
        <v>469.8</v>
      </c>
      <c r="Q1472" s="23"/>
      <c r="R1472" s="56"/>
      <c r="S1472" s="57"/>
      <c r="T1472" s="58">
        <f t="shared" si="230"/>
        <v>0</v>
      </c>
      <c r="U1472" s="36">
        <f t="shared" si="231"/>
        <v>0</v>
      </c>
      <c r="V1472" s="59">
        <f t="shared" si="232"/>
        <v>0</v>
      </c>
      <c r="W1472" s="39">
        <f t="shared" si="233"/>
        <v>0</v>
      </c>
      <c r="X1472" s="40">
        <f t="shared" si="234"/>
        <v>0</v>
      </c>
      <c r="Y1472"/>
      <c r="Z1472"/>
      <c r="AA1472"/>
    </row>
    <row r="1473" spans="1:27" s="51" customFormat="1" ht="18.600000000000001" hidden="1" customHeight="1" x14ac:dyDescent="0.25">
      <c r="A1473" s="82" t="s">
        <v>2653</v>
      </c>
      <c r="B1473" s="41" t="s">
        <v>9303</v>
      </c>
      <c r="C1473" s="42" t="s">
        <v>9309</v>
      </c>
      <c r="D1473" s="41" t="s">
        <v>3360</v>
      </c>
      <c r="E1473" s="43" t="s">
        <v>3361</v>
      </c>
      <c r="F1473" s="43" t="s">
        <v>1937</v>
      </c>
      <c r="G1473" s="43" t="s">
        <v>9953</v>
      </c>
      <c r="H1473" s="85" t="s">
        <v>3362</v>
      </c>
      <c r="I1473" s="23" t="s">
        <v>24</v>
      </c>
      <c r="J1473" s="44">
        <v>540</v>
      </c>
      <c r="K1473" s="45">
        <v>0.25</v>
      </c>
      <c r="L1473" s="46">
        <f t="shared" si="226"/>
        <v>135</v>
      </c>
      <c r="M1473" s="47">
        <f t="shared" si="227"/>
        <v>405</v>
      </c>
      <c r="N1473" s="48">
        <v>0.16</v>
      </c>
      <c r="O1473" s="49">
        <f t="shared" si="228"/>
        <v>64.8</v>
      </c>
      <c r="P1473" s="50">
        <f t="shared" si="229"/>
        <v>469.8</v>
      </c>
      <c r="Q1473" s="23"/>
      <c r="R1473" s="60"/>
      <c r="S1473" s="61"/>
      <c r="T1473" s="62">
        <f t="shared" si="230"/>
        <v>0</v>
      </c>
      <c r="U1473" s="46">
        <f t="shared" si="231"/>
        <v>0</v>
      </c>
      <c r="V1473" s="63">
        <f t="shared" si="232"/>
        <v>0</v>
      </c>
      <c r="W1473" s="49">
        <f t="shared" si="233"/>
        <v>0</v>
      </c>
      <c r="X1473" s="50">
        <f t="shared" si="234"/>
        <v>0</v>
      </c>
      <c r="Y1473"/>
      <c r="Z1473"/>
      <c r="AA1473"/>
    </row>
    <row r="1474" spans="1:27" s="51" customFormat="1" ht="18.600000000000001" hidden="1" customHeight="1" x14ac:dyDescent="0.25">
      <c r="A1474" s="80" t="s">
        <v>2653</v>
      </c>
      <c r="B1474" s="20" t="s">
        <v>9303</v>
      </c>
      <c r="C1474" s="21" t="s">
        <v>9309</v>
      </c>
      <c r="D1474" s="20" t="s">
        <v>3363</v>
      </c>
      <c r="E1474" s="22" t="s">
        <v>3364</v>
      </c>
      <c r="F1474" s="22" t="s">
        <v>1937</v>
      </c>
      <c r="G1474" s="22" t="s">
        <v>9953</v>
      </c>
      <c r="H1474" s="83" t="s">
        <v>3365</v>
      </c>
      <c r="I1474" s="23" t="s">
        <v>24</v>
      </c>
      <c r="J1474" s="24">
        <v>540</v>
      </c>
      <c r="K1474" s="25">
        <v>0.25</v>
      </c>
      <c r="L1474" s="26">
        <f t="shared" si="226"/>
        <v>135</v>
      </c>
      <c r="M1474" s="27">
        <f t="shared" si="227"/>
        <v>405</v>
      </c>
      <c r="N1474" s="28">
        <v>0.16</v>
      </c>
      <c r="O1474" s="29">
        <f t="shared" si="228"/>
        <v>64.8</v>
      </c>
      <c r="P1474" s="30">
        <f t="shared" si="229"/>
        <v>469.8</v>
      </c>
      <c r="Q1474" s="23"/>
      <c r="R1474" s="52"/>
      <c r="S1474" s="53"/>
      <c r="T1474" s="54">
        <f t="shared" si="230"/>
        <v>0</v>
      </c>
      <c r="U1474" s="26">
        <f t="shared" si="231"/>
        <v>0</v>
      </c>
      <c r="V1474" s="55">
        <f t="shared" si="232"/>
        <v>0</v>
      </c>
      <c r="W1474" s="29">
        <f t="shared" si="233"/>
        <v>0</v>
      </c>
      <c r="X1474" s="30">
        <f t="shared" si="234"/>
        <v>0</v>
      </c>
      <c r="Y1474"/>
      <c r="Z1474"/>
      <c r="AA1474"/>
    </row>
    <row r="1475" spans="1:27" s="51" customFormat="1" ht="18.600000000000001" hidden="1" customHeight="1" x14ac:dyDescent="0.25">
      <c r="A1475" s="81" t="s">
        <v>2653</v>
      </c>
      <c r="B1475" s="31" t="s">
        <v>9303</v>
      </c>
      <c r="C1475" s="32" t="s">
        <v>9309</v>
      </c>
      <c r="D1475" s="31" t="s">
        <v>3366</v>
      </c>
      <c r="E1475" s="33" t="s">
        <v>3367</v>
      </c>
      <c r="F1475" s="33" t="s">
        <v>1937</v>
      </c>
      <c r="G1475" s="33" t="s">
        <v>9953</v>
      </c>
      <c r="H1475" s="84" t="s">
        <v>3368</v>
      </c>
      <c r="I1475" s="23" t="s">
        <v>24</v>
      </c>
      <c r="J1475" s="34">
        <v>540</v>
      </c>
      <c r="K1475" s="35">
        <v>0.25</v>
      </c>
      <c r="L1475" s="36">
        <f t="shared" si="226"/>
        <v>135</v>
      </c>
      <c r="M1475" s="37">
        <f t="shared" si="227"/>
        <v>405</v>
      </c>
      <c r="N1475" s="38">
        <v>0.16</v>
      </c>
      <c r="O1475" s="39">
        <f t="shared" si="228"/>
        <v>64.8</v>
      </c>
      <c r="P1475" s="40">
        <f t="shared" si="229"/>
        <v>469.8</v>
      </c>
      <c r="Q1475" s="23"/>
      <c r="R1475" s="56"/>
      <c r="S1475" s="57"/>
      <c r="T1475" s="58">
        <f t="shared" si="230"/>
        <v>0</v>
      </c>
      <c r="U1475" s="36">
        <f t="shared" si="231"/>
        <v>0</v>
      </c>
      <c r="V1475" s="59">
        <f t="shared" si="232"/>
        <v>0</v>
      </c>
      <c r="W1475" s="39">
        <f t="shared" si="233"/>
        <v>0</v>
      </c>
      <c r="X1475" s="40">
        <f t="shared" si="234"/>
        <v>0</v>
      </c>
      <c r="Y1475"/>
      <c r="Z1475"/>
      <c r="AA1475"/>
    </row>
    <row r="1476" spans="1:27" s="51" customFormat="1" ht="18.600000000000001" hidden="1" customHeight="1" x14ac:dyDescent="0.25">
      <c r="A1476" s="82" t="s">
        <v>2653</v>
      </c>
      <c r="B1476" s="41" t="s">
        <v>9303</v>
      </c>
      <c r="C1476" s="42" t="s">
        <v>9309</v>
      </c>
      <c r="D1476" s="41" t="s">
        <v>3369</v>
      </c>
      <c r="E1476" s="43" t="s">
        <v>3370</v>
      </c>
      <c r="F1476" s="43" t="s">
        <v>1937</v>
      </c>
      <c r="G1476" s="43" t="s">
        <v>9953</v>
      </c>
      <c r="H1476" s="85" t="s">
        <v>3371</v>
      </c>
      <c r="I1476" s="23" t="s">
        <v>24</v>
      </c>
      <c r="J1476" s="44">
        <v>540</v>
      </c>
      <c r="K1476" s="45">
        <v>0.25</v>
      </c>
      <c r="L1476" s="46">
        <f t="shared" si="226"/>
        <v>135</v>
      </c>
      <c r="M1476" s="47">
        <f t="shared" si="227"/>
        <v>405</v>
      </c>
      <c r="N1476" s="48">
        <v>0.16</v>
      </c>
      <c r="O1476" s="49">
        <f t="shared" si="228"/>
        <v>64.8</v>
      </c>
      <c r="P1476" s="50">
        <f t="shared" si="229"/>
        <v>469.8</v>
      </c>
      <c r="Q1476" s="23"/>
      <c r="R1476" s="60"/>
      <c r="S1476" s="61"/>
      <c r="T1476" s="62">
        <f t="shared" si="230"/>
        <v>0</v>
      </c>
      <c r="U1476" s="46">
        <f t="shared" si="231"/>
        <v>0</v>
      </c>
      <c r="V1476" s="63">
        <f t="shared" si="232"/>
        <v>0</v>
      </c>
      <c r="W1476" s="49">
        <f t="shared" si="233"/>
        <v>0</v>
      </c>
      <c r="X1476" s="50">
        <f t="shared" si="234"/>
        <v>0</v>
      </c>
      <c r="Y1476"/>
      <c r="Z1476"/>
      <c r="AA1476"/>
    </row>
    <row r="1477" spans="1:27" s="51" customFormat="1" ht="18.600000000000001" hidden="1" customHeight="1" x14ac:dyDescent="0.25">
      <c r="A1477" s="80" t="s">
        <v>2653</v>
      </c>
      <c r="B1477" s="20" t="s">
        <v>9303</v>
      </c>
      <c r="C1477" s="21" t="s">
        <v>9309</v>
      </c>
      <c r="D1477" s="20" t="s">
        <v>3372</v>
      </c>
      <c r="E1477" s="22" t="s">
        <v>3373</v>
      </c>
      <c r="F1477" s="22" t="s">
        <v>1937</v>
      </c>
      <c r="G1477" s="22" t="s">
        <v>9953</v>
      </c>
      <c r="H1477" s="83" t="s">
        <v>3374</v>
      </c>
      <c r="I1477" s="23" t="s">
        <v>24</v>
      </c>
      <c r="J1477" s="24">
        <v>540</v>
      </c>
      <c r="K1477" s="25">
        <v>0.25</v>
      </c>
      <c r="L1477" s="26">
        <f t="shared" si="226"/>
        <v>135</v>
      </c>
      <c r="M1477" s="27">
        <f t="shared" si="227"/>
        <v>405</v>
      </c>
      <c r="N1477" s="28">
        <v>0.16</v>
      </c>
      <c r="O1477" s="29">
        <f t="shared" si="228"/>
        <v>64.8</v>
      </c>
      <c r="P1477" s="30">
        <f t="shared" si="229"/>
        <v>469.8</v>
      </c>
      <c r="Q1477" s="23"/>
      <c r="R1477" s="52"/>
      <c r="S1477" s="53"/>
      <c r="T1477" s="54">
        <f t="shared" si="230"/>
        <v>0</v>
      </c>
      <c r="U1477" s="26">
        <f t="shared" si="231"/>
        <v>0</v>
      </c>
      <c r="V1477" s="55">
        <f t="shared" si="232"/>
        <v>0</v>
      </c>
      <c r="W1477" s="29">
        <f t="shared" si="233"/>
        <v>0</v>
      </c>
      <c r="X1477" s="30">
        <f t="shared" si="234"/>
        <v>0</v>
      </c>
      <c r="Y1477"/>
      <c r="Z1477"/>
      <c r="AA1477"/>
    </row>
    <row r="1478" spans="1:27" s="51" customFormat="1" ht="18.600000000000001" hidden="1" customHeight="1" x14ac:dyDescent="0.25">
      <c r="A1478" s="81" t="s">
        <v>2653</v>
      </c>
      <c r="B1478" s="31" t="s">
        <v>9303</v>
      </c>
      <c r="C1478" s="32" t="s">
        <v>9309</v>
      </c>
      <c r="D1478" s="31" t="s">
        <v>3375</v>
      </c>
      <c r="E1478" s="33" t="s">
        <v>3376</v>
      </c>
      <c r="F1478" s="33" t="s">
        <v>1937</v>
      </c>
      <c r="G1478" s="33" t="s">
        <v>9953</v>
      </c>
      <c r="H1478" s="84" t="s">
        <v>3377</v>
      </c>
      <c r="I1478" s="23" t="s">
        <v>24</v>
      </c>
      <c r="J1478" s="34">
        <v>540</v>
      </c>
      <c r="K1478" s="35">
        <v>0.25</v>
      </c>
      <c r="L1478" s="36">
        <f t="shared" si="226"/>
        <v>135</v>
      </c>
      <c r="M1478" s="37">
        <f t="shared" si="227"/>
        <v>405</v>
      </c>
      <c r="N1478" s="38">
        <v>0.16</v>
      </c>
      <c r="O1478" s="39">
        <f t="shared" si="228"/>
        <v>64.8</v>
      </c>
      <c r="P1478" s="40">
        <f t="shared" si="229"/>
        <v>469.8</v>
      </c>
      <c r="Q1478" s="23"/>
      <c r="R1478" s="56"/>
      <c r="S1478" s="57"/>
      <c r="T1478" s="58">
        <f t="shared" si="230"/>
        <v>0</v>
      </c>
      <c r="U1478" s="36">
        <f t="shared" si="231"/>
        <v>0</v>
      </c>
      <c r="V1478" s="59">
        <f t="shared" si="232"/>
        <v>0</v>
      </c>
      <c r="W1478" s="39">
        <f t="shared" si="233"/>
        <v>0</v>
      </c>
      <c r="X1478" s="40">
        <f t="shared" si="234"/>
        <v>0</v>
      </c>
      <c r="Y1478"/>
      <c r="Z1478"/>
      <c r="AA1478"/>
    </row>
    <row r="1479" spans="1:27" s="51" customFormat="1" ht="18.600000000000001" hidden="1" customHeight="1" x14ac:dyDescent="0.25">
      <c r="A1479" s="82" t="s">
        <v>2653</v>
      </c>
      <c r="B1479" s="41" t="s">
        <v>9303</v>
      </c>
      <c r="C1479" s="42" t="s">
        <v>9309</v>
      </c>
      <c r="D1479" s="41" t="s">
        <v>3378</v>
      </c>
      <c r="E1479" s="43" t="s">
        <v>3379</v>
      </c>
      <c r="F1479" s="43" t="s">
        <v>1937</v>
      </c>
      <c r="G1479" s="43" t="s">
        <v>9953</v>
      </c>
      <c r="H1479" s="85" t="s">
        <v>3380</v>
      </c>
      <c r="I1479" s="23" t="s">
        <v>24</v>
      </c>
      <c r="J1479" s="44">
        <v>540</v>
      </c>
      <c r="K1479" s="45">
        <v>0.25</v>
      </c>
      <c r="L1479" s="46">
        <f t="shared" si="226"/>
        <v>135</v>
      </c>
      <c r="M1479" s="47">
        <f t="shared" si="227"/>
        <v>405</v>
      </c>
      <c r="N1479" s="48">
        <v>0.16</v>
      </c>
      <c r="O1479" s="49">
        <f t="shared" si="228"/>
        <v>64.8</v>
      </c>
      <c r="P1479" s="50">
        <f t="shared" si="229"/>
        <v>469.8</v>
      </c>
      <c r="Q1479" s="23"/>
      <c r="R1479" s="60"/>
      <c r="S1479" s="61"/>
      <c r="T1479" s="62">
        <f t="shared" si="230"/>
        <v>0</v>
      </c>
      <c r="U1479" s="46">
        <f t="shared" si="231"/>
        <v>0</v>
      </c>
      <c r="V1479" s="63">
        <f t="shared" si="232"/>
        <v>0</v>
      </c>
      <c r="W1479" s="49">
        <f t="shared" si="233"/>
        <v>0</v>
      </c>
      <c r="X1479" s="50">
        <f t="shared" si="234"/>
        <v>0</v>
      </c>
      <c r="Y1479"/>
      <c r="Z1479"/>
      <c r="AA1479"/>
    </row>
    <row r="1480" spans="1:27" s="51" customFormat="1" ht="18.600000000000001" hidden="1" customHeight="1" x14ac:dyDescent="0.25">
      <c r="A1480" s="80" t="s">
        <v>2653</v>
      </c>
      <c r="B1480" s="20" t="s">
        <v>9303</v>
      </c>
      <c r="C1480" s="21" t="s">
        <v>9309</v>
      </c>
      <c r="D1480" s="20" t="s">
        <v>3381</v>
      </c>
      <c r="E1480" s="22" t="s">
        <v>3382</v>
      </c>
      <c r="F1480" s="22" t="s">
        <v>1937</v>
      </c>
      <c r="G1480" s="22" t="s">
        <v>9951</v>
      </c>
      <c r="H1480" s="83" t="s">
        <v>3383</v>
      </c>
      <c r="I1480" s="23" t="s">
        <v>24</v>
      </c>
      <c r="J1480" s="24">
        <v>360</v>
      </c>
      <c r="K1480" s="25">
        <v>0.25</v>
      </c>
      <c r="L1480" s="26">
        <f t="shared" si="226"/>
        <v>90</v>
      </c>
      <c r="M1480" s="27">
        <f t="shared" si="227"/>
        <v>270</v>
      </c>
      <c r="N1480" s="28">
        <v>0.16</v>
      </c>
      <c r="O1480" s="29">
        <f t="shared" si="228"/>
        <v>43.2</v>
      </c>
      <c r="P1480" s="30">
        <f t="shared" si="229"/>
        <v>313.2</v>
      </c>
      <c r="Q1480" s="23"/>
      <c r="R1480" s="52"/>
      <c r="S1480" s="53"/>
      <c r="T1480" s="54">
        <f t="shared" si="230"/>
        <v>0</v>
      </c>
      <c r="U1480" s="26">
        <f t="shared" si="231"/>
        <v>0</v>
      </c>
      <c r="V1480" s="55">
        <f t="shared" si="232"/>
        <v>0</v>
      </c>
      <c r="W1480" s="29">
        <f t="shared" si="233"/>
        <v>0</v>
      </c>
      <c r="X1480" s="30">
        <f t="shared" si="234"/>
        <v>0</v>
      </c>
      <c r="Y1480"/>
      <c r="Z1480"/>
      <c r="AA1480"/>
    </row>
    <row r="1481" spans="1:27" s="51" customFormat="1" ht="18.600000000000001" hidden="1" customHeight="1" x14ac:dyDescent="0.25">
      <c r="A1481" s="81" t="s">
        <v>2653</v>
      </c>
      <c r="B1481" s="31" t="s">
        <v>9303</v>
      </c>
      <c r="C1481" s="32" t="s">
        <v>9309</v>
      </c>
      <c r="D1481" s="31" t="s">
        <v>3384</v>
      </c>
      <c r="E1481" s="33" t="s">
        <v>3385</v>
      </c>
      <c r="F1481" s="33" t="s">
        <v>1937</v>
      </c>
      <c r="G1481" s="33" t="s">
        <v>9951</v>
      </c>
      <c r="H1481" s="84" t="s">
        <v>3386</v>
      </c>
      <c r="I1481" s="23" t="s">
        <v>24</v>
      </c>
      <c r="J1481" s="34">
        <v>360</v>
      </c>
      <c r="K1481" s="35">
        <v>0.25</v>
      </c>
      <c r="L1481" s="36">
        <f t="shared" si="226"/>
        <v>90</v>
      </c>
      <c r="M1481" s="37">
        <f t="shared" si="227"/>
        <v>270</v>
      </c>
      <c r="N1481" s="38">
        <v>0.16</v>
      </c>
      <c r="O1481" s="39">
        <f t="shared" si="228"/>
        <v>43.2</v>
      </c>
      <c r="P1481" s="40">
        <f t="shared" si="229"/>
        <v>313.2</v>
      </c>
      <c r="Q1481" s="23"/>
      <c r="R1481" s="56"/>
      <c r="S1481" s="57"/>
      <c r="T1481" s="58">
        <f t="shared" si="230"/>
        <v>0</v>
      </c>
      <c r="U1481" s="36">
        <f t="shared" si="231"/>
        <v>0</v>
      </c>
      <c r="V1481" s="59">
        <f t="shared" si="232"/>
        <v>0</v>
      </c>
      <c r="W1481" s="39">
        <f t="shared" si="233"/>
        <v>0</v>
      </c>
      <c r="X1481" s="40">
        <f t="shared" si="234"/>
        <v>0</v>
      </c>
      <c r="Y1481"/>
      <c r="Z1481"/>
      <c r="AA1481"/>
    </row>
    <row r="1482" spans="1:27" s="51" customFormat="1" ht="18.600000000000001" hidden="1" customHeight="1" x14ac:dyDescent="0.25">
      <c r="A1482" s="82" t="s">
        <v>2653</v>
      </c>
      <c r="B1482" s="41" t="s">
        <v>9303</v>
      </c>
      <c r="C1482" s="42" t="s">
        <v>9310</v>
      </c>
      <c r="D1482" s="41" t="s">
        <v>3387</v>
      </c>
      <c r="E1482" s="43" t="s">
        <v>3388</v>
      </c>
      <c r="F1482" s="43" t="s">
        <v>1937</v>
      </c>
      <c r="G1482" s="43" t="s">
        <v>9951</v>
      </c>
      <c r="H1482" s="85" t="s">
        <v>3389</v>
      </c>
      <c r="I1482" s="23" t="s">
        <v>24</v>
      </c>
      <c r="J1482" s="44">
        <v>360</v>
      </c>
      <c r="K1482" s="45">
        <v>0.25</v>
      </c>
      <c r="L1482" s="46">
        <f t="shared" si="226"/>
        <v>90</v>
      </c>
      <c r="M1482" s="47">
        <f t="shared" si="227"/>
        <v>270</v>
      </c>
      <c r="N1482" s="48">
        <v>0.16</v>
      </c>
      <c r="O1482" s="49">
        <f t="shared" si="228"/>
        <v>43.2</v>
      </c>
      <c r="P1482" s="50">
        <f t="shared" si="229"/>
        <v>313.2</v>
      </c>
      <c r="Q1482" s="23"/>
      <c r="R1482" s="60"/>
      <c r="S1482" s="61"/>
      <c r="T1482" s="62">
        <f t="shared" si="230"/>
        <v>0</v>
      </c>
      <c r="U1482" s="46">
        <f t="shared" si="231"/>
        <v>0</v>
      </c>
      <c r="V1482" s="63">
        <f t="shared" si="232"/>
        <v>0</v>
      </c>
      <c r="W1482" s="49">
        <f t="shared" si="233"/>
        <v>0</v>
      </c>
      <c r="X1482" s="50">
        <f t="shared" si="234"/>
        <v>0</v>
      </c>
      <c r="Y1482"/>
      <c r="Z1482"/>
      <c r="AA1482"/>
    </row>
    <row r="1483" spans="1:27" s="51" customFormat="1" ht="18.600000000000001" hidden="1" customHeight="1" x14ac:dyDescent="0.25">
      <c r="A1483" s="80" t="s">
        <v>2653</v>
      </c>
      <c r="B1483" s="20" t="s">
        <v>9303</v>
      </c>
      <c r="C1483" s="21" t="s">
        <v>9310</v>
      </c>
      <c r="D1483" s="20" t="s">
        <v>3390</v>
      </c>
      <c r="E1483" s="22" t="s">
        <v>3391</v>
      </c>
      <c r="F1483" s="22" t="s">
        <v>1937</v>
      </c>
      <c r="G1483" s="22" t="s">
        <v>9951</v>
      </c>
      <c r="H1483" s="83" t="s">
        <v>3392</v>
      </c>
      <c r="I1483" s="23" t="s">
        <v>24</v>
      </c>
      <c r="J1483" s="24">
        <v>360</v>
      </c>
      <c r="K1483" s="25">
        <v>0.25</v>
      </c>
      <c r="L1483" s="26">
        <f t="shared" si="226"/>
        <v>90</v>
      </c>
      <c r="M1483" s="27">
        <f t="shared" si="227"/>
        <v>270</v>
      </c>
      <c r="N1483" s="28">
        <v>0.16</v>
      </c>
      <c r="O1483" s="29">
        <f t="shared" si="228"/>
        <v>43.2</v>
      </c>
      <c r="P1483" s="30">
        <f t="shared" si="229"/>
        <v>313.2</v>
      </c>
      <c r="Q1483" s="23"/>
      <c r="R1483" s="52"/>
      <c r="S1483" s="53"/>
      <c r="T1483" s="54">
        <f t="shared" si="230"/>
        <v>0</v>
      </c>
      <c r="U1483" s="26">
        <f t="shared" si="231"/>
        <v>0</v>
      </c>
      <c r="V1483" s="55">
        <f t="shared" si="232"/>
        <v>0</v>
      </c>
      <c r="W1483" s="29">
        <f t="shared" si="233"/>
        <v>0</v>
      </c>
      <c r="X1483" s="30">
        <f t="shared" si="234"/>
        <v>0</v>
      </c>
      <c r="Y1483"/>
      <c r="Z1483"/>
      <c r="AA1483"/>
    </row>
    <row r="1484" spans="1:27" s="51" customFormat="1" ht="18.600000000000001" hidden="1" customHeight="1" x14ac:dyDescent="0.25">
      <c r="A1484" s="81" t="s">
        <v>2653</v>
      </c>
      <c r="B1484" s="31" t="s">
        <v>9303</v>
      </c>
      <c r="C1484" s="32" t="s">
        <v>9310</v>
      </c>
      <c r="D1484" s="31" t="s">
        <v>3393</v>
      </c>
      <c r="E1484" s="33" t="s">
        <v>3394</v>
      </c>
      <c r="F1484" s="33" t="s">
        <v>1937</v>
      </c>
      <c r="G1484" s="33" t="s">
        <v>9951</v>
      </c>
      <c r="H1484" s="84" t="s">
        <v>3395</v>
      </c>
      <c r="I1484" s="23" t="s">
        <v>24</v>
      </c>
      <c r="J1484" s="34">
        <v>360</v>
      </c>
      <c r="K1484" s="35">
        <v>0.25</v>
      </c>
      <c r="L1484" s="36">
        <f t="shared" si="226"/>
        <v>90</v>
      </c>
      <c r="M1484" s="37">
        <f t="shared" si="227"/>
        <v>270</v>
      </c>
      <c r="N1484" s="38">
        <v>0.16</v>
      </c>
      <c r="O1484" s="39">
        <f t="shared" si="228"/>
        <v>43.2</v>
      </c>
      <c r="P1484" s="40">
        <f t="shared" si="229"/>
        <v>313.2</v>
      </c>
      <c r="Q1484" s="23"/>
      <c r="R1484" s="56"/>
      <c r="S1484" s="57"/>
      <c r="T1484" s="58">
        <f t="shared" si="230"/>
        <v>0</v>
      </c>
      <c r="U1484" s="36">
        <f t="shared" si="231"/>
        <v>0</v>
      </c>
      <c r="V1484" s="59">
        <f t="shared" si="232"/>
        <v>0</v>
      </c>
      <c r="W1484" s="39">
        <f t="shared" si="233"/>
        <v>0</v>
      </c>
      <c r="X1484" s="40">
        <f t="shared" si="234"/>
        <v>0</v>
      </c>
      <c r="Y1484"/>
      <c r="Z1484"/>
      <c r="AA1484"/>
    </row>
    <row r="1485" spans="1:27" s="51" customFormat="1" ht="18.600000000000001" hidden="1" customHeight="1" x14ac:dyDescent="0.25">
      <c r="A1485" s="82" t="s">
        <v>2653</v>
      </c>
      <c r="B1485" s="41" t="s">
        <v>9303</v>
      </c>
      <c r="C1485" s="42" t="s">
        <v>9310</v>
      </c>
      <c r="D1485" s="41" t="s">
        <v>3396</v>
      </c>
      <c r="E1485" s="43" t="s">
        <v>3397</v>
      </c>
      <c r="F1485" s="43" t="s">
        <v>1937</v>
      </c>
      <c r="G1485" s="43" t="s">
        <v>9951</v>
      </c>
      <c r="H1485" s="85" t="s">
        <v>3398</v>
      </c>
      <c r="I1485" s="23" t="s">
        <v>24</v>
      </c>
      <c r="J1485" s="44">
        <v>360</v>
      </c>
      <c r="K1485" s="45">
        <v>0.25</v>
      </c>
      <c r="L1485" s="46">
        <f t="shared" si="226"/>
        <v>90</v>
      </c>
      <c r="M1485" s="47">
        <f t="shared" si="227"/>
        <v>270</v>
      </c>
      <c r="N1485" s="48">
        <v>0.16</v>
      </c>
      <c r="O1485" s="49">
        <f t="shared" si="228"/>
        <v>43.2</v>
      </c>
      <c r="P1485" s="50">
        <f t="shared" si="229"/>
        <v>313.2</v>
      </c>
      <c r="Q1485" s="23"/>
      <c r="R1485" s="60"/>
      <c r="S1485" s="61"/>
      <c r="T1485" s="62">
        <f t="shared" si="230"/>
        <v>0</v>
      </c>
      <c r="U1485" s="46">
        <f t="shared" si="231"/>
        <v>0</v>
      </c>
      <c r="V1485" s="63">
        <f t="shared" si="232"/>
        <v>0</v>
      </c>
      <c r="W1485" s="49">
        <f t="shared" si="233"/>
        <v>0</v>
      </c>
      <c r="X1485" s="50">
        <f t="shared" si="234"/>
        <v>0</v>
      </c>
      <c r="Y1485"/>
      <c r="Z1485"/>
      <c r="AA1485"/>
    </row>
    <row r="1486" spans="1:27" s="51" customFormat="1" ht="18.600000000000001" hidden="1" customHeight="1" x14ac:dyDescent="0.25">
      <c r="A1486" s="80" t="s">
        <v>2653</v>
      </c>
      <c r="B1486" s="20" t="s">
        <v>9303</v>
      </c>
      <c r="C1486" s="21" t="s">
        <v>9310</v>
      </c>
      <c r="D1486" s="20" t="s">
        <v>3399</v>
      </c>
      <c r="E1486" s="22" t="s">
        <v>3400</v>
      </c>
      <c r="F1486" s="22" t="s">
        <v>1937</v>
      </c>
      <c r="G1486" s="22" t="s">
        <v>9951</v>
      </c>
      <c r="H1486" s="83" t="s">
        <v>3401</v>
      </c>
      <c r="I1486" s="23" t="s">
        <v>24</v>
      </c>
      <c r="J1486" s="24">
        <v>360</v>
      </c>
      <c r="K1486" s="25">
        <v>0.25</v>
      </c>
      <c r="L1486" s="26">
        <f t="shared" si="226"/>
        <v>90</v>
      </c>
      <c r="M1486" s="27">
        <f t="shared" si="227"/>
        <v>270</v>
      </c>
      <c r="N1486" s="28">
        <v>0.16</v>
      </c>
      <c r="O1486" s="29">
        <f t="shared" si="228"/>
        <v>43.2</v>
      </c>
      <c r="P1486" s="30">
        <f t="shared" si="229"/>
        <v>313.2</v>
      </c>
      <c r="Q1486" s="23"/>
      <c r="R1486" s="52"/>
      <c r="S1486" s="53"/>
      <c r="T1486" s="54">
        <f t="shared" si="230"/>
        <v>0</v>
      </c>
      <c r="U1486" s="26">
        <f t="shared" si="231"/>
        <v>0</v>
      </c>
      <c r="V1486" s="55">
        <f t="shared" si="232"/>
        <v>0</v>
      </c>
      <c r="W1486" s="29">
        <f t="shared" si="233"/>
        <v>0</v>
      </c>
      <c r="X1486" s="30">
        <f t="shared" si="234"/>
        <v>0</v>
      </c>
      <c r="Y1486"/>
      <c r="Z1486"/>
      <c r="AA1486"/>
    </row>
    <row r="1487" spans="1:27" s="51" customFormat="1" ht="18.600000000000001" hidden="1" customHeight="1" x14ac:dyDescent="0.25">
      <c r="A1487" s="81" t="s">
        <v>2653</v>
      </c>
      <c r="B1487" s="31" t="s">
        <v>9303</v>
      </c>
      <c r="C1487" s="32" t="s">
        <v>9310</v>
      </c>
      <c r="D1487" s="31" t="s">
        <v>3402</v>
      </c>
      <c r="E1487" s="33" t="s">
        <v>3403</v>
      </c>
      <c r="F1487" s="33" t="s">
        <v>1937</v>
      </c>
      <c r="G1487" s="33" t="s">
        <v>9951</v>
      </c>
      <c r="H1487" s="84" t="s">
        <v>3404</v>
      </c>
      <c r="I1487" s="23" t="s">
        <v>24</v>
      </c>
      <c r="J1487" s="34">
        <v>360</v>
      </c>
      <c r="K1487" s="35">
        <v>0.25</v>
      </c>
      <c r="L1487" s="36">
        <f t="shared" si="226"/>
        <v>90</v>
      </c>
      <c r="M1487" s="37">
        <f t="shared" si="227"/>
        <v>270</v>
      </c>
      <c r="N1487" s="38">
        <v>0.16</v>
      </c>
      <c r="O1487" s="39">
        <f t="shared" si="228"/>
        <v>43.2</v>
      </c>
      <c r="P1487" s="40">
        <f t="shared" si="229"/>
        <v>313.2</v>
      </c>
      <c r="Q1487" s="23"/>
      <c r="R1487" s="56"/>
      <c r="S1487" s="57"/>
      <c r="T1487" s="58">
        <f t="shared" si="230"/>
        <v>0</v>
      </c>
      <c r="U1487" s="36">
        <f t="shared" si="231"/>
        <v>0</v>
      </c>
      <c r="V1487" s="59">
        <f t="shared" si="232"/>
        <v>0</v>
      </c>
      <c r="W1487" s="39">
        <f t="shared" si="233"/>
        <v>0</v>
      </c>
      <c r="X1487" s="40">
        <f t="shared" si="234"/>
        <v>0</v>
      </c>
      <c r="Y1487"/>
      <c r="Z1487"/>
      <c r="AA1487"/>
    </row>
    <row r="1488" spans="1:27" s="51" customFormat="1" ht="18.600000000000001" hidden="1" customHeight="1" x14ac:dyDescent="0.25">
      <c r="A1488" s="82" t="s">
        <v>2653</v>
      </c>
      <c r="B1488" s="41" t="s">
        <v>9303</v>
      </c>
      <c r="C1488" s="42" t="s">
        <v>9310</v>
      </c>
      <c r="D1488" s="41" t="s">
        <v>3405</v>
      </c>
      <c r="E1488" s="43" t="s">
        <v>3406</v>
      </c>
      <c r="F1488" s="43" t="s">
        <v>1937</v>
      </c>
      <c r="G1488" s="43" t="s">
        <v>2963</v>
      </c>
      <c r="H1488" s="85" t="s">
        <v>3407</v>
      </c>
      <c r="I1488" s="23" t="s">
        <v>24</v>
      </c>
      <c r="J1488" s="44">
        <v>270</v>
      </c>
      <c r="K1488" s="45">
        <v>0.25</v>
      </c>
      <c r="L1488" s="46">
        <f t="shared" si="226"/>
        <v>67.5</v>
      </c>
      <c r="M1488" s="47">
        <f t="shared" si="227"/>
        <v>202.5</v>
      </c>
      <c r="N1488" s="48">
        <v>0.16</v>
      </c>
      <c r="O1488" s="49">
        <f t="shared" si="228"/>
        <v>32.4</v>
      </c>
      <c r="P1488" s="50">
        <f t="shared" si="229"/>
        <v>234.9</v>
      </c>
      <c r="Q1488" s="23"/>
      <c r="R1488" s="60"/>
      <c r="S1488" s="61"/>
      <c r="T1488" s="62">
        <f t="shared" si="230"/>
        <v>0</v>
      </c>
      <c r="U1488" s="46">
        <f t="shared" si="231"/>
        <v>0</v>
      </c>
      <c r="V1488" s="63">
        <f t="shared" si="232"/>
        <v>0</v>
      </c>
      <c r="W1488" s="49">
        <f t="shared" si="233"/>
        <v>0</v>
      </c>
      <c r="X1488" s="50">
        <f t="shared" si="234"/>
        <v>0</v>
      </c>
      <c r="Y1488"/>
      <c r="Z1488"/>
      <c r="AA1488"/>
    </row>
    <row r="1489" spans="1:27" s="51" customFormat="1" ht="18.600000000000001" hidden="1" customHeight="1" x14ac:dyDescent="0.25">
      <c r="A1489" s="80" t="s">
        <v>2653</v>
      </c>
      <c r="B1489" s="20" t="s">
        <v>9303</v>
      </c>
      <c r="C1489" s="21" t="s">
        <v>9310</v>
      </c>
      <c r="D1489" s="20" t="s">
        <v>3408</v>
      </c>
      <c r="E1489" s="22" t="s">
        <v>3409</v>
      </c>
      <c r="F1489" s="22" t="s">
        <v>1937</v>
      </c>
      <c r="G1489" s="22" t="s">
        <v>9953</v>
      </c>
      <c r="H1489" s="83" t="s">
        <v>3410</v>
      </c>
      <c r="I1489" s="23" t="s">
        <v>24</v>
      </c>
      <c r="J1489" s="24">
        <v>540</v>
      </c>
      <c r="K1489" s="25">
        <v>0.25</v>
      </c>
      <c r="L1489" s="26">
        <f t="shared" si="226"/>
        <v>135</v>
      </c>
      <c r="M1489" s="27">
        <f t="shared" si="227"/>
        <v>405</v>
      </c>
      <c r="N1489" s="28">
        <v>0.16</v>
      </c>
      <c r="O1489" s="29">
        <f t="shared" si="228"/>
        <v>64.8</v>
      </c>
      <c r="P1489" s="30">
        <f t="shared" si="229"/>
        <v>469.8</v>
      </c>
      <c r="Q1489" s="23"/>
      <c r="R1489" s="52"/>
      <c r="S1489" s="53"/>
      <c r="T1489" s="54">
        <f t="shared" si="230"/>
        <v>0</v>
      </c>
      <c r="U1489" s="26">
        <f t="shared" si="231"/>
        <v>0</v>
      </c>
      <c r="V1489" s="55">
        <f t="shared" si="232"/>
        <v>0</v>
      </c>
      <c r="W1489" s="29">
        <f t="shared" si="233"/>
        <v>0</v>
      </c>
      <c r="X1489" s="30">
        <f t="shared" si="234"/>
        <v>0</v>
      </c>
      <c r="Y1489"/>
      <c r="Z1489"/>
      <c r="AA1489"/>
    </row>
    <row r="1490" spans="1:27" s="51" customFormat="1" ht="18.600000000000001" hidden="1" customHeight="1" x14ac:dyDescent="0.25">
      <c r="A1490" s="81" t="s">
        <v>2653</v>
      </c>
      <c r="B1490" s="31" t="s">
        <v>9303</v>
      </c>
      <c r="C1490" s="32" t="s">
        <v>9310</v>
      </c>
      <c r="D1490" s="31" t="s">
        <v>3411</v>
      </c>
      <c r="E1490" s="33" t="s">
        <v>3412</v>
      </c>
      <c r="F1490" s="33" t="s">
        <v>1937</v>
      </c>
      <c r="G1490" s="33" t="s">
        <v>9953</v>
      </c>
      <c r="H1490" s="84" t="s">
        <v>3413</v>
      </c>
      <c r="I1490" s="23" t="s">
        <v>24</v>
      </c>
      <c r="J1490" s="34">
        <v>540</v>
      </c>
      <c r="K1490" s="35">
        <v>0.25</v>
      </c>
      <c r="L1490" s="36">
        <f t="shared" si="226"/>
        <v>135</v>
      </c>
      <c r="M1490" s="37">
        <f t="shared" si="227"/>
        <v>405</v>
      </c>
      <c r="N1490" s="38">
        <v>0.16</v>
      </c>
      <c r="O1490" s="39">
        <f t="shared" si="228"/>
        <v>64.8</v>
      </c>
      <c r="P1490" s="40">
        <f t="shared" si="229"/>
        <v>469.8</v>
      </c>
      <c r="Q1490" s="23"/>
      <c r="R1490" s="56"/>
      <c r="S1490" s="57"/>
      <c r="T1490" s="58">
        <f t="shared" si="230"/>
        <v>0</v>
      </c>
      <c r="U1490" s="36">
        <f t="shared" si="231"/>
        <v>0</v>
      </c>
      <c r="V1490" s="59">
        <f t="shared" si="232"/>
        <v>0</v>
      </c>
      <c r="W1490" s="39">
        <f t="shared" si="233"/>
        <v>0</v>
      </c>
      <c r="X1490" s="40">
        <f t="shared" si="234"/>
        <v>0</v>
      </c>
      <c r="Y1490"/>
      <c r="Z1490"/>
      <c r="AA1490"/>
    </row>
    <row r="1491" spans="1:27" s="51" customFormat="1" ht="18.600000000000001" hidden="1" customHeight="1" x14ac:dyDescent="0.25">
      <c r="A1491" s="82" t="s">
        <v>2653</v>
      </c>
      <c r="B1491" s="41" t="s">
        <v>9303</v>
      </c>
      <c r="C1491" s="42" t="s">
        <v>9310</v>
      </c>
      <c r="D1491" s="41" t="s">
        <v>3414</v>
      </c>
      <c r="E1491" s="43" t="s">
        <v>3415</v>
      </c>
      <c r="F1491" s="43" t="s">
        <v>1937</v>
      </c>
      <c r="G1491" s="43" t="s">
        <v>9953</v>
      </c>
      <c r="H1491" s="85" t="s">
        <v>3416</v>
      </c>
      <c r="I1491" s="23" t="s">
        <v>24</v>
      </c>
      <c r="J1491" s="44">
        <v>540</v>
      </c>
      <c r="K1491" s="45">
        <v>0.25</v>
      </c>
      <c r="L1491" s="46">
        <f t="shared" si="226"/>
        <v>135</v>
      </c>
      <c r="M1491" s="47">
        <f t="shared" si="227"/>
        <v>405</v>
      </c>
      <c r="N1491" s="48">
        <v>0.16</v>
      </c>
      <c r="O1491" s="49">
        <f t="shared" si="228"/>
        <v>64.8</v>
      </c>
      <c r="P1491" s="50">
        <f t="shared" si="229"/>
        <v>469.8</v>
      </c>
      <c r="Q1491" s="23"/>
      <c r="R1491" s="60"/>
      <c r="S1491" s="61"/>
      <c r="T1491" s="62">
        <f t="shared" si="230"/>
        <v>0</v>
      </c>
      <c r="U1491" s="46">
        <f t="shared" si="231"/>
        <v>0</v>
      </c>
      <c r="V1491" s="63">
        <f t="shared" si="232"/>
        <v>0</v>
      </c>
      <c r="W1491" s="49">
        <f t="shared" si="233"/>
        <v>0</v>
      </c>
      <c r="X1491" s="50">
        <f t="shared" si="234"/>
        <v>0</v>
      </c>
      <c r="Y1491"/>
      <c r="Z1491"/>
      <c r="AA1491"/>
    </row>
    <row r="1492" spans="1:27" s="51" customFormat="1" ht="18.600000000000001" hidden="1" customHeight="1" x14ac:dyDescent="0.25">
      <c r="A1492" s="80" t="s">
        <v>2653</v>
      </c>
      <c r="B1492" s="20" t="s">
        <v>9303</v>
      </c>
      <c r="C1492" s="21" t="s">
        <v>9310</v>
      </c>
      <c r="D1492" s="20" t="s">
        <v>3417</v>
      </c>
      <c r="E1492" s="22" t="s">
        <v>3418</v>
      </c>
      <c r="F1492" s="22" t="s">
        <v>1937</v>
      </c>
      <c r="G1492" s="22" t="s">
        <v>2963</v>
      </c>
      <c r="H1492" s="83" t="s">
        <v>3419</v>
      </c>
      <c r="I1492" s="23" t="s">
        <v>24</v>
      </c>
      <c r="J1492" s="24">
        <v>270</v>
      </c>
      <c r="K1492" s="25">
        <v>0.25</v>
      </c>
      <c r="L1492" s="26">
        <f t="shared" si="226"/>
        <v>67.5</v>
      </c>
      <c r="M1492" s="27">
        <f t="shared" si="227"/>
        <v>202.5</v>
      </c>
      <c r="N1492" s="28">
        <v>0.16</v>
      </c>
      <c r="O1492" s="29">
        <f t="shared" si="228"/>
        <v>32.4</v>
      </c>
      <c r="P1492" s="30">
        <f t="shared" si="229"/>
        <v>234.9</v>
      </c>
      <c r="Q1492" s="23"/>
      <c r="R1492" s="52"/>
      <c r="S1492" s="53"/>
      <c r="T1492" s="54">
        <f t="shared" si="230"/>
        <v>0</v>
      </c>
      <c r="U1492" s="26">
        <f t="shared" si="231"/>
        <v>0</v>
      </c>
      <c r="V1492" s="55">
        <f t="shared" si="232"/>
        <v>0</v>
      </c>
      <c r="W1492" s="29">
        <f t="shared" si="233"/>
        <v>0</v>
      </c>
      <c r="X1492" s="30">
        <f t="shared" si="234"/>
        <v>0</v>
      </c>
      <c r="Y1492"/>
      <c r="Z1492"/>
      <c r="AA1492"/>
    </row>
    <row r="1493" spans="1:27" s="51" customFormat="1" ht="18.600000000000001" hidden="1" customHeight="1" x14ac:dyDescent="0.25">
      <c r="A1493" s="81" t="s">
        <v>2653</v>
      </c>
      <c r="B1493" s="31" t="s">
        <v>9303</v>
      </c>
      <c r="C1493" s="32" t="s">
        <v>9310</v>
      </c>
      <c r="D1493" s="31" t="s">
        <v>3420</v>
      </c>
      <c r="E1493" s="33" t="s">
        <v>3421</v>
      </c>
      <c r="F1493" s="33" t="s">
        <v>1937</v>
      </c>
      <c r="G1493" s="33" t="s">
        <v>2963</v>
      </c>
      <c r="H1493" s="84" t="s">
        <v>3422</v>
      </c>
      <c r="I1493" s="23" t="s">
        <v>24</v>
      </c>
      <c r="J1493" s="34">
        <v>270</v>
      </c>
      <c r="K1493" s="35">
        <v>0.25</v>
      </c>
      <c r="L1493" s="36">
        <f t="shared" si="226"/>
        <v>67.5</v>
      </c>
      <c r="M1493" s="37">
        <f t="shared" si="227"/>
        <v>202.5</v>
      </c>
      <c r="N1493" s="38">
        <v>0.16</v>
      </c>
      <c r="O1493" s="39">
        <f t="shared" si="228"/>
        <v>32.4</v>
      </c>
      <c r="P1493" s="40">
        <f t="shared" si="229"/>
        <v>234.9</v>
      </c>
      <c r="Q1493" s="23"/>
      <c r="R1493" s="56"/>
      <c r="S1493" s="57"/>
      <c r="T1493" s="58">
        <f t="shared" si="230"/>
        <v>0</v>
      </c>
      <c r="U1493" s="36">
        <f t="shared" si="231"/>
        <v>0</v>
      </c>
      <c r="V1493" s="59">
        <f t="shared" si="232"/>
        <v>0</v>
      </c>
      <c r="W1493" s="39">
        <f t="shared" si="233"/>
        <v>0</v>
      </c>
      <c r="X1493" s="40">
        <f t="shared" si="234"/>
        <v>0</v>
      </c>
      <c r="Y1493"/>
      <c r="Z1493"/>
      <c r="AA1493"/>
    </row>
    <row r="1494" spans="1:27" s="51" customFormat="1" ht="18.600000000000001" hidden="1" customHeight="1" x14ac:dyDescent="0.25">
      <c r="A1494" s="82" t="s">
        <v>2653</v>
      </c>
      <c r="B1494" s="41" t="s">
        <v>9303</v>
      </c>
      <c r="C1494" s="42" t="s">
        <v>9310</v>
      </c>
      <c r="D1494" s="41" t="s">
        <v>3423</v>
      </c>
      <c r="E1494" s="43" t="s">
        <v>3424</v>
      </c>
      <c r="F1494" s="43" t="s">
        <v>1937</v>
      </c>
      <c r="G1494" s="43" t="s">
        <v>9951</v>
      </c>
      <c r="H1494" s="85" t="s">
        <v>3425</v>
      </c>
      <c r="I1494" s="23" t="s">
        <v>24</v>
      </c>
      <c r="J1494" s="44">
        <v>495</v>
      </c>
      <c r="K1494" s="45">
        <v>0.25</v>
      </c>
      <c r="L1494" s="46">
        <f t="shared" si="226"/>
        <v>123.75</v>
      </c>
      <c r="M1494" s="47">
        <f t="shared" si="227"/>
        <v>371.25</v>
      </c>
      <c r="N1494" s="48">
        <v>0.16</v>
      </c>
      <c r="O1494" s="49">
        <f t="shared" si="228"/>
        <v>59.4</v>
      </c>
      <c r="P1494" s="50">
        <f t="shared" si="229"/>
        <v>430.65</v>
      </c>
      <c r="Q1494" s="23"/>
      <c r="R1494" s="60"/>
      <c r="S1494" s="61"/>
      <c r="T1494" s="62">
        <f t="shared" si="230"/>
        <v>0</v>
      </c>
      <c r="U1494" s="46">
        <f t="shared" si="231"/>
        <v>0</v>
      </c>
      <c r="V1494" s="63">
        <f t="shared" si="232"/>
        <v>0</v>
      </c>
      <c r="W1494" s="49">
        <f t="shared" si="233"/>
        <v>0</v>
      </c>
      <c r="X1494" s="50">
        <f t="shared" si="234"/>
        <v>0</v>
      </c>
      <c r="Y1494"/>
      <c r="Z1494"/>
      <c r="AA1494"/>
    </row>
    <row r="1495" spans="1:27" s="51" customFormat="1" ht="18.600000000000001" hidden="1" customHeight="1" x14ac:dyDescent="0.25">
      <c r="A1495" s="80" t="s">
        <v>2653</v>
      </c>
      <c r="B1495" s="20" t="s">
        <v>9303</v>
      </c>
      <c r="C1495" s="21" t="s">
        <v>9310</v>
      </c>
      <c r="D1495" s="20" t="s">
        <v>3426</v>
      </c>
      <c r="E1495" s="22" t="s">
        <v>3427</v>
      </c>
      <c r="F1495" s="22" t="s">
        <v>1937</v>
      </c>
      <c r="G1495" s="22" t="s">
        <v>9953</v>
      </c>
      <c r="H1495" s="83" t="s">
        <v>3428</v>
      </c>
      <c r="I1495" s="23" t="s">
        <v>24</v>
      </c>
      <c r="J1495" s="24">
        <v>540</v>
      </c>
      <c r="K1495" s="25">
        <v>0.25</v>
      </c>
      <c r="L1495" s="26">
        <f t="shared" ref="L1495:L1558" si="235">+J1495*K1495</f>
        <v>135</v>
      </c>
      <c r="M1495" s="27">
        <f t="shared" ref="M1495:M1558" si="236">+J1495-L1495</f>
        <v>405</v>
      </c>
      <c r="N1495" s="28">
        <v>0.16</v>
      </c>
      <c r="O1495" s="29">
        <f t="shared" ref="O1495:O1558" si="237">+M1495*N1495</f>
        <v>64.8</v>
      </c>
      <c r="P1495" s="30">
        <f t="shared" ref="P1495:P1558" si="238">+M1495+O1495</f>
        <v>469.8</v>
      </c>
      <c r="Q1495" s="23"/>
      <c r="R1495" s="52"/>
      <c r="S1495" s="53"/>
      <c r="T1495" s="54">
        <f t="shared" ref="T1495:T1558" si="239">+S1495*J1495</f>
        <v>0</v>
      </c>
      <c r="U1495" s="26">
        <f t="shared" ref="U1495:U1558" si="240">+T1495*K1495</f>
        <v>0</v>
      </c>
      <c r="V1495" s="55">
        <f t="shared" ref="V1495:V1558" si="241">+T1495-U1495</f>
        <v>0</v>
      </c>
      <c r="W1495" s="29">
        <f t="shared" ref="W1495:W1558" si="242">+V1495*N1495</f>
        <v>0</v>
      </c>
      <c r="X1495" s="30">
        <f t="shared" ref="X1495:X1558" si="243">+V1495+W1495</f>
        <v>0</v>
      </c>
      <c r="Y1495"/>
      <c r="Z1495"/>
      <c r="AA1495"/>
    </row>
    <row r="1496" spans="1:27" s="51" customFormat="1" ht="18.600000000000001" hidden="1" customHeight="1" x14ac:dyDescent="0.25">
      <c r="A1496" s="81" t="s">
        <v>2653</v>
      </c>
      <c r="B1496" s="31" t="s">
        <v>9303</v>
      </c>
      <c r="C1496" s="32" t="s">
        <v>9310</v>
      </c>
      <c r="D1496" s="31" t="s">
        <v>3429</v>
      </c>
      <c r="E1496" s="33" t="s">
        <v>3430</v>
      </c>
      <c r="F1496" s="33" t="s">
        <v>1937</v>
      </c>
      <c r="G1496" s="33" t="s">
        <v>9959</v>
      </c>
      <c r="H1496" s="84" t="s">
        <v>3431</v>
      </c>
      <c r="I1496" s="23" t="s">
        <v>24</v>
      </c>
      <c r="J1496" s="34">
        <v>720</v>
      </c>
      <c r="K1496" s="35">
        <v>0.25</v>
      </c>
      <c r="L1496" s="36">
        <f t="shared" si="235"/>
        <v>180</v>
      </c>
      <c r="M1496" s="37">
        <f t="shared" si="236"/>
        <v>540</v>
      </c>
      <c r="N1496" s="38">
        <v>0.16</v>
      </c>
      <c r="O1496" s="39">
        <f t="shared" si="237"/>
        <v>86.4</v>
      </c>
      <c r="P1496" s="40">
        <f t="shared" si="238"/>
        <v>626.4</v>
      </c>
      <c r="Q1496" s="23"/>
      <c r="R1496" s="56"/>
      <c r="S1496" s="57"/>
      <c r="T1496" s="58">
        <f t="shared" si="239"/>
        <v>0</v>
      </c>
      <c r="U1496" s="36">
        <f t="shared" si="240"/>
        <v>0</v>
      </c>
      <c r="V1496" s="59">
        <f t="shared" si="241"/>
        <v>0</v>
      </c>
      <c r="W1496" s="39">
        <f t="shared" si="242"/>
        <v>0</v>
      </c>
      <c r="X1496" s="40">
        <f t="shared" si="243"/>
        <v>0</v>
      </c>
      <c r="Y1496"/>
      <c r="Z1496"/>
      <c r="AA1496"/>
    </row>
    <row r="1497" spans="1:27" s="51" customFormat="1" ht="18.600000000000001" hidden="1" customHeight="1" x14ac:dyDescent="0.25">
      <c r="A1497" s="82" t="s">
        <v>2653</v>
      </c>
      <c r="B1497" s="41" t="s">
        <v>9303</v>
      </c>
      <c r="C1497" s="42" t="s">
        <v>9310</v>
      </c>
      <c r="D1497" s="41" t="s">
        <v>3432</v>
      </c>
      <c r="E1497" s="43" t="s">
        <v>3433</v>
      </c>
      <c r="F1497" s="43" t="s">
        <v>1937</v>
      </c>
      <c r="G1497" s="43" t="s">
        <v>9953</v>
      </c>
      <c r="H1497" s="85" t="s">
        <v>3434</v>
      </c>
      <c r="I1497" s="23" t="s">
        <v>24</v>
      </c>
      <c r="J1497" s="44">
        <v>540</v>
      </c>
      <c r="K1497" s="45">
        <v>0.25</v>
      </c>
      <c r="L1497" s="46">
        <f t="shared" si="235"/>
        <v>135</v>
      </c>
      <c r="M1497" s="47">
        <f t="shared" si="236"/>
        <v>405</v>
      </c>
      <c r="N1497" s="48">
        <v>0.16</v>
      </c>
      <c r="O1497" s="49">
        <f t="shared" si="237"/>
        <v>64.8</v>
      </c>
      <c r="P1497" s="50">
        <f t="shared" si="238"/>
        <v>469.8</v>
      </c>
      <c r="Q1497" s="23"/>
      <c r="R1497" s="60"/>
      <c r="S1497" s="61"/>
      <c r="T1497" s="62">
        <f t="shared" si="239"/>
        <v>0</v>
      </c>
      <c r="U1497" s="46">
        <f t="shared" si="240"/>
        <v>0</v>
      </c>
      <c r="V1497" s="63">
        <f t="shared" si="241"/>
        <v>0</v>
      </c>
      <c r="W1497" s="49">
        <f t="shared" si="242"/>
        <v>0</v>
      </c>
      <c r="X1497" s="50">
        <f t="shared" si="243"/>
        <v>0</v>
      </c>
      <c r="Y1497"/>
      <c r="Z1497"/>
      <c r="AA1497"/>
    </row>
    <row r="1498" spans="1:27" s="51" customFormat="1" ht="18.600000000000001" hidden="1" customHeight="1" x14ac:dyDescent="0.25">
      <c r="A1498" s="80" t="s">
        <v>2653</v>
      </c>
      <c r="B1498" s="20" t="s">
        <v>9303</v>
      </c>
      <c r="C1498" s="21" t="s">
        <v>9310</v>
      </c>
      <c r="D1498" s="20" t="s">
        <v>3435</v>
      </c>
      <c r="E1498" s="22" t="s">
        <v>3436</v>
      </c>
      <c r="F1498" s="22" t="s">
        <v>1937</v>
      </c>
      <c r="G1498" s="22" t="s">
        <v>9953</v>
      </c>
      <c r="H1498" s="83" t="s">
        <v>3437</v>
      </c>
      <c r="I1498" s="23" t="s">
        <v>24</v>
      </c>
      <c r="J1498" s="24">
        <v>540</v>
      </c>
      <c r="K1498" s="25">
        <v>0.25</v>
      </c>
      <c r="L1498" s="26">
        <f t="shared" si="235"/>
        <v>135</v>
      </c>
      <c r="M1498" s="27">
        <f t="shared" si="236"/>
        <v>405</v>
      </c>
      <c r="N1498" s="28">
        <v>0.16</v>
      </c>
      <c r="O1498" s="29">
        <f t="shared" si="237"/>
        <v>64.8</v>
      </c>
      <c r="P1498" s="30">
        <f t="shared" si="238"/>
        <v>469.8</v>
      </c>
      <c r="Q1498" s="23"/>
      <c r="R1498" s="52"/>
      <c r="S1498" s="53"/>
      <c r="T1498" s="54">
        <f t="shared" si="239"/>
        <v>0</v>
      </c>
      <c r="U1498" s="26">
        <f t="shared" si="240"/>
        <v>0</v>
      </c>
      <c r="V1498" s="55">
        <f t="shared" si="241"/>
        <v>0</v>
      </c>
      <c r="W1498" s="29">
        <f t="shared" si="242"/>
        <v>0</v>
      </c>
      <c r="X1498" s="30">
        <f t="shared" si="243"/>
        <v>0</v>
      </c>
      <c r="Y1498"/>
      <c r="Z1498"/>
      <c r="AA1498"/>
    </row>
    <row r="1499" spans="1:27" s="51" customFormat="1" ht="18.600000000000001" hidden="1" customHeight="1" x14ac:dyDescent="0.25">
      <c r="A1499" s="81" t="s">
        <v>2653</v>
      </c>
      <c r="B1499" s="31" t="s">
        <v>9303</v>
      </c>
      <c r="C1499" s="32" t="s">
        <v>9310</v>
      </c>
      <c r="D1499" s="31" t="s">
        <v>3438</v>
      </c>
      <c r="E1499" s="33" t="s">
        <v>3439</v>
      </c>
      <c r="F1499" s="33" t="s">
        <v>1937</v>
      </c>
      <c r="G1499" s="33" t="s">
        <v>9953</v>
      </c>
      <c r="H1499" s="84" t="s">
        <v>3440</v>
      </c>
      <c r="I1499" s="23" t="s">
        <v>24</v>
      </c>
      <c r="J1499" s="34">
        <v>540</v>
      </c>
      <c r="K1499" s="35">
        <v>0.25</v>
      </c>
      <c r="L1499" s="36">
        <f t="shared" si="235"/>
        <v>135</v>
      </c>
      <c r="M1499" s="37">
        <f t="shared" si="236"/>
        <v>405</v>
      </c>
      <c r="N1499" s="38">
        <v>0.16</v>
      </c>
      <c r="O1499" s="39">
        <f t="shared" si="237"/>
        <v>64.8</v>
      </c>
      <c r="P1499" s="40">
        <f t="shared" si="238"/>
        <v>469.8</v>
      </c>
      <c r="Q1499" s="23"/>
      <c r="R1499" s="56"/>
      <c r="S1499" s="57"/>
      <c r="T1499" s="58">
        <f t="shared" si="239"/>
        <v>0</v>
      </c>
      <c r="U1499" s="36">
        <f t="shared" si="240"/>
        <v>0</v>
      </c>
      <c r="V1499" s="59">
        <f t="shared" si="241"/>
        <v>0</v>
      </c>
      <c r="W1499" s="39">
        <f t="shared" si="242"/>
        <v>0</v>
      </c>
      <c r="X1499" s="40">
        <f t="shared" si="243"/>
        <v>0</v>
      </c>
      <c r="Y1499"/>
      <c r="Z1499"/>
      <c r="AA1499"/>
    </row>
    <row r="1500" spans="1:27" s="51" customFormat="1" ht="18.600000000000001" hidden="1" customHeight="1" x14ac:dyDescent="0.25">
      <c r="A1500" s="82" t="s">
        <v>2653</v>
      </c>
      <c r="B1500" s="41" t="s">
        <v>9303</v>
      </c>
      <c r="C1500" s="42" t="s">
        <v>9310</v>
      </c>
      <c r="D1500" s="41" t="s">
        <v>3441</v>
      </c>
      <c r="E1500" s="43" t="s">
        <v>3442</v>
      </c>
      <c r="F1500" s="43" t="s">
        <v>1937</v>
      </c>
      <c r="G1500" s="43" t="s">
        <v>9953</v>
      </c>
      <c r="H1500" s="85" t="s">
        <v>3443</v>
      </c>
      <c r="I1500" s="23" t="s">
        <v>24</v>
      </c>
      <c r="J1500" s="44">
        <v>540</v>
      </c>
      <c r="K1500" s="45">
        <v>0.25</v>
      </c>
      <c r="L1500" s="46">
        <f t="shared" si="235"/>
        <v>135</v>
      </c>
      <c r="M1500" s="47">
        <f t="shared" si="236"/>
        <v>405</v>
      </c>
      <c r="N1500" s="48">
        <v>0.16</v>
      </c>
      <c r="O1500" s="49">
        <f t="shared" si="237"/>
        <v>64.8</v>
      </c>
      <c r="P1500" s="50">
        <f t="shared" si="238"/>
        <v>469.8</v>
      </c>
      <c r="Q1500" s="23"/>
      <c r="R1500" s="60"/>
      <c r="S1500" s="61"/>
      <c r="T1500" s="62">
        <f t="shared" si="239"/>
        <v>0</v>
      </c>
      <c r="U1500" s="46">
        <f t="shared" si="240"/>
        <v>0</v>
      </c>
      <c r="V1500" s="63">
        <f t="shared" si="241"/>
        <v>0</v>
      </c>
      <c r="W1500" s="49">
        <f t="shared" si="242"/>
        <v>0</v>
      </c>
      <c r="X1500" s="50">
        <f t="shared" si="243"/>
        <v>0</v>
      </c>
      <c r="Y1500"/>
      <c r="Z1500"/>
      <c r="AA1500"/>
    </row>
    <row r="1501" spans="1:27" s="51" customFormat="1" ht="18.600000000000001" hidden="1" customHeight="1" x14ac:dyDescent="0.25">
      <c r="A1501" s="80" t="s">
        <v>2653</v>
      </c>
      <c r="B1501" s="20" t="s">
        <v>9303</v>
      </c>
      <c r="C1501" s="21" t="s">
        <v>9310</v>
      </c>
      <c r="D1501" s="20" t="s">
        <v>3444</v>
      </c>
      <c r="E1501" s="22" t="s">
        <v>3445</v>
      </c>
      <c r="F1501" s="22" t="s">
        <v>1937</v>
      </c>
      <c r="G1501" s="22" t="s">
        <v>2963</v>
      </c>
      <c r="H1501" s="83" t="s">
        <v>3446</v>
      </c>
      <c r="I1501" s="23" t="s">
        <v>24</v>
      </c>
      <c r="J1501" s="24">
        <v>270</v>
      </c>
      <c r="K1501" s="25">
        <v>0.25</v>
      </c>
      <c r="L1501" s="26">
        <f t="shared" si="235"/>
        <v>67.5</v>
      </c>
      <c r="M1501" s="27">
        <f t="shared" si="236"/>
        <v>202.5</v>
      </c>
      <c r="N1501" s="28">
        <v>0.16</v>
      </c>
      <c r="O1501" s="29">
        <f t="shared" si="237"/>
        <v>32.4</v>
      </c>
      <c r="P1501" s="30">
        <f t="shared" si="238"/>
        <v>234.9</v>
      </c>
      <c r="Q1501" s="23"/>
      <c r="R1501" s="52"/>
      <c r="S1501" s="53"/>
      <c r="T1501" s="54">
        <f t="shared" si="239"/>
        <v>0</v>
      </c>
      <c r="U1501" s="26">
        <f t="shared" si="240"/>
        <v>0</v>
      </c>
      <c r="V1501" s="55">
        <f t="shared" si="241"/>
        <v>0</v>
      </c>
      <c r="W1501" s="29">
        <f t="shared" si="242"/>
        <v>0</v>
      </c>
      <c r="X1501" s="30">
        <f t="shared" si="243"/>
        <v>0</v>
      </c>
      <c r="Y1501"/>
      <c r="Z1501"/>
      <c r="AA1501"/>
    </row>
    <row r="1502" spans="1:27" s="51" customFormat="1" ht="18.600000000000001" hidden="1" customHeight="1" x14ac:dyDescent="0.25">
      <c r="A1502" s="81" t="s">
        <v>2653</v>
      </c>
      <c r="B1502" s="31" t="s">
        <v>9303</v>
      </c>
      <c r="C1502" s="32" t="s">
        <v>9310</v>
      </c>
      <c r="D1502" s="31" t="s">
        <v>3447</v>
      </c>
      <c r="E1502" s="33" t="s">
        <v>3448</v>
      </c>
      <c r="F1502" s="33" t="s">
        <v>1937</v>
      </c>
      <c r="G1502" s="33" t="s">
        <v>2963</v>
      </c>
      <c r="H1502" s="84" t="s">
        <v>3449</v>
      </c>
      <c r="I1502" s="23" t="s">
        <v>24</v>
      </c>
      <c r="J1502" s="34">
        <v>270</v>
      </c>
      <c r="K1502" s="35">
        <v>0.25</v>
      </c>
      <c r="L1502" s="36">
        <f t="shared" si="235"/>
        <v>67.5</v>
      </c>
      <c r="M1502" s="37">
        <f t="shared" si="236"/>
        <v>202.5</v>
      </c>
      <c r="N1502" s="38">
        <v>0.16</v>
      </c>
      <c r="O1502" s="39">
        <f t="shared" si="237"/>
        <v>32.4</v>
      </c>
      <c r="P1502" s="40">
        <f t="shared" si="238"/>
        <v>234.9</v>
      </c>
      <c r="Q1502" s="23"/>
      <c r="R1502" s="56"/>
      <c r="S1502" s="57"/>
      <c r="T1502" s="58">
        <f t="shared" si="239"/>
        <v>0</v>
      </c>
      <c r="U1502" s="36">
        <f t="shared" si="240"/>
        <v>0</v>
      </c>
      <c r="V1502" s="59">
        <f t="shared" si="241"/>
        <v>0</v>
      </c>
      <c r="W1502" s="39">
        <f t="shared" si="242"/>
        <v>0</v>
      </c>
      <c r="X1502" s="40">
        <f t="shared" si="243"/>
        <v>0</v>
      </c>
      <c r="Y1502"/>
      <c r="Z1502"/>
      <c r="AA1502"/>
    </row>
    <row r="1503" spans="1:27" s="51" customFormat="1" ht="18.600000000000001" hidden="1" customHeight="1" x14ac:dyDescent="0.25">
      <c r="A1503" s="82" t="s">
        <v>2653</v>
      </c>
      <c r="B1503" s="41" t="s">
        <v>9303</v>
      </c>
      <c r="C1503" s="42" t="s">
        <v>9310</v>
      </c>
      <c r="D1503" s="41" t="s">
        <v>3450</v>
      </c>
      <c r="E1503" s="43" t="s">
        <v>3451</v>
      </c>
      <c r="F1503" s="43" t="s">
        <v>1937</v>
      </c>
      <c r="G1503" s="43" t="s">
        <v>9953</v>
      </c>
      <c r="H1503" s="85" t="s">
        <v>3452</v>
      </c>
      <c r="I1503" s="23" t="s">
        <v>24</v>
      </c>
      <c r="J1503" s="44">
        <v>540</v>
      </c>
      <c r="K1503" s="45">
        <v>0.25</v>
      </c>
      <c r="L1503" s="46">
        <f t="shared" si="235"/>
        <v>135</v>
      </c>
      <c r="M1503" s="47">
        <f t="shared" si="236"/>
        <v>405</v>
      </c>
      <c r="N1503" s="48">
        <v>0.16</v>
      </c>
      <c r="O1503" s="49">
        <f t="shared" si="237"/>
        <v>64.8</v>
      </c>
      <c r="P1503" s="50">
        <f t="shared" si="238"/>
        <v>469.8</v>
      </c>
      <c r="Q1503" s="23"/>
      <c r="R1503" s="60"/>
      <c r="S1503" s="61"/>
      <c r="T1503" s="62">
        <f t="shared" si="239"/>
        <v>0</v>
      </c>
      <c r="U1503" s="46">
        <f t="shared" si="240"/>
        <v>0</v>
      </c>
      <c r="V1503" s="63">
        <f t="shared" si="241"/>
        <v>0</v>
      </c>
      <c r="W1503" s="49">
        <f t="shared" si="242"/>
        <v>0</v>
      </c>
      <c r="X1503" s="50">
        <f t="shared" si="243"/>
        <v>0</v>
      </c>
      <c r="Y1503"/>
      <c r="Z1503"/>
      <c r="AA1503"/>
    </row>
    <row r="1504" spans="1:27" s="51" customFormat="1" ht="18.600000000000001" hidden="1" customHeight="1" x14ac:dyDescent="0.25">
      <c r="A1504" s="80" t="s">
        <v>2653</v>
      </c>
      <c r="B1504" s="20" t="s">
        <v>9303</v>
      </c>
      <c r="C1504" s="21" t="s">
        <v>9310</v>
      </c>
      <c r="D1504" s="20" t="s">
        <v>3453</v>
      </c>
      <c r="E1504" s="22" t="s">
        <v>3454</v>
      </c>
      <c r="F1504" s="22" t="s">
        <v>1937</v>
      </c>
      <c r="G1504" s="22" t="s">
        <v>9953</v>
      </c>
      <c r="H1504" s="83" t="s">
        <v>3455</v>
      </c>
      <c r="I1504" s="23" t="s">
        <v>24</v>
      </c>
      <c r="J1504" s="24">
        <v>540</v>
      </c>
      <c r="K1504" s="25">
        <v>0.25</v>
      </c>
      <c r="L1504" s="26">
        <f t="shared" si="235"/>
        <v>135</v>
      </c>
      <c r="M1504" s="27">
        <f t="shared" si="236"/>
        <v>405</v>
      </c>
      <c r="N1504" s="28">
        <v>0.16</v>
      </c>
      <c r="O1504" s="29">
        <f t="shared" si="237"/>
        <v>64.8</v>
      </c>
      <c r="P1504" s="30">
        <f t="shared" si="238"/>
        <v>469.8</v>
      </c>
      <c r="Q1504" s="23"/>
      <c r="R1504" s="52"/>
      <c r="S1504" s="53"/>
      <c r="T1504" s="54">
        <f t="shared" si="239"/>
        <v>0</v>
      </c>
      <c r="U1504" s="26">
        <f t="shared" si="240"/>
        <v>0</v>
      </c>
      <c r="V1504" s="55">
        <f t="shared" si="241"/>
        <v>0</v>
      </c>
      <c r="W1504" s="29">
        <f t="shared" si="242"/>
        <v>0</v>
      </c>
      <c r="X1504" s="30">
        <f t="shared" si="243"/>
        <v>0</v>
      </c>
      <c r="Y1504"/>
      <c r="Z1504"/>
      <c r="AA1504"/>
    </row>
    <row r="1505" spans="1:27" s="51" customFormat="1" ht="18.600000000000001" hidden="1" customHeight="1" x14ac:dyDescent="0.25">
      <c r="A1505" s="81" t="s">
        <v>2653</v>
      </c>
      <c r="B1505" s="31" t="s">
        <v>9303</v>
      </c>
      <c r="C1505" s="32" t="s">
        <v>9310</v>
      </c>
      <c r="D1505" s="31" t="s">
        <v>3456</v>
      </c>
      <c r="E1505" s="33" t="s">
        <v>3457</v>
      </c>
      <c r="F1505" s="33" t="s">
        <v>1937</v>
      </c>
      <c r="G1505" s="33" t="s">
        <v>9953</v>
      </c>
      <c r="H1505" s="84" t="s">
        <v>3458</v>
      </c>
      <c r="I1505" s="23" t="s">
        <v>24</v>
      </c>
      <c r="J1505" s="34">
        <v>540</v>
      </c>
      <c r="K1505" s="35">
        <v>0.25</v>
      </c>
      <c r="L1505" s="36">
        <f t="shared" si="235"/>
        <v>135</v>
      </c>
      <c r="M1505" s="37">
        <f t="shared" si="236"/>
        <v>405</v>
      </c>
      <c r="N1505" s="38">
        <v>0.16</v>
      </c>
      <c r="O1505" s="39">
        <f t="shared" si="237"/>
        <v>64.8</v>
      </c>
      <c r="P1505" s="40">
        <f t="shared" si="238"/>
        <v>469.8</v>
      </c>
      <c r="Q1505" s="23"/>
      <c r="R1505" s="56"/>
      <c r="S1505" s="57"/>
      <c r="T1505" s="58">
        <f t="shared" si="239"/>
        <v>0</v>
      </c>
      <c r="U1505" s="36">
        <f t="shared" si="240"/>
        <v>0</v>
      </c>
      <c r="V1505" s="59">
        <f t="shared" si="241"/>
        <v>0</v>
      </c>
      <c r="W1505" s="39">
        <f t="shared" si="242"/>
        <v>0</v>
      </c>
      <c r="X1505" s="40">
        <f t="shared" si="243"/>
        <v>0</v>
      </c>
      <c r="Y1505"/>
      <c r="Z1505"/>
      <c r="AA1505"/>
    </row>
    <row r="1506" spans="1:27" s="51" customFormat="1" ht="18.600000000000001" hidden="1" customHeight="1" x14ac:dyDescent="0.25">
      <c r="A1506" s="82" t="s">
        <v>2653</v>
      </c>
      <c r="B1506" s="41" t="s">
        <v>9303</v>
      </c>
      <c r="C1506" s="42" t="s">
        <v>9310</v>
      </c>
      <c r="D1506" s="41" t="s">
        <v>3459</v>
      </c>
      <c r="E1506" s="43" t="s">
        <v>3460</v>
      </c>
      <c r="F1506" s="43" t="s">
        <v>1937</v>
      </c>
      <c r="G1506" s="43" t="s">
        <v>9953</v>
      </c>
      <c r="H1506" s="85" t="s">
        <v>3461</v>
      </c>
      <c r="I1506" s="23" t="s">
        <v>24</v>
      </c>
      <c r="J1506" s="44">
        <v>540</v>
      </c>
      <c r="K1506" s="45">
        <v>0.25</v>
      </c>
      <c r="L1506" s="46">
        <f t="shared" si="235"/>
        <v>135</v>
      </c>
      <c r="M1506" s="47">
        <f t="shared" si="236"/>
        <v>405</v>
      </c>
      <c r="N1506" s="48">
        <v>0.16</v>
      </c>
      <c r="O1506" s="49">
        <f t="shared" si="237"/>
        <v>64.8</v>
      </c>
      <c r="P1506" s="50">
        <f t="shared" si="238"/>
        <v>469.8</v>
      </c>
      <c r="Q1506" s="23"/>
      <c r="R1506" s="60"/>
      <c r="S1506" s="61"/>
      <c r="T1506" s="62">
        <f t="shared" si="239"/>
        <v>0</v>
      </c>
      <c r="U1506" s="46">
        <f t="shared" si="240"/>
        <v>0</v>
      </c>
      <c r="V1506" s="63">
        <f t="shared" si="241"/>
        <v>0</v>
      </c>
      <c r="W1506" s="49">
        <f t="shared" si="242"/>
        <v>0</v>
      </c>
      <c r="X1506" s="50">
        <f t="shared" si="243"/>
        <v>0</v>
      </c>
      <c r="Y1506"/>
      <c r="Z1506"/>
      <c r="AA1506"/>
    </row>
    <row r="1507" spans="1:27" s="51" customFormat="1" ht="18.600000000000001" hidden="1" customHeight="1" x14ac:dyDescent="0.25">
      <c r="A1507" s="80" t="s">
        <v>2653</v>
      </c>
      <c r="B1507" s="20" t="s">
        <v>9303</v>
      </c>
      <c r="C1507" s="21" t="s">
        <v>9310</v>
      </c>
      <c r="D1507" s="20" t="s">
        <v>3462</v>
      </c>
      <c r="E1507" s="22" t="s">
        <v>3463</v>
      </c>
      <c r="F1507" s="22" t="s">
        <v>1937</v>
      </c>
      <c r="G1507" s="22" t="s">
        <v>2963</v>
      </c>
      <c r="H1507" s="83" t="s">
        <v>3464</v>
      </c>
      <c r="I1507" s="23" t="s">
        <v>24</v>
      </c>
      <c r="J1507" s="24">
        <v>270</v>
      </c>
      <c r="K1507" s="25">
        <v>0.25</v>
      </c>
      <c r="L1507" s="26">
        <f t="shared" si="235"/>
        <v>67.5</v>
      </c>
      <c r="M1507" s="27">
        <f t="shared" si="236"/>
        <v>202.5</v>
      </c>
      <c r="N1507" s="28">
        <v>0.16</v>
      </c>
      <c r="O1507" s="29">
        <f t="shared" si="237"/>
        <v>32.4</v>
      </c>
      <c r="P1507" s="30">
        <f t="shared" si="238"/>
        <v>234.9</v>
      </c>
      <c r="Q1507" s="23"/>
      <c r="R1507" s="52"/>
      <c r="S1507" s="53"/>
      <c r="T1507" s="54">
        <f t="shared" si="239"/>
        <v>0</v>
      </c>
      <c r="U1507" s="26">
        <f t="shared" si="240"/>
        <v>0</v>
      </c>
      <c r="V1507" s="55">
        <f t="shared" si="241"/>
        <v>0</v>
      </c>
      <c r="W1507" s="29">
        <f t="shared" si="242"/>
        <v>0</v>
      </c>
      <c r="X1507" s="30">
        <f t="shared" si="243"/>
        <v>0</v>
      </c>
      <c r="Y1507"/>
      <c r="Z1507"/>
      <c r="AA1507"/>
    </row>
    <row r="1508" spans="1:27" s="51" customFormat="1" ht="18.600000000000001" hidden="1" customHeight="1" x14ac:dyDescent="0.25">
      <c r="A1508" s="81" t="s">
        <v>2653</v>
      </c>
      <c r="B1508" s="31" t="s">
        <v>9303</v>
      </c>
      <c r="C1508" s="32" t="s">
        <v>9310</v>
      </c>
      <c r="D1508" s="31" t="s">
        <v>3465</v>
      </c>
      <c r="E1508" s="33" t="s">
        <v>3466</v>
      </c>
      <c r="F1508" s="33" t="s">
        <v>1937</v>
      </c>
      <c r="G1508" s="33" t="s">
        <v>2963</v>
      </c>
      <c r="H1508" s="84" t="s">
        <v>3467</v>
      </c>
      <c r="I1508" s="23" t="s">
        <v>24</v>
      </c>
      <c r="J1508" s="34">
        <v>270</v>
      </c>
      <c r="K1508" s="35">
        <v>0.25</v>
      </c>
      <c r="L1508" s="36">
        <f t="shared" si="235"/>
        <v>67.5</v>
      </c>
      <c r="M1508" s="37">
        <f t="shared" si="236"/>
        <v>202.5</v>
      </c>
      <c r="N1508" s="38">
        <v>0.16</v>
      </c>
      <c r="O1508" s="39">
        <f t="shared" si="237"/>
        <v>32.4</v>
      </c>
      <c r="P1508" s="40">
        <f t="shared" si="238"/>
        <v>234.9</v>
      </c>
      <c r="Q1508" s="23"/>
      <c r="R1508" s="56"/>
      <c r="S1508" s="57"/>
      <c r="T1508" s="58">
        <f t="shared" si="239"/>
        <v>0</v>
      </c>
      <c r="U1508" s="36">
        <f t="shared" si="240"/>
        <v>0</v>
      </c>
      <c r="V1508" s="59">
        <f t="shared" si="241"/>
        <v>0</v>
      </c>
      <c r="W1508" s="39">
        <f t="shared" si="242"/>
        <v>0</v>
      </c>
      <c r="X1508" s="40">
        <f t="shared" si="243"/>
        <v>0</v>
      </c>
      <c r="Y1508"/>
      <c r="Z1508"/>
      <c r="AA1508"/>
    </row>
    <row r="1509" spans="1:27" s="51" customFormat="1" ht="18.600000000000001" hidden="1" customHeight="1" x14ac:dyDescent="0.25">
      <c r="A1509" s="82" t="s">
        <v>2653</v>
      </c>
      <c r="B1509" s="41" t="s">
        <v>9303</v>
      </c>
      <c r="C1509" s="42" t="s">
        <v>9310</v>
      </c>
      <c r="D1509" s="41" t="s">
        <v>3468</v>
      </c>
      <c r="E1509" s="43" t="s">
        <v>3469</v>
      </c>
      <c r="F1509" s="43" t="s">
        <v>1937</v>
      </c>
      <c r="G1509" s="43" t="s">
        <v>2963</v>
      </c>
      <c r="H1509" s="85" t="s">
        <v>3470</v>
      </c>
      <c r="I1509" s="23" t="s">
        <v>24</v>
      </c>
      <c r="J1509" s="44">
        <v>270</v>
      </c>
      <c r="K1509" s="45">
        <v>0.25</v>
      </c>
      <c r="L1509" s="46">
        <f t="shared" si="235"/>
        <v>67.5</v>
      </c>
      <c r="M1509" s="47">
        <f t="shared" si="236"/>
        <v>202.5</v>
      </c>
      <c r="N1509" s="48">
        <v>0.16</v>
      </c>
      <c r="O1509" s="49">
        <f t="shared" si="237"/>
        <v>32.4</v>
      </c>
      <c r="P1509" s="50">
        <f t="shared" si="238"/>
        <v>234.9</v>
      </c>
      <c r="Q1509" s="23"/>
      <c r="R1509" s="60"/>
      <c r="S1509" s="61"/>
      <c r="T1509" s="62">
        <f t="shared" si="239"/>
        <v>0</v>
      </c>
      <c r="U1509" s="46">
        <f t="shared" si="240"/>
        <v>0</v>
      </c>
      <c r="V1509" s="63">
        <f t="shared" si="241"/>
        <v>0</v>
      </c>
      <c r="W1509" s="49">
        <f t="shared" si="242"/>
        <v>0</v>
      </c>
      <c r="X1509" s="50">
        <f t="shared" si="243"/>
        <v>0</v>
      </c>
      <c r="Y1509"/>
      <c r="Z1509"/>
      <c r="AA1509"/>
    </row>
    <row r="1510" spans="1:27" s="51" customFormat="1" ht="18.600000000000001" hidden="1" customHeight="1" x14ac:dyDescent="0.25">
      <c r="A1510" s="80" t="s">
        <v>2653</v>
      </c>
      <c r="B1510" s="20" t="s">
        <v>9303</v>
      </c>
      <c r="C1510" s="21" t="s">
        <v>9310</v>
      </c>
      <c r="D1510" s="20" t="s">
        <v>3471</v>
      </c>
      <c r="E1510" s="22" t="s">
        <v>3472</v>
      </c>
      <c r="F1510" s="22" t="s">
        <v>1937</v>
      </c>
      <c r="G1510" s="22" t="s">
        <v>9959</v>
      </c>
      <c r="H1510" s="83" t="s">
        <v>3473</v>
      </c>
      <c r="I1510" s="23" t="s">
        <v>24</v>
      </c>
      <c r="J1510" s="24">
        <v>720</v>
      </c>
      <c r="K1510" s="25">
        <v>0.25</v>
      </c>
      <c r="L1510" s="26">
        <f t="shared" si="235"/>
        <v>180</v>
      </c>
      <c r="M1510" s="27">
        <f t="shared" si="236"/>
        <v>540</v>
      </c>
      <c r="N1510" s="28">
        <v>0.16</v>
      </c>
      <c r="O1510" s="29">
        <f t="shared" si="237"/>
        <v>86.4</v>
      </c>
      <c r="P1510" s="30">
        <f t="shared" si="238"/>
        <v>626.4</v>
      </c>
      <c r="Q1510" s="23"/>
      <c r="R1510" s="52"/>
      <c r="S1510" s="53"/>
      <c r="T1510" s="54">
        <f t="shared" si="239"/>
        <v>0</v>
      </c>
      <c r="U1510" s="26">
        <f t="shared" si="240"/>
        <v>0</v>
      </c>
      <c r="V1510" s="55">
        <f t="shared" si="241"/>
        <v>0</v>
      </c>
      <c r="W1510" s="29">
        <f t="shared" si="242"/>
        <v>0</v>
      </c>
      <c r="X1510" s="30">
        <f t="shared" si="243"/>
        <v>0</v>
      </c>
      <c r="Y1510"/>
      <c r="Z1510"/>
      <c r="AA1510"/>
    </row>
    <row r="1511" spans="1:27" s="51" customFormat="1" ht="18.600000000000001" hidden="1" customHeight="1" x14ac:dyDescent="0.25">
      <c r="A1511" s="81" t="s">
        <v>2653</v>
      </c>
      <c r="B1511" s="31" t="s">
        <v>9303</v>
      </c>
      <c r="C1511" s="32" t="s">
        <v>9310</v>
      </c>
      <c r="D1511" s="31" t="s">
        <v>3474</v>
      </c>
      <c r="E1511" s="33" t="s">
        <v>3475</v>
      </c>
      <c r="F1511" s="33" t="s">
        <v>1937</v>
      </c>
      <c r="G1511" s="33" t="s">
        <v>9951</v>
      </c>
      <c r="H1511" s="84" t="s">
        <v>3476</v>
      </c>
      <c r="I1511" s="23" t="s">
        <v>24</v>
      </c>
      <c r="J1511" s="34">
        <v>360</v>
      </c>
      <c r="K1511" s="35">
        <v>0.25</v>
      </c>
      <c r="L1511" s="36">
        <f t="shared" si="235"/>
        <v>90</v>
      </c>
      <c r="M1511" s="37">
        <f t="shared" si="236"/>
        <v>270</v>
      </c>
      <c r="N1511" s="38">
        <v>0.16</v>
      </c>
      <c r="O1511" s="39">
        <f t="shared" si="237"/>
        <v>43.2</v>
      </c>
      <c r="P1511" s="40">
        <f t="shared" si="238"/>
        <v>313.2</v>
      </c>
      <c r="Q1511" s="23"/>
      <c r="R1511" s="56"/>
      <c r="S1511" s="57"/>
      <c r="T1511" s="58">
        <f t="shared" si="239"/>
        <v>0</v>
      </c>
      <c r="U1511" s="36">
        <f t="shared" si="240"/>
        <v>0</v>
      </c>
      <c r="V1511" s="59">
        <f t="shared" si="241"/>
        <v>0</v>
      </c>
      <c r="W1511" s="39">
        <f t="shared" si="242"/>
        <v>0</v>
      </c>
      <c r="X1511" s="40">
        <f t="shared" si="243"/>
        <v>0</v>
      </c>
      <c r="Y1511"/>
      <c r="Z1511"/>
      <c r="AA1511"/>
    </row>
    <row r="1512" spans="1:27" s="51" customFormat="1" ht="18.600000000000001" hidden="1" customHeight="1" x14ac:dyDescent="0.25">
      <c r="A1512" s="82" t="s">
        <v>2653</v>
      </c>
      <c r="B1512" s="41" t="s">
        <v>9303</v>
      </c>
      <c r="C1512" s="42" t="s">
        <v>9310</v>
      </c>
      <c r="D1512" s="41" t="s">
        <v>3477</v>
      </c>
      <c r="E1512" s="43" t="s">
        <v>3478</v>
      </c>
      <c r="F1512" s="43" t="s">
        <v>1937</v>
      </c>
      <c r="G1512" s="43" t="s">
        <v>2963</v>
      </c>
      <c r="H1512" s="85" t="s">
        <v>3479</v>
      </c>
      <c r="I1512" s="23" t="s">
        <v>24</v>
      </c>
      <c r="J1512" s="44">
        <v>270</v>
      </c>
      <c r="K1512" s="45">
        <v>0.25</v>
      </c>
      <c r="L1512" s="46">
        <f t="shared" si="235"/>
        <v>67.5</v>
      </c>
      <c r="M1512" s="47">
        <f t="shared" si="236"/>
        <v>202.5</v>
      </c>
      <c r="N1512" s="48">
        <v>0.16</v>
      </c>
      <c r="O1512" s="49">
        <f t="shared" si="237"/>
        <v>32.4</v>
      </c>
      <c r="P1512" s="50">
        <f t="shared" si="238"/>
        <v>234.9</v>
      </c>
      <c r="Q1512" s="23"/>
      <c r="R1512" s="60"/>
      <c r="S1512" s="61"/>
      <c r="T1512" s="62">
        <f t="shared" si="239"/>
        <v>0</v>
      </c>
      <c r="U1512" s="46">
        <f t="shared" si="240"/>
        <v>0</v>
      </c>
      <c r="V1512" s="63">
        <f t="shared" si="241"/>
        <v>0</v>
      </c>
      <c r="W1512" s="49">
        <f t="shared" si="242"/>
        <v>0</v>
      </c>
      <c r="X1512" s="50">
        <f t="shared" si="243"/>
        <v>0</v>
      </c>
      <c r="Y1512"/>
      <c r="Z1512"/>
      <c r="AA1512"/>
    </row>
    <row r="1513" spans="1:27" s="51" customFormat="1" ht="18.600000000000001" hidden="1" customHeight="1" x14ac:dyDescent="0.25">
      <c r="A1513" s="80" t="s">
        <v>2653</v>
      </c>
      <c r="B1513" s="20" t="s">
        <v>9303</v>
      </c>
      <c r="C1513" s="21" t="s">
        <v>9310</v>
      </c>
      <c r="D1513" s="20" t="s">
        <v>3480</v>
      </c>
      <c r="E1513" s="22" t="s">
        <v>3481</v>
      </c>
      <c r="F1513" s="22" t="s">
        <v>1937</v>
      </c>
      <c r="G1513" s="22" t="s">
        <v>9953</v>
      </c>
      <c r="H1513" s="83" t="s">
        <v>3482</v>
      </c>
      <c r="I1513" s="23" t="s">
        <v>24</v>
      </c>
      <c r="J1513" s="24">
        <v>540</v>
      </c>
      <c r="K1513" s="25">
        <v>0.25</v>
      </c>
      <c r="L1513" s="26">
        <f t="shared" si="235"/>
        <v>135</v>
      </c>
      <c r="M1513" s="27">
        <f t="shared" si="236"/>
        <v>405</v>
      </c>
      <c r="N1513" s="28">
        <v>0.16</v>
      </c>
      <c r="O1513" s="29">
        <f t="shared" si="237"/>
        <v>64.8</v>
      </c>
      <c r="P1513" s="30">
        <f t="shared" si="238"/>
        <v>469.8</v>
      </c>
      <c r="Q1513" s="23"/>
      <c r="R1513" s="52"/>
      <c r="S1513" s="53"/>
      <c r="T1513" s="54">
        <f t="shared" si="239"/>
        <v>0</v>
      </c>
      <c r="U1513" s="26">
        <f t="shared" si="240"/>
        <v>0</v>
      </c>
      <c r="V1513" s="55">
        <f t="shared" si="241"/>
        <v>0</v>
      </c>
      <c r="W1513" s="29">
        <f t="shared" si="242"/>
        <v>0</v>
      </c>
      <c r="X1513" s="30">
        <f t="shared" si="243"/>
        <v>0</v>
      </c>
      <c r="Y1513"/>
      <c r="Z1513"/>
      <c r="AA1513"/>
    </row>
    <row r="1514" spans="1:27" s="51" customFormat="1" ht="18.600000000000001" hidden="1" customHeight="1" x14ac:dyDescent="0.25">
      <c r="A1514" s="81" t="s">
        <v>2653</v>
      </c>
      <c r="B1514" s="31" t="s">
        <v>9303</v>
      </c>
      <c r="C1514" s="32" t="s">
        <v>9310</v>
      </c>
      <c r="D1514" s="31" t="s">
        <v>3483</v>
      </c>
      <c r="E1514" s="33" t="s">
        <v>3484</v>
      </c>
      <c r="F1514" s="33" t="s">
        <v>1937</v>
      </c>
      <c r="G1514" s="33" t="s">
        <v>2963</v>
      </c>
      <c r="H1514" s="84" t="s">
        <v>3485</v>
      </c>
      <c r="I1514" s="23" t="s">
        <v>24</v>
      </c>
      <c r="J1514" s="34">
        <v>270</v>
      </c>
      <c r="K1514" s="35">
        <v>0.25</v>
      </c>
      <c r="L1514" s="36">
        <f t="shared" si="235"/>
        <v>67.5</v>
      </c>
      <c r="M1514" s="37">
        <f t="shared" si="236"/>
        <v>202.5</v>
      </c>
      <c r="N1514" s="38">
        <v>0.16</v>
      </c>
      <c r="O1514" s="39">
        <f t="shared" si="237"/>
        <v>32.4</v>
      </c>
      <c r="P1514" s="40">
        <f t="shared" si="238"/>
        <v>234.9</v>
      </c>
      <c r="Q1514" s="23"/>
      <c r="R1514" s="56"/>
      <c r="S1514" s="57"/>
      <c r="T1514" s="58">
        <f t="shared" si="239"/>
        <v>0</v>
      </c>
      <c r="U1514" s="36">
        <f t="shared" si="240"/>
        <v>0</v>
      </c>
      <c r="V1514" s="59">
        <f t="shared" si="241"/>
        <v>0</v>
      </c>
      <c r="W1514" s="39">
        <f t="shared" si="242"/>
        <v>0</v>
      </c>
      <c r="X1514" s="40">
        <f t="shared" si="243"/>
        <v>0</v>
      </c>
      <c r="Y1514"/>
      <c r="Z1514"/>
      <c r="AA1514"/>
    </row>
    <row r="1515" spans="1:27" s="51" customFormat="1" ht="18.600000000000001" hidden="1" customHeight="1" x14ac:dyDescent="0.25">
      <c r="A1515" s="82" t="s">
        <v>2653</v>
      </c>
      <c r="B1515" s="41" t="s">
        <v>9303</v>
      </c>
      <c r="C1515" s="42" t="s">
        <v>9310</v>
      </c>
      <c r="D1515" s="41" t="s">
        <v>3486</v>
      </c>
      <c r="E1515" s="43" t="s">
        <v>3487</v>
      </c>
      <c r="F1515" s="43" t="s">
        <v>1937</v>
      </c>
      <c r="G1515" s="43" t="s">
        <v>9951</v>
      </c>
      <c r="H1515" s="85" t="s">
        <v>3488</v>
      </c>
      <c r="I1515" s="23" t="s">
        <v>24</v>
      </c>
      <c r="J1515" s="44">
        <v>360</v>
      </c>
      <c r="K1515" s="45">
        <v>0.25</v>
      </c>
      <c r="L1515" s="46">
        <f t="shared" si="235"/>
        <v>90</v>
      </c>
      <c r="M1515" s="47">
        <f t="shared" si="236"/>
        <v>270</v>
      </c>
      <c r="N1515" s="48">
        <v>0.16</v>
      </c>
      <c r="O1515" s="49">
        <f t="shared" si="237"/>
        <v>43.2</v>
      </c>
      <c r="P1515" s="50">
        <f t="shared" si="238"/>
        <v>313.2</v>
      </c>
      <c r="Q1515" s="23"/>
      <c r="R1515" s="60"/>
      <c r="S1515" s="61"/>
      <c r="T1515" s="62">
        <f t="shared" si="239"/>
        <v>0</v>
      </c>
      <c r="U1515" s="46">
        <f t="shared" si="240"/>
        <v>0</v>
      </c>
      <c r="V1515" s="63">
        <f t="shared" si="241"/>
        <v>0</v>
      </c>
      <c r="W1515" s="49">
        <f t="shared" si="242"/>
        <v>0</v>
      </c>
      <c r="X1515" s="50">
        <f t="shared" si="243"/>
        <v>0</v>
      </c>
      <c r="Y1515"/>
      <c r="Z1515"/>
      <c r="AA1515"/>
    </row>
    <row r="1516" spans="1:27" s="51" customFormat="1" ht="18.600000000000001" hidden="1" customHeight="1" x14ac:dyDescent="0.25">
      <c r="A1516" s="80" t="s">
        <v>2653</v>
      </c>
      <c r="B1516" s="20" t="s">
        <v>9303</v>
      </c>
      <c r="C1516" s="21" t="s">
        <v>9310</v>
      </c>
      <c r="D1516" s="20" t="s">
        <v>3489</v>
      </c>
      <c r="E1516" s="22" t="s">
        <v>3490</v>
      </c>
      <c r="F1516" s="22" t="s">
        <v>1937</v>
      </c>
      <c r="G1516" s="22" t="s">
        <v>2963</v>
      </c>
      <c r="H1516" s="83" t="s">
        <v>3491</v>
      </c>
      <c r="I1516" s="23" t="s">
        <v>24</v>
      </c>
      <c r="J1516" s="24">
        <v>270</v>
      </c>
      <c r="K1516" s="25">
        <v>0.25</v>
      </c>
      <c r="L1516" s="26">
        <f t="shared" si="235"/>
        <v>67.5</v>
      </c>
      <c r="M1516" s="27">
        <f t="shared" si="236"/>
        <v>202.5</v>
      </c>
      <c r="N1516" s="28">
        <v>0.16</v>
      </c>
      <c r="O1516" s="29">
        <f t="shared" si="237"/>
        <v>32.4</v>
      </c>
      <c r="P1516" s="30">
        <f t="shared" si="238"/>
        <v>234.9</v>
      </c>
      <c r="Q1516" s="23"/>
      <c r="R1516" s="52"/>
      <c r="S1516" s="53"/>
      <c r="T1516" s="54">
        <f t="shared" si="239"/>
        <v>0</v>
      </c>
      <c r="U1516" s="26">
        <f t="shared" si="240"/>
        <v>0</v>
      </c>
      <c r="V1516" s="55">
        <f t="shared" si="241"/>
        <v>0</v>
      </c>
      <c r="W1516" s="29">
        <f t="shared" si="242"/>
        <v>0</v>
      </c>
      <c r="X1516" s="30">
        <f t="shared" si="243"/>
        <v>0</v>
      </c>
      <c r="Y1516"/>
      <c r="Z1516"/>
      <c r="AA1516"/>
    </row>
    <row r="1517" spans="1:27" s="51" customFormat="1" ht="18.600000000000001" hidden="1" customHeight="1" x14ac:dyDescent="0.25">
      <c r="A1517" s="81" t="s">
        <v>2653</v>
      </c>
      <c r="B1517" s="31" t="s">
        <v>9303</v>
      </c>
      <c r="C1517" s="32" t="s">
        <v>9310</v>
      </c>
      <c r="D1517" s="31" t="s">
        <v>3492</v>
      </c>
      <c r="E1517" s="33" t="s">
        <v>3493</v>
      </c>
      <c r="F1517" s="33" t="s">
        <v>1937</v>
      </c>
      <c r="G1517" s="33" t="s">
        <v>9951</v>
      </c>
      <c r="H1517" s="84" t="s">
        <v>3494</v>
      </c>
      <c r="I1517" s="23" t="s">
        <v>24</v>
      </c>
      <c r="J1517" s="34">
        <v>360</v>
      </c>
      <c r="K1517" s="35">
        <v>0.25</v>
      </c>
      <c r="L1517" s="36">
        <f t="shared" si="235"/>
        <v>90</v>
      </c>
      <c r="M1517" s="37">
        <f t="shared" si="236"/>
        <v>270</v>
      </c>
      <c r="N1517" s="38">
        <v>0.16</v>
      </c>
      <c r="O1517" s="39">
        <f t="shared" si="237"/>
        <v>43.2</v>
      </c>
      <c r="P1517" s="40">
        <f t="shared" si="238"/>
        <v>313.2</v>
      </c>
      <c r="Q1517" s="23"/>
      <c r="R1517" s="56"/>
      <c r="S1517" s="57"/>
      <c r="T1517" s="58">
        <f t="shared" si="239"/>
        <v>0</v>
      </c>
      <c r="U1517" s="36">
        <f t="shared" si="240"/>
        <v>0</v>
      </c>
      <c r="V1517" s="59">
        <f t="shared" si="241"/>
        <v>0</v>
      </c>
      <c r="W1517" s="39">
        <f t="shared" si="242"/>
        <v>0</v>
      </c>
      <c r="X1517" s="40">
        <f t="shared" si="243"/>
        <v>0</v>
      </c>
      <c r="Y1517"/>
      <c r="Z1517"/>
      <c r="AA1517"/>
    </row>
    <row r="1518" spans="1:27" s="51" customFormat="1" ht="18.600000000000001" hidden="1" customHeight="1" x14ac:dyDescent="0.25">
      <c r="A1518" s="82" t="s">
        <v>2653</v>
      </c>
      <c r="B1518" s="41" t="s">
        <v>9303</v>
      </c>
      <c r="C1518" s="42" t="s">
        <v>9310</v>
      </c>
      <c r="D1518" s="41" t="s">
        <v>3495</v>
      </c>
      <c r="E1518" s="43" t="s">
        <v>3496</v>
      </c>
      <c r="F1518" s="43" t="s">
        <v>1937</v>
      </c>
      <c r="G1518" s="43" t="s">
        <v>9951</v>
      </c>
      <c r="H1518" s="85" t="s">
        <v>3497</v>
      </c>
      <c r="I1518" s="23" t="s">
        <v>24</v>
      </c>
      <c r="J1518" s="44">
        <v>360</v>
      </c>
      <c r="K1518" s="45">
        <v>0.25</v>
      </c>
      <c r="L1518" s="46">
        <f t="shared" si="235"/>
        <v>90</v>
      </c>
      <c r="M1518" s="47">
        <f t="shared" si="236"/>
        <v>270</v>
      </c>
      <c r="N1518" s="48">
        <v>0.16</v>
      </c>
      <c r="O1518" s="49">
        <f t="shared" si="237"/>
        <v>43.2</v>
      </c>
      <c r="P1518" s="50">
        <f t="shared" si="238"/>
        <v>313.2</v>
      </c>
      <c r="Q1518" s="23"/>
      <c r="R1518" s="60"/>
      <c r="S1518" s="61"/>
      <c r="T1518" s="62">
        <f t="shared" si="239"/>
        <v>0</v>
      </c>
      <c r="U1518" s="46">
        <f t="shared" si="240"/>
        <v>0</v>
      </c>
      <c r="V1518" s="63">
        <f t="shared" si="241"/>
        <v>0</v>
      </c>
      <c r="W1518" s="49">
        <f t="shared" si="242"/>
        <v>0</v>
      </c>
      <c r="X1518" s="50">
        <f t="shared" si="243"/>
        <v>0</v>
      </c>
      <c r="Y1518"/>
      <c r="Z1518"/>
      <c r="AA1518"/>
    </row>
    <row r="1519" spans="1:27" s="51" customFormat="1" ht="18.600000000000001" hidden="1" customHeight="1" x14ac:dyDescent="0.25">
      <c r="A1519" s="80" t="s">
        <v>2653</v>
      </c>
      <c r="B1519" s="20" t="s">
        <v>9303</v>
      </c>
      <c r="C1519" s="21" t="s">
        <v>9310</v>
      </c>
      <c r="D1519" s="20" t="s">
        <v>3498</v>
      </c>
      <c r="E1519" s="22" t="s">
        <v>3499</v>
      </c>
      <c r="F1519" s="22" t="s">
        <v>1937</v>
      </c>
      <c r="G1519" s="22" t="s">
        <v>9951</v>
      </c>
      <c r="H1519" s="83" t="s">
        <v>3500</v>
      </c>
      <c r="I1519" s="23" t="s">
        <v>24</v>
      </c>
      <c r="J1519" s="24">
        <v>360</v>
      </c>
      <c r="K1519" s="25">
        <v>0.25</v>
      </c>
      <c r="L1519" s="26">
        <f t="shared" si="235"/>
        <v>90</v>
      </c>
      <c r="M1519" s="27">
        <f t="shared" si="236"/>
        <v>270</v>
      </c>
      <c r="N1519" s="28">
        <v>0.16</v>
      </c>
      <c r="O1519" s="29">
        <f t="shared" si="237"/>
        <v>43.2</v>
      </c>
      <c r="P1519" s="30">
        <f t="shared" si="238"/>
        <v>313.2</v>
      </c>
      <c r="Q1519" s="23"/>
      <c r="R1519" s="52"/>
      <c r="S1519" s="53"/>
      <c r="T1519" s="54">
        <f t="shared" si="239"/>
        <v>0</v>
      </c>
      <c r="U1519" s="26">
        <f t="shared" si="240"/>
        <v>0</v>
      </c>
      <c r="V1519" s="55">
        <f t="shared" si="241"/>
        <v>0</v>
      </c>
      <c r="W1519" s="29">
        <f t="shared" si="242"/>
        <v>0</v>
      </c>
      <c r="X1519" s="30">
        <f t="shared" si="243"/>
        <v>0</v>
      </c>
      <c r="Y1519"/>
      <c r="Z1519"/>
      <c r="AA1519"/>
    </row>
    <row r="1520" spans="1:27" s="51" customFormat="1" ht="18.600000000000001" hidden="1" customHeight="1" x14ac:dyDescent="0.25">
      <c r="A1520" s="81" t="s">
        <v>2653</v>
      </c>
      <c r="B1520" s="31" t="s">
        <v>9303</v>
      </c>
      <c r="C1520" s="32" t="s">
        <v>9310</v>
      </c>
      <c r="D1520" s="31" t="s">
        <v>3501</v>
      </c>
      <c r="E1520" s="33" t="s">
        <v>3502</v>
      </c>
      <c r="F1520" s="33" t="s">
        <v>1937</v>
      </c>
      <c r="G1520" s="33" t="s">
        <v>9953</v>
      </c>
      <c r="H1520" s="84" t="s">
        <v>3503</v>
      </c>
      <c r="I1520" s="23" t="s">
        <v>24</v>
      </c>
      <c r="J1520" s="34">
        <v>540</v>
      </c>
      <c r="K1520" s="35">
        <v>0.25</v>
      </c>
      <c r="L1520" s="36">
        <f t="shared" si="235"/>
        <v>135</v>
      </c>
      <c r="M1520" s="37">
        <f t="shared" si="236"/>
        <v>405</v>
      </c>
      <c r="N1520" s="38">
        <v>0.16</v>
      </c>
      <c r="O1520" s="39">
        <f t="shared" si="237"/>
        <v>64.8</v>
      </c>
      <c r="P1520" s="40">
        <f t="shared" si="238"/>
        <v>469.8</v>
      </c>
      <c r="Q1520" s="23"/>
      <c r="R1520" s="56"/>
      <c r="S1520" s="57"/>
      <c r="T1520" s="58">
        <f t="shared" si="239"/>
        <v>0</v>
      </c>
      <c r="U1520" s="36">
        <f t="shared" si="240"/>
        <v>0</v>
      </c>
      <c r="V1520" s="59">
        <f t="shared" si="241"/>
        <v>0</v>
      </c>
      <c r="W1520" s="39">
        <f t="shared" si="242"/>
        <v>0</v>
      </c>
      <c r="X1520" s="40">
        <f t="shared" si="243"/>
        <v>0</v>
      </c>
      <c r="Y1520"/>
      <c r="Z1520"/>
      <c r="AA1520"/>
    </row>
    <row r="1521" spans="1:27" s="51" customFormat="1" ht="18.600000000000001" hidden="1" customHeight="1" x14ac:dyDescent="0.25">
      <c r="A1521" s="82" t="s">
        <v>2653</v>
      </c>
      <c r="B1521" s="41" t="s">
        <v>9303</v>
      </c>
      <c r="C1521" s="42" t="s">
        <v>9310</v>
      </c>
      <c r="D1521" s="41" t="s">
        <v>3504</v>
      </c>
      <c r="E1521" s="43" t="s">
        <v>3505</v>
      </c>
      <c r="F1521" s="43" t="s">
        <v>1937</v>
      </c>
      <c r="G1521" s="43" t="s">
        <v>9953</v>
      </c>
      <c r="H1521" s="85" t="s">
        <v>3506</v>
      </c>
      <c r="I1521" s="23" t="s">
        <v>24</v>
      </c>
      <c r="J1521" s="44">
        <v>540</v>
      </c>
      <c r="K1521" s="45">
        <v>0.25</v>
      </c>
      <c r="L1521" s="46">
        <f t="shared" si="235"/>
        <v>135</v>
      </c>
      <c r="M1521" s="47">
        <f t="shared" si="236"/>
        <v>405</v>
      </c>
      <c r="N1521" s="48">
        <v>0.16</v>
      </c>
      <c r="O1521" s="49">
        <f t="shared" si="237"/>
        <v>64.8</v>
      </c>
      <c r="P1521" s="50">
        <f t="shared" si="238"/>
        <v>469.8</v>
      </c>
      <c r="Q1521" s="23"/>
      <c r="R1521" s="60"/>
      <c r="S1521" s="61"/>
      <c r="T1521" s="62">
        <f t="shared" si="239"/>
        <v>0</v>
      </c>
      <c r="U1521" s="46">
        <f t="shared" si="240"/>
        <v>0</v>
      </c>
      <c r="V1521" s="63">
        <f t="shared" si="241"/>
        <v>0</v>
      </c>
      <c r="W1521" s="49">
        <f t="shared" si="242"/>
        <v>0</v>
      </c>
      <c r="X1521" s="50">
        <f t="shared" si="243"/>
        <v>0</v>
      </c>
      <c r="Y1521"/>
      <c r="Z1521"/>
      <c r="AA1521"/>
    </row>
    <row r="1522" spans="1:27" s="51" customFormat="1" ht="18.600000000000001" hidden="1" customHeight="1" x14ac:dyDescent="0.25">
      <c r="A1522" s="80" t="s">
        <v>2653</v>
      </c>
      <c r="B1522" s="20" t="s">
        <v>9303</v>
      </c>
      <c r="C1522" s="21" t="s">
        <v>9310</v>
      </c>
      <c r="D1522" s="20" t="s">
        <v>3507</v>
      </c>
      <c r="E1522" s="22" t="s">
        <v>3508</v>
      </c>
      <c r="F1522" s="22" t="s">
        <v>1937</v>
      </c>
      <c r="G1522" s="22" t="s">
        <v>9951</v>
      </c>
      <c r="H1522" s="83" t="s">
        <v>3509</v>
      </c>
      <c r="I1522" s="23" t="s">
        <v>24</v>
      </c>
      <c r="J1522" s="24">
        <v>360</v>
      </c>
      <c r="K1522" s="25">
        <v>0.25</v>
      </c>
      <c r="L1522" s="26">
        <f t="shared" si="235"/>
        <v>90</v>
      </c>
      <c r="M1522" s="27">
        <f t="shared" si="236"/>
        <v>270</v>
      </c>
      <c r="N1522" s="28">
        <v>0.16</v>
      </c>
      <c r="O1522" s="29">
        <f t="shared" si="237"/>
        <v>43.2</v>
      </c>
      <c r="P1522" s="30">
        <f t="shared" si="238"/>
        <v>313.2</v>
      </c>
      <c r="Q1522" s="23"/>
      <c r="R1522" s="52"/>
      <c r="S1522" s="53"/>
      <c r="T1522" s="54">
        <f t="shared" si="239"/>
        <v>0</v>
      </c>
      <c r="U1522" s="26">
        <f t="shared" si="240"/>
        <v>0</v>
      </c>
      <c r="V1522" s="55">
        <f t="shared" si="241"/>
        <v>0</v>
      </c>
      <c r="W1522" s="29">
        <f t="shared" si="242"/>
        <v>0</v>
      </c>
      <c r="X1522" s="30">
        <f t="shared" si="243"/>
        <v>0</v>
      </c>
      <c r="Y1522"/>
      <c r="Z1522"/>
      <c r="AA1522"/>
    </row>
    <row r="1523" spans="1:27" s="51" customFormat="1" ht="18.600000000000001" hidden="1" customHeight="1" x14ac:dyDescent="0.25">
      <c r="A1523" s="81" t="s">
        <v>2653</v>
      </c>
      <c r="B1523" s="31" t="s">
        <v>9303</v>
      </c>
      <c r="C1523" s="32" t="s">
        <v>9310</v>
      </c>
      <c r="D1523" s="31" t="s">
        <v>3510</v>
      </c>
      <c r="E1523" s="33" t="s">
        <v>3511</v>
      </c>
      <c r="F1523" s="33" t="s">
        <v>1937</v>
      </c>
      <c r="G1523" s="33" t="s">
        <v>2963</v>
      </c>
      <c r="H1523" s="84" t="s">
        <v>3512</v>
      </c>
      <c r="I1523" s="23" t="s">
        <v>24</v>
      </c>
      <c r="J1523" s="34">
        <v>270</v>
      </c>
      <c r="K1523" s="35">
        <v>0.25</v>
      </c>
      <c r="L1523" s="36">
        <f t="shared" si="235"/>
        <v>67.5</v>
      </c>
      <c r="M1523" s="37">
        <f t="shared" si="236"/>
        <v>202.5</v>
      </c>
      <c r="N1523" s="38">
        <v>0.16</v>
      </c>
      <c r="O1523" s="39">
        <f t="shared" si="237"/>
        <v>32.4</v>
      </c>
      <c r="P1523" s="40">
        <f t="shared" si="238"/>
        <v>234.9</v>
      </c>
      <c r="Q1523" s="23"/>
      <c r="R1523" s="56"/>
      <c r="S1523" s="57"/>
      <c r="T1523" s="58">
        <f t="shared" si="239"/>
        <v>0</v>
      </c>
      <c r="U1523" s="36">
        <f t="shared" si="240"/>
        <v>0</v>
      </c>
      <c r="V1523" s="59">
        <f t="shared" si="241"/>
        <v>0</v>
      </c>
      <c r="W1523" s="39">
        <f t="shared" si="242"/>
        <v>0</v>
      </c>
      <c r="X1523" s="40">
        <f t="shared" si="243"/>
        <v>0</v>
      </c>
      <c r="Y1523"/>
      <c r="Z1523"/>
      <c r="AA1523"/>
    </row>
    <row r="1524" spans="1:27" s="51" customFormat="1" ht="18.600000000000001" hidden="1" customHeight="1" x14ac:dyDescent="0.25">
      <c r="A1524" s="82" t="s">
        <v>2653</v>
      </c>
      <c r="B1524" s="41" t="s">
        <v>9303</v>
      </c>
      <c r="C1524" s="42" t="s">
        <v>9310</v>
      </c>
      <c r="D1524" s="41" t="s">
        <v>3513</v>
      </c>
      <c r="E1524" s="43" t="s">
        <v>3514</v>
      </c>
      <c r="F1524" s="43" t="s">
        <v>1937</v>
      </c>
      <c r="G1524" s="43" t="s">
        <v>9951</v>
      </c>
      <c r="H1524" s="85" t="s">
        <v>3515</v>
      </c>
      <c r="I1524" s="23" t="s">
        <v>24</v>
      </c>
      <c r="J1524" s="44">
        <v>360</v>
      </c>
      <c r="K1524" s="45">
        <v>0.25</v>
      </c>
      <c r="L1524" s="46">
        <f t="shared" si="235"/>
        <v>90</v>
      </c>
      <c r="M1524" s="47">
        <f t="shared" si="236"/>
        <v>270</v>
      </c>
      <c r="N1524" s="48">
        <v>0.16</v>
      </c>
      <c r="O1524" s="49">
        <f t="shared" si="237"/>
        <v>43.2</v>
      </c>
      <c r="P1524" s="50">
        <f t="shared" si="238"/>
        <v>313.2</v>
      </c>
      <c r="Q1524" s="23"/>
      <c r="R1524" s="60"/>
      <c r="S1524" s="61"/>
      <c r="T1524" s="62">
        <f t="shared" si="239"/>
        <v>0</v>
      </c>
      <c r="U1524" s="46">
        <f t="shared" si="240"/>
        <v>0</v>
      </c>
      <c r="V1524" s="63">
        <f t="shared" si="241"/>
        <v>0</v>
      </c>
      <c r="W1524" s="49">
        <f t="shared" si="242"/>
        <v>0</v>
      </c>
      <c r="X1524" s="50">
        <f t="shared" si="243"/>
        <v>0</v>
      </c>
      <c r="Y1524"/>
      <c r="Z1524"/>
      <c r="AA1524"/>
    </row>
    <row r="1525" spans="1:27" s="51" customFormat="1" ht="18.600000000000001" hidden="1" customHeight="1" x14ac:dyDescent="0.25">
      <c r="A1525" s="80" t="s">
        <v>2653</v>
      </c>
      <c r="B1525" s="20" t="s">
        <v>9303</v>
      </c>
      <c r="C1525" s="21" t="s">
        <v>9310</v>
      </c>
      <c r="D1525" s="20" t="s">
        <v>3516</v>
      </c>
      <c r="E1525" s="22" t="s">
        <v>3517</v>
      </c>
      <c r="F1525" s="22" t="s">
        <v>1937</v>
      </c>
      <c r="G1525" s="22" t="s">
        <v>9953</v>
      </c>
      <c r="H1525" s="83" t="s">
        <v>3518</v>
      </c>
      <c r="I1525" s="23" t="s">
        <v>24</v>
      </c>
      <c r="J1525" s="24">
        <v>540</v>
      </c>
      <c r="K1525" s="25">
        <v>0.25</v>
      </c>
      <c r="L1525" s="26">
        <f t="shared" si="235"/>
        <v>135</v>
      </c>
      <c r="M1525" s="27">
        <f t="shared" si="236"/>
        <v>405</v>
      </c>
      <c r="N1525" s="28">
        <v>0.16</v>
      </c>
      <c r="O1525" s="29">
        <f t="shared" si="237"/>
        <v>64.8</v>
      </c>
      <c r="P1525" s="30">
        <f t="shared" si="238"/>
        <v>469.8</v>
      </c>
      <c r="Q1525" s="23"/>
      <c r="R1525" s="52"/>
      <c r="S1525" s="53"/>
      <c r="T1525" s="54">
        <f t="shared" si="239"/>
        <v>0</v>
      </c>
      <c r="U1525" s="26">
        <f t="shared" si="240"/>
        <v>0</v>
      </c>
      <c r="V1525" s="55">
        <f t="shared" si="241"/>
        <v>0</v>
      </c>
      <c r="W1525" s="29">
        <f t="shared" si="242"/>
        <v>0</v>
      </c>
      <c r="X1525" s="30">
        <f t="shared" si="243"/>
        <v>0</v>
      </c>
      <c r="Y1525"/>
      <c r="Z1525"/>
      <c r="AA1525"/>
    </row>
    <row r="1526" spans="1:27" s="51" customFormat="1" ht="18.600000000000001" hidden="1" customHeight="1" x14ac:dyDescent="0.25">
      <c r="A1526" s="81" t="s">
        <v>2653</v>
      </c>
      <c r="B1526" s="31" t="s">
        <v>9303</v>
      </c>
      <c r="C1526" s="32" t="s">
        <v>9311</v>
      </c>
      <c r="D1526" s="31" t="s">
        <v>3519</v>
      </c>
      <c r="E1526" s="33" t="s">
        <v>3520</v>
      </c>
      <c r="F1526" s="33" t="s">
        <v>1937</v>
      </c>
      <c r="G1526" s="33" t="s">
        <v>9953</v>
      </c>
      <c r="H1526" s="84" t="s">
        <v>3521</v>
      </c>
      <c r="I1526" s="23" t="s">
        <v>24</v>
      </c>
      <c r="J1526" s="34">
        <v>540</v>
      </c>
      <c r="K1526" s="35">
        <v>0.25</v>
      </c>
      <c r="L1526" s="36">
        <f t="shared" si="235"/>
        <v>135</v>
      </c>
      <c r="M1526" s="37">
        <f t="shared" si="236"/>
        <v>405</v>
      </c>
      <c r="N1526" s="38">
        <v>0.16</v>
      </c>
      <c r="O1526" s="39">
        <f t="shared" si="237"/>
        <v>64.8</v>
      </c>
      <c r="P1526" s="40">
        <f t="shared" si="238"/>
        <v>469.8</v>
      </c>
      <c r="Q1526" s="23"/>
      <c r="R1526" s="56"/>
      <c r="S1526" s="57"/>
      <c r="T1526" s="58">
        <f t="shared" si="239"/>
        <v>0</v>
      </c>
      <c r="U1526" s="36">
        <f t="shared" si="240"/>
        <v>0</v>
      </c>
      <c r="V1526" s="59">
        <f t="shared" si="241"/>
        <v>0</v>
      </c>
      <c r="W1526" s="39">
        <f t="shared" si="242"/>
        <v>0</v>
      </c>
      <c r="X1526" s="40">
        <f t="shared" si="243"/>
        <v>0</v>
      </c>
      <c r="Y1526"/>
      <c r="Z1526"/>
      <c r="AA1526"/>
    </row>
    <row r="1527" spans="1:27" s="51" customFormat="1" ht="18.600000000000001" hidden="1" customHeight="1" x14ac:dyDescent="0.25">
      <c r="A1527" s="82" t="s">
        <v>2653</v>
      </c>
      <c r="B1527" s="41" t="s">
        <v>9303</v>
      </c>
      <c r="C1527" s="42" t="s">
        <v>9311</v>
      </c>
      <c r="D1527" s="41" t="s">
        <v>3522</v>
      </c>
      <c r="E1527" s="43" t="s">
        <v>3523</v>
      </c>
      <c r="F1527" s="43" t="s">
        <v>1937</v>
      </c>
      <c r="G1527" s="43" t="s">
        <v>9953</v>
      </c>
      <c r="H1527" s="85" t="s">
        <v>3524</v>
      </c>
      <c r="I1527" s="23" t="s">
        <v>24</v>
      </c>
      <c r="J1527" s="44">
        <v>540</v>
      </c>
      <c r="K1527" s="45">
        <v>0.25</v>
      </c>
      <c r="L1527" s="46">
        <f t="shared" si="235"/>
        <v>135</v>
      </c>
      <c r="M1527" s="47">
        <f t="shared" si="236"/>
        <v>405</v>
      </c>
      <c r="N1527" s="48">
        <v>0.16</v>
      </c>
      <c r="O1527" s="49">
        <f t="shared" si="237"/>
        <v>64.8</v>
      </c>
      <c r="P1527" s="50">
        <f t="shared" si="238"/>
        <v>469.8</v>
      </c>
      <c r="Q1527" s="23"/>
      <c r="R1527" s="60"/>
      <c r="S1527" s="61"/>
      <c r="T1527" s="62">
        <f t="shared" si="239"/>
        <v>0</v>
      </c>
      <c r="U1527" s="46">
        <f t="shared" si="240"/>
        <v>0</v>
      </c>
      <c r="V1527" s="63">
        <f t="shared" si="241"/>
        <v>0</v>
      </c>
      <c r="W1527" s="49">
        <f t="shared" si="242"/>
        <v>0</v>
      </c>
      <c r="X1527" s="50">
        <f t="shared" si="243"/>
        <v>0</v>
      </c>
      <c r="Y1527"/>
      <c r="Z1527"/>
      <c r="AA1527"/>
    </row>
    <row r="1528" spans="1:27" s="51" customFormat="1" ht="18.600000000000001" hidden="1" customHeight="1" x14ac:dyDescent="0.25">
      <c r="A1528" s="80" t="s">
        <v>2653</v>
      </c>
      <c r="B1528" s="20" t="s">
        <v>9303</v>
      </c>
      <c r="C1528" s="21" t="s">
        <v>9311</v>
      </c>
      <c r="D1528" s="20" t="s">
        <v>3525</v>
      </c>
      <c r="E1528" s="22" t="s">
        <v>3526</v>
      </c>
      <c r="F1528" s="22" t="s">
        <v>1937</v>
      </c>
      <c r="G1528" s="22" t="s">
        <v>9953</v>
      </c>
      <c r="H1528" s="83" t="s">
        <v>3527</v>
      </c>
      <c r="I1528" s="23" t="s">
        <v>24</v>
      </c>
      <c r="J1528" s="24">
        <v>540</v>
      </c>
      <c r="K1528" s="25">
        <v>0.25</v>
      </c>
      <c r="L1528" s="26">
        <f t="shared" si="235"/>
        <v>135</v>
      </c>
      <c r="M1528" s="27">
        <f t="shared" si="236"/>
        <v>405</v>
      </c>
      <c r="N1528" s="28">
        <v>0.16</v>
      </c>
      <c r="O1528" s="29">
        <f t="shared" si="237"/>
        <v>64.8</v>
      </c>
      <c r="P1528" s="30">
        <f t="shared" si="238"/>
        <v>469.8</v>
      </c>
      <c r="Q1528" s="23"/>
      <c r="R1528" s="52"/>
      <c r="S1528" s="53"/>
      <c r="T1528" s="54">
        <f t="shared" si="239"/>
        <v>0</v>
      </c>
      <c r="U1528" s="26">
        <f t="shared" si="240"/>
        <v>0</v>
      </c>
      <c r="V1528" s="55">
        <f t="shared" si="241"/>
        <v>0</v>
      </c>
      <c r="W1528" s="29">
        <f t="shared" si="242"/>
        <v>0</v>
      </c>
      <c r="X1528" s="30">
        <f t="shared" si="243"/>
        <v>0</v>
      </c>
      <c r="Y1528"/>
      <c r="Z1528"/>
      <c r="AA1528"/>
    </row>
    <row r="1529" spans="1:27" s="51" customFormat="1" ht="18.600000000000001" hidden="1" customHeight="1" x14ac:dyDescent="0.25">
      <c r="A1529" s="81" t="s">
        <v>2653</v>
      </c>
      <c r="B1529" s="31" t="s">
        <v>9303</v>
      </c>
      <c r="C1529" s="32" t="s">
        <v>9312</v>
      </c>
      <c r="D1529" s="31" t="s">
        <v>3528</v>
      </c>
      <c r="E1529" s="33" t="s">
        <v>3529</v>
      </c>
      <c r="F1529" s="33" t="s">
        <v>1937</v>
      </c>
      <c r="G1529" s="33" t="s">
        <v>9951</v>
      </c>
      <c r="H1529" s="84" t="s">
        <v>3530</v>
      </c>
      <c r="I1529" s="23" t="s">
        <v>24</v>
      </c>
      <c r="J1529" s="34">
        <v>360</v>
      </c>
      <c r="K1529" s="35">
        <v>0.25</v>
      </c>
      <c r="L1529" s="36">
        <f t="shared" si="235"/>
        <v>90</v>
      </c>
      <c r="M1529" s="37">
        <f t="shared" si="236"/>
        <v>270</v>
      </c>
      <c r="N1529" s="38">
        <v>0.16</v>
      </c>
      <c r="O1529" s="39">
        <f t="shared" si="237"/>
        <v>43.2</v>
      </c>
      <c r="P1529" s="40">
        <f t="shared" si="238"/>
        <v>313.2</v>
      </c>
      <c r="Q1529" s="23"/>
      <c r="R1529" s="56"/>
      <c r="S1529" s="57"/>
      <c r="T1529" s="58">
        <f t="shared" si="239"/>
        <v>0</v>
      </c>
      <c r="U1529" s="36">
        <f t="shared" si="240"/>
        <v>0</v>
      </c>
      <c r="V1529" s="59">
        <f t="shared" si="241"/>
        <v>0</v>
      </c>
      <c r="W1529" s="39">
        <f t="shared" si="242"/>
        <v>0</v>
      </c>
      <c r="X1529" s="40">
        <f t="shared" si="243"/>
        <v>0</v>
      </c>
      <c r="Y1529"/>
      <c r="Z1529"/>
      <c r="AA1529"/>
    </row>
    <row r="1530" spans="1:27" s="51" customFormat="1" ht="18.600000000000001" hidden="1" customHeight="1" x14ac:dyDescent="0.25">
      <c r="A1530" s="82" t="s">
        <v>2653</v>
      </c>
      <c r="B1530" s="41" t="s">
        <v>9303</v>
      </c>
      <c r="C1530" s="42" t="s">
        <v>9312</v>
      </c>
      <c r="D1530" s="41" t="s">
        <v>3531</v>
      </c>
      <c r="E1530" s="43" t="s">
        <v>3532</v>
      </c>
      <c r="F1530" s="43" t="s">
        <v>1937</v>
      </c>
      <c r="G1530" s="43" t="s">
        <v>9951</v>
      </c>
      <c r="H1530" s="85" t="s">
        <v>3533</v>
      </c>
      <c r="I1530" s="23" t="s">
        <v>24</v>
      </c>
      <c r="J1530" s="44">
        <v>360</v>
      </c>
      <c r="K1530" s="45">
        <v>0.25</v>
      </c>
      <c r="L1530" s="46">
        <f t="shared" si="235"/>
        <v>90</v>
      </c>
      <c r="M1530" s="47">
        <f t="shared" si="236"/>
        <v>270</v>
      </c>
      <c r="N1530" s="48">
        <v>0.16</v>
      </c>
      <c r="O1530" s="49">
        <f t="shared" si="237"/>
        <v>43.2</v>
      </c>
      <c r="P1530" s="50">
        <f t="shared" si="238"/>
        <v>313.2</v>
      </c>
      <c r="Q1530" s="23"/>
      <c r="R1530" s="60"/>
      <c r="S1530" s="61"/>
      <c r="T1530" s="62">
        <f t="shared" si="239"/>
        <v>0</v>
      </c>
      <c r="U1530" s="46">
        <f t="shared" si="240"/>
        <v>0</v>
      </c>
      <c r="V1530" s="63">
        <f t="shared" si="241"/>
        <v>0</v>
      </c>
      <c r="W1530" s="49">
        <f t="shared" si="242"/>
        <v>0</v>
      </c>
      <c r="X1530" s="50">
        <f t="shared" si="243"/>
        <v>0</v>
      </c>
      <c r="Y1530"/>
      <c r="Z1530"/>
      <c r="AA1530"/>
    </row>
    <row r="1531" spans="1:27" s="51" customFormat="1" ht="18.600000000000001" hidden="1" customHeight="1" x14ac:dyDescent="0.25">
      <c r="A1531" s="80" t="s">
        <v>2653</v>
      </c>
      <c r="B1531" s="20" t="s">
        <v>9303</v>
      </c>
      <c r="C1531" s="21" t="s">
        <v>9312</v>
      </c>
      <c r="D1531" s="20" t="s">
        <v>3534</v>
      </c>
      <c r="E1531" s="22" t="s">
        <v>3535</v>
      </c>
      <c r="F1531" s="22" t="s">
        <v>1937</v>
      </c>
      <c r="G1531" s="22" t="s">
        <v>9951</v>
      </c>
      <c r="H1531" s="83" t="s">
        <v>3536</v>
      </c>
      <c r="I1531" s="23" t="s">
        <v>24</v>
      </c>
      <c r="J1531" s="24">
        <v>360</v>
      </c>
      <c r="K1531" s="25">
        <v>0.25</v>
      </c>
      <c r="L1531" s="26">
        <f t="shared" si="235"/>
        <v>90</v>
      </c>
      <c r="M1531" s="27">
        <f t="shared" si="236"/>
        <v>270</v>
      </c>
      <c r="N1531" s="28">
        <v>0.16</v>
      </c>
      <c r="O1531" s="29">
        <f t="shared" si="237"/>
        <v>43.2</v>
      </c>
      <c r="P1531" s="30">
        <f t="shared" si="238"/>
        <v>313.2</v>
      </c>
      <c r="Q1531" s="23"/>
      <c r="R1531" s="52"/>
      <c r="S1531" s="53"/>
      <c r="T1531" s="54">
        <f t="shared" si="239"/>
        <v>0</v>
      </c>
      <c r="U1531" s="26">
        <f t="shared" si="240"/>
        <v>0</v>
      </c>
      <c r="V1531" s="55">
        <f t="shared" si="241"/>
        <v>0</v>
      </c>
      <c r="W1531" s="29">
        <f t="shared" si="242"/>
        <v>0</v>
      </c>
      <c r="X1531" s="30">
        <f t="shared" si="243"/>
        <v>0</v>
      </c>
      <c r="Y1531"/>
      <c r="Z1531"/>
      <c r="AA1531"/>
    </row>
    <row r="1532" spans="1:27" s="51" customFormat="1" ht="18.600000000000001" hidden="1" customHeight="1" x14ac:dyDescent="0.25">
      <c r="A1532" s="81" t="s">
        <v>2653</v>
      </c>
      <c r="B1532" s="31" t="s">
        <v>9303</v>
      </c>
      <c r="C1532" s="32" t="s">
        <v>9312</v>
      </c>
      <c r="D1532" s="31" t="s">
        <v>3537</v>
      </c>
      <c r="E1532" s="33" t="s">
        <v>3538</v>
      </c>
      <c r="F1532" s="33" t="s">
        <v>1937</v>
      </c>
      <c r="G1532" s="33" t="s">
        <v>9951</v>
      </c>
      <c r="H1532" s="84" t="s">
        <v>3539</v>
      </c>
      <c r="I1532" s="23" t="s">
        <v>24</v>
      </c>
      <c r="J1532" s="34">
        <v>360</v>
      </c>
      <c r="K1532" s="35">
        <v>0.25</v>
      </c>
      <c r="L1532" s="36">
        <f t="shared" si="235"/>
        <v>90</v>
      </c>
      <c r="M1532" s="37">
        <f t="shared" si="236"/>
        <v>270</v>
      </c>
      <c r="N1532" s="38">
        <v>0.16</v>
      </c>
      <c r="O1532" s="39">
        <f t="shared" si="237"/>
        <v>43.2</v>
      </c>
      <c r="P1532" s="40">
        <f t="shared" si="238"/>
        <v>313.2</v>
      </c>
      <c r="Q1532" s="23"/>
      <c r="R1532" s="56"/>
      <c r="S1532" s="57"/>
      <c r="T1532" s="58">
        <f t="shared" si="239"/>
        <v>0</v>
      </c>
      <c r="U1532" s="36">
        <f t="shared" si="240"/>
        <v>0</v>
      </c>
      <c r="V1532" s="59">
        <f t="shared" si="241"/>
        <v>0</v>
      </c>
      <c r="W1532" s="39">
        <f t="shared" si="242"/>
        <v>0</v>
      </c>
      <c r="X1532" s="40">
        <f t="shared" si="243"/>
        <v>0</v>
      </c>
      <c r="Y1532"/>
      <c r="Z1532"/>
      <c r="AA1532"/>
    </row>
    <row r="1533" spans="1:27" s="51" customFormat="1" ht="18.600000000000001" hidden="1" customHeight="1" x14ac:dyDescent="0.25">
      <c r="A1533" s="82" t="s">
        <v>2653</v>
      </c>
      <c r="B1533" s="41" t="s">
        <v>9303</v>
      </c>
      <c r="C1533" s="42" t="s">
        <v>9312</v>
      </c>
      <c r="D1533" s="41" t="s">
        <v>3540</v>
      </c>
      <c r="E1533" s="43" t="s">
        <v>3541</v>
      </c>
      <c r="F1533" s="43" t="s">
        <v>1937</v>
      </c>
      <c r="G1533" s="43" t="s">
        <v>9951</v>
      </c>
      <c r="H1533" s="85" t="s">
        <v>3542</v>
      </c>
      <c r="I1533" s="23" t="s">
        <v>24</v>
      </c>
      <c r="J1533" s="44">
        <v>360</v>
      </c>
      <c r="K1533" s="45">
        <v>0.25</v>
      </c>
      <c r="L1533" s="46">
        <f t="shared" si="235"/>
        <v>90</v>
      </c>
      <c r="M1533" s="47">
        <f t="shared" si="236"/>
        <v>270</v>
      </c>
      <c r="N1533" s="48">
        <v>0.16</v>
      </c>
      <c r="O1533" s="49">
        <f t="shared" si="237"/>
        <v>43.2</v>
      </c>
      <c r="P1533" s="50">
        <f t="shared" si="238"/>
        <v>313.2</v>
      </c>
      <c r="Q1533" s="23"/>
      <c r="R1533" s="60"/>
      <c r="S1533" s="61"/>
      <c r="T1533" s="62">
        <f t="shared" si="239"/>
        <v>0</v>
      </c>
      <c r="U1533" s="46">
        <f t="shared" si="240"/>
        <v>0</v>
      </c>
      <c r="V1533" s="63">
        <f t="shared" si="241"/>
        <v>0</v>
      </c>
      <c r="W1533" s="49">
        <f t="shared" si="242"/>
        <v>0</v>
      </c>
      <c r="X1533" s="50">
        <f t="shared" si="243"/>
        <v>0</v>
      </c>
      <c r="Y1533"/>
      <c r="Z1533"/>
      <c r="AA1533"/>
    </row>
    <row r="1534" spans="1:27" s="51" customFormat="1" ht="18.600000000000001" hidden="1" customHeight="1" x14ac:dyDescent="0.25">
      <c r="A1534" s="80" t="s">
        <v>2653</v>
      </c>
      <c r="B1534" s="20" t="s">
        <v>9303</v>
      </c>
      <c r="C1534" s="21" t="s">
        <v>9312</v>
      </c>
      <c r="D1534" s="20" t="s">
        <v>3543</v>
      </c>
      <c r="E1534" s="22" t="s">
        <v>3544</v>
      </c>
      <c r="F1534" s="22" t="s">
        <v>1937</v>
      </c>
      <c r="G1534" s="22" t="s">
        <v>9951</v>
      </c>
      <c r="H1534" s="83" t="s">
        <v>3545</v>
      </c>
      <c r="I1534" s="23" t="s">
        <v>24</v>
      </c>
      <c r="J1534" s="24">
        <v>360</v>
      </c>
      <c r="K1534" s="25">
        <v>0.25</v>
      </c>
      <c r="L1534" s="26">
        <f t="shared" si="235"/>
        <v>90</v>
      </c>
      <c r="M1534" s="27">
        <f t="shared" si="236"/>
        <v>270</v>
      </c>
      <c r="N1534" s="28">
        <v>0.16</v>
      </c>
      <c r="O1534" s="29">
        <f t="shared" si="237"/>
        <v>43.2</v>
      </c>
      <c r="P1534" s="30">
        <f t="shared" si="238"/>
        <v>313.2</v>
      </c>
      <c r="Q1534" s="23"/>
      <c r="R1534" s="52"/>
      <c r="S1534" s="53"/>
      <c r="T1534" s="54">
        <f t="shared" si="239"/>
        <v>0</v>
      </c>
      <c r="U1534" s="26">
        <f t="shared" si="240"/>
        <v>0</v>
      </c>
      <c r="V1534" s="55">
        <f t="shared" si="241"/>
        <v>0</v>
      </c>
      <c r="W1534" s="29">
        <f t="shared" si="242"/>
        <v>0</v>
      </c>
      <c r="X1534" s="30">
        <f t="shared" si="243"/>
        <v>0</v>
      </c>
      <c r="Y1534"/>
      <c r="Z1534"/>
      <c r="AA1534"/>
    </row>
    <row r="1535" spans="1:27" s="51" customFormat="1" ht="18.600000000000001" hidden="1" customHeight="1" x14ac:dyDescent="0.25">
      <c r="A1535" s="81" t="s">
        <v>2653</v>
      </c>
      <c r="B1535" s="31" t="s">
        <v>9303</v>
      </c>
      <c r="C1535" s="32" t="s">
        <v>9312</v>
      </c>
      <c r="D1535" s="31" t="s">
        <v>3546</v>
      </c>
      <c r="E1535" s="33" t="s">
        <v>3547</v>
      </c>
      <c r="F1535" s="33" t="s">
        <v>1937</v>
      </c>
      <c r="G1535" s="33" t="s">
        <v>9951</v>
      </c>
      <c r="H1535" s="84" t="s">
        <v>3548</v>
      </c>
      <c r="I1535" s="23" t="s">
        <v>24</v>
      </c>
      <c r="J1535" s="34">
        <v>360</v>
      </c>
      <c r="K1535" s="35">
        <v>0.25</v>
      </c>
      <c r="L1535" s="36">
        <f t="shared" si="235"/>
        <v>90</v>
      </c>
      <c r="M1535" s="37">
        <f t="shared" si="236"/>
        <v>270</v>
      </c>
      <c r="N1535" s="38">
        <v>0.16</v>
      </c>
      <c r="O1535" s="39">
        <f t="shared" si="237"/>
        <v>43.2</v>
      </c>
      <c r="P1535" s="40">
        <f t="shared" si="238"/>
        <v>313.2</v>
      </c>
      <c r="Q1535" s="23"/>
      <c r="R1535" s="56"/>
      <c r="S1535" s="57"/>
      <c r="T1535" s="58">
        <f t="shared" si="239"/>
        <v>0</v>
      </c>
      <c r="U1535" s="36">
        <f t="shared" si="240"/>
        <v>0</v>
      </c>
      <c r="V1535" s="59">
        <f t="shared" si="241"/>
        <v>0</v>
      </c>
      <c r="W1535" s="39">
        <f t="shared" si="242"/>
        <v>0</v>
      </c>
      <c r="X1535" s="40">
        <f t="shared" si="243"/>
        <v>0</v>
      </c>
      <c r="Y1535"/>
      <c r="Z1535"/>
      <c r="AA1535"/>
    </row>
    <row r="1536" spans="1:27" s="51" customFormat="1" ht="18.600000000000001" hidden="1" customHeight="1" x14ac:dyDescent="0.25">
      <c r="A1536" s="82" t="s">
        <v>2653</v>
      </c>
      <c r="B1536" s="41" t="s">
        <v>9303</v>
      </c>
      <c r="C1536" s="42" t="s">
        <v>9312</v>
      </c>
      <c r="D1536" s="41" t="s">
        <v>3549</v>
      </c>
      <c r="E1536" s="43" t="s">
        <v>3550</v>
      </c>
      <c r="F1536" s="43" t="s">
        <v>1937</v>
      </c>
      <c r="G1536" s="43" t="s">
        <v>9951</v>
      </c>
      <c r="H1536" s="85" t="s">
        <v>3551</v>
      </c>
      <c r="I1536" s="23" t="s">
        <v>24</v>
      </c>
      <c r="J1536" s="44">
        <v>360</v>
      </c>
      <c r="K1536" s="45">
        <v>0.25</v>
      </c>
      <c r="L1536" s="46">
        <f t="shared" si="235"/>
        <v>90</v>
      </c>
      <c r="M1536" s="47">
        <f t="shared" si="236"/>
        <v>270</v>
      </c>
      <c r="N1536" s="48">
        <v>0.16</v>
      </c>
      <c r="O1536" s="49">
        <f t="shared" si="237"/>
        <v>43.2</v>
      </c>
      <c r="P1536" s="50">
        <f t="shared" si="238"/>
        <v>313.2</v>
      </c>
      <c r="Q1536" s="23"/>
      <c r="R1536" s="60"/>
      <c r="S1536" s="61"/>
      <c r="T1536" s="62">
        <f t="shared" si="239"/>
        <v>0</v>
      </c>
      <c r="U1536" s="46">
        <f t="shared" si="240"/>
        <v>0</v>
      </c>
      <c r="V1536" s="63">
        <f t="shared" si="241"/>
        <v>0</v>
      </c>
      <c r="W1536" s="49">
        <f t="shared" si="242"/>
        <v>0</v>
      </c>
      <c r="X1536" s="50">
        <f t="shared" si="243"/>
        <v>0</v>
      </c>
      <c r="Y1536"/>
      <c r="Z1536"/>
      <c r="AA1536"/>
    </row>
    <row r="1537" spans="1:27" s="51" customFormat="1" ht="18.600000000000001" hidden="1" customHeight="1" x14ac:dyDescent="0.25">
      <c r="A1537" s="80" t="s">
        <v>2653</v>
      </c>
      <c r="B1537" s="20" t="s">
        <v>9303</v>
      </c>
      <c r="C1537" s="21" t="s">
        <v>9312</v>
      </c>
      <c r="D1537" s="20" t="s">
        <v>3552</v>
      </c>
      <c r="E1537" s="22" t="s">
        <v>3553</v>
      </c>
      <c r="F1537" s="22" t="s">
        <v>1937</v>
      </c>
      <c r="G1537" s="22" t="s">
        <v>9951</v>
      </c>
      <c r="H1537" s="83" t="s">
        <v>3554</v>
      </c>
      <c r="I1537" s="23" t="s">
        <v>24</v>
      </c>
      <c r="J1537" s="24">
        <v>360</v>
      </c>
      <c r="K1537" s="25">
        <v>0.25</v>
      </c>
      <c r="L1537" s="26">
        <f t="shared" si="235"/>
        <v>90</v>
      </c>
      <c r="M1537" s="27">
        <f t="shared" si="236"/>
        <v>270</v>
      </c>
      <c r="N1537" s="28">
        <v>0.16</v>
      </c>
      <c r="O1537" s="29">
        <f t="shared" si="237"/>
        <v>43.2</v>
      </c>
      <c r="P1537" s="30">
        <f t="shared" si="238"/>
        <v>313.2</v>
      </c>
      <c r="Q1537" s="23"/>
      <c r="R1537" s="52"/>
      <c r="S1537" s="53"/>
      <c r="T1537" s="54">
        <f t="shared" si="239"/>
        <v>0</v>
      </c>
      <c r="U1537" s="26">
        <f t="shared" si="240"/>
        <v>0</v>
      </c>
      <c r="V1537" s="55">
        <f t="shared" si="241"/>
        <v>0</v>
      </c>
      <c r="W1537" s="29">
        <f t="shared" si="242"/>
        <v>0</v>
      </c>
      <c r="X1537" s="30">
        <f t="shared" si="243"/>
        <v>0</v>
      </c>
      <c r="Y1537"/>
      <c r="Z1537"/>
      <c r="AA1537"/>
    </row>
    <row r="1538" spans="1:27" s="51" customFormat="1" ht="18.600000000000001" hidden="1" customHeight="1" x14ac:dyDescent="0.25">
      <c r="A1538" s="81" t="s">
        <v>2653</v>
      </c>
      <c r="B1538" s="31" t="s">
        <v>9303</v>
      </c>
      <c r="C1538" s="32" t="s">
        <v>9312</v>
      </c>
      <c r="D1538" s="31" t="s">
        <v>3555</v>
      </c>
      <c r="E1538" s="33" t="s">
        <v>3556</v>
      </c>
      <c r="F1538" s="33" t="s">
        <v>1937</v>
      </c>
      <c r="G1538" s="33" t="s">
        <v>9951</v>
      </c>
      <c r="H1538" s="84" t="s">
        <v>3557</v>
      </c>
      <c r="I1538" s="23" t="s">
        <v>24</v>
      </c>
      <c r="J1538" s="34">
        <v>360</v>
      </c>
      <c r="K1538" s="35">
        <v>0.25</v>
      </c>
      <c r="L1538" s="36">
        <f t="shared" si="235"/>
        <v>90</v>
      </c>
      <c r="M1538" s="37">
        <f t="shared" si="236"/>
        <v>270</v>
      </c>
      <c r="N1538" s="38">
        <v>0.16</v>
      </c>
      <c r="O1538" s="39">
        <f t="shared" si="237"/>
        <v>43.2</v>
      </c>
      <c r="P1538" s="40">
        <f t="shared" si="238"/>
        <v>313.2</v>
      </c>
      <c r="Q1538" s="23"/>
      <c r="R1538" s="56"/>
      <c r="S1538" s="57"/>
      <c r="T1538" s="58">
        <f t="shared" si="239"/>
        <v>0</v>
      </c>
      <c r="U1538" s="36">
        <f t="shared" si="240"/>
        <v>0</v>
      </c>
      <c r="V1538" s="59">
        <f t="shared" si="241"/>
        <v>0</v>
      </c>
      <c r="W1538" s="39">
        <f t="shared" si="242"/>
        <v>0</v>
      </c>
      <c r="X1538" s="40">
        <f t="shared" si="243"/>
        <v>0</v>
      </c>
      <c r="Y1538"/>
      <c r="Z1538"/>
      <c r="AA1538"/>
    </row>
    <row r="1539" spans="1:27" s="51" customFormat="1" ht="18.600000000000001" hidden="1" customHeight="1" x14ac:dyDescent="0.25">
      <c r="A1539" s="82" t="s">
        <v>2653</v>
      </c>
      <c r="B1539" s="41" t="s">
        <v>9303</v>
      </c>
      <c r="C1539" s="42" t="s">
        <v>9312</v>
      </c>
      <c r="D1539" s="41" t="s">
        <v>3558</v>
      </c>
      <c r="E1539" s="43" t="s">
        <v>3559</v>
      </c>
      <c r="F1539" s="43" t="s">
        <v>1937</v>
      </c>
      <c r="G1539" s="43" t="s">
        <v>9951</v>
      </c>
      <c r="H1539" s="85" t="s">
        <v>3560</v>
      </c>
      <c r="I1539" s="23" t="s">
        <v>24</v>
      </c>
      <c r="J1539" s="44">
        <v>360</v>
      </c>
      <c r="K1539" s="45">
        <v>0.25</v>
      </c>
      <c r="L1539" s="46">
        <f t="shared" si="235"/>
        <v>90</v>
      </c>
      <c r="M1539" s="47">
        <f t="shared" si="236"/>
        <v>270</v>
      </c>
      <c r="N1539" s="48">
        <v>0.16</v>
      </c>
      <c r="O1539" s="49">
        <f t="shared" si="237"/>
        <v>43.2</v>
      </c>
      <c r="P1539" s="50">
        <f t="shared" si="238"/>
        <v>313.2</v>
      </c>
      <c r="Q1539" s="23"/>
      <c r="R1539" s="60"/>
      <c r="S1539" s="61"/>
      <c r="T1539" s="62">
        <f t="shared" si="239"/>
        <v>0</v>
      </c>
      <c r="U1539" s="46">
        <f t="shared" si="240"/>
        <v>0</v>
      </c>
      <c r="V1539" s="63">
        <f t="shared" si="241"/>
        <v>0</v>
      </c>
      <c r="W1539" s="49">
        <f t="shared" si="242"/>
        <v>0</v>
      </c>
      <c r="X1539" s="50">
        <f t="shared" si="243"/>
        <v>0</v>
      </c>
      <c r="Y1539"/>
      <c r="Z1539"/>
      <c r="AA1539"/>
    </row>
    <row r="1540" spans="1:27" s="51" customFormat="1" ht="18.600000000000001" hidden="1" customHeight="1" x14ac:dyDescent="0.25">
      <c r="A1540" s="80" t="s">
        <v>2653</v>
      </c>
      <c r="B1540" s="20" t="s">
        <v>9303</v>
      </c>
      <c r="C1540" s="21" t="s">
        <v>9312</v>
      </c>
      <c r="D1540" s="20" t="s">
        <v>3561</v>
      </c>
      <c r="E1540" s="22" t="s">
        <v>3562</v>
      </c>
      <c r="F1540" s="22" t="s">
        <v>1937</v>
      </c>
      <c r="G1540" s="22" t="s">
        <v>9951</v>
      </c>
      <c r="H1540" s="83" t="s">
        <v>3563</v>
      </c>
      <c r="I1540" s="23" t="s">
        <v>24</v>
      </c>
      <c r="J1540" s="24">
        <v>360</v>
      </c>
      <c r="K1540" s="25">
        <v>0.25</v>
      </c>
      <c r="L1540" s="26">
        <f t="shared" si="235"/>
        <v>90</v>
      </c>
      <c r="M1540" s="27">
        <f t="shared" si="236"/>
        <v>270</v>
      </c>
      <c r="N1540" s="28">
        <v>0.16</v>
      </c>
      <c r="O1540" s="29">
        <f t="shared" si="237"/>
        <v>43.2</v>
      </c>
      <c r="P1540" s="30">
        <f t="shared" si="238"/>
        <v>313.2</v>
      </c>
      <c r="Q1540" s="23"/>
      <c r="R1540" s="52"/>
      <c r="S1540" s="53"/>
      <c r="T1540" s="54">
        <f t="shared" si="239"/>
        <v>0</v>
      </c>
      <c r="U1540" s="26">
        <f t="shared" si="240"/>
        <v>0</v>
      </c>
      <c r="V1540" s="55">
        <f t="shared" si="241"/>
        <v>0</v>
      </c>
      <c r="W1540" s="29">
        <f t="shared" si="242"/>
        <v>0</v>
      </c>
      <c r="X1540" s="30">
        <f t="shared" si="243"/>
        <v>0</v>
      </c>
      <c r="Y1540"/>
      <c r="Z1540"/>
      <c r="AA1540"/>
    </row>
    <row r="1541" spans="1:27" s="51" customFormat="1" ht="18.600000000000001" hidden="1" customHeight="1" x14ac:dyDescent="0.25">
      <c r="A1541" s="81" t="s">
        <v>2653</v>
      </c>
      <c r="B1541" s="31" t="s">
        <v>9303</v>
      </c>
      <c r="C1541" s="32" t="s">
        <v>9312</v>
      </c>
      <c r="D1541" s="31" t="s">
        <v>3564</v>
      </c>
      <c r="E1541" s="33" t="s">
        <v>3565</v>
      </c>
      <c r="F1541" s="33" t="s">
        <v>1937</v>
      </c>
      <c r="G1541" s="33" t="s">
        <v>9951</v>
      </c>
      <c r="H1541" s="84" t="s">
        <v>3566</v>
      </c>
      <c r="I1541" s="23" t="s">
        <v>24</v>
      </c>
      <c r="J1541" s="34">
        <v>360</v>
      </c>
      <c r="K1541" s="35">
        <v>0.25</v>
      </c>
      <c r="L1541" s="36">
        <f t="shared" si="235"/>
        <v>90</v>
      </c>
      <c r="M1541" s="37">
        <f t="shared" si="236"/>
        <v>270</v>
      </c>
      <c r="N1541" s="38">
        <v>0.16</v>
      </c>
      <c r="O1541" s="39">
        <f t="shared" si="237"/>
        <v>43.2</v>
      </c>
      <c r="P1541" s="40">
        <f t="shared" si="238"/>
        <v>313.2</v>
      </c>
      <c r="Q1541" s="23"/>
      <c r="R1541" s="56"/>
      <c r="S1541" s="57"/>
      <c r="T1541" s="58">
        <f t="shared" si="239"/>
        <v>0</v>
      </c>
      <c r="U1541" s="36">
        <f t="shared" si="240"/>
        <v>0</v>
      </c>
      <c r="V1541" s="59">
        <f t="shared" si="241"/>
        <v>0</v>
      </c>
      <c r="W1541" s="39">
        <f t="shared" si="242"/>
        <v>0</v>
      </c>
      <c r="X1541" s="40">
        <f t="shared" si="243"/>
        <v>0</v>
      </c>
      <c r="Y1541"/>
      <c r="Z1541"/>
      <c r="AA1541"/>
    </row>
    <row r="1542" spans="1:27" s="51" customFormat="1" ht="18.600000000000001" hidden="1" customHeight="1" x14ac:dyDescent="0.25">
      <c r="A1542" s="82" t="s">
        <v>2653</v>
      </c>
      <c r="B1542" s="41" t="s">
        <v>9303</v>
      </c>
      <c r="C1542" s="42" t="s">
        <v>9312</v>
      </c>
      <c r="D1542" s="41" t="s">
        <v>3567</v>
      </c>
      <c r="E1542" s="43" t="s">
        <v>3568</v>
      </c>
      <c r="F1542" s="43" t="s">
        <v>1937</v>
      </c>
      <c r="G1542" s="43" t="s">
        <v>9951</v>
      </c>
      <c r="H1542" s="85" t="s">
        <v>3569</v>
      </c>
      <c r="I1542" s="23" t="s">
        <v>24</v>
      </c>
      <c r="J1542" s="44">
        <v>360</v>
      </c>
      <c r="K1542" s="45">
        <v>0.25</v>
      </c>
      <c r="L1542" s="46">
        <f t="shared" si="235"/>
        <v>90</v>
      </c>
      <c r="M1542" s="47">
        <f t="shared" si="236"/>
        <v>270</v>
      </c>
      <c r="N1542" s="48">
        <v>0.16</v>
      </c>
      <c r="O1542" s="49">
        <f t="shared" si="237"/>
        <v>43.2</v>
      </c>
      <c r="P1542" s="50">
        <f t="shared" si="238"/>
        <v>313.2</v>
      </c>
      <c r="Q1542" s="23"/>
      <c r="R1542" s="60"/>
      <c r="S1542" s="61"/>
      <c r="T1542" s="62">
        <f t="shared" si="239"/>
        <v>0</v>
      </c>
      <c r="U1542" s="46">
        <f t="shared" si="240"/>
        <v>0</v>
      </c>
      <c r="V1542" s="63">
        <f t="shared" si="241"/>
        <v>0</v>
      </c>
      <c r="W1542" s="49">
        <f t="shared" si="242"/>
        <v>0</v>
      </c>
      <c r="X1542" s="50">
        <f t="shared" si="243"/>
        <v>0</v>
      </c>
      <c r="Y1542"/>
      <c r="Z1542"/>
      <c r="AA1542"/>
    </row>
    <row r="1543" spans="1:27" s="51" customFormat="1" ht="18.600000000000001" hidden="1" customHeight="1" x14ac:dyDescent="0.25">
      <c r="A1543" s="80" t="s">
        <v>2653</v>
      </c>
      <c r="B1543" s="20" t="s">
        <v>9303</v>
      </c>
      <c r="C1543" s="21" t="s">
        <v>9312</v>
      </c>
      <c r="D1543" s="20" t="s">
        <v>3570</v>
      </c>
      <c r="E1543" s="22" t="s">
        <v>3571</v>
      </c>
      <c r="F1543" s="22" t="s">
        <v>1937</v>
      </c>
      <c r="G1543" s="22" t="s">
        <v>9951</v>
      </c>
      <c r="H1543" s="83" t="s">
        <v>3572</v>
      </c>
      <c r="I1543" s="23" t="s">
        <v>24</v>
      </c>
      <c r="J1543" s="24">
        <v>360</v>
      </c>
      <c r="K1543" s="25">
        <v>0.25</v>
      </c>
      <c r="L1543" s="26">
        <f t="shared" si="235"/>
        <v>90</v>
      </c>
      <c r="M1543" s="27">
        <f t="shared" si="236"/>
        <v>270</v>
      </c>
      <c r="N1543" s="28">
        <v>0.16</v>
      </c>
      <c r="O1543" s="29">
        <f t="shared" si="237"/>
        <v>43.2</v>
      </c>
      <c r="P1543" s="30">
        <f t="shared" si="238"/>
        <v>313.2</v>
      </c>
      <c r="Q1543" s="23"/>
      <c r="R1543" s="52"/>
      <c r="S1543" s="53"/>
      <c r="T1543" s="54">
        <f t="shared" si="239"/>
        <v>0</v>
      </c>
      <c r="U1543" s="26">
        <f t="shared" si="240"/>
        <v>0</v>
      </c>
      <c r="V1543" s="55">
        <f t="shared" si="241"/>
        <v>0</v>
      </c>
      <c r="W1543" s="29">
        <f t="shared" si="242"/>
        <v>0</v>
      </c>
      <c r="X1543" s="30">
        <f t="shared" si="243"/>
        <v>0</v>
      </c>
      <c r="Y1543"/>
      <c r="Z1543"/>
      <c r="AA1543"/>
    </row>
    <row r="1544" spans="1:27" s="51" customFormat="1" ht="18.600000000000001" hidden="1" customHeight="1" x14ac:dyDescent="0.25">
      <c r="A1544" s="81" t="s">
        <v>2653</v>
      </c>
      <c r="B1544" s="31" t="s">
        <v>9303</v>
      </c>
      <c r="C1544" s="32" t="s">
        <v>9312</v>
      </c>
      <c r="D1544" s="31" t="s">
        <v>3573</v>
      </c>
      <c r="E1544" s="33" t="s">
        <v>3574</v>
      </c>
      <c r="F1544" s="33" t="s">
        <v>1937</v>
      </c>
      <c r="G1544" s="33" t="s">
        <v>9951</v>
      </c>
      <c r="H1544" s="84" t="s">
        <v>3575</v>
      </c>
      <c r="I1544" s="23" t="s">
        <v>24</v>
      </c>
      <c r="J1544" s="34">
        <v>360</v>
      </c>
      <c r="K1544" s="35">
        <v>0.25</v>
      </c>
      <c r="L1544" s="36">
        <f t="shared" si="235"/>
        <v>90</v>
      </c>
      <c r="M1544" s="37">
        <f t="shared" si="236"/>
        <v>270</v>
      </c>
      <c r="N1544" s="38">
        <v>0.16</v>
      </c>
      <c r="O1544" s="39">
        <f t="shared" si="237"/>
        <v>43.2</v>
      </c>
      <c r="P1544" s="40">
        <f t="shared" si="238"/>
        <v>313.2</v>
      </c>
      <c r="Q1544" s="23"/>
      <c r="R1544" s="56"/>
      <c r="S1544" s="57"/>
      <c r="T1544" s="58">
        <f t="shared" si="239"/>
        <v>0</v>
      </c>
      <c r="U1544" s="36">
        <f t="shared" si="240"/>
        <v>0</v>
      </c>
      <c r="V1544" s="59">
        <f t="shared" si="241"/>
        <v>0</v>
      </c>
      <c r="W1544" s="39">
        <f t="shared" si="242"/>
        <v>0</v>
      </c>
      <c r="X1544" s="40">
        <f t="shared" si="243"/>
        <v>0</v>
      </c>
      <c r="Y1544"/>
      <c r="Z1544"/>
      <c r="AA1544"/>
    </row>
    <row r="1545" spans="1:27" s="51" customFormat="1" ht="18.600000000000001" hidden="1" customHeight="1" x14ac:dyDescent="0.25">
      <c r="A1545" s="82" t="s">
        <v>2653</v>
      </c>
      <c r="B1545" s="41" t="s">
        <v>9303</v>
      </c>
      <c r="C1545" s="42" t="s">
        <v>9312</v>
      </c>
      <c r="D1545" s="41" t="s">
        <v>3576</v>
      </c>
      <c r="E1545" s="43" t="s">
        <v>3577</v>
      </c>
      <c r="F1545" s="43" t="s">
        <v>1937</v>
      </c>
      <c r="G1545" s="43" t="s">
        <v>9961</v>
      </c>
      <c r="H1545" s="85" t="s">
        <v>3578</v>
      </c>
      <c r="I1545" s="23" t="s">
        <v>24</v>
      </c>
      <c r="J1545" s="44">
        <v>3600</v>
      </c>
      <c r="K1545" s="45">
        <v>0.25</v>
      </c>
      <c r="L1545" s="46">
        <f t="shared" si="235"/>
        <v>900</v>
      </c>
      <c r="M1545" s="47">
        <f t="shared" si="236"/>
        <v>2700</v>
      </c>
      <c r="N1545" s="48">
        <v>0.16</v>
      </c>
      <c r="O1545" s="49">
        <f t="shared" si="237"/>
        <v>432</v>
      </c>
      <c r="P1545" s="50">
        <f t="shared" si="238"/>
        <v>3132</v>
      </c>
      <c r="Q1545" s="23"/>
      <c r="R1545" s="60"/>
      <c r="S1545" s="61"/>
      <c r="T1545" s="62">
        <f t="shared" si="239"/>
        <v>0</v>
      </c>
      <c r="U1545" s="46">
        <f t="shared" si="240"/>
        <v>0</v>
      </c>
      <c r="V1545" s="63">
        <f t="shared" si="241"/>
        <v>0</v>
      </c>
      <c r="W1545" s="49">
        <f t="shared" si="242"/>
        <v>0</v>
      </c>
      <c r="X1545" s="50">
        <f t="shared" si="243"/>
        <v>0</v>
      </c>
      <c r="Y1545"/>
      <c r="Z1545"/>
      <c r="AA1545"/>
    </row>
    <row r="1546" spans="1:27" s="51" customFormat="1" ht="18.600000000000001" hidden="1" customHeight="1" x14ac:dyDescent="0.25">
      <c r="A1546" s="80" t="s">
        <v>2653</v>
      </c>
      <c r="B1546" s="20" t="s">
        <v>9303</v>
      </c>
      <c r="C1546" s="21" t="s">
        <v>9312</v>
      </c>
      <c r="D1546" s="20" t="s">
        <v>3579</v>
      </c>
      <c r="E1546" s="22" t="s">
        <v>3580</v>
      </c>
      <c r="F1546" s="22" t="s">
        <v>1937</v>
      </c>
      <c r="G1546" s="22" t="s">
        <v>9962</v>
      </c>
      <c r="H1546" s="83" t="s">
        <v>3581</v>
      </c>
      <c r="I1546" s="23" t="s">
        <v>24</v>
      </c>
      <c r="J1546" s="24">
        <v>7000</v>
      </c>
      <c r="K1546" s="25">
        <v>0.25</v>
      </c>
      <c r="L1546" s="26">
        <f t="shared" si="235"/>
        <v>1750</v>
      </c>
      <c r="M1546" s="27">
        <f t="shared" si="236"/>
        <v>5250</v>
      </c>
      <c r="N1546" s="28">
        <v>0.16</v>
      </c>
      <c r="O1546" s="29">
        <f t="shared" si="237"/>
        <v>840</v>
      </c>
      <c r="P1546" s="30">
        <f t="shared" si="238"/>
        <v>6090</v>
      </c>
      <c r="Q1546" s="23"/>
      <c r="R1546" s="52"/>
      <c r="S1546" s="53"/>
      <c r="T1546" s="54">
        <f t="shared" si="239"/>
        <v>0</v>
      </c>
      <c r="U1546" s="26">
        <f t="shared" si="240"/>
        <v>0</v>
      </c>
      <c r="V1546" s="55">
        <f t="shared" si="241"/>
        <v>0</v>
      </c>
      <c r="W1546" s="29">
        <f t="shared" si="242"/>
        <v>0</v>
      </c>
      <c r="X1546" s="30">
        <f t="shared" si="243"/>
        <v>0</v>
      </c>
      <c r="Y1546"/>
      <c r="Z1546"/>
      <c r="AA1546"/>
    </row>
    <row r="1547" spans="1:27" s="51" customFormat="1" ht="18.600000000000001" hidden="1" customHeight="1" x14ac:dyDescent="0.25">
      <c r="A1547" s="81" t="s">
        <v>2653</v>
      </c>
      <c r="B1547" s="31" t="s">
        <v>9303</v>
      </c>
      <c r="C1547" s="32" t="s">
        <v>9312</v>
      </c>
      <c r="D1547" s="31" t="s">
        <v>3582</v>
      </c>
      <c r="E1547" s="33" t="s">
        <v>3583</v>
      </c>
      <c r="F1547" s="33" t="s">
        <v>1937</v>
      </c>
      <c r="G1547" s="33" t="s">
        <v>9960</v>
      </c>
      <c r="H1547" s="84" t="s">
        <v>3584</v>
      </c>
      <c r="I1547" s="23" t="s">
        <v>24</v>
      </c>
      <c r="J1547" s="34">
        <v>11000</v>
      </c>
      <c r="K1547" s="35">
        <v>0.25</v>
      </c>
      <c r="L1547" s="36">
        <f t="shared" si="235"/>
        <v>2750</v>
      </c>
      <c r="M1547" s="37">
        <f t="shared" si="236"/>
        <v>8250</v>
      </c>
      <c r="N1547" s="38">
        <v>0.16</v>
      </c>
      <c r="O1547" s="39">
        <f t="shared" si="237"/>
        <v>1320</v>
      </c>
      <c r="P1547" s="40">
        <f t="shared" si="238"/>
        <v>9570</v>
      </c>
      <c r="Q1547" s="23"/>
      <c r="R1547" s="56"/>
      <c r="S1547" s="57"/>
      <c r="T1547" s="58">
        <f t="shared" si="239"/>
        <v>0</v>
      </c>
      <c r="U1547" s="36">
        <f t="shared" si="240"/>
        <v>0</v>
      </c>
      <c r="V1547" s="59">
        <f t="shared" si="241"/>
        <v>0</v>
      </c>
      <c r="W1547" s="39">
        <f t="shared" si="242"/>
        <v>0</v>
      </c>
      <c r="X1547" s="40">
        <f t="shared" si="243"/>
        <v>0</v>
      </c>
      <c r="Y1547"/>
      <c r="Z1547"/>
      <c r="AA1547"/>
    </row>
    <row r="1548" spans="1:27" s="51" customFormat="1" ht="18.600000000000001" customHeight="1" x14ac:dyDescent="0.25">
      <c r="A1548" s="82" t="s">
        <v>2653</v>
      </c>
      <c r="B1548" s="41" t="s">
        <v>9303</v>
      </c>
      <c r="C1548" s="42" t="s">
        <v>9313</v>
      </c>
      <c r="D1548" s="41">
        <v>8435568302341</v>
      </c>
      <c r="E1548" s="43" t="s">
        <v>3585</v>
      </c>
      <c r="F1548" s="43" t="s">
        <v>1937</v>
      </c>
      <c r="G1548" s="43" t="s">
        <v>3586</v>
      </c>
      <c r="H1548" s="85" t="s">
        <v>3587</v>
      </c>
      <c r="I1548" s="23" t="s">
        <v>24</v>
      </c>
      <c r="J1548" s="44">
        <v>90</v>
      </c>
      <c r="K1548" s="45">
        <v>0.25</v>
      </c>
      <c r="L1548" s="46">
        <f t="shared" si="235"/>
        <v>22.5</v>
      </c>
      <c r="M1548" s="47">
        <f t="shared" si="236"/>
        <v>67.5</v>
      </c>
      <c r="N1548" s="48">
        <v>0.16</v>
      </c>
      <c r="O1548" s="49">
        <f t="shared" si="237"/>
        <v>10.8</v>
      </c>
      <c r="P1548" s="50">
        <f t="shared" si="238"/>
        <v>78.3</v>
      </c>
      <c r="Q1548" s="23"/>
      <c r="R1548" s="60"/>
      <c r="S1548" s="61">
        <v>1</v>
      </c>
      <c r="T1548" s="62">
        <f t="shared" si="239"/>
        <v>90</v>
      </c>
      <c r="U1548" s="46">
        <f t="shared" si="240"/>
        <v>22.5</v>
      </c>
      <c r="V1548" s="63">
        <f t="shared" si="241"/>
        <v>67.5</v>
      </c>
      <c r="W1548" s="49">
        <f t="shared" si="242"/>
        <v>10.8</v>
      </c>
      <c r="X1548" s="50">
        <f t="shared" si="243"/>
        <v>78.3</v>
      </c>
      <c r="Y1548"/>
      <c r="Z1548"/>
      <c r="AA1548"/>
    </row>
    <row r="1549" spans="1:27" s="51" customFormat="1" ht="18.600000000000001" customHeight="1" x14ac:dyDescent="0.25">
      <c r="A1549" s="80" t="s">
        <v>2653</v>
      </c>
      <c r="B1549" s="20" t="s">
        <v>9303</v>
      </c>
      <c r="C1549" s="21" t="s">
        <v>9313</v>
      </c>
      <c r="D1549" s="20" t="s">
        <v>3588</v>
      </c>
      <c r="E1549" s="22" t="s">
        <v>3589</v>
      </c>
      <c r="F1549" s="22" t="s">
        <v>1937</v>
      </c>
      <c r="G1549" s="22" t="s">
        <v>3586</v>
      </c>
      <c r="H1549" s="83" t="s">
        <v>3590</v>
      </c>
      <c r="I1549" s="23" t="s">
        <v>24</v>
      </c>
      <c r="J1549" s="24">
        <v>90</v>
      </c>
      <c r="K1549" s="25">
        <v>0.25</v>
      </c>
      <c r="L1549" s="26">
        <f t="shared" si="235"/>
        <v>22.5</v>
      </c>
      <c r="M1549" s="27">
        <f t="shared" si="236"/>
        <v>67.5</v>
      </c>
      <c r="N1549" s="28">
        <v>0.16</v>
      </c>
      <c r="O1549" s="29">
        <f t="shared" si="237"/>
        <v>10.8</v>
      </c>
      <c r="P1549" s="30">
        <f t="shared" si="238"/>
        <v>78.3</v>
      </c>
      <c r="Q1549" s="23"/>
      <c r="R1549" s="52"/>
      <c r="S1549" s="53">
        <v>1</v>
      </c>
      <c r="T1549" s="54">
        <f t="shared" si="239"/>
        <v>90</v>
      </c>
      <c r="U1549" s="26">
        <f t="shared" si="240"/>
        <v>22.5</v>
      </c>
      <c r="V1549" s="55">
        <f t="shared" si="241"/>
        <v>67.5</v>
      </c>
      <c r="W1549" s="29">
        <f t="shared" si="242"/>
        <v>10.8</v>
      </c>
      <c r="X1549" s="30">
        <f t="shared" si="243"/>
        <v>78.3</v>
      </c>
      <c r="Y1549"/>
      <c r="Z1549"/>
      <c r="AA1549"/>
    </row>
    <row r="1550" spans="1:27" s="51" customFormat="1" ht="18.600000000000001" hidden="1" customHeight="1" x14ac:dyDescent="0.25">
      <c r="A1550" s="81" t="s">
        <v>2653</v>
      </c>
      <c r="B1550" s="31" t="s">
        <v>9303</v>
      </c>
      <c r="C1550" s="32" t="s">
        <v>9313</v>
      </c>
      <c r="D1550" s="31" t="s">
        <v>3591</v>
      </c>
      <c r="E1550" s="33" t="s">
        <v>3592</v>
      </c>
      <c r="F1550" s="33" t="s">
        <v>1937</v>
      </c>
      <c r="G1550" s="33" t="s">
        <v>3586</v>
      </c>
      <c r="H1550" s="84" t="s">
        <v>3593</v>
      </c>
      <c r="I1550" s="23" t="s">
        <v>24</v>
      </c>
      <c r="J1550" s="34">
        <v>90</v>
      </c>
      <c r="K1550" s="35">
        <v>0.25</v>
      </c>
      <c r="L1550" s="36">
        <f t="shared" si="235"/>
        <v>22.5</v>
      </c>
      <c r="M1550" s="37">
        <f t="shared" si="236"/>
        <v>67.5</v>
      </c>
      <c r="N1550" s="38">
        <v>0.16</v>
      </c>
      <c r="O1550" s="39">
        <f t="shared" si="237"/>
        <v>10.8</v>
      </c>
      <c r="P1550" s="40">
        <f t="shared" si="238"/>
        <v>78.3</v>
      </c>
      <c r="Q1550" s="23"/>
      <c r="R1550" s="56"/>
      <c r="S1550" s="57"/>
      <c r="T1550" s="58">
        <f t="shared" si="239"/>
        <v>0</v>
      </c>
      <c r="U1550" s="36">
        <f t="shared" si="240"/>
        <v>0</v>
      </c>
      <c r="V1550" s="59">
        <f t="shared" si="241"/>
        <v>0</v>
      </c>
      <c r="W1550" s="39">
        <f t="shared" si="242"/>
        <v>0</v>
      </c>
      <c r="X1550" s="40">
        <f t="shared" si="243"/>
        <v>0</v>
      </c>
      <c r="Y1550"/>
      <c r="Z1550"/>
      <c r="AA1550"/>
    </row>
    <row r="1551" spans="1:27" s="51" customFormat="1" ht="18.600000000000001" customHeight="1" x14ac:dyDescent="0.25">
      <c r="A1551" s="82" t="s">
        <v>2653</v>
      </c>
      <c r="B1551" s="41" t="s">
        <v>9303</v>
      </c>
      <c r="C1551" s="42" t="s">
        <v>9313</v>
      </c>
      <c r="D1551" s="41" t="s">
        <v>3594</v>
      </c>
      <c r="E1551" s="43" t="s">
        <v>3595</v>
      </c>
      <c r="F1551" s="43" t="s">
        <v>1937</v>
      </c>
      <c r="G1551" s="43" t="s">
        <v>3586</v>
      </c>
      <c r="H1551" s="85" t="s">
        <v>3596</v>
      </c>
      <c r="I1551" s="23" t="s">
        <v>24</v>
      </c>
      <c r="J1551" s="44">
        <v>90</v>
      </c>
      <c r="K1551" s="45">
        <v>0.25</v>
      </c>
      <c r="L1551" s="46">
        <f t="shared" si="235"/>
        <v>22.5</v>
      </c>
      <c r="M1551" s="47">
        <f t="shared" si="236"/>
        <v>67.5</v>
      </c>
      <c r="N1551" s="48">
        <v>0.16</v>
      </c>
      <c r="O1551" s="49">
        <f t="shared" si="237"/>
        <v>10.8</v>
      </c>
      <c r="P1551" s="50">
        <f t="shared" si="238"/>
        <v>78.3</v>
      </c>
      <c r="Q1551" s="23"/>
      <c r="R1551" s="60"/>
      <c r="S1551" s="61">
        <v>1</v>
      </c>
      <c r="T1551" s="62">
        <f t="shared" si="239"/>
        <v>90</v>
      </c>
      <c r="U1551" s="46">
        <f t="shared" si="240"/>
        <v>22.5</v>
      </c>
      <c r="V1551" s="63">
        <f t="shared" si="241"/>
        <v>67.5</v>
      </c>
      <c r="W1551" s="49">
        <f t="shared" si="242"/>
        <v>10.8</v>
      </c>
      <c r="X1551" s="50">
        <f t="shared" si="243"/>
        <v>78.3</v>
      </c>
      <c r="Y1551"/>
      <c r="Z1551"/>
      <c r="AA1551"/>
    </row>
    <row r="1552" spans="1:27" s="51" customFormat="1" ht="18.600000000000001" hidden="1" customHeight="1" x14ac:dyDescent="0.25">
      <c r="A1552" s="80" t="s">
        <v>2653</v>
      </c>
      <c r="B1552" s="20" t="s">
        <v>9303</v>
      </c>
      <c r="C1552" s="21" t="s">
        <v>9313</v>
      </c>
      <c r="D1552" s="20" t="s">
        <v>3597</v>
      </c>
      <c r="E1552" s="22" t="s">
        <v>3598</v>
      </c>
      <c r="F1552" s="22" t="s">
        <v>1937</v>
      </c>
      <c r="G1552" s="22" t="s">
        <v>3586</v>
      </c>
      <c r="H1552" s="83" t="s">
        <v>3599</v>
      </c>
      <c r="I1552" s="23" t="s">
        <v>24</v>
      </c>
      <c r="J1552" s="24">
        <v>90</v>
      </c>
      <c r="K1552" s="25">
        <v>0.25</v>
      </c>
      <c r="L1552" s="26">
        <f t="shared" si="235"/>
        <v>22.5</v>
      </c>
      <c r="M1552" s="27">
        <f t="shared" si="236"/>
        <v>67.5</v>
      </c>
      <c r="N1552" s="28">
        <v>0.16</v>
      </c>
      <c r="O1552" s="29">
        <f t="shared" si="237"/>
        <v>10.8</v>
      </c>
      <c r="P1552" s="30">
        <f t="shared" si="238"/>
        <v>78.3</v>
      </c>
      <c r="Q1552" s="23"/>
      <c r="R1552" s="52"/>
      <c r="S1552" s="53"/>
      <c r="T1552" s="54">
        <f t="shared" si="239"/>
        <v>0</v>
      </c>
      <c r="U1552" s="26">
        <f t="shared" si="240"/>
        <v>0</v>
      </c>
      <c r="V1552" s="55">
        <f t="shared" si="241"/>
        <v>0</v>
      </c>
      <c r="W1552" s="29">
        <f t="shared" si="242"/>
        <v>0</v>
      </c>
      <c r="X1552" s="30">
        <f t="shared" si="243"/>
        <v>0</v>
      </c>
      <c r="Y1552"/>
      <c r="Z1552"/>
      <c r="AA1552"/>
    </row>
    <row r="1553" spans="1:27" s="51" customFormat="1" ht="18.600000000000001" hidden="1" customHeight="1" x14ac:dyDescent="0.25">
      <c r="A1553" s="81" t="s">
        <v>2653</v>
      </c>
      <c r="B1553" s="31" t="s">
        <v>9303</v>
      </c>
      <c r="C1553" s="32" t="s">
        <v>9313</v>
      </c>
      <c r="D1553" s="31" t="s">
        <v>3600</v>
      </c>
      <c r="E1553" s="33" t="s">
        <v>3601</v>
      </c>
      <c r="F1553" s="33" t="s">
        <v>1937</v>
      </c>
      <c r="G1553" s="33" t="s">
        <v>3586</v>
      </c>
      <c r="H1553" s="84" t="s">
        <v>3602</v>
      </c>
      <c r="I1553" s="23" t="s">
        <v>24</v>
      </c>
      <c r="J1553" s="34">
        <v>90</v>
      </c>
      <c r="K1553" s="35">
        <v>0.25</v>
      </c>
      <c r="L1553" s="36">
        <f t="shared" si="235"/>
        <v>22.5</v>
      </c>
      <c r="M1553" s="37">
        <f t="shared" si="236"/>
        <v>67.5</v>
      </c>
      <c r="N1553" s="38">
        <v>0.16</v>
      </c>
      <c r="O1553" s="39">
        <f t="shared" si="237"/>
        <v>10.8</v>
      </c>
      <c r="P1553" s="40">
        <f t="shared" si="238"/>
        <v>78.3</v>
      </c>
      <c r="Q1553" s="23"/>
      <c r="R1553" s="56"/>
      <c r="S1553" s="57"/>
      <c r="T1553" s="58">
        <f t="shared" si="239"/>
        <v>0</v>
      </c>
      <c r="U1553" s="36">
        <f t="shared" si="240"/>
        <v>0</v>
      </c>
      <c r="V1553" s="59">
        <f t="shared" si="241"/>
        <v>0</v>
      </c>
      <c r="W1553" s="39">
        <f t="shared" si="242"/>
        <v>0</v>
      </c>
      <c r="X1553" s="40">
        <f t="shared" si="243"/>
        <v>0</v>
      </c>
      <c r="Y1553"/>
      <c r="Z1553"/>
      <c r="AA1553"/>
    </row>
    <row r="1554" spans="1:27" s="51" customFormat="1" ht="18.600000000000001" hidden="1" customHeight="1" x14ac:dyDescent="0.25">
      <c r="A1554" s="82" t="s">
        <v>2653</v>
      </c>
      <c r="B1554" s="41" t="s">
        <v>9303</v>
      </c>
      <c r="C1554" s="42" t="s">
        <v>9313</v>
      </c>
      <c r="D1554" s="41" t="s">
        <v>3603</v>
      </c>
      <c r="E1554" s="43" t="s">
        <v>3604</v>
      </c>
      <c r="F1554" s="43" t="s">
        <v>1937</v>
      </c>
      <c r="G1554" s="43" t="s">
        <v>3586</v>
      </c>
      <c r="H1554" s="85" t="s">
        <v>3605</v>
      </c>
      <c r="I1554" s="23" t="s">
        <v>24</v>
      </c>
      <c r="J1554" s="44">
        <v>90</v>
      </c>
      <c r="K1554" s="45">
        <v>0.25</v>
      </c>
      <c r="L1554" s="46">
        <f t="shared" si="235"/>
        <v>22.5</v>
      </c>
      <c r="M1554" s="47">
        <f t="shared" si="236"/>
        <v>67.5</v>
      </c>
      <c r="N1554" s="48">
        <v>0.16</v>
      </c>
      <c r="O1554" s="49">
        <f t="shared" si="237"/>
        <v>10.8</v>
      </c>
      <c r="P1554" s="50">
        <f t="shared" si="238"/>
        <v>78.3</v>
      </c>
      <c r="Q1554" s="23"/>
      <c r="R1554" s="60"/>
      <c r="S1554" s="61"/>
      <c r="T1554" s="62">
        <f t="shared" si="239"/>
        <v>0</v>
      </c>
      <c r="U1554" s="46">
        <f t="shared" si="240"/>
        <v>0</v>
      </c>
      <c r="V1554" s="63">
        <f t="shared" si="241"/>
        <v>0</v>
      </c>
      <c r="W1554" s="49">
        <f t="shared" si="242"/>
        <v>0</v>
      </c>
      <c r="X1554" s="50">
        <f t="shared" si="243"/>
        <v>0</v>
      </c>
      <c r="Y1554"/>
      <c r="Z1554"/>
      <c r="AA1554"/>
    </row>
    <row r="1555" spans="1:27" s="51" customFormat="1" ht="18.600000000000001" hidden="1" customHeight="1" x14ac:dyDescent="0.25">
      <c r="A1555" s="80" t="s">
        <v>2653</v>
      </c>
      <c r="B1555" s="20" t="s">
        <v>9303</v>
      </c>
      <c r="C1555" s="21" t="s">
        <v>9313</v>
      </c>
      <c r="D1555" s="20" t="s">
        <v>3606</v>
      </c>
      <c r="E1555" s="22" t="s">
        <v>3607</v>
      </c>
      <c r="F1555" s="22" t="s">
        <v>1937</v>
      </c>
      <c r="G1555" s="22" t="s">
        <v>3586</v>
      </c>
      <c r="H1555" s="83" t="s">
        <v>3608</v>
      </c>
      <c r="I1555" s="23" t="s">
        <v>24</v>
      </c>
      <c r="J1555" s="24">
        <v>90</v>
      </c>
      <c r="K1555" s="25">
        <v>0.25</v>
      </c>
      <c r="L1555" s="26">
        <f t="shared" si="235"/>
        <v>22.5</v>
      </c>
      <c r="M1555" s="27">
        <f t="shared" si="236"/>
        <v>67.5</v>
      </c>
      <c r="N1555" s="28">
        <v>0.16</v>
      </c>
      <c r="O1555" s="29">
        <f t="shared" si="237"/>
        <v>10.8</v>
      </c>
      <c r="P1555" s="30">
        <f t="shared" si="238"/>
        <v>78.3</v>
      </c>
      <c r="Q1555" s="23"/>
      <c r="R1555" s="52"/>
      <c r="S1555" s="53"/>
      <c r="T1555" s="54">
        <f t="shared" si="239"/>
        <v>0</v>
      </c>
      <c r="U1555" s="26">
        <f t="shared" si="240"/>
        <v>0</v>
      </c>
      <c r="V1555" s="55">
        <f t="shared" si="241"/>
        <v>0</v>
      </c>
      <c r="W1555" s="29">
        <f t="shared" si="242"/>
        <v>0</v>
      </c>
      <c r="X1555" s="30">
        <f t="shared" si="243"/>
        <v>0</v>
      </c>
      <c r="Y1555"/>
      <c r="Z1555"/>
      <c r="AA1555"/>
    </row>
    <row r="1556" spans="1:27" s="51" customFormat="1" ht="18.600000000000001" hidden="1" customHeight="1" x14ac:dyDescent="0.25">
      <c r="A1556" s="81" t="s">
        <v>2653</v>
      </c>
      <c r="B1556" s="31" t="s">
        <v>9303</v>
      </c>
      <c r="C1556" s="32" t="s">
        <v>9313</v>
      </c>
      <c r="D1556" s="31" t="s">
        <v>3609</v>
      </c>
      <c r="E1556" s="33" t="s">
        <v>3610</v>
      </c>
      <c r="F1556" s="33" t="s">
        <v>1937</v>
      </c>
      <c r="G1556" s="33" t="s">
        <v>3586</v>
      </c>
      <c r="H1556" s="84" t="s">
        <v>3611</v>
      </c>
      <c r="I1556" s="23" t="s">
        <v>24</v>
      </c>
      <c r="J1556" s="34">
        <v>90</v>
      </c>
      <c r="K1556" s="35">
        <v>0.25</v>
      </c>
      <c r="L1556" s="36">
        <f t="shared" si="235"/>
        <v>22.5</v>
      </c>
      <c r="M1556" s="37">
        <f t="shared" si="236"/>
        <v>67.5</v>
      </c>
      <c r="N1556" s="38">
        <v>0.16</v>
      </c>
      <c r="O1556" s="39">
        <f t="shared" si="237"/>
        <v>10.8</v>
      </c>
      <c r="P1556" s="40">
        <f t="shared" si="238"/>
        <v>78.3</v>
      </c>
      <c r="Q1556" s="23"/>
      <c r="R1556" s="56"/>
      <c r="S1556" s="57"/>
      <c r="T1556" s="58">
        <f t="shared" si="239"/>
        <v>0</v>
      </c>
      <c r="U1556" s="36">
        <f t="shared" si="240"/>
        <v>0</v>
      </c>
      <c r="V1556" s="59">
        <f t="shared" si="241"/>
        <v>0</v>
      </c>
      <c r="W1556" s="39">
        <f t="shared" si="242"/>
        <v>0</v>
      </c>
      <c r="X1556" s="40">
        <f t="shared" si="243"/>
        <v>0</v>
      </c>
      <c r="Y1556"/>
      <c r="Z1556"/>
      <c r="AA1556"/>
    </row>
    <row r="1557" spans="1:27" s="51" customFormat="1" ht="18.600000000000001" hidden="1" customHeight="1" x14ac:dyDescent="0.25">
      <c r="A1557" s="82" t="s">
        <v>2653</v>
      </c>
      <c r="B1557" s="41" t="s">
        <v>9303</v>
      </c>
      <c r="C1557" s="42" t="s">
        <v>9313</v>
      </c>
      <c r="D1557" s="41" t="s">
        <v>3612</v>
      </c>
      <c r="E1557" s="43" t="s">
        <v>3613</v>
      </c>
      <c r="F1557" s="43" t="s">
        <v>1937</v>
      </c>
      <c r="G1557" s="43" t="s">
        <v>3586</v>
      </c>
      <c r="H1557" s="85" t="s">
        <v>3614</v>
      </c>
      <c r="I1557" s="23" t="s">
        <v>24</v>
      </c>
      <c r="J1557" s="44">
        <v>90</v>
      </c>
      <c r="K1557" s="45">
        <v>0.25</v>
      </c>
      <c r="L1557" s="46">
        <f t="shared" si="235"/>
        <v>22.5</v>
      </c>
      <c r="M1557" s="47">
        <f t="shared" si="236"/>
        <v>67.5</v>
      </c>
      <c r="N1557" s="48">
        <v>0.16</v>
      </c>
      <c r="O1557" s="49">
        <f t="shared" si="237"/>
        <v>10.8</v>
      </c>
      <c r="P1557" s="50">
        <f t="shared" si="238"/>
        <v>78.3</v>
      </c>
      <c r="Q1557" s="23"/>
      <c r="R1557" s="60"/>
      <c r="S1557" s="61"/>
      <c r="T1557" s="62">
        <f t="shared" si="239"/>
        <v>0</v>
      </c>
      <c r="U1557" s="46">
        <f t="shared" si="240"/>
        <v>0</v>
      </c>
      <c r="V1557" s="63">
        <f t="shared" si="241"/>
        <v>0</v>
      </c>
      <c r="W1557" s="49">
        <f t="shared" si="242"/>
        <v>0</v>
      </c>
      <c r="X1557" s="50">
        <f t="shared" si="243"/>
        <v>0</v>
      </c>
      <c r="Y1557"/>
      <c r="Z1557"/>
      <c r="AA1557"/>
    </row>
    <row r="1558" spans="1:27" s="51" customFormat="1" ht="18.600000000000001" hidden="1" customHeight="1" x14ac:dyDescent="0.25">
      <c r="A1558" s="80" t="s">
        <v>2653</v>
      </c>
      <c r="B1558" s="20" t="s">
        <v>9303</v>
      </c>
      <c r="C1558" s="21" t="s">
        <v>9313</v>
      </c>
      <c r="D1558" s="20" t="s">
        <v>3615</v>
      </c>
      <c r="E1558" s="22" t="s">
        <v>3616</v>
      </c>
      <c r="F1558" s="22" t="s">
        <v>1937</v>
      </c>
      <c r="G1558" s="22" t="s">
        <v>3586</v>
      </c>
      <c r="H1558" s="83" t="s">
        <v>3617</v>
      </c>
      <c r="I1558" s="23" t="s">
        <v>24</v>
      </c>
      <c r="J1558" s="24">
        <v>90</v>
      </c>
      <c r="K1558" s="25">
        <v>0.25</v>
      </c>
      <c r="L1558" s="26">
        <f t="shared" si="235"/>
        <v>22.5</v>
      </c>
      <c r="M1558" s="27">
        <f t="shared" si="236"/>
        <v>67.5</v>
      </c>
      <c r="N1558" s="28">
        <v>0.16</v>
      </c>
      <c r="O1558" s="29">
        <f t="shared" si="237"/>
        <v>10.8</v>
      </c>
      <c r="P1558" s="30">
        <f t="shared" si="238"/>
        <v>78.3</v>
      </c>
      <c r="Q1558" s="23"/>
      <c r="R1558" s="52"/>
      <c r="S1558" s="53"/>
      <c r="T1558" s="54">
        <f t="shared" si="239"/>
        <v>0</v>
      </c>
      <c r="U1558" s="26">
        <f t="shared" si="240"/>
        <v>0</v>
      </c>
      <c r="V1558" s="55">
        <f t="shared" si="241"/>
        <v>0</v>
      </c>
      <c r="W1558" s="29">
        <f t="shared" si="242"/>
        <v>0</v>
      </c>
      <c r="X1558" s="30">
        <f t="shared" si="243"/>
        <v>0</v>
      </c>
      <c r="Y1558"/>
      <c r="Z1558"/>
      <c r="AA1558"/>
    </row>
    <row r="1559" spans="1:27" s="51" customFormat="1" ht="18.600000000000001" hidden="1" customHeight="1" x14ac:dyDescent="0.25">
      <c r="A1559" s="81" t="s">
        <v>2653</v>
      </c>
      <c r="B1559" s="31" t="s">
        <v>9303</v>
      </c>
      <c r="C1559" s="32" t="s">
        <v>9313</v>
      </c>
      <c r="D1559" s="31" t="s">
        <v>3618</v>
      </c>
      <c r="E1559" s="33" t="s">
        <v>3619</v>
      </c>
      <c r="F1559" s="33" t="s">
        <v>1937</v>
      </c>
      <c r="G1559" s="33" t="s">
        <v>3586</v>
      </c>
      <c r="H1559" s="84" t="s">
        <v>3620</v>
      </c>
      <c r="I1559" s="23" t="s">
        <v>24</v>
      </c>
      <c r="J1559" s="34">
        <v>90</v>
      </c>
      <c r="K1559" s="35">
        <v>0.25</v>
      </c>
      <c r="L1559" s="36">
        <f t="shared" ref="L1559:L1622" si="244">+J1559*K1559</f>
        <v>22.5</v>
      </c>
      <c r="M1559" s="37">
        <f t="shared" ref="M1559:M1622" si="245">+J1559-L1559</f>
        <v>67.5</v>
      </c>
      <c r="N1559" s="38">
        <v>0.16</v>
      </c>
      <c r="O1559" s="39">
        <f t="shared" ref="O1559:O1622" si="246">+M1559*N1559</f>
        <v>10.8</v>
      </c>
      <c r="P1559" s="40">
        <f t="shared" ref="P1559:P1622" si="247">+M1559+O1559</f>
        <v>78.3</v>
      </c>
      <c r="Q1559" s="23"/>
      <c r="R1559" s="56"/>
      <c r="S1559" s="57"/>
      <c r="T1559" s="58">
        <f t="shared" ref="T1559:T1622" si="248">+S1559*J1559</f>
        <v>0</v>
      </c>
      <c r="U1559" s="36">
        <f t="shared" ref="U1559:U1622" si="249">+T1559*K1559</f>
        <v>0</v>
      </c>
      <c r="V1559" s="59">
        <f t="shared" ref="V1559:V1622" si="250">+T1559-U1559</f>
        <v>0</v>
      </c>
      <c r="W1559" s="39">
        <f t="shared" ref="W1559:W1622" si="251">+V1559*N1559</f>
        <v>0</v>
      </c>
      <c r="X1559" s="40">
        <f t="shared" ref="X1559:X1622" si="252">+V1559+W1559</f>
        <v>0</v>
      </c>
      <c r="Y1559"/>
      <c r="Z1559"/>
      <c r="AA1559"/>
    </row>
    <row r="1560" spans="1:27" s="51" customFormat="1" ht="18.600000000000001" hidden="1" customHeight="1" x14ac:dyDescent="0.25">
      <c r="A1560" s="82" t="s">
        <v>2653</v>
      </c>
      <c r="B1560" s="41" t="s">
        <v>9303</v>
      </c>
      <c r="C1560" s="42" t="s">
        <v>9313</v>
      </c>
      <c r="D1560" s="41" t="s">
        <v>3621</v>
      </c>
      <c r="E1560" s="43" t="s">
        <v>3622</v>
      </c>
      <c r="F1560" s="43" t="s">
        <v>1937</v>
      </c>
      <c r="G1560" s="43" t="s">
        <v>3586</v>
      </c>
      <c r="H1560" s="85" t="s">
        <v>3623</v>
      </c>
      <c r="I1560" s="23" t="s">
        <v>24</v>
      </c>
      <c r="J1560" s="44">
        <v>90</v>
      </c>
      <c r="K1560" s="45">
        <v>0.25</v>
      </c>
      <c r="L1560" s="46">
        <f t="shared" si="244"/>
        <v>22.5</v>
      </c>
      <c r="M1560" s="47">
        <f t="shared" si="245"/>
        <v>67.5</v>
      </c>
      <c r="N1560" s="48">
        <v>0.16</v>
      </c>
      <c r="O1560" s="49">
        <f t="shared" si="246"/>
        <v>10.8</v>
      </c>
      <c r="P1560" s="50">
        <f t="shared" si="247"/>
        <v>78.3</v>
      </c>
      <c r="Q1560" s="23"/>
      <c r="R1560" s="60"/>
      <c r="S1560" s="61"/>
      <c r="T1560" s="62">
        <f t="shared" si="248"/>
        <v>0</v>
      </c>
      <c r="U1560" s="46">
        <f t="shared" si="249"/>
        <v>0</v>
      </c>
      <c r="V1560" s="63">
        <f t="shared" si="250"/>
        <v>0</v>
      </c>
      <c r="W1560" s="49">
        <f t="shared" si="251"/>
        <v>0</v>
      </c>
      <c r="X1560" s="50">
        <f t="shared" si="252"/>
        <v>0</v>
      </c>
      <c r="Y1560"/>
      <c r="Z1560"/>
      <c r="AA1560"/>
    </row>
    <row r="1561" spans="1:27" s="51" customFormat="1" ht="18.600000000000001" hidden="1" customHeight="1" x14ac:dyDescent="0.25">
      <c r="A1561" s="80" t="s">
        <v>2653</v>
      </c>
      <c r="B1561" s="20" t="s">
        <v>9303</v>
      </c>
      <c r="C1561" s="21" t="s">
        <v>9313</v>
      </c>
      <c r="D1561" s="20" t="s">
        <v>3624</v>
      </c>
      <c r="E1561" s="22" t="s">
        <v>3625</v>
      </c>
      <c r="F1561" s="22" t="s">
        <v>1937</v>
      </c>
      <c r="G1561" s="22" t="s">
        <v>3586</v>
      </c>
      <c r="H1561" s="83" t="s">
        <v>3626</v>
      </c>
      <c r="I1561" s="23" t="s">
        <v>24</v>
      </c>
      <c r="J1561" s="24">
        <v>90</v>
      </c>
      <c r="K1561" s="25">
        <v>0.25</v>
      </c>
      <c r="L1561" s="26">
        <f t="shared" si="244"/>
        <v>22.5</v>
      </c>
      <c r="M1561" s="27">
        <f t="shared" si="245"/>
        <v>67.5</v>
      </c>
      <c r="N1561" s="28">
        <v>0.16</v>
      </c>
      <c r="O1561" s="29">
        <f t="shared" si="246"/>
        <v>10.8</v>
      </c>
      <c r="P1561" s="30">
        <f t="shared" si="247"/>
        <v>78.3</v>
      </c>
      <c r="Q1561" s="23"/>
      <c r="R1561" s="52"/>
      <c r="S1561" s="53"/>
      <c r="T1561" s="54">
        <f t="shared" si="248"/>
        <v>0</v>
      </c>
      <c r="U1561" s="26">
        <f t="shared" si="249"/>
        <v>0</v>
      </c>
      <c r="V1561" s="55">
        <f t="shared" si="250"/>
        <v>0</v>
      </c>
      <c r="W1561" s="29">
        <f t="shared" si="251"/>
        <v>0</v>
      </c>
      <c r="X1561" s="30">
        <f t="shared" si="252"/>
        <v>0</v>
      </c>
      <c r="Y1561"/>
      <c r="Z1561"/>
      <c r="AA1561"/>
    </row>
    <row r="1562" spans="1:27" s="51" customFormat="1" ht="18.600000000000001" hidden="1" customHeight="1" x14ac:dyDescent="0.25">
      <c r="A1562" s="81" t="s">
        <v>2653</v>
      </c>
      <c r="B1562" s="31" t="s">
        <v>9303</v>
      </c>
      <c r="C1562" s="32" t="s">
        <v>9313</v>
      </c>
      <c r="D1562" s="31" t="s">
        <v>3627</v>
      </c>
      <c r="E1562" s="33" t="s">
        <v>3628</v>
      </c>
      <c r="F1562" s="33" t="s">
        <v>1937</v>
      </c>
      <c r="G1562" s="33" t="s">
        <v>3586</v>
      </c>
      <c r="H1562" s="84" t="s">
        <v>3629</v>
      </c>
      <c r="I1562" s="23" t="s">
        <v>24</v>
      </c>
      <c r="J1562" s="34">
        <v>90</v>
      </c>
      <c r="K1562" s="35">
        <v>0.25</v>
      </c>
      <c r="L1562" s="36">
        <f t="shared" si="244"/>
        <v>22.5</v>
      </c>
      <c r="M1562" s="37">
        <f t="shared" si="245"/>
        <v>67.5</v>
      </c>
      <c r="N1562" s="38">
        <v>0.16</v>
      </c>
      <c r="O1562" s="39">
        <f t="shared" si="246"/>
        <v>10.8</v>
      </c>
      <c r="P1562" s="40">
        <f t="shared" si="247"/>
        <v>78.3</v>
      </c>
      <c r="Q1562" s="23"/>
      <c r="R1562" s="56"/>
      <c r="S1562" s="57"/>
      <c r="T1562" s="58">
        <f t="shared" si="248"/>
        <v>0</v>
      </c>
      <c r="U1562" s="36">
        <f t="shared" si="249"/>
        <v>0</v>
      </c>
      <c r="V1562" s="59">
        <f t="shared" si="250"/>
        <v>0</v>
      </c>
      <c r="W1562" s="39">
        <f t="shared" si="251"/>
        <v>0</v>
      </c>
      <c r="X1562" s="40">
        <f t="shared" si="252"/>
        <v>0</v>
      </c>
      <c r="Y1562"/>
      <c r="Z1562"/>
      <c r="AA1562"/>
    </row>
    <row r="1563" spans="1:27" s="51" customFormat="1" ht="18.600000000000001" hidden="1" customHeight="1" x14ac:dyDescent="0.25">
      <c r="A1563" s="82" t="s">
        <v>2653</v>
      </c>
      <c r="B1563" s="41" t="s">
        <v>9303</v>
      </c>
      <c r="C1563" s="42" t="s">
        <v>9313</v>
      </c>
      <c r="D1563" s="41" t="s">
        <v>3630</v>
      </c>
      <c r="E1563" s="43" t="s">
        <v>3631</v>
      </c>
      <c r="F1563" s="43" t="s">
        <v>1937</v>
      </c>
      <c r="G1563" s="43" t="s">
        <v>3586</v>
      </c>
      <c r="H1563" s="85" t="s">
        <v>3632</v>
      </c>
      <c r="I1563" s="23" t="s">
        <v>24</v>
      </c>
      <c r="J1563" s="44">
        <v>90</v>
      </c>
      <c r="K1563" s="45">
        <v>0.25</v>
      </c>
      <c r="L1563" s="46">
        <f t="shared" si="244"/>
        <v>22.5</v>
      </c>
      <c r="M1563" s="47">
        <f t="shared" si="245"/>
        <v>67.5</v>
      </c>
      <c r="N1563" s="48">
        <v>0.16</v>
      </c>
      <c r="O1563" s="49">
        <f t="shared" si="246"/>
        <v>10.8</v>
      </c>
      <c r="P1563" s="50">
        <f t="shared" si="247"/>
        <v>78.3</v>
      </c>
      <c r="Q1563" s="23"/>
      <c r="R1563" s="60"/>
      <c r="S1563" s="61"/>
      <c r="T1563" s="62">
        <f t="shared" si="248"/>
        <v>0</v>
      </c>
      <c r="U1563" s="46">
        <f t="shared" si="249"/>
        <v>0</v>
      </c>
      <c r="V1563" s="63">
        <f t="shared" si="250"/>
        <v>0</v>
      </c>
      <c r="W1563" s="49">
        <f t="shared" si="251"/>
        <v>0</v>
      </c>
      <c r="X1563" s="50">
        <f t="shared" si="252"/>
        <v>0</v>
      </c>
      <c r="Y1563"/>
      <c r="Z1563"/>
      <c r="AA1563"/>
    </row>
    <row r="1564" spans="1:27" s="51" customFormat="1" ht="18.600000000000001" hidden="1" customHeight="1" x14ac:dyDescent="0.25">
      <c r="A1564" s="80" t="s">
        <v>2653</v>
      </c>
      <c r="B1564" s="20" t="s">
        <v>9303</v>
      </c>
      <c r="C1564" s="21" t="s">
        <v>9313</v>
      </c>
      <c r="D1564" s="20" t="s">
        <v>3633</v>
      </c>
      <c r="E1564" s="22" t="s">
        <v>3634</v>
      </c>
      <c r="F1564" s="22" t="s">
        <v>1937</v>
      </c>
      <c r="G1564" s="22" t="s">
        <v>3586</v>
      </c>
      <c r="H1564" s="83" t="s">
        <v>3635</v>
      </c>
      <c r="I1564" s="23" t="s">
        <v>24</v>
      </c>
      <c r="J1564" s="24">
        <v>90</v>
      </c>
      <c r="K1564" s="25">
        <v>0.25</v>
      </c>
      <c r="L1564" s="26">
        <f t="shared" si="244"/>
        <v>22.5</v>
      </c>
      <c r="M1564" s="27">
        <f t="shared" si="245"/>
        <v>67.5</v>
      </c>
      <c r="N1564" s="28">
        <v>0.16</v>
      </c>
      <c r="O1564" s="29">
        <f t="shared" si="246"/>
        <v>10.8</v>
      </c>
      <c r="P1564" s="30">
        <f t="shared" si="247"/>
        <v>78.3</v>
      </c>
      <c r="Q1564" s="23"/>
      <c r="R1564" s="52"/>
      <c r="S1564" s="53"/>
      <c r="T1564" s="54">
        <f t="shared" si="248"/>
        <v>0</v>
      </c>
      <c r="U1564" s="26">
        <f t="shared" si="249"/>
        <v>0</v>
      </c>
      <c r="V1564" s="55">
        <f t="shared" si="250"/>
        <v>0</v>
      </c>
      <c r="W1564" s="29">
        <f t="shared" si="251"/>
        <v>0</v>
      </c>
      <c r="X1564" s="30">
        <f t="shared" si="252"/>
        <v>0</v>
      </c>
      <c r="Y1564"/>
      <c r="Z1564"/>
      <c r="AA1564"/>
    </row>
    <row r="1565" spans="1:27" s="51" customFormat="1" ht="18.600000000000001" hidden="1" customHeight="1" x14ac:dyDescent="0.25">
      <c r="A1565" s="81" t="s">
        <v>2653</v>
      </c>
      <c r="B1565" s="31" t="s">
        <v>9303</v>
      </c>
      <c r="C1565" s="32" t="s">
        <v>9313</v>
      </c>
      <c r="D1565" s="31" t="s">
        <v>3636</v>
      </c>
      <c r="E1565" s="33" t="s">
        <v>3637</v>
      </c>
      <c r="F1565" s="33" t="s">
        <v>1937</v>
      </c>
      <c r="G1565" s="33" t="s">
        <v>3586</v>
      </c>
      <c r="H1565" s="84" t="s">
        <v>3638</v>
      </c>
      <c r="I1565" s="23" t="s">
        <v>24</v>
      </c>
      <c r="J1565" s="34">
        <v>90</v>
      </c>
      <c r="K1565" s="35">
        <v>0.25</v>
      </c>
      <c r="L1565" s="36">
        <f t="shared" si="244"/>
        <v>22.5</v>
      </c>
      <c r="M1565" s="37">
        <f t="shared" si="245"/>
        <v>67.5</v>
      </c>
      <c r="N1565" s="38">
        <v>0.16</v>
      </c>
      <c r="O1565" s="39">
        <f t="shared" si="246"/>
        <v>10.8</v>
      </c>
      <c r="P1565" s="40">
        <f t="shared" si="247"/>
        <v>78.3</v>
      </c>
      <c r="Q1565" s="23"/>
      <c r="R1565" s="56"/>
      <c r="S1565" s="57"/>
      <c r="T1565" s="58">
        <f t="shared" si="248"/>
        <v>0</v>
      </c>
      <c r="U1565" s="36">
        <f t="shared" si="249"/>
        <v>0</v>
      </c>
      <c r="V1565" s="59">
        <f t="shared" si="250"/>
        <v>0</v>
      </c>
      <c r="W1565" s="39">
        <f t="shared" si="251"/>
        <v>0</v>
      </c>
      <c r="X1565" s="40">
        <f t="shared" si="252"/>
        <v>0</v>
      </c>
      <c r="Y1565"/>
      <c r="Z1565"/>
      <c r="AA1565"/>
    </row>
    <row r="1566" spans="1:27" s="51" customFormat="1" ht="18.600000000000001" hidden="1" customHeight="1" x14ac:dyDescent="0.25">
      <c r="A1566" s="82" t="s">
        <v>2653</v>
      </c>
      <c r="B1566" s="41" t="s">
        <v>9303</v>
      </c>
      <c r="C1566" s="42" t="s">
        <v>9313</v>
      </c>
      <c r="D1566" s="41" t="s">
        <v>3639</v>
      </c>
      <c r="E1566" s="43" t="s">
        <v>3640</v>
      </c>
      <c r="F1566" s="43" t="s">
        <v>1937</v>
      </c>
      <c r="G1566" s="43" t="s">
        <v>3586</v>
      </c>
      <c r="H1566" s="85" t="s">
        <v>3641</v>
      </c>
      <c r="I1566" s="23" t="s">
        <v>24</v>
      </c>
      <c r="J1566" s="44">
        <v>90</v>
      </c>
      <c r="K1566" s="45">
        <v>0.25</v>
      </c>
      <c r="L1566" s="46">
        <f t="shared" si="244"/>
        <v>22.5</v>
      </c>
      <c r="M1566" s="47">
        <f t="shared" si="245"/>
        <v>67.5</v>
      </c>
      <c r="N1566" s="48">
        <v>0.16</v>
      </c>
      <c r="O1566" s="49">
        <f t="shared" si="246"/>
        <v>10.8</v>
      </c>
      <c r="P1566" s="50">
        <f t="shared" si="247"/>
        <v>78.3</v>
      </c>
      <c r="Q1566" s="23"/>
      <c r="R1566" s="60"/>
      <c r="S1566" s="61"/>
      <c r="T1566" s="62">
        <f t="shared" si="248"/>
        <v>0</v>
      </c>
      <c r="U1566" s="46">
        <f t="shared" si="249"/>
        <v>0</v>
      </c>
      <c r="V1566" s="63">
        <f t="shared" si="250"/>
        <v>0</v>
      </c>
      <c r="W1566" s="49">
        <f t="shared" si="251"/>
        <v>0</v>
      </c>
      <c r="X1566" s="50">
        <f t="shared" si="252"/>
        <v>0</v>
      </c>
      <c r="Y1566"/>
      <c r="Z1566"/>
      <c r="AA1566"/>
    </row>
    <row r="1567" spans="1:27" s="51" customFormat="1" ht="18.600000000000001" hidden="1" customHeight="1" x14ac:dyDescent="0.25">
      <c r="A1567" s="80" t="s">
        <v>2653</v>
      </c>
      <c r="B1567" s="20" t="s">
        <v>9303</v>
      </c>
      <c r="C1567" s="21" t="s">
        <v>9313</v>
      </c>
      <c r="D1567" s="20" t="s">
        <v>3642</v>
      </c>
      <c r="E1567" s="22" t="s">
        <v>3643</v>
      </c>
      <c r="F1567" s="22" t="s">
        <v>1937</v>
      </c>
      <c r="G1567" s="22" t="s">
        <v>3586</v>
      </c>
      <c r="H1567" s="83" t="s">
        <v>3644</v>
      </c>
      <c r="I1567" s="23" t="s">
        <v>24</v>
      </c>
      <c r="J1567" s="24">
        <v>90</v>
      </c>
      <c r="K1567" s="25">
        <v>0.25</v>
      </c>
      <c r="L1567" s="26">
        <f t="shared" si="244"/>
        <v>22.5</v>
      </c>
      <c r="M1567" s="27">
        <f t="shared" si="245"/>
        <v>67.5</v>
      </c>
      <c r="N1567" s="28">
        <v>0.16</v>
      </c>
      <c r="O1567" s="29">
        <f t="shared" si="246"/>
        <v>10.8</v>
      </c>
      <c r="P1567" s="30">
        <f t="shared" si="247"/>
        <v>78.3</v>
      </c>
      <c r="Q1567" s="23"/>
      <c r="R1567" s="52"/>
      <c r="S1567" s="53"/>
      <c r="T1567" s="54">
        <f t="shared" si="248"/>
        <v>0</v>
      </c>
      <c r="U1567" s="26">
        <f t="shared" si="249"/>
        <v>0</v>
      </c>
      <c r="V1567" s="55">
        <f t="shared" si="250"/>
        <v>0</v>
      </c>
      <c r="W1567" s="29">
        <f t="shared" si="251"/>
        <v>0</v>
      </c>
      <c r="X1567" s="30">
        <f t="shared" si="252"/>
        <v>0</v>
      </c>
      <c r="Y1567"/>
      <c r="Z1567"/>
      <c r="AA1567"/>
    </row>
    <row r="1568" spans="1:27" s="51" customFormat="1" ht="18.600000000000001" hidden="1" customHeight="1" x14ac:dyDescent="0.25">
      <c r="A1568" s="81" t="s">
        <v>2653</v>
      </c>
      <c r="B1568" s="31" t="s">
        <v>9303</v>
      </c>
      <c r="C1568" s="32" t="s">
        <v>9313</v>
      </c>
      <c r="D1568" s="31" t="s">
        <v>3645</v>
      </c>
      <c r="E1568" s="33" t="s">
        <v>3646</v>
      </c>
      <c r="F1568" s="33" t="s">
        <v>1937</v>
      </c>
      <c r="G1568" s="33" t="s">
        <v>3586</v>
      </c>
      <c r="H1568" s="84" t="s">
        <v>3647</v>
      </c>
      <c r="I1568" s="23" t="s">
        <v>24</v>
      </c>
      <c r="J1568" s="34">
        <v>90</v>
      </c>
      <c r="K1568" s="35">
        <v>0.25</v>
      </c>
      <c r="L1568" s="36">
        <f t="shared" si="244"/>
        <v>22.5</v>
      </c>
      <c r="M1568" s="37">
        <f t="shared" si="245"/>
        <v>67.5</v>
      </c>
      <c r="N1568" s="38">
        <v>0.16</v>
      </c>
      <c r="O1568" s="39">
        <f t="shared" si="246"/>
        <v>10.8</v>
      </c>
      <c r="P1568" s="40">
        <f t="shared" si="247"/>
        <v>78.3</v>
      </c>
      <c r="Q1568" s="23"/>
      <c r="R1568" s="56"/>
      <c r="S1568" s="57"/>
      <c r="T1568" s="58">
        <f t="shared" si="248"/>
        <v>0</v>
      </c>
      <c r="U1568" s="36">
        <f t="shared" si="249"/>
        <v>0</v>
      </c>
      <c r="V1568" s="59">
        <f t="shared" si="250"/>
        <v>0</v>
      </c>
      <c r="W1568" s="39">
        <f t="shared" si="251"/>
        <v>0</v>
      </c>
      <c r="X1568" s="40">
        <f t="shared" si="252"/>
        <v>0</v>
      </c>
      <c r="Y1568"/>
      <c r="Z1568"/>
      <c r="AA1568"/>
    </row>
    <row r="1569" spans="1:27" s="51" customFormat="1" ht="18.600000000000001" hidden="1" customHeight="1" x14ac:dyDescent="0.25">
      <c r="A1569" s="82" t="s">
        <v>2653</v>
      </c>
      <c r="B1569" s="41" t="s">
        <v>9303</v>
      </c>
      <c r="C1569" s="42" t="s">
        <v>9313</v>
      </c>
      <c r="D1569" s="41" t="s">
        <v>3648</v>
      </c>
      <c r="E1569" s="43" t="s">
        <v>3649</v>
      </c>
      <c r="F1569" s="43" t="s">
        <v>1937</v>
      </c>
      <c r="G1569" s="43" t="s">
        <v>3586</v>
      </c>
      <c r="H1569" s="85" t="s">
        <v>3650</v>
      </c>
      <c r="I1569" s="23" t="s">
        <v>24</v>
      </c>
      <c r="J1569" s="44">
        <v>90</v>
      </c>
      <c r="K1569" s="45">
        <v>0.25</v>
      </c>
      <c r="L1569" s="46">
        <f t="shared" si="244"/>
        <v>22.5</v>
      </c>
      <c r="M1569" s="47">
        <f t="shared" si="245"/>
        <v>67.5</v>
      </c>
      <c r="N1569" s="48">
        <v>0.16</v>
      </c>
      <c r="O1569" s="49">
        <f t="shared" si="246"/>
        <v>10.8</v>
      </c>
      <c r="P1569" s="50">
        <f t="shared" si="247"/>
        <v>78.3</v>
      </c>
      <c r="Q1569" s="23"/>
      <c r="R1569" s="60"/>
      <c r="S1569" s="61"/>
      <c r="T1569" s="62">
        <f t="shared" si="248"/>
        <v>0</v>
      </c>
      <c r="U1569" s="46">
        <f t="shared" si="249"/>
        <v>0</v>
      </c>
      <c r="V1569" s="63">
        <f t="shared" si="250"/>
        <v>0</v>
      </c>
      <c r="W1569" s="49">
        <f t="shared" si="251"/>
        <v>0</v>
      </c>
      <c r="X1569" s="50">
        <f t="shared" si="252"/>
        <v>0</v>
      </c>
      <c r="Y1569"/>
      <c r="Z1569"/>
      <c r="AA1569"/>
    </row>
    <row r="1570" spans="1:27" s="51" customFormat="1" ht="18.600000000000001" hidden="1" customHeight="1" x14ac:dyDescent="0.25">
      <c r="A1570" s="80" t="s">
        <v>2653</v>
      </c>
      <c r="B1570" s="20" t="s">
        <v>9303</v>
      </c>
      <c r="C1570" s="21" t="s">
        <v>9313</v>
      </c>
      <c r="D1570" s="20" t="s">
        <v>3651</v>
      </c>
      <c r="E1570" s="22" t="s">
        <v>3652</v>
      </c>
      <c r="F1570" s="22" t="s">
        <v>1937</v>
      </c>
      <c r="G1570" s="22" t="s">
        <v>3586</v>
      </c>
      <c r="H1570" s="83" t="s">
        <v>3653</v>
      </c>
      <c r="I1570" s="23" t="s">
        <v>24</v>
      </c>
      <c r="J1570" s="24">
        <v>90</v>
      </c>
      <c r="K1570" s="25">
        <v>0.25</v>
      </c>
      <c r="L1570" s="26">
        <f t="shared" si="244"/>
        <v>22.5</v>
      </c>
      <c r="M1570" s="27">
        <f t="shared" si="245"/>
        <v>67.5</v>
      </c>
      <c r="N1570" s="28">
        <v>0.16</v>
      </c>
      <c r="O1570" s="29">
        <f t="shared" si="246"/>
        <v>10.8</v>
      </c>
      <c r="P1570" s="30">
        <f t="shared" si="247"/>
        <v>78.3</v>
      </c>
      <c r="Q1570" s="23"/>
      <c r="R1570" s="52"/>
      <c r="S1570" s="53"/>
      <c r="T1570" s="54">
        <f t="shared" si="248"/>
        <v>0</v>
      </c>
      <c r="U1570" s="26">
        <f t="shared" si="249"/>
        <v>0</v>
      </c>
      <c r="V1570" s="55">
        <f t="shared" si="250"/>
        <v>0</v>
      </c>
      <c r="W1570" s="29">
        <f t="shared" si="251"/>
        <v>0</v>
      </c>
      <c r="X1570" s="30">
        <f t="shared" si="252"/>
        <v>0</v>
      </c>
      <c r="Y1570"/>
      <c r="Z1570"/>
      <c r="AA1570"/>
    </row>
    <row r="1571" spans="1:27" s="51" customFormat="1" ht="18.600000000000001" hidden="1" customHeight="1" x14ac:dyDescent="0.25">
      <c r="A1571" s="81" t="s">
        <v>2653</v>
      </c>
      <c r="B1571" s="31" t="s">
        <v>9303</v>
      </c>
      <c r="C1571" s="32" t="s">
        <v>9313</v>
      </c>
      <c r="D1571" s="31" t="s">
        <v>3654</v>
      </c>
      <c r="E1571" s="33" t="s">
        <v>3655</v>
      </c>
      <c r="F1571" s="33" t="s">
        <v>1937</v>
      </c>
      <c r="G1571" s="33" t="s">
        <v>3586</v>
      </c>
      <c r="H1571" s="84" t="s">
        <v>3656</v>
      </c>
      <c r="I1571" s="23" t="s">
        <v>24</v>
      </c>
      <c r="J1571" s="34">
        <v>90</v>
      </c>
      <c r="K1571" s="35">
        <v>0.25</v>
      </c>
      <c r="L1571" s="36">
        <f t="shared" si="244"/>
        <v>22.5</v>
      </c>
      <c r="M1571" s="37">
        <f t="shared" si="245"/>
        <v>67.5</v>
      </c>
      <c r="N1571" s="38">
        <v>0.16</v>
      </c>
      <c r="O1571" s="39">
        <f t="shared" si="246"/>
        <v>10.8</v>
      </c>
      <c r="P1571" s="40">
        <f t="shared" si="247"/>
        <v>78.3</v>
      </c>
      <c r="Q1571" s="23"/>
      <c r="R1571" s="56"/>
      <c r="S1571" s="57"/>
      <c r="T1571" s="58">
        <f t="shared" si="248"/>
        <v>0</v>
      </c>
      <c r="U1571" s="36">
        <f t="shared" si="249"/>
        <v>0</v>
      </c>
      <c r="V1571" s="59">
        <f t="shared" si="250"/>
        <v>0</v>
      </c>
      <c r="W1571" s="39">
        <f t="shared" si="251"/>
        <v>0</v>
      </c>
      <c r="X1571" s="40">
        <f t="shared" si="252"/>
        <v>0</v>
      </c>
      <c r="Y1571"/>
      <c r="Z1571"/>
      <c r="AA1571"/>
    </row>
    <row r="1572" spans="1:27" s="51" customFormat="1" ht="18.600000000000001" hidden="1" customHeight="1" x14ac:dyDescent="0.25">
      <c r="A1572" s="82" t="s">
        <v>2653</v>
      </c>
      <c r="B1572" s="41" t="s">
        <v>9303</v>
      </c>
      <c r="C1572" s="42" t="s">
        <v>9313</v>
      </c>
      <c r="D1572" s="41" t="s">
        <v>3657</v>
      </c>
      <c r="E1572" s="43" t="s">
        <v>3658</v>
      </c>
      <c r="F1572" s="43" t="s">
        <v>1937</v>
      </c>
      <c r="G1572" s="43" t="s">
        <v>3586</v>
      </c>
      <c r="H1572" s="85" t="s">
        <v>3659</v>
      </c>
      <c r="I1572" s="23" t="s">
        <v>24</v>
      </c>
      <c r="J1572" s="44">
        <v>90</v>
      </c>
      <c r="K1572" s="45">
        <v>0.25</v>
      </c>
      <c r="L1572" s="46">
        <f t="shared" si="244"/>
        <v>22.5</v>
      </c>
      <c r="M1572" s="47">
        <f t="shared" si="245"/>
        <v>67.5</v>
      </c>
      <c r="N1572" s="48">
        <v>0.16</v>
      </c>
      <c r="O1572" s="49">
        <f t="shared" si="246"/>
        <v>10.8</v>
      </c>
      <c r="P1572" s="50">
        <f t="shared" si="247"/>
        <v>78.3</v>
      </c>
      <c r="Q1572" s="23"/>
      <c r="R1572" s="60"/>
      <c r="S1572" s="61"/>
      <c r="T1572" s="62">
        <f t="shared" si="248"/>
        <v>0</v>
      </c>
      <c r="U1572" s="46">
        <f t="shared" si="249"/>
        <v>0</v>
      </c>
      <c r="V1572" s="63">
        <f t="shared" si="250"/>
        <v>0</v>
      </c>
      <c r="W1572" s="49">
        <f t="shared" si="251"/>
        <v>0</v>
      </c>
      <c r="X1572" s="50">
        <f t="shared" si="252"/>
        <v>0</v>
      </c>
      <c r="Y1572"/>
      <c r="Z1572"/>
      <c r="AA1572"/>
    </row>
    <row r="1573" spans="1:27" s="51" customFormat="1" ht="18.600000000000001" hidden="1" customHeight="1" x14ac:dyDescent="0.25">
      <c r="A1573" s="80" t="s">
        <v>2653</v>
      </c>
      <c r="B1573" s="20" t="s">
        <v>9303</v>
      </c>
      <c r="C1573" s="21" t="s">
        <v>9313</v>
      </c>
      <c r="D1573" s="20" t="s">
        <v>3660</v>
      </c>
      <c r="E1573" s="22" t="s">
        <v>3661</v>
      </c>
      <c r="F1573" s="22" t="s">
        <v>1937</v>
      </c>
      <c r="G1573" s="22" t="s">
        <v>3586</v>
      </c>
      <c r="H1573" s="83" t="s">
        <v>3662</v>
      </c>
      <c r="I1573" s="23" t="s">
        <v>24</v>
      </c>
      <c r="J1573" s="24">
        <v>90</v>
      </c>
      <c r="K1573" s="25">
        <v>0.25</v>
      </c>
      <c r="L1573" s="26">
        <f t="shared" si="244"/>
        <v>22.5</v>
      </c>
      <c r="M1573" s="27">
        <f t="shared" si="245"/>
        <v>67.5</v>
      </c>
      <c r="N1573" s="28">
        <v>0.16</v>
      </c>
      <c r="O1573" s="29">
        <f t="shared" si="246"/>
        <v>10.8</v>
      </c>
      <c r="P1573" s="30">
        <f t="shared" si="247"/>
        <v>78.3</v>
      </c>
      <c r="Q1573" s="23"/>
      <c r="R1573" s="52"/>
      <c r="S1573" s="53"/>
      <c r="T1573" s="54">
        <f t="shared" si="248"/>
        <v>0</v>
      </c>
      <c r="U1573" s="26">
        <f t="shared" si="249"/>
        <v>0</v>
      </c>
      <c r="V1573" s="55">
        <f t="shared" si="250"/>
        <v>0</v>
      </c>
      <c r="W1573" s="29">
        <f t="shared" si="251"/>
        <v>0</v>
      </c>
      <c r="X1573" s="30">
        <f t="shared" si="252"/>
        <v>0</v>
      </c>
      <c r="Y1573"/>
      <c r="Z1573"/>
      <c r="AA1573"/>
    </row>
    <row r="1574" spans="1:27" s="51" customFormat="1" ht="18.600000000000001" hidden="1" customHeight="1" x14ac:dyDescent="0.25">
      <c r="A1574" s="81" t="s">
        <v>2653</v>
      </c>
      <c r="B1574" s="31" t="s">
        <v>9303</v>
      </c>
      <c r="C1574" s="32" t="s">
        <v>9313</v>
      </c>
      <c r="D1574" s="31" t="s">
        <v>3663</v>
      </c>
      <c r="E1574" s="33" t="s">
        <v>3664</v>
      </c>
      <c r="F1574" s="33" t="s">
        <v>1937</v>
      </c>
      <c r="G1574" s="33" t="s">
        <v>3586</v>
      </c>
      <c r="H1574" s="84" t="s">
        <v>3665</v>
      </c>
      <c r="I1574" s="23" t="s">
        <v>24</v>
      </c>
      <c r="J1574" s="34">
        <v>90</v>
      </c>
      <c r="K1574" s="35">
        <v>0.25</v>
      </c>
      <c r="L1574" s="36">
        <f t="shared" si="244"/>
        <v>22.5</v>
      </c>
      <c r="M1574" s="37">
        <f t="shared" si="245"/>
        <v>67.5</v>
      </c>
      <c r="N1574" s="38">
        <v>0.16</v>
      </c>
      <c r="O1574" s="39">
        <f t="shared" si="246"/>
        <v>10.8</v>
      </c>
      <c r="P1574" s="40">
        <f t="shared" si="247"/>
        <v>78.3</v>
      </c>
      <c r="Q1574" s="23"/>
      <c r="R1574" s="56"/>
      <c r="S1574" s="57"/>
      <c r="T1574" s="58">
        <f t="shared" si="248"/>
        <v>0</v>
      </c>
      <c r="U1574" s="36">
        <f t="shared" si="249"/>
        <v>0</v>
      </c>
      <c r="V1574" s="59">
        <f t="shared" si="250"/>
        <v>0</v>
      </c>
      <c r="W1574" s="39">
        <f t="shared" si="251"/>
        <v>0</v>
      </c>
      <c r="X1574" s="40">
        <f t="shared" si="252"/>
        <v>0</v>
      </c>
      <c r="Y1574"/>
      <c r="Z1574"/>
      <c r="AA1574"/>
    </row>
    <row r="1575" spans="1:27" s="51" customFormat="1" ht="18.600000000000001" hidden="1" customHeight="1" x14ac:dyDescent="0.25">
      <c r="A1575" s="82" t="s">
        <v>2653</v>
      </c>
      <c r="B1575" s="41" t="s">
        <v>9303</v>
      </c>
      <c r="C1575" s="42" t="s">
        <v>9313</v>
      </c>
      <c r="D1575" s="41" t="s">
        <v>3666</v>
      </c>
      <c r="E1575" s="43" t="s">
        <v>3667</v>
      </c>
      <c r="F1575" s="43" t="s">
        <v>1937</v>
      </c>
      <c r="G1575" s="43" t="s">
        <v>3586</v>
      </c>
      <c r="H1575" s="85" t="s">
        <v>3668</v>
      </c>
      <c r="I1575" s="23" t="s">
        <v>24</v>
      </c>
      <c r="J1575" s="44">
        <v>90</v>
      </c>
      <c r="K1575" s="45">
        <v>0.25</v>
      </c>
      <c r="L1575" s="46">
        <f t="shared" si="244"/>
        <v>22.5</v>
      </c>
      <c r="M1575" s="47">
        <f t="shared" si="245"/>
        <v>67.5</v>
      </c>
      <c r="N1575" s="48">
        <v>0.16</v>
      </c>
      <c r="O1575" s="49">
        <f t="shared" si="246"/>
        <v>10.8</v>
      </c>
      <c r="P1575" s="50">
        <f t="shared" si="247"/>
        <v>78.3</v>
      </c>
      <c r="Q1575" s="23"/>
      <c r="R1575" s="60"/>
      <c r="S1575" s="61"/>
      <c r="T1575" s="62">
        <f t="shared" si="248"/>
        <v>0</v>
      </c>
      <c r="U1575" s="46">
        <f t="shared" si="249"/>
        <v>0</v>
      </c>
      <c r="V1575" s="63">
        <f t="shared" si="250"/>
        <v>0</v>
      </c>
      <c r="W1575" s="49">
        <f t="shared" si="251"/>
        <v>0</v>
      </c>
      <c r="X1575" s="50">
        <f t="shared" si="252"/>
        <v>0</v>
      </c>
      <c r="Y1575"/>
      <c r="Z1575"/>
      <c r="AA1575"/>
    </row>
    <row r="1576" spans="1:27" s="51" customFormat="1" ht="18.600000000000001" customHeight="1" x14ac:dyDescent="0.25">
      <c r="A1576" s="80" t="s">
        <v>2653</v>
      </c>
      <c r="B1576" s="20" t="s">
        <v>9303</v>
      </c>
      <c r="C1576" s="21" t="s">
        <v>9313</v>
      </c>
      <c r="D1576" s="20" t="s">
        <v>3669</v>
      </c>
      <c r="E1576" s="22" t="s">
        <v>3670</v>
      </c>
      <c r="F1576" s="22" t="s">
        <v>1937</v>
      </c>
      <c r="G1576" s="22" t="s">
        <v>3586</v>
      </c>
      <c r="H1576" s="83" t="s">
        <v>3671</v>
      </c>
      <c r="I1576" s="23" t="s">
        <v>24</v>
      </c>
      <c r="J1576" s="24">
        <v>90</v>
      </c>
      <c r="K1576" s="25">
        <v>0.25</v>
      </c>
      <c r="L1576" s="26">
        <f t="shared" si="244"/>
        <v>22.5</v>
      </c>
      <c r="M1576" s="27">
        <f t="shared" si="245"/>
        <v>67.5</v>
      </c>
      <c r="N1576" s="28">
        <v>0.16</v>
      </c>
      <c r="O1576" s="29">
        <f t="shared" si="246"/>
        <v>10.8</v>
      </c>
      <c r="P1576" s="30">
        <f t="shared" si="247"/>
        <v>78.3</v>
      </c>
      <c r="Q1576" s="23"/>
      <c r="R1576" s="52"/>
      <c r="S1576" s="53">
        <v>1</v>
      </c>
      <c r="T1576" s="54">
        <f t="shared" si="248"/>
        <v>90</v>
      </c>
      <c r="U1576" s="26">
        <f t="shared" si="249"/>
        <v>22.5</v>
      </c>
      <c r="V1576" s="55">
        <f t="shared" si="250"/>
        <v>67.5</v>
      </c>
      <c r="W1576" s="29">
        <f t="shared" si="251"/>
        <v>10.8</v>
      </c>
      <c r="X1576" s="30">
        <f t="shared" si="252"/>
        <v>78.3</v>
      </c>
      <c r="Y1576"/>
      <c r="Z1576"/>
      <c r="AA1576"/>
    </row>
    <row r="1577" spans="1:27" s="51" customFormat="1" ht="18.600000000000001" hidden="1" customHeight="1" x14ac:dyDescent="0.25">
      <c r="A1577" s="81" t="s">
        <v>2653</v>
      </c>
      <c r="B1577" s="31" t="s">
        <v>9303</v>
      </c>
      <c r="C1577" s="32" t="s">
        <v>9313</v>
      </c>
      <c r="D1577" s="31" t="s">
        <v>3672</v>
      </c>
      <c r="E1577" s="33" t="s">
        <v>3673</v>
      </c>
      <c r="F1577" s="33" t="s">
        <v>1937</v>
      </c>
      <c r="G1577" s="33" t="s">
        <v>3586</v>
      </c>
      <c r="H1577" s="84" t="s">
        <v>3674</v>
      </c>
      <c r="I1577" s="23" t="s">
        <v>24</v>
      </c>
      <c r="J1577" s="34">
        <v>90</v>
      </c>
      <c r="K1577" s="35">
        <v>0.25</v>
      </c>
      <c r="L1577" s="36">
        <f t="shared" si="244"/>
        <v>22.5</v>
      </c>
      <c r="M1577" s="37">
        <f t="shared" si="245"/>
        <v>67.5</v>
      </c>
      <c r="N1577" s="38">
        <v>0.16</v>
      </c>
      <c r="O1577" s="39">
        <f t="shared" si="246"/>
        <v>10.8</v>
      </c>
      <c r="P1577" s="40">
        <f t="shared" si="247"/>
        <v>78.3</v>
      </c>
      <c r="Q1577" s="23"/>
      <c r="R1577" s="56"/>
      <c r="S1577" s="57"/>
      <c r="T1577" s="58">
        <f t="shared" si="248"/>
        <v>0</v>
      </c>
      <c r="U1577" s="36">
        <f t="shared" si="249"/>
        <v>0</v>
      </c>
      <c r="V1577" s="59">
        <f t="shared" si="250"/>
        <v>0</v>
      </c>
      <c r="W1577" s="39">
        <f t="shared" si="251"/>
        <v>0</v>
      </c>
      <c r="X1577" s="40">
        <f t="shared" si="252"/>
        <v>0</v>
      </c>
      <c r="Y1577"/>
      <c r="Z1577"/>
      <c r="AA1577"/>
    </row>
    <row r="1578" spans="1:27" s="51" customFormat="1" ht="18.600000000000001" hidden="1" customHeight="1" x14ac:dyDescent="0.25">
      <c r="A1578" s="82" t="s">
        <v>2653</v>
      </c>
      <c r="B1578" s="41" t="s">
        <v>9303</v>
      </c>
      <c r="C1578" s="42" t="s">
        <v>9313</v>
      </c>
      <c r="D1578" s="41" t="s">
        <v>3675</v>
      </c>
      <c r="E1578" s="43" t="s">
        <v>3676</v>
      </c>
      <c r="F1578" s="43" t="s">
        <v>1937</v>
      </c>
      <c r="G1578" s="43" t="s">
        <v>3586</v>
      </c>
      <c r="H1578" s="85" t="s">
        <v>3677</v>
      </c>
      <c r="I1578" s="23" t="s">
        <v>24</v>
      </c>
      <c r="J1578" s="44">
        <v>90</v>
      </c>
      <c r="K1578" s="45">
        <v>0.25</v>
      </c>
      <c r="L1578" s="46">
        <f t="shared" si="244"/>
        <v>22.5</v>
      </c>
      <c r="M1578" s="47">
        <f t="shared" si="245"/>
        <v>67.5</v>
      </c>
      <c r="N1578" s="48">
        <v>0.16</v>
      </c>
      <c r="O1578" s="49">
        <f t="shared" si="246"/>
        <v>10.8</v>
      </c>
      <c r="P1578" s="50">
        <f t="shared" si="247"/>
        <v>78.3</v>
      </c>
      <c r="Q1578" s="23"/>
      <c r="R1578" s="60"/>
      <c r="S1578" s="61"/>
      <c r="T1578" s="62">
        <f t="shared" si="248"/>
        <v>0</v>
      </c>
      <c r="U1578" s="46">
        <f t="shared" si="249"/>
        <v>0</v>
      </c>
      <c r="V1578" s="63">
        <f t="shared" si="250"/>
        <v>0</v>
      </c>
      <c r="W1578" s="49">
        <f t="shared" si="251"/>
        <v>0</v>
      </c>
      <c r="X1578" s="50">
        <f t="shared" si="252"/>
        <v>0</v>
      </c>
      <c r="Y1578"/>
      <c r="Z1578"/>
      <c r="AA1578"/>
    </row>
    <row r="1579" spans="1:27" s="51" customFormat="1" ht="18.600000000000001" hidden="1" customHeight="1" x14ac:dyDescent="0.25">
      <c r="A1579" s="80" t="s">
        <v>2653</v>
      </c>
      <c r="B1579" s="20" t="s">
        <v>9303</v>
      </c>
      <c r="C1579" s="21" t="s">
        <v>9313</v>
      </c>
      <c r="D1579" s="20" t="s">
        <v>3678</v>
      </c>
      <c r="E1579" s="22" t="s">
        <v>3679</v>
      </c>
      <c r="F1579" s="22" t="s">
        <v>1937</v>
      </c>
      <c r="G1579" s="22" t="s">
        <v>3586</v>
      </c>
      <c r="H1579" s="83" t="s">
        <v>3680</v>
      </c>
      <c r="I1579" s="23" t="s">
        <v>24</v>
      </c>
      <c r="J1579" s="24">
        <v>90</v>
      </c>
      <c r="K1579" s="25">
        <v>0.25</v>
      </c>
      <c r="L1579" s="26">
        <f t="shared" si="244"/>
        <v>22.5</v>
      </c>
      <c r="M1579" s="27">
        <f t="shared" si="245"/>
        <v>67.5</v>
      </c>
      <c r="N1579" s="28">
        <v>0.16</v>
      </c>
      <c r="O1579" s="29">
        <f t="shared" si="246"/>
        <v>10.8</v>
      </c>
      <c r="P1579" s="30">
        <f t="shared" si="247"/>
        <v>78.3</v>
      </c>
      <c r="Q1579" s="23"/>
      <c r="R1579" s="52"/>
      <c r="S1579" s="53"/>
      <c r="T1579" s="54">
        <f t="shared" si="248"/>
        <v>0</v>
      </c>
      <c r="U1579" s="26">
        <f t="shared" si="249"/>
        <v>0</v>
      </c>
      <c r="V1579" s="55">
        <f t="shared" si="250"/>
        <v>0</v>
      </c>
      <c r="W1579" s="29">
        <f t="shared" si="251"/>
        <v>0</v>
      </c>
      <c r="X1579" s="30">
        <f t="shared" si="252"/>
        <v>0</v>
      </c>
      <c r="Y1579"/>
      <c r="Z1579"/>
      <c r="AA1579"/>
    </row>
    <row r="1580" spans="1:27" s="51" customFormat="1" ht="18.600000000000001" hidden="1" customHeight="1" x14ac:dyDescent="0.25">
      <c r="A1580" s="81" t="s">
        <v>2653</v>
      </c>
      <c r="B1580" s="31" t="s">
        <v>9303</v>
      </c>
      <c r="C1580" s="32" t="s">
        <v>9313</v>
      </c>
      <c r="D1580" s="31" t="s">
        <v>3681</v>
      </c>
      <c r="E1580" s="33" t="s">
        <v>3682</v>
      </c>
      <c r="F1580" s="33" t="s">
        <v>1937</v>
      </c>
      <c r="G1580" s="33" t="s">
        <v>3586</v>
      </c>
      <c r="H1580" s="84" t="s">
        <v>3683</v>
      </c>
      <c r="I1580" s="23" t="s">
        <v>24</v>
      </c>
      <c r="J1580" s="34">
        <v>90</v>
      </c>
      <c r="K1580" s="35">
        <v>0.25</v>
      </c>
      <c r="L1580" s="36">
        <f t="shared" si="244"/>
        <v>22.5</v>
      </c>
      <c r="M1580" s="37">
        <f t="shared" si="245"/>
        <v>67.5</v>
      </c>
      <c r="N1580" s="38">
        <v>0.16</v>
      </c>
      <c r="O1580" s="39">
        <f t="shared" si="246"/>
        <v>10.8</v>
      </c>
      <c r="P1580" s="40">
        <f t="shared" si="247"/>
        <v>78.3</v>
      </c>
      <c r="Q1580" s="23"/>
      <c r="R1580" s="56"/>
      <c r="S1580" s="57"/>
      <c r="T1580" s="58">
        <f t="shared" si="248"/>
        <v>0</v>
      </c>
      <c r="U1580" s="36">
        <f t="shared" si="249"/>
        <v>0</v>
      </c>
      <c r="V1580" s="59">
        <f t="shared" si="250"/>
        <v>0</v>
      </c>
      <c r="W1580" s="39">
        <f t="shared" si="251"/>
        <v>0</v>
      </c>
      <c r="X1580" s="40">
        <f t="shared" si="252"/>
        <v>0</v>
      </c>
      <c r="Y1580"/>
      <c r="Z1580"/>
      <c r="AA1580"/>
    </row>
    <row r="1581" spans="1:27" s="51" customFormat="1" ht="18.600000000000001" hidden="1" customHeight="1" x14ac:dyDescent="0.25">
      <c r="A1581" s="82" t="s">
        <v>2653</v>
      </c>
      <c r="B1581" s="41" t="s">
        <v>9303</v>
      </c>
      <c r="C1581" s="42" t="s">
        <v>9313</v>
      </c>
      <c r="D1581" s="41" t="s">
        <v>3684</v>
      </c>
      <c r="E1581" s="43" t="s">
        <v>3685</v>
      </c>
      <c r="F1581" s="43" t="s">
        <v>1937</v>
      </c>
      <c r="G1581" s="43" t="s">
        <v>3586</v>
      </c>
      <c r="H1581" s="85" t="s">
        <v>3686</v>
      </c>
      <c r="I1581" s="23" t="s">
        <v>24</v>
      </c>
      <c r="J1581" s="44">
        <v>90</v>
      </c>
      <c r="K1581" s="45">
        <v>0.25</v>
      </c>
      <c r="L1581" s="46">
        <f t="shared" si="244"/>
        <v>22.5</v>
      </c>
      <c r="M1581" s="47">
        <f t="shared" si="245"/>
        <v>67.5</v>
      </c>
      <c r="N1581" s="48">
        <v>0.16</v>
      </c>
      <c r="O1581" s="49">
        <f t="shared" si="246"/>
        <v>10.8</v>
      </c>
      <c r="P1581" s="50">
        <f t="shared" si="247"/>
        <v>78.3</v>
      </c>
      <c r="Q1581" s="23"/>
      <c r="R1581" s="60"/>
      <c r="S1581" s="61"/>
      <c r="T1581" s="62">
        <f t="shared" si="248"/>
        <v>0</v>
      </c>
      <c r="U1581" s="46">
        <f t="shared" si="249"/>
        <v>0</v>
      </c>
      <c r="V1581" s="63">
        <f t="shared" si="250"/>
        <v>0</v>
      </c>
      <c r="W1581" s="49">
        <f t="shared" si="251"/>
        <v>0</v>
      </c>
      <c r="X1581" s="50">
        <f t="shared" si="252"/>
        <v>0</v>
      </c>
      <c r="Y1581"/>
      <c r="Z1581"/>
      <c r="AA1581"/>
    </row>
    <row r="1582" spans="1:27" s="51" customFormat="1" ht="18.600000000000001" hidden="1" customHeight="1" x14ac:dyDescent="0.25">
      <c r="A1582" s="80" t="s">
        <v>2653</v>
      </c>
      <c r="B1582" s="20" t="s">
        <v>9303</v>
      </c>
      <c r="C1582" s="21" t="s">
        <v>9313</v>
      </c>
      <c r="D1582" s="20" t="s">
        <v>3687</v>
      </c>
      <c r="E1582" s="22" t="s">
        <v>3688</v>
      </c>
      <c r="F1582" s="22" t="s">
        <v>1937</v>
      </c>
      <c r="G1582" s="22" t="s">
        <v>3586</v>
      </c>
      <c r="H1582" s="83" t="s">
        <v>3689</v>
      </c>
      <c r="I1582" s="23" t="s">
        <v>24</v>
      </c>
      <c r="J1582" s="24">
        <v>90</v>
      </c>
      <c r="K1582" s="25">
        <v>0.25</v>
      </c>
      <c r="L1582" s="26">
        <f t="shared" si="244"/>
        <v>22.5</v>
      </c>
      <c r="M1582" s="27">
        <f t="shared" si="245"/>
        <v>67.5</v>
      </c>
      <c r="N1582" s="28">
        <v>0.16</v>
      </c>
      <c r="O1582" s="29">
        <f t="shared" si="246"/>
        <v>10.8</v>
      </c>
      <c r="P1582" s="30">
        <f t="shared" si="247"/>
        <v>78.3</v>
      </c>
      <c r="Q1582" s="23"/>
      <c r="R1582" s="52"/>
      <c r="S1582" s="53"/>
      <c r="T1582" s="54">
        <f t="shared" si="248"/>
        <v>0</v>
      </c>
      <c r="U1582" s="26">
        <f t="shared" si="249"/>
        <v>0</v>
      </c>
      <c r="V1582" s="55">
        <f t="shared" si="250"/>
        <v>0</v>
      </c>
      <c r="W1582" s="29">
        <f t="shared" si="251"/>
        <v>0</v>
      </c>
      <c r="X1582" s="30">
        <f t="shared" si="252"/>
        <v>0</v>
      </c>
      <c r="Y1582"/>
      <c r="Z1582"/>
      <c r="AA1582"/>
    </row>
    <row r="1583" spans="1:27" s="51" customFormat="1" ht="18.600000000000001" customHeight="1" x14ac:dyDescent="0.25">
      <c r="A1583" s="81" t="s">
        <v>2653</v>
      </c>
      <c r="B1583" s="31" t="s">
        <v>9303</v>
      </c>
      <c r="C1583" s="32" t="s">
        <v>9313</v>
      </c>
      <c r="D1583" s="31" t="s">
        <v>3690</v>
      </c>
      <c r="E1583" s="33" t="s">
        <v>3691</v>
      </c>
      <c r="F1583" s="33" t="s">
        <v>1937</v>
      </c>
      <c r="G1583" s="33" t="s">
        <v>3586</v>
      </c>
      <c r="H1583" s="84" t="s">
        <v>3692</v>
      </c>
      <c r="I1583" s="23" t="s">
        <v>24</v>
      </c>
      <c r="J1583" s="34">
        <v>90</v>
      </c>
      <c r="K1583" s="35">
        <v>0.25</v>
      </c>
      <c r="L1583" s="36">
        <f t="shared" si="244"/>
        <v>22.5</v>
      </c>
      <c r="M1583" s="37">
        <f t="shared" si="245"/>
        <v>67.5</v>
      </c>
      <c r="N1583" s="38">
        <v>0.16</v>
      </c>
      <c r="O1583" s="39">
        <f t="shared" si="246"/>
        <v>10.8</v>
      </c>
      <c r="P1583" s="40">
        <f t="shared" si="247"/>
        <v>78.3</v>
      </c>
      <c r="Q1583" s="23"/>
      <c r="R1583" s="56"/>
      <c r="S1583" s="57">
        <v>1</v>
      </c>
      <c r="T1583" s="58">
        <f t="shared" si="248"/>
        <v>90</v>
      </c>
      <c r="U1583" s="36">
        <f t="shared" si="249"/>
        <v>22.5</v>
      </c>
      <c r="V1583" s="59">
        <f t="shared" si="250"/>
        <v>67.5</v>
      </c>
      <c r="W1583" s="39">
        <f t="shared" si="251"/>
        <v>10.8</v>
      </c>
      <c r="X1583" s="40">
        <f t="shared" si="252"/>
        <v>78.3</v>
      </c>
      <c r="Y1583"/>
      <c r="Z1583"/>
      <c r="AA1583"/>
    </row>
    <row r="1584" spans="1:27" s="51" customFormat="1" ht="18.600000000000001" hidden="1" customHeight="1" x14ac:dyDescent="0.25">
      <c r="A1584" s="82" t="s">
        <v>2653</v>
      </c>
      <c r="B1584" s="41" t="s">
        <v>9303</v>
      </c>
      <c r="C1584" s="42" t="s">
        <v>9313</v>
      </c>
      <c r="D1584" s="41" t="s">
        <v>3693</v>
      </c>
      <c r="E1584" s="43" t="s">
        <v>3694</v>
      </c>
      <c r="F1584" s="43" t="s">
        <v>1937</v>
      </c>
      <c r="G1584" s="43" t="s">
        <v>3586</v>
      </c>
      <c r="H1584" s="85" t="s">
        <v>3695</v>
      </c>
      <c r="I1584" s="23" t="s">
        <v>24</v>
      </c>
      <c r="J1584" s="44">
        <v>90</v>
      </c>
      <c r="K1584" s="45">
        <v>0.25</v>
      </c>
      <c r="L1584" s="46">
        <f t="shared" si="244"/>
        <v>22.5</v>
      </c>
      <c r="M1584" s="47">
        <f t="shared" si="245"/>
        <v>67.5</v>
      </c>
      <c r="N1584" s="48">
        <v>0.16</v>
      </c>
      <c r="O1584" s="49">
        <f t="shared" si="246"/>
        <v>10.8</v>
      </c>
      <c r="P1584" s="50">
        <f t="shared" si="247"/>
        <v>78.3</v>
      </c>
      <c r="Q1584" s="23"/>
      <c r="R1584" s="60"/>
      <c r="S1584" s="61"/>
      <c r="T1584" s="62">
        <f t="shared" si="248"/>
        <v>0</v>
      </c>
      <c r="U1584" s="46">
        <f t="shared" si="249"/>
        <v>0</v>
      </c>
      <c r="V1584" s="63">
        <f t="shared" si="250"/>
        <v>0</v>
      </c>
      <c r="W1584" s="49">
        <f t="shared" si="251"/>
        <v>0</v>
      </c>
      <c r="X1584" s="50">
        <f t="shared" si="252"/>
        <v>0</v>
      </c>
      <c r="Y1584"/>
      <c r="Z1584"/>
      <c r="AA1584"/>
    </row>
    <row r="1585" spans="1:27" s="51" customFormat="1" ht="18.600000000000001" hidden="1" customHeight="1" x14ac:dyDescent="0.25">
      <c r="A1585" s="80" t="s">
        <v>2653</v>
      </c>
      <c r="B1585" s="20" t="s">
        <v>9303</v>
      </c>
      <c r="C1585" s="21" t="s">
        <v>9313</v>
      </c>
      <c r="D1585" s="20" t="s">
        <v>3696</v>
      </c>
      <c r="E1585" s="22" t="s">
        <v>3697</v>
      </c>
      <c r="F1585" s="22" t="s">
        <v>1937</v>
      </c>
      <c r="G1585" s="22" t="s">
        <v>3586</v>
      </c>
      <c r="H1585" s="83" t="s">
        <v>3698</v>
      </c>
      <c r="I1585" s="23" t="s">
        <v>24</v>
      </c>
      <c r="J1585" s="24">
        <v>90</v>
      </c>
      <c r="K1585" s="25">
        <v>0.25</v>
      </c>
      <c r="L1585" s="26">
        <f t="shared" si="244"/>
        <v>22.5</v>
      </c>
      <c r="M1585" s="27">
        <f t="shared" si="245"/>
        <v>67.5</v>
      </c>
      <c r="N1585" s="28">
        <v>0.16</v>
      </c>
      <c r="O1585" s="29">
        <f t="shared" si="246"/>
        <v>10.8</v>
      </c>
      <c r="P1585" s="30">
        <f t="shared" si="247"/>
        <v>78.3</v>
      </c>
      <c r="Q1585" s="23"/>
      <c r="R1585" s="52"/>
      <c r="S1585" s="53"/>
      <c r="T1585" s="54">
        <f t="shared" si="248"/>
        <v>0</v>
      </c>
      <c r="U1585" s="26">
        <f t="shared" si="249"/>
        <v>0</v>
      </c>
      <c r="V1585" s="55">
        <f t="shared" si="250"/>
        <v>0</v>
      </c>
      <c r="W1585" s="29">
        <f t="shared" si="251"/>
        <v>0</v>
      </c>
      <c r="X1585" s="30">
        <f t="shared" si="252"/>
        <v>0</v>
      </c>
      <c r="Y1585"/>
      <c r="Z1585"/>
      <c r="AA1585"/>
    </row>
    <row r="1586" spans="1:27" s="51" customFormat="1" ht="18.600000000000001" hidden="1" customHeight="1" x14ac:dyDescent="0.25">
      <c r="A1586" s="81" t="s">
        <v>2653</v>
      </c>
      <c r="B1586" s="31" t="s">
        <v>9303</v>
      </c>
      <c r="C1586" s="32" t="s">
        <v>9313</v>
      </c>
      <c r="D1586" s="31" t="s">
        <v>3699</v>
      </c>
      <c r="E1586" s="33" t="s">
        <v>3700</v>
      </c>
      <c r="F1586" s="33" t="s">
        <v>1937</v>
      </c>
      <c r="G1586" s="33" t="s">
        <v>3586</v>
      </c>
      <c r="H1586" s="84" t="s">
        <v>3701</v>
      </c>
      <c r="I1586" s="23" t="s">
        <v>24</v>
      </c>
      <c r="J1586" s="34">
        <v>90</v>
      </c>
      <c r="K1586" s="35">
        <v>0.25</v>
      </c>
      <c r="L1586" s="36">
        <f t="shared" si="244"/>
        <v>22.5</v>
      </c>
      <c r="M1586" s="37">
        <f t="shared" si="245"/>
        <v>67.5</v>
      </c>
      <c r="N1586" s="38">
        <v>0.16</v>
      </c>
      <c r="O1586" s="39">
        <f t="shared" si="246"/>
        <v>10.8</v>
      </c>
      <c r="P1586" s="40">
        <f t="shared" si="247"/>
        <v>78.3</v>
      </c>
      <c r="Q1586" s="23"/>
      <c r="R1586" s="56"/>
      <c r="S1586" s="57"/>
      <c r="T1586" s="58">
        <f t="shared" si="248"/>
        <v>0</v>
      </c>
      <c r="U1586" s="36">
        <f t="shared" si="249"/>
        <v>0</v>
      </c>
      <c r="V1586" s="59">
        <f t="shared" si="250"/>
        <v>0</v>
      </c>
      <c r="W1586" s="39">
        <f t="shared" si="251"/>
        <v>0</v>
      </c>
      <c r="X1586" s="40">
        <f t="shared" si="252"/>
        <v>0</v>
      </c>
      <c r="Y1586"/>
      <c r="Z1586"/>
      <c r="AA1586"/>
    </row>
    <row r="1587" spans="1:27" s="51" customFormat="1" ht="18.600000000000001" hidden="1" customHeight="1" x14ac:dyDescent="0.25">
      <c r="A1587" s="82" t="s">
        <v>2653</v>
      </c>
      <c r="B1587" s="41" t="s">
        <v>9303</v>
      </c>
      <c r="C1587" s="42" t="s">
        <v>9313</v>
      </c>
      <c r="D1587" s="41" t="s">
        <v>3702</v>
      </c>
      <c r="E1587" s="43" t="s">
        <v>3703</v>
      </c>
      <c r="F1587" s="43" t="s">
        <v>1937</v>
      </c>
      <c r="G1587" s="43" t="s">
        <v>3586</v>
      </c>
      <c r="H1587" s="85" t="s">
        <v>3704</v>
      </c>
      <c r="I1587" s="23" t="s">
        <v>24</v>
      </c>
      <c r="J1587" s="44">
        <v>90</v>
      </c>
      <c r="K1587" s="45">
        <v>0.25</v>
      </c>
      <c r="L1587" s="46">
        <f t="shared" si="244"/>
        <v>22.5</v>
      </c>
      <c r="M1587" s="47">
        <f t="shared" si="245"/>
        <v>67.5</v>
      </c>
      <c r="N1587" s="48">
        <v>0.16</v>
      </c>
      <c r="O1587" s="49">
        <f t="shared" si="246"/>
        <v>10.8</v>
      </c>
      <c r="P1587" s="50">
        <f t="shared" si="247"/>
        <v>78.3</v>
      </c>
      <c r="Q1587" s="23"/>
      <c r="R1587" s="60"/>
      <c r="S1587" s="61"/>
      <c r="T1587" s="62">
        <f t="shared" si="248"/>
        <v>0</v>
      </c>
      <c r="U1587" s="46">
        <f t="shared" si="249"/>
        <v>0</v>
      </c>
      <c r="V1587" s="63">
        <f t="shared" si="250"/>
        <v>0</v>
      </c>
      <c r="W1587" s="49">
        <f t="shared" si="251"/>
        <v>0</v>
      </c>
      <c r="X1587" s="50">
        <f t="shared" si="252"/>
        <v>0</v>
      </c>
      <c r="Y1587"/>
      <c r="Z1587"/>
      <c r="AA1587"/>
    </row>
    <row r="1588" spans="1:27" s="51" customFormat="1" ht="18.600000000000001" hidden="1" customHeight="1" x14ac:dyDescent="0.25">
      <c r="A1588" s="80" t="s">
        <v>2653</v>
      </c>
      <c r="B1588" s="20" t="s">
        <v>9303</v>
      </c>
      <c r="C1588" s="21" t="s">
        <v>9313</v>
      </c>
      <c r="D1588" s="20" t="s">
        <v>3705</v>
      </c>
      <c r="E1588" s="22" t="s">
        <v>3706</v>
      </c>
      <c r="F1588" s="22" t="s">
        <v>1937</v>
      </c>
      <c r="G1588" s="22" t="s">
        <v>3586</v>
      </c>
      <c r="H1588" s="83" t="s">
        <v>3707</v>
      </c>
      <c r="I1588" s="23" t="s">
        <v>24</v>
      </c>
      <c r="J1588" s="24">
        <v>90</v>
      </c>
      <c r="K1588" s="25">
        <v>0.25</v>
      </c>
      <c r="L1588" s="26">
        <f t="shared" si="244"/>
        <v>22.5</v>
      </c>
      <c r="M1588" s="27">
        <f t="shared" si="245"/>
        <v>67.5</v>
      </c>
      <c r="N1588" s="28">
        <v>0.16</v>
      </c>
      <c r="O1588" s="29">
        <f t="shared" si="246"/>
        <v>10.8</v>
      </c>
      <c r="P1588" s="30">
        <f t="shared" si="247"/>
        <v>78.3</v>
      </c>
      <c r="Q1588" s="23"/>
      <c r="R1588" s="52"/>
      <c r="S1588" s="53"/>
      <c r="T1588" s="54">
        <f t="shared" si="248"/>
        <v>0</v>
      </c>
      <c r="U1588" s="26">
        <f t="shared" si="249"/>
        <v>0</v>
      </c>
      <c r="V1588" s="55">
        <f t="shared" si="250"/>
        <v>0</v>
      </c>
      <c r="W1588" s="29">
        <f t="shared" si="251"/>
        <v>0</v>
      </c>
      <c r="X1588" s="30">
        <f t="shared" si="252"/>
        <v>0</v>
      </c>
      <c r="Y1588"/>
      <c r="Z1588"/>
      <c r="AA1588"/>
    </row>
    <row r="1589" spans="1:27" s="51" customFormat="1" ht="18.600000000000001" hidden="1" customHeight="1" x14ac:dyDescent="0.25">
      <c r="A1589" s="81" t="s">
        <v>2653</v>
      </c>
      <c r="B1589" s="31" t="s">
        <v>9303</v>
      </c>
      <c r="C1589" s="32" t="s">
        <v>9313</v>
      </c>
      <c r="D1589" s="31" t="s">
        <v>3708</v>
      </c>
      <c r="E1589" s="33" t="s">
        <v>3709</v>
      </c>
      <c r="F1589" s="33" t="s">
        <v>1937</v>
      </c>
      <c r="G1589" s="33" t="s">
        <v>3586</v>
      </c>
      <c r="H1589" s="84" t="s">
        <v>3710</v>
      </c>
      <c r="I1589" s="23" t="s">
        <v>24</v>
      </c>
      <c r="J1589" s="34">
        <v>90</v>
      </c>
      <c r="K1589" s="35">
        <v>0.25</v>
      </c>
      <c r="L1589" s="36">
        <f t="shared" si="244"/>
        <v>22.5</v>
      </c>
      <c r="M1589" s="37">
        <f t="shared" si="245"/>
        <v>67.5</v>
      </c>
      <c r="N1589" s="38">
        <v>0.16</v>
      </c>
      <c r="O1589" s="39">
        <f t="shared" si="246"/>
        <v>10.8</v>
      </c>
      <c r="P1589" s="40">
        <f t="shared" si="247"/>
        <v>78.3</v>
      </c>
      <c r="Q1589" s="23"/>
      <c r="R1589" s="56"/>
      <c r="S1589" s="57"/>
      <c r="T1589" s="58">
        <f t="shared" si="248"/>
        <v>0</v>
      </c>
      <c r="U1589" s="36">
        <f t="shared" si="249"/>
        <v>0</v>
      </c>
      <c r="V1589" s="59">
        <f t="shared" si="250"/>
        <v>0</v>
      </c>
      <c r="W1589" s="39">
        <f t="shared" si="251"/>
        <v>0</v>
      </c>
      <c r="X1589" s="40">
        <f t="shared" si="252"/>
        <v>0</v>
      </c>
      <c r="Y1589"/>
      <c r="Z1589"/>
      <c r="AA1589"/>
    </row>
    <row r="1590" spans="1:27" s="51" customFormat="1" ht="18.600000000000001" hidden="1" customHeight="1" x14ac:dyDescent="0.25">
      <c r="A1590" s="82" t="s">
        <v>2653</v>
      </c>
      <c r="B1590" s="41" t="s">
        <v>9303</v>
      </c>
      <c r="C1590" s="42" t="s">
        <v>9313</v>
      </c>
      <c r="D1590" s="41" t="s">
        <v>3711</v>
      </c>
      <c r="E1590" s="43" t="s">
        <v>3712</v>
      </c>
      <c r="F1590" s="43" t="s">
        <v>1937</v>
      </c>
      <c r="G1590" s="43" t="s">
        <v>3586</v>
      </c>
      <c r="H1590" s="85" t="s">
        <v>3713</v>
      </c>
      <c r="I1590" s="23" t="s">
        <v>24</v>
      </c>
      <c r="J1590" s="44">
        <v>90</v>
      </c>
      <c r="K1590" s="45">
        <v>0.25</v>
      </c>
      <c r="L1590" s="46">
        <f t="shared" si="244"/>
        <v>22.5</v>
      </c>
      <c r="M1590" s="47">
        <f t="shared" si="245"/>
        <v>67.5</v>
      </c>
      <c r="N1590" s="48">
        <v>0.16</v>
      </c>
      <c r="O1590" s="49">
        <f t="shared" si="246"/>
        <v>10.8</v>
      </c>
      <c r="P1590" s="50">
        <f t="shared" si="247"/>
        <v>78.3</v>
      </c>
      <c r="Q1590" s="23"/>
      <c r="R1590" s="60"/>
      <c r="S1590" s="61"/>
      <c r="T1590" s="62">
        <f t="shared" si="248"/>
        <v>0</v>
      </c>
      <c r="U1590" s="46">
        <f t="shared" si="249"/>
        <v>0</v>
      </c>
      <c r="V1590" s="63">
        <f t="shared" si="250"/>
        <v>0</v>
      </c>
      <c r="W1590" s="49">
        <f t="shared" si="251"/>
        <v>0</v>
      </c>
      <c r="X1590" s="50">
        <f t="shared" si="252"/>
        <v>0</v>
      </c>
      <c r="Y1590"/>
      <c r="Z1590"/>
      <c r="AA1590"/>
    </row>
    <row r="1591" spans="1:27" s="51" customFormat="1" ht="18.600000000000001" customHeight="1" x14ac:dyDescent="0.25">
      <c r="A1591" s="80" t="s">
        <v>2653</v>
      </c>
      <c r="B1591" s="20" t="s">
        <v>9303</v>
      </c>
      <c r="C1591" s="21" t="s">
        <v>9313</v>
      </c>
      <c r="D1591" s="20" t="s">
        <v>3714</v>
      </c>
      <c r="E1591" s="22" t="s">
        <v>3715</v>
      </c>
      <c r="F1591" s="22" t="s">
        <v>1937</v>
      </c>
      <c r="G1591" s="22" t="s">
        <v>3586</v>
      </c>
      <c r="H1591" s="83" t="s">
        <v>3716</v>
      </c>
      <c r="I1591" s="23" t="s">
        <v>24</v>
      </c>
      <c r="J1591" s="24">
        <v>90</v>
      </c>
      <c r="K1591" s="25">
        <v>0.25</v>
      </c>
      <c r="L1591" s="26">
        <f t="shared" si="244"/>
        <v>22.5</v>
      </c>
      <c r="M1591" s="27">
        <f t="shared" si="245"/>
        <v>67.5</v>
      </c>
      <c r="N1591" s="28">
        <v>0.16</v>
      </c>
      <c r="O1591" s="29">
        <f t="shared" si="246"/>
        <v>10.8</v>
      </c>
      <c r="P1591" s="30">
        <f t="shared" si="247"/>
        <v>78.3</v>
      </c>
      <c r="Q1591" s="23"/>
      <c r="R1591" s="52"/>
      <c r="S1591" s="53">
        <v>1</v>
      </c>
      <c r="T1591" s="54">
        <f t="shared" si="248"/>
        <v>90</v>
      </c>
      <c r="U1591" s="26">
        <f t="shared" si="249"/>
        <v>22.5</v>
      </c>
      <c r="V1591" s="55">
        <f t="shared" si="250"/>
        <v>67.5</v>
      </c>
      <c r="W1591" s="29">
        <f t="shared" si="251"/>
        <v>10.8</v>
      </c>
      <c r="X1591" s="30">
        <f t="shared" si="252"/>
        <v>78.3</v>
      </c>
      <c r="Y1591"/>
      <c r="Z1591"/>
      <c r="AA1591"/>
    </row>
    <row r="1592" spans="1:27" s="51" customFormat="1" ht="18.600000000000001" hidden="1" customHeight="1" x14ac:dyDescent="0.25">
      <c r="A1592" s="81" t="s">
        <v>2653</v>
      </c>
      <c r="B1592" s="31" t="s">
        <v>9303</v>
      </c>
      <c r="C1592" s="32" t="s">
        <v>9313</v>
      </c>
      <c r="D1592" s="31" t="s">
        <v>3717</v>
      </c>
      <c r="E1592" s="33" t="s">
        <v>3718</v>
      </c>
      <c r="F1592" s="33" t="s">
        <v>1937</v>
      </c>
      <c r="G1592" s="33" t="s">
        <v>3586</v>
      </c>
      <c r="H1592" s="84" t="s">
        <v>3719</v>
      </c>
      <c r="I1592" s="23" t="s">
        <v>24</v>
      </c>
      <c r="J1592" s="34">
        <v>90</v>
      </c>
      <c r="K1592" s="35">
        <v>0.25</v>
      </c>
      <c r="L1592" s="36">
        <f t="shared" si="244"/>
        <v>22.5</v>
      </c>
      <c r="M1592" s="37">
        <f t="shared" si="245"/>
        <v>67.5</v>
      </c>
      <c r="N1592" s="38">
        <v>0.16</v>
      </c>
      <c r="O1592" s="39">
        <f t="shared" si="246"/>
        <v>10.8</v>
      </c>
      <c r="P1592" s="40">
        <f t="shared" si="247"/>
        <v>78.3</v>
      </c>
      <c r="Q1592" s="23"/>
      <c r="R1592" s="56"/>
      <c r="S1592" s="57"/>
      <c r="T1592" s="58">
        <f t="shared" si="248"/>
        <v>0</v>
      </c>
      <c r="U1592" s="36">
        <f t="shared" si="249"/>
        <v>0</v>
      </c>
      <c r="V1592" s="59">
        <f t="shared" si="250"/>
        <v>0</v>
      </c>
      <c r="W1592" s="39">
        <f t="shared" si="251"/>
        <v>0</v>
      </c>
      <c r="X1592" s="40">
        <f t="shared" si="252"/>
        <v>0</v>
      </c>
      <c r="Y1592"/>
      <c r="Z1592"/>
      <c r="AA1592"/>
    </row>
    <row r="1593" spans="1:27" s="51" customFormat="1" ht="18.600000000000001" hidden="1" customHeight="1" x14ac:dyDescent="0.25">
      <c r="A1593" s="82" t="s">
        <v>2653</v>
      </c>
      <c r="B1593" s="41" t="s">
        <v>9303</v>
      </c>
      <c r="C1593" s="42" t="s">
        <v>9313</v>
      </c>
      <c r="D1593" s="41" t="s">
        <v>3720</v>
      </c>
      <c r="E1593" s="43" t="s">
        <v>3721</v>
      </c>
      <c r="F1593" s="43" t="s">
        <v>1937</v>
      </c>
      <c r="G1593" s="43" t="s">
        <v>3586</v>
      </c>
      <c r="H1593" s="85" t="s">
        <v>3722</v>
      </c>
      <c r="I1593" s="23" t="s">
        <v>24</v>
      </c>
      <c r="J1593" s="44">
        <v>90</v>
      </c>
      <c r="K1593" s="45">
        <v>0.25</v>
      </c>
      <c r="L1593" s="46">
        <f t="shared" si="244"/>
        <v>22.5</v>
      </c>
      <c r="M1593" s="47">
        <f t="shared" si="245"/>
        <v>67.5</v>
      </c>
      <c r="N1593" s="48">
        <v>0.16</v>
      </c>
      <c r="O1593" s="49">
        <f t="shared" si="246"/>
        <v>10.8</v>
      </c>
      <c r="P1593" s="50">
        <f t="shared" si="247"/>
        <v>78.3</v>
      </c>
      <c r="Q1593" s="23"/>
      <c r="R1593" s="60"/>
      <c r="S1593" s="61"/>
      <c r="T1593" s="62">
        <f t="shared" si="248"/>
        <v>0</v>
      </c>
      <c r="U1593" s="46">
        <f t="shared" si="249"/>
        <v>0</v>
      </c>
      <c r="V1593" s="63">
        <f t="shared" si="250"/>
        <v>0</v>
      </c>
      <c r="W1593" s="49">
        <f t="shared" si="251"/>
        <v>0</v>
      </c>
      <c r="X1593" s="50">
        <f t="shared" si="252"/>
        <v>0</v>
      </c>
      <c r="Y1593"/>
      <c r="Z1593"/>
      <c r="AA1593"/>
    </row>
    <row r="1594" spans="1:27" s="51" customFormat="1" ht="18.600000000000001" hidden="1" customHeight="1" x14ac:dyDescent="0.25">
      <c r="A1594" s="80" t="s">
        <v>2653</v>
      </c>
      <c r="B1594" s="20" t="s">
        <v>9303</v>
      </c>
      <c r="C1594" s="21" t="s">
        <v>9313</v>
      </c>
      <c r="D1594" s="20" t="s">
        <v>3723</v>
      </c>
      <c r="E1594" s="22" t="s">
        <v>3724</v>
      </c>
      <c r="F1594" s="22" t="s">
        <v>1937</v>
      </c>
      <c r="G1594" s="22" t="s">
        <v>3586</v>
      </c>
      <c r="H1594" s="83" t="s">
        <v>3725</v>
      </c>
      <c r="I1594" s="23" t="s">
        <v>24</v>
      </c>
      <c r="J1594" s="24">
        <v>90</v>
      </c>
      <c r="K1594" s="25">
        <v>0.25</v>
      </c>
      <c r="L1594" s="26">
        <f t="shared" si="244"/>
        <v>22.5</v>
      </c>
      <c r="M1594" s="27">
        <f t="shared" si="245"/>
        <v>67.5</v>
      </c>
      <c r="N1594" s="28">
        <v>0.16</v>
      </c>
      <c r="O1594" s="29">
        <f t="shared" si="246"/>
        <v>10.8</v>
      </c>
      <c r="P1594" s="30">
        <f t="shared" si="247"/>
        <v>78.3</v>
      </c>
      <c r="Q1594" s="23"/>
      <c r="R1594" s="52"/>
      <c r="S1594" s="53"/>
      <c r="T1594" s="54">
        <f t="shared" si="248"/>
        <v>0</v>
      </c>
      <c r="U1594" s="26">
        <f t="shared" si="249"/>
        <v>0</v>
      </c>
      <c r="V1594" s="55">
        <f t="shared" si="250"/>
        <v>0</v>
      </c>
      <c r="W1594" s="29">
        <f t="shared" si="251"/>
        <v>0</v>
      </c>
      <c r="X1594" s="30">
        <f t="shared" si="252"/>
        <v>0</v>
      </c>
      <c r="Y1594"/>
      <c r="Z1594"/>
      <c r="AA1594"/>
    </row>
    <row r="1595" spans="1:27" s="51" customFormat="1" ht="18.600000000000001" hidden="1" customHeight="1" x14ac:dyDescent="0.25">
      <c r="A1595" s="81" t="s">
        <v>2653</v>
      </c>
      <c r="B1595" s="31" t="s">
        <v>9303</v>
      </c>
      <c r="C1595" s="32" t="s">
        <v>9313</v>
      </c>
      <c r="D1595" s="31" t="s">
        <v>3726</v>
      </c>
      <c r="E1595" s="33" t="s">
        <v>3727</v>
      </c>
      <c r="F1595" s="33" t="s">
        <v>1937</v>
      </c>
      <c r="G1595" s="33" t="s">
        <v>3586</v>
      </c>
      <c r="H1595" s="84" t="s">
        <v>3728</v>
      </c>
      <c r="I1595" s="23" t="s">
        <v>24</v>
      </c>
      <c r="J1595" s="34">
        <v>90</v>
      </c>
      <c r="K1595" s="35">
        <v>0.25</v>
      </c>
      <c r="L1595" s="36">
        <f t="shared" si="244"/>
        <v>22.5</v>
      </c>
      <c r="M1595" s="37">
        <f t="shared" si="245"/>
        <v>67.5</v>
      </c>
      <c r="N1595" s="38">
        <v>0.16</v>
      </c>
      <c r="O1595" s="39">
        <f t="shared" si="246"/>
        <v>10.8</v>
      </c>
      <c r="P1595" s="40">
        <f t="shared" si="247"/>
        <v>78.3</v>
      </c>
      <c r="Q1595" s="23"/>
      <c r="R1595" s="56"/>
      <c r="S1595" s="57"/>
      <c r="T1595" s="58">
        <f t="shared" si="248"/>
        <v>0</v>
      </c>
      <c r="U1595" s="36">
        <f t="shared" si="249"/>
        <v>0</v>
      </c>
      <c r="V1595" s="59">
        <f t="shared" si="250"/>
        <v>0</v>
      </c>
      <c r="W1595" s="39">
        <f t="shared" si="251"/>
        <v>0</v>
      </c>
      <c r="X1595" s="40">
        <f t="shared" si="252"/>
        <v>0</v>
      </c>
      <c r="Y1595"/>
      <c r="Z1595"/>
      <c r="AA1595"/>
    </row>
    <row r="1596" spans="1:27" s="51" customFormat="1" ht="18.600000000000001" hidden="1" customHeight="1" x14ac:dyDescent="0.25">
      <c r="A1596" s="82" t="s">
        <v>2653</v>
      </c>
      <c r="B1596" s="41" t="s">
        <v>9303</v>
      </c>
      <c r="C1596" s="42" t="s">
        <v>9313</v>
      </c>
      <c r="D1596" s="41" t="s">
        <v>3729</v>
      </c>
      <c r="E1596" s="43" t="s">
        <v>3730</v>
      </c>
      <c r="F1596" s="43" t="s">
        <v>1937</v>
      </c>
      <c r="G1596" s="43" t="s">
        <v>3586</v>
      </c>
      <c r="H1596" s="85" t="s">
        <v>3731</v>
      </c>
      <c r="I1596" s="23" t="s">
        <v>24</v>
      </c>
      <c r="J1596" s="44">
        <v>90</v>
      </c>
      <c r="K1596" s="45">
        <v>0.25</v>
      </c>
      <c r="L1596" s="46">
        <f t="shared" si="244"/>
        <v>22.5</v>
      </c>
      <c r="M1596" s="47">
        <f t="shared" si="245"/>
        <v>67.5</v>
      </c>
      <c r="N1596" s="48">
        <v>0.16</v>
      </c>
      <c r="O1596" s="49">
        <f t="shared" si="246"/>
        <v>10.8</v>
      </c>
      <c r="P1596" s="50">
        <f t="shared" si="247"/>
        <v>78.3</v>
      </c>
      <c r="Q1596" s="23"/>
      <c r="R1596" s="60"/>
      <c r="S1596" s="61"/>
      <c r="T1596" s="62">
        <f t="shared" si="248"/>
        <v>0</v>
      </c>
      <c r="U1596" s="46">
        <f t="shared" si="249"/>
        <v>0</v>
      </c>
      <c r="V1596" s="63">
        <f t="shared" si="250"/>
        <v>0</v>
      </c>
      <c r="W1596" s="49">
        <f t="shared" si="251"/>
        <v>0</v>
      </c>
      <c r="X1596" s="50">
        <f t="shared" si="252"/>
        <v>0</v>
      </c>
      <c r="Y1596"/>
      <c r="Z1596"/>
      <c r="AA1596"/>
    </row>
    <row r="1597" spans="1:27" s="51" customFormat="1" ht="18.600000000000001" hidden="1" customHeight="1" x14ac:dyDescent="0.25">
      <c r="A1597" s="80" t="s">
        <v>2653</v>
      </c>
      <c r="B1597" s="20" t="s">
        <v>9303</v>
      </c>
      <c r="C1597" s="21" t="s">
        <v>9313</v>
      </c>
      <c r="D1597" s="20" t="s">
        <v>3732</v>
      </c>
      <c r="E1597" s="22" t="s">
        <v>3733</v>
      </c>
      <c r="F1597" s="22" t="s">
        <v>1937</v>
      </c>
      <c r="G1597" s="22" t="s">
        <v>3586</v>
      </c>
      <c r="H1597" s="83" t="s">
        <v>3734</v>
      </c>
      <c r="I1597" s="23" t="s">
        <v>24</v>
      </c>
      <c r="J1597" s="24">
        <v>90</v>
      </c>
      <c r="K1597" s="25">
        <v>0.25</v>
      </c>
      <c r="L1597" s="26">
        <f t="shared" si="244"/>
        <v>22.5</v>
      </c>
      <c r="M1597" s="27">
        <f t="shared" si="245"/>
        <v>67.5</v>
      </c>
      <c r="N1597" s="28">
        <v>0.16</v>
      </c>
      <c r="O1597" s="29">
        <f t="shared" si="246"/>
        <v>10.8</v>
      </c>
      <c r="P1597" s="30">
        <f t="shared" si="247"/>
        <v>78.3</v>
      </c>
      <c r="Q1597" s="23"/>
      <c r="R1597" s="52"/>
      <c r="S1597" s="53"/>
      <c r="T1597" s="54">
        <f t="shared" si="248"/>
        <v>0</v>
      </c>
      <c r="U1597" s="26">
        <f t="shared" si="249"/>
        <v>0</v>
      </c>
      <c r="V1597" s="55">
        <f t="shared" si="250"/>
        <v>0</v>
      </c>
      <c r="W1597" s="29">
        <f t="shared" si="251"/>
        <v>0</v>
      </c>
      <c r="X1597" s="30">
        <f t="shared" si="252"/>
        <v>0</v>
      </c>
      <c r="Y1597"/>
      <c r="Z1597"/>
      <c r="AA1597"/>
    </row>
    <row r="1598" spans="1:27" s="51" customFormat="1" ht="18.600000000000001" hidden="1" customHeight="1" x14ac:dyDescent="0.25">
      <c r="A1598" s="81" t="s">
        <v>2653</v>
      </c>
      <c r="B1598" s="31" t="s">
        <v>9303</v>
      </c>
      <c r="C1598" s="32" t="s">
        <v>9313</v>
      </c>
      <c r="D1598" s="31" t="s">
        <v>3735</v>
      </c>
      <c r="E1598" s="33" t="s">
        <v>3736</v>
      </c>
      <c r="F1598" s="33" t="s">
        <v>1937</v>
      </c>
      <c r="G1598" s="33" t="s">
        <v>3586</v>
      </c>
      <c r="H1598" s="84" t="s">
        <v>3737</v>
      </c>
      <c r="I1598" s="23" t="s">
        <v>24</v>
      </c>
      <c r="J1598" s="34">
        <v>90</v>
      </c>
      <c r="K1598" s="35">
        <v>0.25</v>
      </c>
      <c r="L1598" s="36">
        <f t="shared" si="244"/>
        <v>22.5</v>
      </c>
      <c r="M1598" s="37">
        <f t="shared" si="245"/>
        <v>67.5</v>
      </c>
      <c r="N1598" s="38">
        <v>0.16</v>
      </c>
      <c r="O1598" s="39">
        <f t="shared" si="246"/>
        <v>10.8</v>
      </c>
      <c r="P1598" s="40">
        <f t="shared" si="247"/>
        <v>78.3</v>
      </c>
      <c r="Q1598" s="23"/>
      <c r="R1598" s="56"/>
      <c r="S1598" s="57"/>
      <c r="T1598" s="58">
        <f t="shared" si="248"/>
        <v>0</v>
      </c>
      <c r="U1598" s="36">
        <f t="shared" si="249"/>
        <v>0</v>
      </c>
      <c r="V1598" s="59">
        <f t="shared" si="250"/>
        <v>0</v>
      </c>
      <c r="W1598" s="39">
        <f t="shared" si="251"/>
        <v>0</v>
      </c>
      <c r="X1598" s="40">
        <f t="shared" si="252"/>
        <v>0</v>
      </c>
      <c r="Y1598"/>
      <c r="Z1598"/>
      <c r="AA1598"/>
    </row>
    <row r="1599" spans="1:27" s="51" customFormat="1" ht="18.600000000000001" hidden="1" customHeight="1" x14ac:dyDescent="0.25">
      <c r="A1599" s="82" t="s">
        <v>2653</v>
      </c>
      <c r="B1599" s="41" t="s">
        <v>9303</v>
      </c>
      <c r="C1599" s="42" t="s">
        <v>9313</v>
      </c>
      <c r="D1599" s="41" t="s">
        <v>3738</v>
      </c>
      <c r="E1599" s="43" t="s">
        <v>3739</v>
      </c>
      <c r="F1599" s="43" t="s">
        <v>1937</v>
      </c>
      <c r="G1599" s="43" t="s">
        <v>3586</v>
      </c>
      <c r="H1599" s="85" t="s">
        <v>3740</v>
      </c>
      <c r="I1599" s="23" t="s">
        <v>24</v>
      </c>
      <c r="J1599" s="44">
        <v>90</v>
      </c>
      <c r="K1599" s="45">
        <v>0.25</v>
      </c>
      <c r="L1599" s="46">
        <f t="shared" si="244"/>
        <v>22.5</v>
      </c>
      <c r="M1599" s="47">
        <f t="shared" si="245"/>
        <v>67.5</v>
      </c>
      <c r="N1599" s="48">
        <v>0.16</v>
      </c>
      <c r="O1599" s="49">
        <f t="shared" si="246"/>
        <v>10.8</v>
      </c>
      <c r="P1599" s="50">
        <f t="shared" si="247"/>
        <v>78.3</v>
      </c>
      <c r="Q1599" s="23"/>
      <c r="R1599" s="60"/>
      <c r="S1599" s="61"/>
      <c r="T1599" s="62">
        <f t="shared" si="248"/>
        <v>0</v>
      </c>
      <c r="U1599" s="46">
        <f t="shared" si="249"/>
        <v>0</v>
      </c>
      <c r="V1599" s="63">
        <f t="shared" si="250"/>
        <v>0</v>
      </c>
      <c r="W1599" s="49">
        <f t="shared" si="251"/>
        <v>0</v>
      </c>
      <c r="X1599" s="50">
        <f t="shared" si="252"/>
        <v>0</v>
      </c>
      <c r="Y1599"/>
      <c r="Z1599"/>
      <c r="AA1599"/>
    </row>
    <row r="1600" spans="1:27" s="51" customFormat="1" ht="18.600000000000001" hidden="1" customHeight="1" x14ac:dyDescent="0.25">
      <c r="A1600" s="80" t="s">
        <v>2653</v>
      </c>
      <c r="B1600" s="20" t="s">
        <v>9303</v>
      </c>
      <c r="C1600" s="21" t="s">
        <v>9313</v>
      </c>
      <c r="D1600" s="20" t="s">
        <v>3741</v>
      </c>
      <c r="E1600" s="22" t="s">
        <v>3742</v>
      </c>
      <c r="F1600" s="22" t="s">
        <v>1937</v>
      </c>
      <c r="G1600" s="22" t="s">
        <v>3586</v>
      </c>
      <c r="H1600" s="83" t="s">
        <v>3743</v>
      </c>
      <c r="I1600" s="23" t="s">
        <v>24</v>
      </c>
      <c r="J1600" s="24">
        <v>90</v>
      </c>
      <c r="K1600" s="25">
        <v>0.25</v>
      </c>
      <c r="L1600" s="26">
        <f t="shared" si="244"/>
        <v>22.5</v>
      </c>
      <c r="M1600" s="27">
        <f t="shared" si="245"/>
        <v>67.5</v>
      </c>
      <c r="N1600" s="28">
        <v>0.16</v>
      </c>
      <c r="O1600" s="29">
        <f t="shared" si="246"/>
        <v>10.8</v>
      </c>
      <c r="P1600" s="30">
        <f t="shared" si="247"/>
        <v>78.3</v>
      </c>
      <c r="Q1600" s="23"/>
      <c r="R1600" s="52"/>
      <c r="S1600" s="53"/>
      <c r="T1600" s="54">
        <f t="shared" si="248"/>
        <v>0</v>
      </c>
      <c r="U1600" s="26">
        <f t="shared" si="249"/>
        <v>0</v>
      </c>
      <c r="V1600" s="55">
        <f t="shared" si="250"/>
        <v>0</v>
      </c>
      <c r="W1600" s="29">
        <f t="shared" si="251"/>
        <v>0</v>
      </c>
      <c r="X1600" s="30">
        <f t="shared" si="252"/>
        <v>0</v>
      </c>
      <c r="Y1600"/>
      <c r="Z1600"/>
      <c r="AA1600"/>
    </row>
    <row r="1601" spans="1:27" s="51" customFormat="1" ht="18.600000000000001" hidden="1" customHeight="1" x14ac:dyDescent="0.25">
      <c r="A1601" s="81" t="s">
        <v>2653</v>
      </c>
      <c r="B1601" s="31" t="s">
        <v>9303</v>
      </c>
      <c r="C1601" s="32" t="s">
        <v>9313</v>
      </c>
      <c r="D1601" s="31" t="s">
        <v>3744</v>
      </c>
      <c r="E1601" s="33" t="s">
        <v>3745</v>
      </c>
      <c r="F1601" s="33" t="s">
        <v>1937</v>
      </c>
      <c r="G1601" s="33" t="s">
        <v>3586</v>
      </c>
      <c r="H1601" s="84" t="s">
        <v>3746</v>
      </c>
      <c r="I1601" s="23" t="s">
        <v>24</v>
      </c>
      <c r="J1601" s="34">
        <v>90</v>
      </c>
      <c r="K1601" s="35">
        <v>0.25</v>
      </c>
      <c r="L1601" s="36">
        <f t="shared" si="244"/>
        <v>22.5</v>
      </c>
      <c r="M1601" s="37">
        <f t="shared" si="245"/>
        <v>67.5</v>
      </c>
      <c r="N1601" s="38">
        <v>0.16</v>
      </c>
      <c r="O1601" s="39">
        <f t="shared" si="246"/>
        <v>10.8</v>
      </c>
      <c r="P1601" s="40">
        <f t="shared" si="247"/>
        <v>78.3</v>
      </c>
      <c r="Q1601" s="23"/>
      <c r="R1601" s="56"/>
      <c r="S1601" s="57"/>
      <c r="T1601" s="58">
        <f t="shared" si="248"/>
        <v>0</v>
      </c>
      <c r="U1601" s="36">
        <f t="shared" si="249"/>
        <v>0</v>
      </c>
      <c r="V1601" s="59">
        <f t="shared" si="250"/>
        <v>0</v>
      </c>
      <c r="W1601" s="39">
        <f t="shared" si="251"/>
        <v>0</v>
      </c>
      <c r="X1601" s="40">
        <f t="shared" si="252"/>
        <v>0</v>
      </c>
      <c r="Y1601"/>
      <c r="Z1601"/>
      <c r="AA1601"/>
    </row>
    <row r="1602" spans="1:27" s="51" customFormat="1" ht="18.600000000000001" hidden="1" customHeight="1" x14ac:dyDescent="0.25">
      <c r="A1602" s="82" t="s">
        <v>2653</v>
      </c>
      <c r="B1602" s="41" t="s">
        <v>9303</v>
      </c>
      <c r="C1602" s="42" t="s">
        <v>9313</v>
      </c>
      <c r="D1602" s="41" t="s">
        <v>3747</v>
      </c>
      <c r="E1602" s="43" t="s">
        <v>3748</v>
      </c>
      <c r="F1602" s="43" t="s">
        <v>1937</v>
      </c>
      <c r="G1602" s="43" t="s">
        <v>3586</v>
      </c>
      <c r="H1602" s="85" t="s">
        <v>3749</v>
      </c>
      <c r="I1602" s="23" t="s">
        <v>24</v>
      </c>
      <c r="J1602" s="44">
        <v>90</v>
      </c>
      <c r="K1602" s="45">
        <v>0.25</v>
      </c>
      <c r="L1602" s="46">
        <f t="shared" si="244"/>
        <v>22.5</v>
      </c>
      <c r="M1602" s="47">
        <f t="shared" si="245"/>
        <v>67.5</v>
      </c>
      <c r="N1602" s="48">
        <v>0.16</v>
      </c>
      <c r="O1602" s="49">
        <f t="shared" si="246"/>
        <v>10.8</v>
      </c>
      <c r="P1602" s="50">
        <f t="shared" si="247"/>
        <v>78.3</v>
      </c>
      <c r="Q1602" s="23"/>
      <c r="R1602" s="60"/>
      <c r="S1602" s="61"/>
      <c r="T1602" s="62">
        <f t="shared" si="248"/>
        <v>0</v>
      </c>
      <c r="U1602" s="46">
        <f t="shared" si="249"/>
        <v>0</v>
      </c>
      <c r="V1602" s="63">
        <f t="shared" si="250"/>
        <v>0</v>
      </c>
      <c r="W1602" s="49">
        <f t="shared" si="251"/>
        <v>0</v>
      </c>
      <c r="X1602" s="50">
        <f t="shared" si="252"/>
        <v>0</v>
      </c>
      <c r="Y1602"/>
      <c r="Z1602"/>
      <c r="AA1602"/>
    </row>
    <row r="1603" spans="1:27" s="51" customFormat="1" ht="18.600000000000001" hidden="1" customHeight="1" x14ac:dyDescent="0.25">
      <c r="A1603" s="80" t="s">
        <v>2653</v>
      </c>
      <c r="B1603" s="20" t="s">
        <v>9303</v>
      </c>
      <c r="C1603" s="21" t="s">
        <v>9313</v>
      </c>
      <c r="D1603" s="20" t="s">
        <v>3750</v>
      </c>
      <c r="E1603" s="22" t="s">
        <v>3751</v>
      </c>
      <c r="F1603" s="22" t="s">
        <v>1937</v>
      </c>
      <c r="G1603" s="22" t="s">
        <v>3586</v>
      </c>
      <c r="H1603" s="83" t="s">
        <v>3752</v>
      </c>
      <c r="I1603" s="23" t="s">
        <v>24</v>
      </c>
      <c r="J1603" s="24">
        <v>90</v>
      </c>
      <c r="K1603" s="25">
        <v>0.25</v>
      </c>
      <c r="L1603" s="26">
        <f t="shared" si="244"/>
        <v>22.5</v>
      </c>
      <c r="M1603" s="27">
        <f t="shared" si="245"/>
        <v>67.5</v>
      </c>
      <c r="N1603" s="28">
        <v>0.16</v>
      </c>
      <c r="O1603" s="29">
        <f t="shared" si="246"/>
        <v>10.8</v>
      </c>
      <c r="P1603" s="30">
        <f t="shared" si="247"/>
        <v>78.3</v>
      </c>
      <c r="Q1603" s="23"/>
      <c r="R1603" s="52"/>
      <c r="S1603" s="53"/>
      <c r="T1603" s="54">
        <f t="shared" si="248"/>
        <v>0</v>
      </c>
      <c r="U1603" s="26">
        <f t="shared" si="249"/>
        <v>0</v>
      </c>
      <c r="V1603" s="55">
        <f t="shared" si="250"/>
        <v>0</v>
      </c>
      <c r="W1603" s="29">
        <f t="shared" si="251"/>
        <v>0</v>
      </c>
      <c r="X1603" s="30">
        <f t="shared" si="252"/>
        <v>0</v>
      </c>
      <c r="Y1603"/>
      <c r="Z1603"/>
      <c r="AA1603"/>
    </row>
    <row r="1604" spans="1:27" s="51" customFormat="1" ht="18.600000000000001" hidden="1" customHeight="1" x14ac:dyDescent="0.25">
      <c r="A1604" s="81" t="s">
        <v>2653</v>
      </c>
      <c r="B1604" s="31" t="s">
        <v>9303</v>
      </c>
      <c r="C1604" s="32" t="s">
        <v>9313</v>
      </c>
      <c r="D1604" s="31" t="s">
        <v>3753</v>
      </c>
      <c r="E1604" s="33" t="s">
        <v>3754</v>
      </c>
      <c r="F1604" s="33" t="s">
        <v>1937</v>
      </c>
      <c r="G1604" s="33" t="s">
        <v>3586</v>
      </c>
      <c r="H1604" s="84" t="s">
        <v>3755</v>
      </c>
      <c r="I1604" s="23" t="s">
        <v>24</v>
      </c>
      <c r="J1604" s="34">
        <v>90</v>
      </c>
      <c r="K1604" s="35">
        <v>0.25</v>
      </c>
      <c r="L1604" s="36">
        <f t="shared" si="244"/>
        <v>22.5</v>
      </c>
      <c r="M1604" s="37">
        <f t="shared" si="245"/>
        <v>67.5</v>
      </c>
      <c r="N1604" s="38">
        <v>0.16</v>
      </c>
      <c r="O1604" s="39">
        <f t="shared" si="246"/>
        <v>10.8</v>
      </c>
      <c r="P1604" s="40">
        <f t="shared" si="247"/>
        <v>78.3</v>
      </c>
      <c r="Q1604" s="23"/>
      <c r="R1604" s="56"/>
      <c r="S1604" s="57"/>
      <c r="T1604" s="58">
        <f t="shared" si="248"/>
        <v>0</v>
      </c>
      <c r="U1604" s="36">
        <f t="shared" si="249"/>
        <v>0</v>
      </c>
      <c r="V1604" s="59">
        <f t="shared" si="250"/>
        <v>0</v>
      </c>
      <c r="W1604" s="39">
        <f t="shared" si="251"/>
        <v>0</v>
      </c>
      <c r="X1604" s="40">
        <f t="shared" si="252"/>
        <v>0</v>
      </c>
      <c r="Y1604"/>
      <c r="Z1604"/>
      <c r="AA1604"/>
    </row>
    <row r="1605" spans="1:27" s="51" customFormat="1" ht="18.600000000000001" hidden="1" customHeight="1" x14ac:dyDescent="0.25">
      <c r="A1605" s="82" t="s">
        <v>2653</v>
      </c>
      <c r="B1605" s="41" t="s">
        <v>9303</v>
      </c>
      <c r="C1605" s="42" t="s">
        <v>9313</v>
      </c>
      <c r="D1605" s="41" t="s">
        <v>3756</v>
      </c>
      <c r="E1605" s="43" t="s">
        <v>3757</v>
      </c>
      <c r="F1605" s="43" t="s">
        <v>1937</v>
      </c>
      <c r="G1605" s="43" t="s">
        <v>3586</v>
      </c>
      <c r="H1605" s="85" t="s">
        <v>3758</v>
      </c>
      <c r="I1605" s="23" t="s">
        <v>24</v>
      </c>
      <c r="J1605" s="44">
        <v>90</v>
      </c>
      <c r="K1605" s="45">
        <v>0.25</v>
      </c>
      <c r="L1605" s="46">
        <f t="shared" si="244"/>
        <v>22.5</v>
      </c>
      <c r="M1605" s="47">
        <f t="shared" si="245"/>
        <v>67.5</v>
      </c>
      <c r="N1605" s="48">
        <v>0.16</v>
      </c>
      <c r="O1605" s="49">
        <f t="shared" si="246"/>
        <v>10.8</v>
      </c>
      <c r="P1605" s="50">
        <f t="shared" si="247"/>
        <v>78.3</v>
      </c>
      <c r="Q1605" s="23"/>
      <c r="R1605" s="60"/>
      <c r="S1605" s="61"/>
      <c r="T1605" s="62">
        <f t="shared" si="248"/>
        <v>0</v>
      </c>
      <c r="U1605" s="46">
        <f t="shared" si="249"/>
        <v>0</v>
      </c>
      <c r="V1605" s="63">
        <f t="shared" si="250"/>
        <v>0</v>
      </c>
      <c r="W1605" s="49">
        <f t="shared" si="251"/>
        <v>0</v>
      </c>
      <c r="X1605" s="50">
        <f t="shared" si="252"/>
        <v>0</v>
      </c>
      <c r="Y1605"/>
      <c r="Z1605"/>
      <c r="AA1605"/>
    </row>
    <row r="1606" spans="1:27" s="51" customFormat="1" ht="18.600000000000001" hidden="1" customHeight="1" x14ac:dyDescent="0.25">
      <c r="A1606" s="80" t="s">
        <v>2653</v>
      </c>
      <c r="B1606" s="20" t="s">
        <v>9303</v>
      </c>
      <c r="C1606" s="21" t="s">
        <v>9313</v>
      </c>
      <c r="D1606" s="20" t="s">
        <v>3759</v>
      </c>
      <c r="E1606" s="22" t="s">
        <v>3760</v>
      </c>
      <c r="F1606" s="22" t="s">
        <v>1937</v>
      </c>
      <c r="G1606" s="22" t="s">
        <v>3586</v>
      </c>
      <c r="H1606" s="83" t="s">
        <v>3761</v>
      </c>
      <c r="I1606" s="23" t="s">
        <v>24</v>
      </c>
      <c r="J1606" s="24">
        <v>90</v>
      </c>
      <c r="K1606" s="25">
        <v>0.25</v>
      </c>
      <c r="L1606" s="26">
        <f t="shared" si="244"/>
        <v>22.5</v>
      </c>
      <c r="M1606" s="27">
        <f t="shared" si="245"/>
        <v>67.5</v>
      </c>
      <c r="N1606" s="28">
        <v>0.16</v>
      </c>
      <c r="O1606" s="29">
        <f t="shared" si="246"/>
        <v>10.8</v>
      </c>
      <c r="P1606" s="30">
        <f t="shared" si="247"/>
        <v>78.3</v>
      </c>
      <c r="Q1606" s="23"/>
      <c r="R1606" s="52"/>
      <c r="S1606" s="53"/>
      <c r="T1606" s="54">
        <f t="shared" si="248"/>
        <v>0</v>
      </c>
      <c r="U1606" s="26">
        <f t="shared" si="249"/>
        <v>0</v>
      </c>
      <c r="V1606" s="55">
        <f t="shared" si="250"/>
        <v>0</v>
      </c>
      <c r="W1606" s="29">
        <f t="shared" si="251"/>
        <v>0</v>
      </c>
      <c r="X1606" s="30">
        <f t="shared" si="252"/>
        <v>0</v>
      </c>
      <c r="Y1606"/>
      <c r="Z1606"/>
      <c r="AA1606"/>
    </row>
    <row r="1607" spans="1:27" s="51" customFormat="1" ht="18.600000000000001" hidden="1" customHeight="1" x14ac:dyDescent="0.25">
      <c r="A1607" s="81" t="s">
        <v>2653</v>
      </c>
      <c r="B1607" s="31" t="s">
        <v>9303</v>
      </c>
      <c r="C1607" s="32" t="s">
        <v>9313</v>
      </c>
      <c r="D1607" s="31" t="s">
        <v>3762</v>
      </c>
      <c r="E1607" s="33" t="s">
        <v>3763</v>
      </c>
      <c r="F1607" s="33" t="s">
        <v>1937</v>
      </c>
      <c r="G1607" s="33" t="s">
        <v>3586</v>
      </c>
      <c r="H1607" s="84" t="s">
        <v>3764</v>
      </c>
      <c r="I1607" s="23" t="s">
        <v>24</v>
      </c>
      <c r="J1607" s="34">
        <v>90</v>
      </c>
      <c r="K1607" s="35">
        <v>0.25</v>
      </c>
      <c r="L1607" s="36">
        <f t="shared" si="244"/>
        <v>22.5</v>
      </c>
      <c r="M1607" s="37">
        <f t="shared" si="245"/>
        <v>67.5</v>
      </c>
      <c r="N1607" s="38">
        <v>0.16</v>
      </c>
      <c r="O1607" s="39">
        <f t="shared" si="246"/>
        <v>10.8</v>
      </c>
      <c r="P1607" s="40">
        <f t="shared" si="247"/>
        <v>78.3</v>
      </c>
      <c r="Q1607" s="23"/>
      <c r="R1607" s="56"/>
      <c r="S1607" s="57"/>
      <c r="T1607" s="58">
        <f t="shared" si="248"/>
        <v>0</v>
      </c>
      <c r="U1607" s="36">
        <f t="shared" si="249"/>
        <v>0</v>
      </c>
      <c r="V1607" s="59">
        <f t="shared" si="250"/>
        <v>0</v>
      </c>
      <c r="W1607" s="39">
        <f t="shared" si="251"/>
        <v>0</v>
      </c>
      <c r="X1607" s="40">
        <f t="shared" si="252"/>
        <v>0</v>
      </c>
      <c r="Y1607"/>
      <c r="Z1607"/>
      <c r="AA1607"/>
    </row>
    <row r="1608" spans="1:27" s="51" customFormat="1" ht="18.600000000000001" hidden="1" customHeight="1" x14ac:dyDescent="0.25">
      <c r="A1608" s="82" t="s">
        <v>2653</v>
      </c>
      <c r="B1608" s="41" t="s">
        <v>9303</v>
      </c>
      <c r="C1608" s="42" t="s">
        <v>9313</v>
      </c>
      <c r="D1608" s="41" t="s">
        <v>3765</v>
      </c>
      <c r="E1608" s="43" t="s">
        <v>3766</v>
      </c>
      <c r="F1608" s="43" t="s">
        <v>1937</v>
      </c>
      <c r="G1608" s="43" t="s">
        <v>3586</v>
      </c>
      <c r="H1608" s="85" t="s">
        <v>3767</v>
      </c>
      <c r="I1608" s="23" t="s">
        <v>24</v>
      </c>
      <c r="J1608" s="44">
        <v>90</v>
      </c>
      <c r="K1608" s="45">
        <v>0.25</v>
      </c>
      <c r="L1608" s="46">
        <f t="shared" si="244"/>
        <v>22.5</v>
      </c>
      <c r="M1608" s="47">
        <f t="shared" si="245"/>
        <v>67.5</v>
      </c>
      <c r="N1608" s="48">
        <v>0.16</v>
      </c>
      <c r="O1608" s="49">
        <f t="shared" si="246"/>
        <v>10.8</v>
      </c>
      <c r="P1608" s="50">
        <f t="shared" si="247"/>
        <v>78.3</v>
      </c>
      <c r="Q1608" s="23"/>
      <c r="R1608" s="60"/>
      <c r="S1608" s="61"/>
      <c r="T1608" s="62">
        <f t="shared" si="248"/>
        <v>0</v>
      </c>
      <c r="U1608" s="46">
        <f t="shared" si="249"/>
        <v>0</v>
      </c>
      <c r="V1608" s="63">
        <f t="shared" si="250"/>
        <v>0</v>
      </c>
      <c r="W1608" s="49">
        <f t="shared" si="251"/>
        <v>0</v>
      </c>
      <c r="X1608" s="50">
        <f t="shared" si="252"/>
        <v>0</v>
      </c>
      <c r="Y1608"/>
      <c r="Z1608"/>
      <c r="AA1608"/>
    </row>
    <row r="1609" spans="1:27" s="51" customFormat="1" ht="18.600000000000001" hidden="1" customHeight="1" x14ac:dyDescent="0.25">
      <c r="A1609" s="80" t="s">
        <v>2653</v>
      </c>
      <c r="B1609" s="20" t="s">
        <v>9303</v>
      </c>
      <c r="C1609" s="21" t="s">
        <v>9313</v>
      </c>
      <c r="D1609" s="20" t="s">
        <v>3768</v>
      </c>
      <c r="E1609" s="22" t="s">
        <v>3769</v>
      </c>
      <c r="F1609" s="22" t="s">
        <v>1937</v>
      </c>
      <c r="G1609" s="22" t="s">
        <v>3586</v>
      </c>
      <c r="H1609" s="83" t="s">
        <v>3770</v>
      </c>
      <c r="I1609" s="23" t="s">
        <v>24</v>
      </c>
      <c r="J1609" s="24">
        <v>90</v>
      </c>
      <c r="K1609" s="25">
        <v>0.25</v>
      </c>
      <c r="L1609" s="26">
        <f t="shared" si="244"/>
        <v>22.5</v>
      </c>
      <c r="M1609" s="27">
        <f t="shared" si="245"/>
        <v>67.5</v>
      </c>
      <c r="N1609" s="28">
        <v>0.16</v>
      </c>
      <c r="O1609" s="29">
        <f t="shared" si="246"/>
        <v>10.8</v>
      </c>
      <c r="P1609" s="30">
        <f t="shared" si="247"/>
        <v>78.3</v>
      </c>
      <c r="Q1609" s="23"/>
      <c r="R1609" s="52"/>
      <c r="S1609" s="53"/>
      <c r="T1609" s="54">
        <f t="shared" si="248"/>
        <v>0</v>
      </c>
      <c r="U1609" s="26">
        <f t="shared" si="249"/>
        <v>0</v>
      </c>
      <c r="V1609" s="55">
        <f t="shared" si="250"/>
        <v>0</v>
      </c>
      <c r="W1609" s="29">
        <f t="shared" si="251"/>
        <v>0</v>
      </c>
      <c r="X1609" s="30">
        <f t="shared" si="252"/>
        <v>0</v>
      </c>
      <c r="Y1609"/>
      <c r="Z1609"/>
      <c r="AA1609"/>
    </row>
    <row r="1610" spans="1:27" s="51" customFormat="1" ht="18.600000000000001" hidden="1" customHeight="1" x14ac:dyDescent="0.25">
      <c r="A1610" s="81" t="s">
        <v>2653</v>
      </c>
      <c r="B1610" s="31" t="s">
        <v>9303</v>
      </c>
      <c r="C1610" s="32" t="s">
        <v>9313</v>
      </c>
      <c r="D1610" s="31" t="s">
        <v>3771</v>
      </c>
      <c r="E1610" s="33" t="s">
        <v>3772</v>
      </c>
      <c r="F1610" s="33" t="s">
        <v>1937</v>
      </c>
      <c r="G1610" s="33" t="s">
        <v>3586</v>
      </c>
      <c r="H1610" s="84" t="s">
        <v>3773</v>
      </c>
      <c r="I1610" s="23" t="s">
        <v>24</v>
      </c>
      <c r="J1610" s="34">
        <v>90</v>
      </c>
      <c r="K1610" s="35">
        <v>0.25</v>
      </c>
      <c r="L1610" s="36">
        <f t="shared" si="244"/>
        <v>22.5</v>
      </c>
      <c r="M1610" s="37">
        <f t="shared" si="245"/>
        <v>67.5</v>
      </c>
      <c r="N1610" s="38">
        <v>0.16</v>
      </c>
      <c r="O1610" s="39">
        <f t="shared" si="246"/>
        <v>10.8</v>
      </c>
      <c r="P1610" s="40">
        <f t="shared" si="247"/>
        <v>78.3</v>
      </c>
      <c r="Q1610" s="23"/>
      <c r="R1610" s="56"/>
      <c r="S1610" s="57"/>
      <c r="T1610" s="58">
        <f t="shared" si="248"/>
        <v>0</v>
      </c>
      <c r="U1610" s="36">
        <f t="shared" si="249"/>
        <v>0</v>
      </c>
      <c r="V1610" s="59">
        <f t="shared" si="250"/>
        <v>0</v>
      </c>
      <c r="W1610" s="39">
        <f t="shared" si="251"/>
        <v>0</v>
      </c>
      <c r="X1610" s="40">
        <f t="shared" si="252"/>
        <v>0</v>
      </c>
      <c r="Y1610"/>
      <c r="Z1610"/>
      <c r="AA1610"/>
    </row>
    <row r="1611" spans="1:27" s="51" customFormat="1" ht="18.600000000000001" hidden="1" customHeight="1" x14ac:dyDescent="0.25">
      <c r="A1611" s="82" t="s">
        <v>2653</v>
      </c>
      <c r="B1611" s="41" t="s">
        <v>9303</v>
      </c>
      <c r="C1611" s="42" t="s">
        <v>9313</v>
      </c>
      <c r="D1611" s="41" t="s">
        <v>3774</v>
      </c>
      <c r="E1611" s="43" t="s">
        <v>3775</v>
      </c>
      <c r="F1611" s="43" t="s">
        <v>1937</v>
      </c>
      <c r="G1611" s="43" t="s">
        <v>3586</v>
      </c>
      <c r="H1611" s="85" t="s">
        <v>3776</v>
      </c>
      <c r="I1611" s="23" t="s">
        <v>24</v>
      </c>
      <c r="J1611" s="44">
        <v>90</v>
      </c>
      <c r="K1611" s="45">
        <v>0.25</v>
      </c>
      <c r="L1611" s="46">
        <f t="shared" si="244"/>
        <v>22.5</v>
      </c>
      <c r="M1611" s="47">
        <f t="shared" si="245"/>
        <v>67.5</v>
      </c>
      <c r="N1611" s="48">
        <v>0.16</v>
      </c>
      <c r="O1611" s="49">
        <f t="shared" si="246"/>
        <v>10.8</v>
      </c>
      <c r="P1611" s="50">
        <f t="shared" si="247"/>
        <v>78.3</v>
      </c>
      <c r="Q1611" s="23"/>
      <c r="R1611" s="60"/>
      <c r="S1611" s="61"/>
      <c r="T1611" s="62">
        <f t="shared" si="248"/>
        <v>0</v>
      </c>
      <c r="U1611" s="46">
        <f t="shared" si="249"/>
        <v>0</v>
      </c>
      <c r="V1611" s="63">
        <f t="shared" si="250"/>
        <v>0</v>
      </c>
      <c r="W1611" s="49">
        <f t="shared" si="251"/>
        <v>0</v>
      </c>
      <c r="X1611" s="50">
        <f t="shared" si="252"/>
        <v>0</v>
      </c>
      <c r="Y1611"/>
      <c r="Z1611"/>
      <c r="AA1611"/>
    </row>
    <row r="1612" spans="1:27" s="51" customFormat="1" ht="18.600000000000001" hidden="1" customHeight="1" x14ac:dyDescent="0.25">
      <c r="A1612" s="80" t="s">
        <v>2653</v>
      </c>
      <c r="B1612" s="20" t="s">
        <v>9303</v>
      </c>
      <c r="C1612" s="21" t="s">
        <v>9313</v>
      </c>
      <c r="D1612" s="20" t="s">
        <v>3777</v>
      </c>
      <c r="E1612" s="22" t="s">
        <v>3778</v>
      </c>
      <c r="F1612" s="22" t="s">
        <v>1937</v>
      </c>
      <c r="G1612" s="22" t="s">
        <v>3586</v>
      </c>
      <c r="H1612" s="83" t="s">
        <v>3779</v>
      </c>
      <c r="I1612" s="23" t="s">
        <v>24</v>
      </c>
      <c r="J1612" s="24">
        <v>90</v>
      </c>
      <c r="K1612" s="25">
        <v>0.25</v>
      </c>
      <c r="L1612" s="26">
        <f t="shared" si="244"/>
        <v>22.5</v>
      </c>
      <c r="M1612" s="27">
        <f t="shared" si="245"/>
        <v>67.5</v>
      </c>
      <c r="N1612" s="28">
        <v>0.16</v>
      </c>
      <c r="O1612" s="29">
        <f t="shared" si="246"/>
        <v>10.8</v>
      </c>
      <c r="P1612" s="30">
        <f t="shared" si="247"/>
        <v>78.3</v>
      </c>
      <c r="Q1612" s="23"/>
      <c r="R1612" s="52"/>
      <c r="S1612" s="53"/>
      <c r="T1612" s="54">
        <f t="shared" si="248"/>
        <v>0</v>
      </c>
      <c r="U1612" s="26">
        <f t="shared" si="249"/>
        <v>0</v>
      </c>
      <c r="V1612" s="55">
        <f t="shared" si="250"/>
        <v>0</v>
      </c>
      <c r="W1612" s="29">
        <f t="shared" si="251"/>
        <v>0</v>
      </c>
      <c r="X1612" s="30">
        <f t="shared" si="252"/>
        <v>0</v>
      </c>
      <c r="Y1612"/>
      <c r="Z1612"/>
      <c r="AA1612"/>
    </row>
    <row r="1613" spans="1:27" s="51" customFormat="1" ht="18.600000000000001" hidden="1" customHeight="1" x14ac:dyDescent="0.25">
      <c r="A1613" s="81" t="s">
        <v>2653</v>
      </c>
      <c r="B1613" s="31" t="s">
        <v>9303</v>
      </c>
      <c r="C1613" s="32" t="s">
        <v>9313</v>
      </c>
      <c r="D1613" s="31" t="s">
        <v>3780</v>
      </c>
      <c r="E1613" s="33" t="s">
        <v>3781</v>
      </c>
      <c r="F1613" s="33" t="s">
        <v>1937</v>
      </c>
      <c r="G1613" s="33" t="s">
        <v>3586</v>
      </c>
      <c r="H1613" s="84" t="s">
        <v>3782</v>
      </c>
      <c r="I1613" s="23" t="s">
        <v>24</v>
      </c>
      <c r="J1613" s="34">
        <v>90</v>
      </c>
      <c r="K1613" s="35">
        <v>0.25</v>
      </c>
      <c r="L1613" s="36">
        <f t="shared" si="244"/>
        <v>22.5</v>
      </c>
      <c r="M1613" s="37">
        <f t="shared" si="245"/>
        <v>67.5</v>
      </c>
      <c r="N1613" s="38">
        <v>0.16</v>
      </c>
      <c r="O1613" s="39">
        <f t="shared" si="246"/>
        <v>10.8</v>
      </c>
      <c r="P1613" s="40">
        <f t="shared" si="247"/>
        <v>78.3</v>
      </c>
      <c r="Q1613" s="23"/>
      <c r="R1613" s="56"/>
      <c r="S1613" s="57"/>
      <c r="T1613" s="58">
        <f t="shared" si="248"/>
        <v>0</v>
      </c>
      <c r="U1613" s="36">
        <f t="shared" si="249"/>
        <v>0</v>
      </c>
      <c r="V1613" s="59">
        <f t="shared" si="250"/>
        <v>0</v>
      </c>
      <c r="W1613" s="39">
        <f t="shared" si="251"/>
        <v>0</v>
      </c>
      <c r="X1613" s="40">
        <f t="shared" si="252"/>
        <v>0</v>
      </c>
      <c r="Y1613"/>
      <c r="Z1613"/>
      <c r="AA1613"/>
    </row>
    <row r="1614" spans="1:27" s="51" customFormat="1" ht="18.600000000000001" hidden="1" customHeight="1" x14ac:dyDescent="0.25">
      <c r="A1614" s="82" t="s">
        <v>2653</v>
      </c>
      <c r="B1614" s="41" t="s">
        <v>9303</v>
      </c>
      <c r="C1614" s="42" t="s">
        <v>9313</v>
      </c>
      <c r="D1614" s="41" t="s">
        <v>3783</v>
      </c>
      <c r="E1614" s="43" t="s">
        <v>3784</v>
      </c>
      <c r="F1614" s="43" t="s">
        <v>1937</v>
      </c>
      <c r="G1614" s="43" t="s">
        <v>3586</v>
      </c>
      <c r="H1614" s="85" t="s">
        <v>3785</v>
      </c>
      <c r="I1614" s="23" t="s">
        <v>24</v>
      </c>
      <c r="J1614" s="44">
        <v>90</v>
      </c>
      <c r="K1614" s="45">
        <v>0.25</v>
      </c>
      <c r="L1614" s="46">
        <f t="shared" si="244"/>
        <v>22.5</v>
      </c>
      <c r="M1614" s="47">
        <f t="shared" si="245"/>
        <v>67.5</v>
      </c>
      <c r="N1614" s="48">
        <v>0.16</v>
      </c>
      <c r="O1614" s="49">
        <f t="shared" si="246"/>
        <v>10.8</v>
      </c>
      <c r="P1614" s="50">
        <f t="shared" si="247"/>
        <v>78.3</v>
      </c>
      <c r="Q1614" s="23"/>
      <c r="R1614" s="60"/>
      <c r="S1614" s="61"/>
      <c r="T1614" s="62">
        <f t="shared" si="248"/>
        <v>0</v>
      </c>
      <c r="U1614" s="46">
        <f t="shared" si="249"/>
        <v>0</v>
      </c>
      <c r="V1614" s="63">
        <f t="shared" si="250"/>
        <v>0</v>
      </c>
      <c r="W1614" s="49">
        <f t="shared" si="251"/>
        <v>0</v>
      </c>
      <c r="X1614" s="50">
        <f t="shared" si="252"/>
        <v>0</v>
      </c>
      <c r="Y1614"/>
      <c r="Z1614"/>
      <c r="AA1614"/>
    </row>
    <row r="1615" spans="1:27" s="51" customFormat="1" ht="18.600000000000001" hidden="1" customHeight="1" x14ac:dyDescent="0.25">
      <c r="A1615" s="80" t="s">
        <v>2653</v>
      </c>
      <c r="B1615" s="20" t="s">
        <v>9303</v>
      </c>
      <c r="C1615" s="21" t="s">
        <v>9313</v>
      </c>
      <c r="D1615" s="20" t="s">
        <v>3786</v>
      </c>
      <c r="E1615" s="22" t="s">
        <v>3787</v>
      </c>
      <c r="F1615" s="22" t="s">
        <v>1937</v>
      </c>
      <c r="G1615" s="22" t="s">
        <v>3586</v>
      </c>
      <c r="H1615" s="83" t="s">
        <v>3788</v>
      </c>
      <c r="I1615" s="23" t="s">
        <v>24</v>
      </c>
      <c r="J1615" s="24">
        <v>90</v>
      </c>
      <c r="K1615" s="25">
        <v>0.25</v>
      </c>
      <c r="L1615" s="26">
        <f t="shared" si="244"/>
        <v>22.5</v>
      </c>
      <c r="M1615" s="27">
        <f t="shared" si="245"/>
        <v>67.5</v>
      </c>
      <c r="N1615" s="28">
        <v>0.16</v>
      </c>
      <c r="O1615" s="29">
        <f t="shared" si="246"/>
        <v>10.8</v>
      </c>
      <c r="P1615" s="30">
        <f t="shared" si="247"/>
        <v>78.3</v>
      </c>
      <c r="Q1615" s="23"/>
      <c r="R1615" s="52"/>
      <c r="S1615" s="53"/>
      <c r="T1615" s="54">
        <f t="shared" si="248"/>
        <v>0</v>
      </c>
      <c r="U1615" s="26">
        <f t="shared" si="249"/>
        <v>0</v>
      </c>
      <c r="V1615" s="55">
        <f t="shared" si="250"/>
        <v>0</v>
      </c>
      <c r="W1615" s="29">
        <f t="shared" si="251"/>
        <v>0</v>
      </c>
      <c r="X1615" s="30">
        <f t="shared" si="252"/>
        <v>0</v>
      </c>
      <c r="Y1615"/>
      <c r="Z1615"/>
      <c r="AA1615"/>
    </row>
    <row r="1616" spans="1:27" s="51" customFormat="1" ht="18.600000000000001" hidden="1" customHeight="1" x14ac:dyDescent="0.25">
      <c r="A1616" s="81" t="s">
        <v>2653</v>
      </c>
      <c r="B1616" s="31" t="s">
        <v>9303</v>
      </c>
      <c r="C1616" s="32" t="s">
        <v>9313</v>
      </c>
      <c r="D1616" s="31" t="s">
        <v>3789</v>
      </c>
      <c r="E1616" s="33" t="s">
        <v>3790</v>
      </c>
      <c r="F1616" s="33" t="s">
        <v>1937</v>
      </c>
      <c r="G1616" s="33" t="s">
        <v>3586</v>
      </c>
      <c r="H1616" s="84" t="s">
        <v>3791</v>
      </c>
      <c r="I1616" s="23" t="s">
        <v>24</v>
      </c>
      <c r="J1616" s="34">
        <v>90</v>
      </c>
      <c r="K1616" s="35">
        <v>0.25</v>
      </c>
      <c r="L1616" s="36">
        <f t="shared" si="244"/>
        <v>22.5</v>
      </c>
      <c r="M1616" s="37">
        <f t="shared" si="245"/>
        <v>67.5</v>
      </c>
      <c r="N1616" s="38">
        <v>0.16</v>
      </c>
      <c r="O1616" s="39">
        <f t="shared" si="246"/>
        <v>10.8</v>
      </c>
      <c r="P1616" s="40">
        <f t="shared" si="247"/>
        <v>78.3</v>
      </c>
      <c r="Q1616" s="23"/>
      <c r="R1616" s="56"/>
      <c r="S1616" s="57"/>
      <c r="T1616" s="58">
        <f t="shared" si="248"/>
        <v>0</v>
      </c>
      <c r="U1616" s="36">
        <f t="shared" si="249"/>
        <v>0</v>
      </c>
      <c r="V1616" s="59">
        <f t="shared" si="250"/>
        <v>0</v>
      </c>
      <c r="W1616" s="39">
        <f t="shared" si="251"/>
        <v>0</v>
      </c>
      <c r="X1616" s="40">
        <f t="shared" si="252"/>
        <v>0</v>
      </c>
      <c r="Y1616"/>
      <c r="Z1616"/>
      <c r="AA1616"/>
    </row>
    <row r="1617" spans="1:27" s="51" customFormat="1" ht="18.600000000000001" hidden="1" customHeight="1" x14ac:dyDescent="0.25">
      <c r="A1617" s="82" t="s">
        <v>2653</v>
      </c>
      <c r="B1617" s="41" t="s">
        <v>9303</v>
      </c>
      <c r="C1617" s="42" t="s">
        <v>9313</v>
      </c>
      <c r="D1617" s="41" t="s">
        <v>3792</v>
      </c>
      <c r="E1617" s="43" t="s">
        <v>3793</v>
      </c>
      <c r="F1617" s="43" t="s">
        <v>1937</v>
      </c>
      <c r="G1617" s="43" t="s">
        <v>3586</v>
      </c>
      <c r="H1617" s="85" t="s">
        <v>3794</v>
      </c>
      <c r="I1617" s="23" t="s">
        <v>24</v>
      </c>
      <c r="J1617" s="44">
        <v>90</v>
      </c>
      <c r="K1617" s="45">
        <v>0.25</v>
      </c>
      <c r="L1617" s="46">
        <f t="shared" si="244"/>
        <v>22.5</v>
      </c>
      <c r="M1617" s="47">
        <f t="shared" si="245"/>
        <v>67.5</v>
      </c>
      <c r="N1617" s="48">
        <v>0.16</v>
      </c>
      <c r="O1617" s="49">
        <f t="shared" si="246"/>
        <v>10.8</v>
      </c>
      <c r="P1617" s="50">
        <f t="shared" si="247"/>
        <v>78.3</v>
      </c>
      <c r="Q1617" s="23"/>
      <c r="R1617" s="60"/>
      <c r="S1617" s="61"/>
      <c r="T1617" s="62">
        <f t="shared" si="248"/>
        <v>0</v>
      </c>
      <c r="U1617" s="46">
        <f t="shared" si="249"/>
        <v>0</v>
      </c>
      <c r="V1617" s="63">
        <f t="shared" si="250"/>
        <v>0</v>
      </c>
      <c r="W1617" s="49">
        <f t="shared" si="251"/>
        <v>0</v>
      </c>
      <c r="X1617" s="50">
        <f t="shared" si="252"/>
        <v>0</v>
      </c>
      <c r="Y1617"/>
      <c r="Z1617"/>
      <c r="AA1617"/>
    </row>
    <row r="1618" spans="1:27" s="51" customFormat="1" ht="18.600000000000001" hidden="1" customHeight="1" x14ac:dyDescent="0.25">
      <c r="A1618" s="80" t="s">
        <v>2653</v>
      </c>
      <c r="B1618" s="20" t="s">
        <v>9303</v>
      </c>
      <c r="C1618" s="21" t="s">
        <v>9313</v>
      </c>
      <c r="D1618" s="20" t="s">
        <v>3795</v>
      </c>
      <c r="E1618" s="22" t="s">
        <v>3796</v>
      </c>
      <c r="F1618" s="22" t="s">
        <v>1937</v>
      </c>
      <c r="G1618" s="22" t="s">
        <v>3586</v>
      </c>
      <c r="H1618" s="83" t="s">
        <v>3797</v>
      </c>
      <c r="I1618" s="23" t="s">
        <v>24</v>
      </c>
      <c r="J1618" s="24">
        <v>90</v>
      </c>
      <c r="K1618" s="25">
        <v>0.25</v>
      </c>
      <c r="L1618" s="26">
        <f t="shared" si="244"/>
        <v>22.5</v>
      </c>
      <c r="M1618" s="27">
        <f t="shared" si="245"/>
        <v>67.5</v>
      </c>
      <c r="N1618" s="28">
        <v>0.16</v>
      </c>
      <c r="O1618" s="29">
        <f t="shared" si="246"/>
        <v>10.8</v>
      </c>
      <c r="P1618" s="30">
        <f t="shared" si="247"/>
        <v>78.3</v>
      </c>
      <c r="Q1618" s="23"/>
      <c r="R1618" s="52"/>
      <c r="S1618" s="53"/>
      <c r="T1618" s="54">
        <f t="shared" si="248"/>
        <v>0</v>
      </c>
      <c r="U1618" s="26">
        <f t="shared" si="249"/>
        <v>0</v>
      </c>
      <c r="V1618" s="55">
        <f t="shared" si="250"/>
        <v>0</v>
      </c>
      <c r="W1618" s="29">
        <f t="shared" si="251"/>
        <v>0</v>
      </c>
      <c r="X1618" s="30">
        <f t="shared" si="252"/>
        <v>0</v>
      </c>
      <c r="Y1618"/>
      <c r="Z1618"/>
      <c r="AA1618"/>
    </row>
    <row r="1619" spans="1:27" s="51" customFormat="1" ht="18.600000000000001" hidden="1" customHeight="1" x14ac:dyDescent="0.25">
      <c r="A1619" s="81" t="s">
        <v>2653</v>
      </c>
      <c r="B1619" s="31" t="s">
        <v>9303</v>
      </c>
      <c r="C1619" s="32" t="s">
        <v>9313</v>
      </c>
      <c r="D1619" s="31" t="s">
        <v>3798</v>
      </c>
      <c r="E1619" s="33" t="s">
        <v>3799</v>
      </c>
      <c r="F1619" s="33" t="s">
        <v>1937</v>
      </c>
      <c r="G1619" s="33" t="s">
        <v>3586</v>
      </c>
      <c r="H1619" s="84" t="s">
        <v>3800</v>
      </c>
      <c r="I1619" s="23" t="s">
        <v>24</v>
      </c>
      <c r="J1619" s="34">
        <v>90</v>
      </c>
      <c r="K1619" s="35">
        <v>0.25</v>
      </c>
      <c r="L1619" s="36">
        <f t="shared" si="244"/>
        <v>22.5</v>
      </c>
      <c r="M1619" s="37">
        <f t="shared" si="245"/>
        <v>67.5</v>
      </c>
      <c r="N1619" s="38">
        <v>0.16</v>
      </c>
      <c r="O1619" s="39">
        <f t="shared" si="246"/>
        <v>10.8</v>
      </c>
      <c r="P1619" s="40">
        <f t="shared" si="247"/>
        <v>78.3</v>
      </c>
      <c r="Q1619" s="23"/>
      <c r="R1619" s="56"/>
      <c r="S1619" s="57"/>
      <c r="T1619" s="58">
        <f t="shared" si="248"/>
        <v>0</v>
      </c>
      <c r="U1619" s="36">
        <f t="shared" si="249"/>
        <v>0</v>
      </c>
      <c r="V1619" s="59">
        <f t="shared" si="250"/>
        <v>0</v>
      </c>
      <c r="W1619" s="39">
        <f t="shared" si="251"/>
        <v>0</v>
      </c>
      <c r="X1619" s="40">
        <f t="shared" si="252"/>
        <v>0</v>
      </c>
      <c r="Y1619"/>
      <c r="Z1619"/>
      <c r="AA1619"/>
    </row>
    <row r="1620" spans="1:27" s="51" customFormat="1" ht="18.600000000000001" hidden="1" customHeight="1" x14ac:dyDescent="0.25">
      <c r="A1620" s="82" t="s">
        <v>2653</v>
      </c>
      <c r="B1620" s="41" t="s">
        <v>9303</v>
      </c>
      <c r="C1620" s="42" t="s">
        <v>9313</v>
      </c>
      <c r="D1620" s="41" t="s">
        <v>3801</v>
      </c>
      <c r="E1620" s="43" t="s">
        <v>3802</v>
      </c>
      <c r="F1620" s="43" t="s">
        <v>1937</v>
      </c>
      <c r="G1620" s="43" t="s">
        <v>3586</v>
      </c>
      <c r="H1620" s="85" t="s">
        <v>3803</v>
      </c>
      <c r="I1620" s="23" t="s">
        <v>24</v>
      </c>
      <c r="J1620" s="44">
        <v>90</v>
      </c>
      <c r="K1620" s="45">
        <v>0.25</v>
      </c>
      <c r="L1620" s="46">
        <f t="shared" si="244"/>
        <v>22.5</v>
      </c>
      <c r="M1620" s="47">
        <f t="shared" si="245"/>
        <v>67.5</v>
      </c>
      <c r="N1620" s="48">
        <v>0.16</v>
      </c>
      <c r="O1620" s="49">
        <f t="shared" si="246"/>
        <v>10.8</v>
      </c>
      <c r="P1620" s="50">
        <f t="shared" si="247"/>
        <v>78.3</v>
      </c>
      <c r="Q1620" s="23"/>
      <c r="R1620" s="60"/>
      <c r="S1620" s="61"/>
      <c r="T1620" s="62">
        <f t="shared" si="248"/>
        <v>0</v>
      </c>
      <c r="U1620" s="46">
        <f t="shared" si="249"/>
        <v>0</v>
      </c>
      <c r="V1620" s="63">
        <f t="shared" si="250"/>
        <v>0</v>
      </c>
      <c r="W1620" s="49">
        <f t="shared" si="251"/>
        <v>0</v>
      </c>
      <c r="X1620" s="50">
        <f t="shared" si="252"/>
        <v>0</v>
      </c>
      <c r="Y1620"/>
      <c r="Z1620"/>
      <c r="AA1620"/>
    </row>
    <row r="1621" spans="1:27" s="51" customFormat="1" ht="18.600000000000001" customHeight="1" x14ac:dyDescent="0.25">
      <c r="A1621" s="80" t="s">
        <v>2653</v>
      </c>
      <c r="B1621" s="20" t="s">
        <v>9303</v>
      </c>
      <c r="C1621" s="21" t="s">
        <v>9313</v>
      </c>
      <c r="D1621" s="20" t="s">
        <v>3804</v>
      </c>
      <c r="E1621" s="22" t="s">
        <v>3805</v>
      </c>
      <c r="F1621" s="22" t="s">
        <v>1937</v>
      </c>
      <c r="G1621" s="22" t="s">
        <v>3586</v>
      </c>
      <c r="H1621" s="83" t="s">
        <v>3806</v>
      </c>
      <c r="I1621" s="23" t="s">
        <v>24</v>
      </c>
      <c r="J1621" s="24">
        <v>90</v>
      </c>
      <c r="K1621" s="25">
        <v>0.25</v>
      </c>
      <c r="L1621" s="26">
        <f t="shared" si="244"/>
        <v>22.5</v>
      </c>
      <c r="M1621" s="27">
        <f t="shared" si="245"/>
        <v>67.5</v>
      </c>
      <c r="N1621" s="28">
        <v>0.16</v>
      </c>
      <c r="O1621" s="29">
        <f t="shared" si="246"/>
        <v>10.8</v>
      </c>
      <c r="P1621" s="30">
        <f t="shared" si="247"/>
        <v>78.3</v>
      </c>
      <c r="Q1621" s="23"/>
      <c r="R1621" s="52"/>
      <c r="S1621" s="53">
        <v>1</v>
      </c>
      <c r="T1621" s="54">
        <f t="shared" si="248"/>
        <v>90</v>
      </c>
      <c r="U1621" s="26">
        <f t="shared" si="249"/>
        <v>22.5</v>
      </c>
      <c r="V1621" s="55">
        <f t="shared" si="250"/>
        <v>67.5</v>
      </c>
      <c r="W1621" s="29">
        <f t="shared" si="251"/>
        <v>10.8</v>
      </c>
      <c r="X1621" s="30">
        <f t="shared" si="252"/>
        <v>78.3</v>
      </c>
      <c r="Y1621"/>
      <c r="Z1621"/>
      <c r="AA1621"/>
    </row>
    <row r="1622" spans="1:27" s="51" customFormat="1" ht="18.600000000000001" customHeight="1" x14ac:dyDescent="0.25">
      <c r="A1622" s="81" t="s">
        <v>2653</v>
      </c>
      <c r="B1622" s="31" t="s">
        <v>9303</v>
      </c>
      <c r="C1622" s="32" t="s">
        <v>9313</v>
      </c>
      <c r="D1622" s="31" t="s">
        <v>3807</v>
      </c>
      <c r="E1622" s="33" t="s">
        <v>3808</v>
      </c>
      <c r="F1622" s="33" t="s">
        <v>1937</v>
      </c>
      <c r="G1622" s="33" t="s">
        <v>3586</v>
      </c>
      <c r="H1622" s="84" t="s">
        <v>3809</v>
      </c>
      <c r="I1622" s="23" t="s">
        <v>24</v>
      </c>
      <c r="J1622" s="34">
        <v>90</v>
      </c>
      <c r="K1622" s="35">
        <v>0.25</v>
      </c>
      <c r="L1622" s="36">
        <f t="shared" si="244"/>
        <v>22.5</v>
      </c>
      <c r="M1622" s="37">
        <f t="shared" si="245"/>
        <v>67.5</v>
      </c>
      <c r="N1622" s="38">
        <v>0.16</v>
      </c>
      <c r="O1622" s="39">
        <f t="shared" si="246"/>
        <v>10.8</v>
      </c>
      <c r="P1622" s="40">
        <f t="shared" si="247"/>
        <v>78.3</v>
      </c>
      <c r="Q1622" s="23"/>
      <c r="R1622" s="56"/>
      <c r="S1622" s="57">
        <v>1</v>
      </c>
      <c r="T1622" s="58">
        <f t="shared" si="248"/>
        <v>90</v>
      </c>
      <c r="U1622" s="36">
        <f t="shared" si="249"/>
        <v>22.5</v>
      </c>
      <c r="V1622" s="59">
        <f t="shared" si="250"/>
        <v>67.5</v>
      </c>
      <c r="W1622" s="39">
        <f t="shared" si="251"/>
        <v>10.8</v>
      </c>
      <c r="X1622" s="40">
        <f t="shared" si="252"/>
        <v>78.3</v>
      </c>
      <c r="Y1622"/>
      <c r="Z1622"/>
      <c r="AA1622"/>
    </row>
    <row r="1623" spans="1:27" s="51" customFormat="1" ht="18.600000000000001" hidden="1" customHeight="1" x14ac:dyDescent="0.25">
      <c r="A1623" s="82" t="s">
        <v>2653</v>
      </c>
      <c r="B1623" s="41" t="s">
        <v>9303</v>
      </c>
      <c r="C1623" s="42" t="s">
        <v>9313</v>
      </c>
      <c r="D1623" s="41" t="s">
        <v>3810</v>
      </c>
      <c r="E1623" s="43" t="s">
        <v>3811</v>
      </c>
      <c r="F1623" s="43" t="s">
        <v>1937</v>
      </c>
      <c r="G1623" s="43" t="s">
        <v>3586</v>
      </c>
      <c r="H1623" s="85" t="s">
        <v>3812</v>
      </c>
      <c r="I1623" s="23" t="s">
        <v>24</v>
      </c>
      <c r="J1623" s="44">
        <v>90</v>
      </c>
      <c r="K1623" s="45">
        <v>0.25</v>
      </c>
      <c r="L1623" s="46">
        <f t="shared" ref="L1623:L1686" si="253">+J1623*K1623</f>
        <v>22.5</v>
      </c>
      <c r="M1623" s="47">
        <f t="shared" ref="M1623:M1686" si="254">+J1623-L1623</f>
        <v>67.5</v>
      </c>
      <c r="N1623" s="48">
        <v>0.16</v>
      </c>
      <c r="O1623" s="49">
        <f t="shared" ref="O1623:O1686" si="255">+M1623*N1623</f>
        <v>10.8</v>
      </c>
      <c r="P1623" s="50">
        <f t="shared" ref="P1623:P1686" si="256">+M1623+O1623</f>
        <v>78.3</v>
      </c>
      <c r="Q1623" s="23"/>
      <c r="R1623" s="60"/>
      <c r="S1623" s="61"/>
      <c r="T1623" s="62">
        <f t="shared" ref="T1623:T1686" si="257">+S1623*J1623</f>
        <v>0</v>
      </c>
      <c r="U1623" s="46">
        <f t="shared" ref="U1623:U1686" si="258">+T1623*K1623</f>
        <v>0</v>
      </c>
      <c r="V1623" s="63">
        <f t="shared" ref="V1623:V1686" si="259">+T1623-U1623</f>
        <v>0</v>
      </c>
      <c r="W1623" s="49">
        <f t="shared" ref="W1623:W1686" si="260">+V1623*N1623</f>
        <v>0</v>
      </c>
      <c r="X1623" s="50">
        <f t="shared" ref="X1623:X1686" si="261">+V1623+W1623</f>
        <v>0</v>
      </c>
      <c r="Y1623"/>
      <c r="Z1623"/>
      <c r="AA1623"/>
    </row>
    <row r="1624" spans="1:27" s="51" customFormat="1" ht="18.600000000000001" hidden="1" customHeight="1" x14ac:dyDescent="0.25">
      <c r="A1624" s="80" t="s">
        <v>2653</v>
      </c>
      <c r="B1624" s="20" t="s">
        <v>9303</v>
      </c>
      <c r="C1624" s="21" t="s">
        <v>9313</v>
      </c>
      <c r="D1624" s="20" t="s">
        <v>3813</v>
      </c>
      <c r="E1624" s="22" t="s">
        <v>3814</v>
      </c>
      <c r="F1624" s="22" t="s">
        <v>1937</v>
      </c>
      <c r="G1624" s="22" t="s">
        <v>3586</v>
      </c>
      <c r="H1624" s="83" t="s">
        <v>3815</v>
      </c>
      <c r="I1624" s="23" t="s">
        <v>24</v>
      </c>
      <c r="J1624" s="24">
        <v>90</v>
      </c>
      <c r="K1624" s="25">
        <v>0.25</v>
      </c>
      <c r="L1624" s="26">
        <f t="shared" si="253"/>
        <v>22.5</v>
      </c>
      <c r="M1624" s="27">
        <f t="shared" si="254"/>
        <v>67.5</v>
      </c>
      <c r="N1624" s="28">
        <v>0.16</v>
      </c>
      <c r="O1624" s="29">
        <f t="shared" si="255"/>
        <v>10.8</v>
      </c>
      <c r="P1624" s="30">
        <f t="shared" si="256"/>
        <v>78.3</v>
      </c>
      <c r="Q1624" s="23"/>
      <c r="R1624" s="52"/>
      <c r="S1624" s="53"/>
      <c r="T1624" s="54">
        <f t="shared" si="257"/>
        <v>0</v>
      </c>
      <c r="U1624" s="26">
        <f t="shared" si="258"/>
        <v>0</v>
      </c>
      <c r="V1624" s="55">
        <f t="shared" si="259"/>
        <v>0</v>
      </c>
      <c r="W1624" s="29">
        <f t="shared" si="260"/>
        <v>0</v>
      </c>
      <c r="X1624" s="30">
        <f t="shared" si="261"/>
        <v>0</v>
      </c>
      <c r="Y1624"/>
      <c r="Z1624"/>
      <c r="AA1624"/>
    </row>
    <row r="1625" spans="1:27" s="51" customFormat="1" ht="18.600000000000001" hidden="1" customHeight="1" x14ac:dyDescent="0.25">
      <c r="A1625" s="81" t="s">
        <v>2653</v>
      </c>
      <c r="B1625" s="31" t="s">
        <v>9303</v>
      </c>
      <c r="C1625" s="32" t="s">
        <v>9313</v>
      </c>
      <c r="D1625" s="31" t="s">
        <v>3816</v>
      </c>
      <c r="E1625" s="33" t="s">
        <v>3817</v>
      </c>
      <c r="F1625" s="33" t="s">
        <v>1937</v>
      </c>
      <c r="G1625" s="33" t="s">
        <v>3586</v>
      </c>
      <c r="H1625" s="84" t="s">
        <v>3818</v>
      </c>
      <c r="I1625" s="23" t="s">
        <v>24</v>
      </c>
      <c r="J1625" s="34">
        <v>90</v>
      </c>
      <c r="K1625" s="35">
        <v>0.25</v>
      </c>
      <c r="L1625" s="36">
        <f t="shared" si="253"/>
        <v>22.5</v>
      </c>
      <c r="M1625" s="37">
        <f t="shared" si="254"/>
        <v>67.5</v>
      </c>
      <c r="N1625" s="38">
        <v>0.16</v>
      </c>
      <c r="O1625" s="39">
        <f t="shared" si="255"/>
        <v>10.8</v>
      </c>
      <c r="P1625" s="40">
        <f t="shared" si="256"/>
        <v>78.3</v>
      </c>
      <c r="Q1625" s="23"/>
      <c r="R1625" s="56"/>
      <c r="S1625" s="57"/>
      <c r="T1625" s="58">
        <f t="shared" si="257"/>
        <v>0</v>
      </c>
      <c r="U1625" s="36">
        <f t="shared" si="258"/>
        <v>0</v>
      </c>
      <c r="V1625" s="59">
        <f t="shared" si="259"/>
        <v>0</v>
      </c>
      <c r="W1625" s="39">
        <f t="shared" si="260"/>
        <v>0</v>
      </c>
      <c r="X1625" s="40">
        <f t="shared" si="261"/>
        <v>0</v>
      </c>
      <c r="Y1625"/>
      <c r="Z1625"/>
      <c r="AA1625"/>
    </row>
    <row r="1626" spans="1:27" s="51" customFormat="1" ht="18.600000000000001" hidden="1" customHeight="1" x14ac:dyDescent="0.25">
      <c r="A1626" s="82" t="s">
        <v>2653</v>
      </c>
      <c r="B1626" s="41" t="s">
        <v>9303</v>
      </c>
      <c r="C1626" s="42" t="s">
        <v>9313</v>
      </c>
      <c r="D1626" s="41" t="s">
        <v>3819</v>
      </c>
      <c r="E1626" s="43" t="s">
        <v>3820</v>
      </c>
      <c r="F1626" s="43" t="s">
        <v>1937</v>
      </c>
      <c r="G1626" s="43" t="s">
        <v>3586</v>
      </c>
      <c r="H1626" s="85" t="s">
        <v>3821</v>
      </c>
      <c r="I1626" s="23" t="s">
        <v>24</v>
      </c>
      <c r="J1626" s="44">
        <v>90</v>
      </c>
      <c r="K1626" s="45">
        <v>0.25</v>
      </c>
      <c r="L1626" s="46">
        <f t="shared" si="253"/>
        <v>22.5</v>
      </c>
      <c r="M1626" s="47">
        <f t="shared" si="254"/>
        <v>67.5</v>
      </c>
      <c r="N1626" s="48">
        <v>0.16</v>
      </c>
      <c r="O1626" s="49">
        <f t="shared" si="255"/>
        <v>10.8</v>
      </c>
      <c r="P1626" s="50">
        <f t="shared" si="256"/>
        <v>78.3</v>
      </c>
      <c r="Q1626" s="23"/>
      <c r="R1626" s="60"/>
      <c r="S1626" s="61"/>
      <c r="T1626" s="62">
        <f t="shared" si="257"/>
        <v>0</v>
      </c>
      <c r="U1626" s="46">
        <f t="shared" si="258"/>
        <v>0</v>
      </c>
      <c r="V1626" s="63">
        <f t="shared" si="259"/>
        <v>0</v>
      </c>
      <c r="W1626" s="49">
        <f t="shared" si="260"/>
        <v>0</v>
      </c>
      <c r="X1626" s="50">
        <f t="shared" si="261"/>
        <v>0</v>
      </c>
      <c r="Y1626"/>
      <c r="Z1626"/>
      <c r="AA1626"/>
    </row>
    <row r="1627" spans="1:27" s="51" customFormat="1" ht="18.600000000000001" hidden="1" customHeight="1" x14ac:dyDescent="0.25">
      <c r="A1627" s="80" t="s">
        <v>2653</v>
      </c>
      <c r="B1627" s="20" t="s">
        <v>9303</v>
      </c>
      <c r="C1627" s="21" t="s">
        <v>9313</v>
      </c>
      <c r="D1627" s="20" t="s">
        <v>3822</v>
      </c>
      <c r="E1627" s="22" t="s">
        <v>3823</v>
      </c>
      <c r="F1627" s="22" t="s">
        <v>1937</v>
      </c>
      <c r="G1627" s="22" t="s">
        <v>3586</v>
      </c>
      <c r="H1627" s="83" t="s">
        <v>3824</v>
      </c>
      <c r="I1627" s="23" t="s">
        <v>24</v>
      </c>
      <c r="J1627" s="24">
        <v>90</v>
      </c>
      <c r="K1627" s="25">
        <v>0.25</v>
      </c>
      <c r="L1627" s="26">
        <f t="shared" si="253"/>
        <v>22.5</v>
      </c>
      <c r="M1627" s="27">
        <f t="shared" si="254"/>
        <v>67.5</v>
      </c>
      <c r="N1627" s="28">
        <v>0.16</v>
      </c>
      <c r="O1627" s="29">
        <f t="shared" si="255"/>
        <v>10.8</v>
      </c>
      <c r="P1627" s="30">
        <f t="shared" si="256"/>
        <v>78.3</v>
      </c>
      <c r="Q1627" s="23"/>
      <c r="R1627" s="52"/>
      <c r="S1627" s="53"/>
      <c r="T1627" s="54">
        <f t="shared" si="257"/>
        <v>0</v>
      </c>
      <c r="U1627" s="26">
        <f t="shared" si="258"/>
        <v>0</v>
      </c>
      <c r="V1627" s="55">
        <f t="shared" si="259"/>
        <v>0</v>
      </c>
      <c r="W1627" s="29">
        <f t="shared" si="260"/>
        <v>0</v>
      </c>
      <c r="X1627" s="30">
        <f t="shared" si="261"/>
        <v>0</v>
      </c>
      <c r="Y1627"/>
      <c r="Z1627"/>
      <c r="AA1627"/>
    </row>
    <row r="1628" spans="1:27" s="51" customFormat="1" ht="18.600000000000001" hidden="1" customHeight="1" x14ac:dyDescent="0.25">
      <c r="A1628" s="81" t="s">
        <v>2653</v>
      </c>
      <c r="B1628" s="31" t="s">
        <v>9303</v>
      </c>
      <c r="C1628" s="32" t="s">
        <v>9313</v>
      </c>
      <c r="D1628" s="31" t="s">
        <v>3825</v>
      </c>
      <c r="E1628" s="33" t="s">
        <v>3826</v>
      </c>
      <c r="F1628" s="33" t="s">
        <v>1937</v>
      </c>
      <c r="G1628" s="33" t="s">
        <v>3586</v>
      </c>
      <c r="H1628" s="84" t="s">
        <v>3827</v>
      </c>
      <c r="I1628" s="23" t="s">
        <v>24</v>
      </c>
      <c r="J1628" s="34">
        <v>90</v>
      </c>
      <c r="K1628" s="35">
        <v>0.25</v>
      </c>
      <c r="L1628" s="36">
        <f t="shared" si="253"/>
        <v>22.5</v>
      </c>
      <c r="M1628" s="37">
        <f t="shared" si="254"/>
        <v>67.5</v>
      </c>
      <c r="N1628" s="38">
        <v>0.16</v>
      </c>
      <c r="O1628" s="39">
        <f t="shared" si="255"/>
        <v>10.8</v>
      </c>
      <c r="P1628" s="40">
        <f t="shared" si="256"/>
        <v>78.3</v>
      </c>
      <c r="Q1628" s="23"/>
      <c r="R1628" s="56"/>
      <c r="S1628" s="57"/>
      <c r="T1628" s="58">
        <f t="shared" si="257"/>
        <v>0</v>
      </c>
      <c r="U1628" s="36">
        <f t="shared" si="258"/>
        <v>0</v>
      </c>
      <c r="V1628" s="59">
        <f t="shared" si="259"/>
        <v>0</v>
      </c>
      <c r="W1628" s="39">
        <f t="shared" si="260"/>
        <v>0</v>
      </c>
      <c r="X1628" s="40">
        <f t="shared" si="261"/>
        <v>0</v>
      </c>
      <c r="Y1628"/>
      <c r="Z1628"/>
      <c r="AA1628"/>
    </row>
    <row r="1629" spans="1:27" s="51" customFormat="1" ht="18.600000000000001" hidden="1" customHeight="1" x14ac:dyDescent="0.25">
      <c r="A1629" s="82" t="s">
        <v>2653</v>
      </c>
      <c r="B1629" s="41" t="s">
        <v>9303</v>
      </c>
      <c r="C1629" s="42" t="s">
        <v>9313</v>
      </c>
      <c r="D1629" s="41" t="s">
        <v>3828</v>
      </c>
      <c r="E1629" s="43" t="s">
        <v>3829</v>
      </c>
      <c r="F1629" s="43" t="s">
        <v>1937</v>
      </c>
      <c r="G1629" s="43" t="s">
        <v>3586</v>
      </c>
      <c r="H1629" s="85" t="s">
        <v>3830</v>
      </c>
      <c r="I1629" s="23" t="s">
        <v>24</v>
      </c>
      <c r="J1629" s="44">
        <v>90</v>
      </c>
      <c r="K1629" s="45">
        <v>0.25</v>
      </c>
      <c r="L1629" s="46">
        <f t="shared" si="253"/>
        <v>22.5</v>
      </c>
      <c r="M1629" s="47">
        <f t="shared" si="254"/>
        <v>67.5</v>
      </c>
      <c r="N1629" s="48">
        <v>0.16</v>
      </c>
      <c r="O1629" s="49">
        <f t="shared" si="255"/>
        <v>10.8</v>
      </c>
      <c r="P1629" s="50">
        <f t="shared" si="256"/>
        <v>78.3</v>
      </c>
      <c r="Q1629" s="23"/>
      <c r="R1629" s="60"/>
      <c r="S1629" s="61"/>
      <c r="T1629" s="62">
        <f t="shared" si="257"/>
        <v>0</v>
      </c>
      <c r="U1629" s="46">
        <f t="shared" si="258"/>
        <v>0</v>
      </c>
      <c r="V1629" s="63">
        <f t="shared" si="259"/>
        <v>0</v>
      </c>
      <c r="W1629" s="49">
        <f t="shared" si="260"/>
        <v>0</v>
      </c>
      <c r="X1629" s="50">
        <f t="shared" si="261"/>
        <v>0</v>
      </c>
      <c r="Y1629"/>
      <c r="Z1629"/>
      <c r="AA1629"/>
    </row>
    <row r="1630" spans="1:27" s="51" customFormat="1" ht="18.600000000000001" hidden="1" customHeight="1" x14ac:dyDescent="0.25">
      <c r="A1630" s="80" t="s">
        <v>2653</v>
      </c>
      <c r="B1630" s="20" t="s">
        <v>9303</v>
      </c>
      <c r="C1630" s="21" t="s">
        <v>9313</v>
      </c>
      <c r="D1630" s="20" t="s">
        <v>3831</v>
      </c>
      <c r="E1630" s="22" t="s">
        <v>3832</v>
      </c>
      <c r="F1630" s="22" t="s">
        <v>1937</v>
      </c>
      <c r="G1630" s="22" t="s">
        <v>3586</v>
      </c>
      <c r="H1630" s="83" t="s">
        <v>9642</v>
      </c>
      <c r="I1630" s="23" t="s">
        <v>24</v>
      </c>
      <c r="J1630" s="24">
        <v>90</v>
      </c>
      <c r="K1630" s="25">
        <v>0.25</v>
      </c>
      <c r="L1630" s="26">
        <f t="shared" si="253"/>
        <v>22.5</v>
      </c>
      <c r="M1630" s="27">
        <f t="shared" si="254"/>
        <v>67.5</v>
      </c>
      <c r="N1630" s="28">
        <v>0.16</v>
      </c>
      <c r="O1630" s="29">
        <f t="shared" si="255"/>
        <v>10.8</v>
      </c>
      <c r="P1630" s="30">
        <f t="shared" si="256"/>
        <v>78.3</v>
      </c>
      <c r="Q1630" s="23"/>
      <c r="R1630" s="52"/>
      <c r="S1630" s="53"/>
      <c r="T1630" s="54">
        <f t="shared" si="257"/>
        <v>0</v>
      </c>
      <c r="U1630" s="26">
        <f t="shared" si="258"/>
        <v>0</v>
      </c>
      <c r="V1630" s="55">
        <f t="shared" si="259"/>
        <v>0</v>
      </c>
      <c r="W1630" s="29">
        <f t="shared" si="260"/>
        <v>0</v>
      </c>
      <c r="X1630" s="30">
        <f t="shared" si="261"/>
        <v>0</v>
      </c>
      <c r="Y1630"/>
      <c r="Z1630"/>
      <c r="AA1630"/>
    </row>
    <row r="1631" spans="1:27" s="51" customFormat="1" ht="18.600000000000001" hidden="1" customHeight="1" x14ac:dyDescent="0.25">
      <c r="A1631" s="81" t="s">
        <v>2653</v>
      </c>
      <c r="B1631" s="31" t="s">
        <v>9303</v>
      </c>
      <c r="C1631" s="32" t="s">
        <v>9313</v>
      </c>
      <c r="D1631" s="31" t="s">
        <v>3833</v>
      </c>
      <c r="E1631" s="33" t="s">
        <v>3834</v>
      </c>
      <c r="F1631" s="33" t="s">
        <v>1937</v>
      </c>
      <c r="G1631" s="33" t="s">
        <v>3586</v>
      </c>
      <c r="H1631" s="84" t="s">
        <v>3835</v>
      </c>
      <c r="I1631" s="23" t="s">
        <v>24</v>
      </c>
      <c r="J1631" s="34">
        <v>90</v>
      </c>
      <c r="K1631" s="35">
        <v>0.25</v>
      </c>
      <c r="L1631" s="36">
        <f t="shared" si="253"/>
        <v>22.5</v>
      </c>
      <c r="M1631" s="37">
        <f t="shared" si="254"/>
        <v>67.5</v>
      </c>
      <c r="N1631" s="38">
        <v>0.16</v>
      </c>
      <c r="O1631" s="39">
        <f t="shared" si="255"/>
        <v>10.8</v>
      </c>
      <c r="P1631" s="40">
        <f t="shared" si="256"/>
        <v>78.3</v>
      </c>
      <c r="Q1631" s="23"/>
      <c r="R1631" s="56"/>
      <c r="S1631" s="57"/>
      <c r="T1631" s="58">
        <f t="shared" si="257"/>
        <v>0</v>
      </c>
      <c r="U1631" s="36">
        <f t="shared" si="258"/>
        <v>0</v>
      </c>
      <c r="V1631" s="59">
        <f t="shared" si="259"/>
        <v>0</v>
      </c>
      <c r="W1631" s="39">
        <f t="shared" si="260"/>
        <v>0</v>
      </c>
      <c r="X1631" s="40">
        <f t="shared" si="261"/>
        <v>0</v>
      </c>
      <c r="Y1631"/>
      <c r="Z1631"/>
      <c r="AA1631"/>
    </row>
    <row r="1632" spans="1:27" s="51" customFormat="1" ht="18.600000000000001" hidden="1" customHeight="1" x14ac:dyDescent="0.25">
      <c r="A1632" s="82" t="s">
        <v>2653</v>
      </c>
      <c r="B1632" s="41" t="s">
        <v>9303</v>
      </c>
      <c r="C1632" s="42" t="s">
        <v>9313</v>
      </c>
      <c r="D1632" s="41" t="s">
        <v>3836</v>
      </c>
      <c r="E1632" s="43" t="s">
        <v>3837</v>
      </c>
      <c r="F1632" s="43" t="s">
        <v>1937</v>
      </c>
      <c r="G1632" s="43" t="s">
        <v>3586</v>
      </c>
      <c r="H1632" s="85" t="s">
        <v>3838</v>
      </c>
      <c r="I1632" s="23" t="s">
        <v>24</v>
      </c>
      <c r="J1632" s="44">
        <v>90</v>
      </c>
      <c r="K1632" s="45">
        <v>0.25</v>
      </c>
      <c r="L1632" s="46">
        <f t="shared" si="253"/>
        <v>22.5</v>
      </c>
      <c r="M1632" s="47">
        <f t="shared" si="254"/>
        <v>67.5</v>
      </c>
      <c r="N1632" s="48">
        <v>0.16</v>
      </c>
      <c r="O1632" s="49">
        <f t="shared" si="255"/>
        <v>10.8</v>
      </c>
      <c r="P1632" s="50">
        <f t="shared" si="256"/>
        <v>78.3</v>
      </c>
      <c r="Q1632" s="23"/>
      <c r="R1632" s="60"/>
      <c r="S1632" s="61"/>
      <c r="T1632" s="62">
        <f t="shared" si="257"/>
        <v>0</v>
      </c>
      <c r="U1632" s="46">
        <f t="shared" si="258"/>
        <v>0</v>
      </c>
      <c r="V1632" s="63">
        <f t="shared" si="259"/>
        <v>0</v>
      </c>
      <c r="W1632" s="49">
        <f t="shared" si="260"/>
        <v>0</v>
      </c>
      <c r="X1632" s="50">
        <f t="shared" si="261"/>
        <v>0</v>
      </c>
      <c r="Y1632"/>
      <c r="Z1632"/>
      <c r="AA1632"/>
    </row>
    <row r="1633" spans="1:27" s="51" customFormat="1" ht="18.600000000000001" hidden="1" customHeight="1" x14ac:dyDescent="0.25">
      <c r="A1633" s="80" t="s">
        <v>2653</v>
      </c>
      <c r="B1633" s="20" t="s">
        <v>9303</v>
      </c>
      <c r="C1633" s="21" t="s">
        <v>9313</v>
      </c>
      <c r="D1633" s="20" t="s">
        <v>3839</v>
      </c>
      <c r="E1633" s="22" t="s">
        <v>3840</v>
      </c>
      <c r="F1633" s="22" t="s">
        <v>1937</v>
      </c>
      <c r="G1633" s="22" t="s">
        <v>3586</v>
      </c>
      <c r="H1633" s="83" t="s">
        <v>3841</v>
      </c>
      <c r="I1633" s="23" t="s">
        <v>24</v>
      </c>
      <c r="J1633" s="24">
        <v>90</v>
      </c>
      <c r="K1633" s="25">
        <v>0.25</v>
      </c>
      <c r="L1633" s="26">
        <f t="shared" si="253"/>
        <v>22.5</v>
      </c>
      <c r="M1633" s="27">
        <f t="shared" si="254"/>
        <v>67.5</v>
      </c>
      <c r="N1633" s="28">
        <v>0.16</v>
      </c>
      <c r="O1633" s="29">
        <f t="shared" si="255"/>
        <v>10.8</v>
      </c>
      <c r="P1633" s="30">
        <f t="shared" si="256"/>
        <v>78.3</v>
      </c>
      <c r="Q1633" s="23"/>
      <c r="R1633" s="52"/>
      <c r="S1633" s="53"/>
      <c r="T1633" s="54">
        <f t="shared" si="257"/>
        <v>0</v>
      </c>
      <c r="U1633" s="26">
        <f t="shared" si="258"/>
        <v>0</v>
      </c>
      <c r="V1633" s="55">
        <f t="shared" si="259"/>
        <v>0</v>
      </c>
      <c r="W1633" s="29">
        <f t="shared" si="260"/>
        <v>0</v>
      </c>
      <c r="X1633" s="30">
        <f t="shared" si="261"/>
        <v>0</v>
      </c>
      <c r="Y1633"/>
      <c r="Z1633"/>
      <c r="AA1633"/>
    </row>
    <row r="1634" spans="1:27" s="51" customFormat="1" ht="18.600000000000001" hidden="1" customHeight="1" x14ac:dyDescent="0.25">
      <c r="A1634" s="81" t="s">
        <v>2653</v>
      </c>
      <c r="B1634" s="31" t="s">
        <v>9303</v>
      </c>
      <c r="C1634" s="32" t="s">
        <v>9313</v>
      </c>
      <c r="D1634" s="31" t="s">
        <v>3842</v>
      </c>
      <c r="E1634" s="33" t="s">
        <v>3843</v>
      </c>
      <c r="F1634" s="33" t="s">
        <v>1937</v>
      </c>
      <c r="G1634" s="33" t="s">
        <v>3586</v>
      </c>
      <c r="H1634" s="84" t="s">
        <v>3844</v>
      </c>
      <c r="I1634" s="23" t="s">
        <v>24</v>
      </c>
      <c r="J1634" s="34">
        <v>90</v>
      </c>
      <c r="K1634" s="35">
        <v>0.25</v>
      </c>
      <c r="L1634" s="36">
        <f t="shared" si="253"/>
        <v>22.5</v>
      </c>
      <c r="M1634" s="37">
        <f t="shared" si="254"/>
        <v>67.5</v>
      </c>
      <c r="N1634" s="38">
        <v>0.16</v>
      </c>
      <c r="O1634" s="39">
        <f t="shared" si="255"/>
        <v>10.8</v>
      </c>
      <c r="P1634" s="40">
        <f t="shared" si="256"/>
        <v>78.3</v>
      </c>
      <c r="Q1634" s="23"/>
      <c r="R1634" s="56"/>
      <c r="S1634" s="57"/>
      <c r="T1634" s="58">
        <f t="shared" si="257"/>
        <v>0</v>
      </c>
      <c r="U1634" s="36">
        <f t="shared" si="258"/>
        <v>0</v>
      </c>
      <c r="V1634" s="59">
        <f t="shared" si="259"/>
        <v>0</v>
      </c>
      <c r="W1634" s="39">
        <f t="shared" si="260"/>
        <v>0</v>
      </c>
      <c r="X1634" s="40">
        <f t="shared" si="261"/>
        <v>0</v>
      </c>
      <c r="Y1634"/>
      <c r="Z1634"/>
      <c r="AA1634"/>
    </row>
    <row r="1635" spans="1:27" s="51" customFormat="1" ht="18.600000000000001" hidden="1" customHeight="1" x14ac:dyDescent="0.25">
      <c r="A1635" s="82" t="s">
        <v>2653</v>
      </c>
      <c r="B1635" s="41" t="s">
        <v>9303</v>
      </c>
      <c r="C1635" s="42" t="s">
        <v>9313</v>
      </c>
      <c r="D1635" s="41" t="s">
        <v>3845</v>
      </c>
      <c r="E1635" s="43" t="s">
        <v>3846</v>
      </c>
      <c r="F1635" s="43" t="s">
        <v>1937</v>
      </c>
      <c r="G1635" s="43" t="s">
        <v>3586</v>
      </c>
      <c r="H1635" s="85" t="s">
        <v>3847</v>
      </c>
      <c r="I1635" s="23" t="s">
        <v>24</v>
      </c>
      <c r="J1635" s="44">
        <v>90</v>
      </c>
      <c r="K1635" s="45">
        <v>0.25</v>
      </c>
      <c r="L1635" s="46">
        <f t="shared" si="253"/>
        <v>22.5</v>
      </c>
      <c r="M1635" s="47">
        <f t="shared" si="254"/>
        <v>67.5</v>
      </c>
      <c r="N1635" s="48">
        <v>0.16</v>
      </c>
      <c r="O1635" s="49">
        <f t="shared" si="255"/>
        <v>10.8</v>
      </c>
      <c r="P1635" s="50">
        <f t="shared" si="256"/>
        <v>78.3</v>
      </c>
      <c r="Q1635" s="23"/>
      <c r="R1635" s="60"/>
      <c r="S1635" s="61"/>
      <c r="T1635" s="62">
        <f t="shared" si="257"/>
        <v>0</v>
      </c>
      <c r="U1635" s="46">
        <f t="shared" si="258"/>
        <v>0</v>
      </c>
      <c r="V1635" s="63">
        <f t="shared" si="259"/>
        <v>0</v>
      </c>
      <c r="W1635" s="49">
        <f t="shared" si="260"/>
        <v>0</v>
      </c>
      <c r="X1635" s="50">
        <f t="shared" si="261"/>
        <v>0</v>
      </c>
      <c r="Y1635"/>
      <c r="Z1635"/>
      <c r="AA1635"/>
    </row>
    <row r="1636" spans="1:27" s="51" customFormat="1" ht="18.600000000000001" hidden="1" customHeight="1" x14ac:dyDescent="0.25">
      <c r="A1636" s="80" t="s">
        <v>2653</v>
      </c>
      <c r="B1636" s="20" t="s">
        <v>9303</v>
      </c>
      <c r="C1636" s="21" t="s">
        <v>9313</v>
      </c>
      <c r="D1636" s="20" t="s">
        <v>3848</v>
      </c>
      <c r="E1636" s="22" t="s">
        <v>3849</v>
      </c>
      <c r="F1636" s="22" t="s">
        <v>1937</v>
      </c>
      <c r="G1636" s="22" t="s">
        <v>3586</v>
      </c>
      <c r="H1636" s="83" t="s">
        <v>3850</v>
      </c>
      <c r="I1636" s="23" t="s">
        <v>24</v>
      </c>
      <c r="J1636" s="24">
        <v>90</v>
      </c>
      <c r="K1636" s="25">
        <v>0.25</v>
      </c>
      <c r="L1636" s="26">
        <f t="shared" si="253"/>
        <v>22.5</v>
      </c>
      <c r="M1636" s="27">
        <f t="shared" si="254"/>
        <v>67.5</v>
      </c>
      <c r="N1636" s="28">
        <v>0.16</v>
      </c>
      <c r="O1636" s="29">
        <f t="shared" si="255"/>
        <v>10.8</v>
      </c>
      <c r="P1636" s="30">
        <f t="shared" si="256"/>
        <v>78.3</v>
      </c>
      <c r="Q1636" s="23"/>
      <c r="R1636" s="52"/>
      <c r="S1636" s="53"/>
      <c r="T1636" s="54">
        <f t="shared" si="257"/>
        <v>0</v>
      </c>
      <c r="U1636" s="26">
        <f t="shared" si="258"/>
        <v>0</v>
      </c>
      <c r="V1636" s="55">
        <f t="shared" si="259"/>
        <v>0</v>
      </c>
      <c r="W1636" s="29">
        <f t="shared" si="260"/>
        <v>0</v>
      </c>
      <c r="X1636" s="30">
        <f t="shared" si="261"/>
        <v>0</v>
      </c>
      <c r="Y1636"/>
      <c r="Z1636"/>
      <c r="AA1636"/>
    </row>
    <row r="1637" spans="1:27" s="51" customFormat="1" ht="18.600000000000001" hidden="1" customHeight="1" x14ac:dyDescent="0.25">
      <c r="A1637" s="81" t="s">
        <v>2653</v>
      </c>
      <c r="B1637" s="31" t="s">
        <v>9303</v>
      </c>
      <c r="C1637" s="32" t="s">
        <v>9313</v>
      </c>
      <c r="D1637" s="31" t="s">
        <v>3851</v>
      </c>
      <c r="E1637" s="33" t="s">
        <v>3852</v>
      </c>
      <c r="F1637" s="33" t="s">
        <v>1937</v>
      </c>
      <c r="G1637" s="33" t="s">
        <v>3586</v>
      </c>
      <c r="H1637" s="84" t="s">
        <v>3853</v>
      </c>
      <c r="I1637" s="23" t="s">
        <v>24</v>
      </c>
      <c r="J1637" s="34">
        <v>90</v>
      </c>
      <c r="K1637" s="35">
        <v>0.25</v>
      </c>
      <c r="L1637" s="36">
        <f t="shared" si="253"/>
        <v>22.5</v>
      </c>
      <c r="M1637" s="37">
        <f t="shared" si="254"/>
        <v>67.5</v>
      </c>
      <c r="N1637" s="38">
        <v>0.16</v>
      </c>
      <c r="O1637" s="39">
        <f t="shared" si="255"/>
        <v>10.8</v>
      </c>
      <c r="P1637" s="40">
        <f t="shared" si="256"/>
        <v>78.3</v>
      </c>
      <c r="Q1637" s="23"/>
      <c r="R1637" s="56"/>
      <c r="S1637" s="57"/>
      <c r="T1637" s="58">
        <f t="shared" si="257"/>
        <v>0</v>
      </c>
      <c r="U1637" s="36">
        <f t="shared" si="258"/>
        <v>0</v>
      </c>
      <c r="V1637" s="59">
        <f t="shared" si="259"/>
        <v>0</v>
      </c>
      <c r="W1637" s="39">
        <f t="shared" si="260"/>
        <v>0</v>
      </c>
      <c r="X1637" s="40">
        <f t="shared" si="261"/>
        <v>0</v>
      </c>
      <c r="Y1637"/>
      <c r="Z1637"/>
      <c r="AA1637"/>
    </row>
    <row r="1638" spans="1:27" s="51" customFormat="1" ht="18.600000000000001" hidden="1" customHeight="1" x14ac:dyDescent="0.25">
      <c r="A1638" s="82" t="s">
        <v>2653</v>
      </c>
      <c r="B1638" s="41" t="s">
        <v>9303</v>
      </c>
      <c r="C1638" s="42" t="s">
        <v>9313</v>
      </c>
      <c r="D1638" s="41" t="s">
        <v>3854</v>
      </c>
      <c r="E1638" s="43" t="s">
        <v>3855</v>
      </c>
      <c r="F1638" s="43" t="s">
        <v>1937</v>
      </c>
      <c r="G1638" s="43" t="s">
        <v>3586</v>
      </c>
      <c r="H1638" s="85" t="s">
        <v>3856</v>
      </c>
      <c r="I1638" s="23" t="s">
        <v>24</v>
      </c>
      <c r="J1638" s="44">
        <v>90</v>
      </c>
      <c r="K1638" s="45">
        <v>0.25</v>
      </c>
      <c r="L1638" s="46">
        <f t="shared" si="253"/>
        <v>22.5</v>
      </c>
      <c r="M1638" s="47">
        <f t="shared" si="254"/>
        <v>67.5</v>
      </c>
      <c r="N1638" s="48">
        <v>0.16</v>
      </c>
      <c r="O1638" s="49">
        <f t="shared" si="255"/>
        <v>10.8</v>
      </c>
      <c r="P1638" s="50">
        <f t="shared" si="256"/>
        <v>78.3</v>
      </c>
      <c r="Q1638" s="23"/>
      <c r="R1638" s="60"/>
      <c r="S1638" s="61"/>
      <c r="T1638" s="62">
        <f t="shared" si="257"/>
        <v>0</v>
      </c>
      <c r="U1638" s="46">
        <f t="shared" si="258"/>
        <v>0</v>
      </c>
      <c r="V1638" s="63">
        <f t="shared" si="259"/>
        <v>0</v>
      </c>
      <c r="W1638" s="49">
        <f t="shared" si="260"/>
        <v>0</v>
      </c>
      <c r="X1638" s="50">
        <f t="shared" si="261"/>
        <v>0</v>
      </c>
      <c r="Y1638"/>
      <c r="Z1638"/>
      <c r="AA1638"/>
    </row>
    <row r="1639" spans="1:27" s="51" customFormat="1" ht="18.600000000000001" hidden="1" customHeight="1" x14ac:dyDescent="0.25">
      <c r="A1639" s="80" t="s">
        <v>2653</v>
      </c>
      <c r="B1639" s="20" t="s">
        <v>9303</v>
      </c>
      <c r="C1639" s="21" t="s">
        <v>9313</v>
      </c>
      <c r="D1639" s="20" t="s">
        <v>3857</v>
      </c>
      <c r="E1639" s="22" t="s">
        <v>3858</v>
      </c>
      <c r="F1639" s="22" t="s">
        <v>1937</v>
      </c>
      <c r="G1639" s="22" t="s">
        <v>3586</v>
      </c>
      <c r="H1639" s="83" t="s">
        <v>3859</v>
      </c>
      <c r="I1639" s="23" t="s">
        <v>24</v>
      </c>
      <c r="J1639" s="24">
        <v>90</v>
      </c>
      <c r="K1639" s="25">
        <v>0.25</v>
      </c>
      <c r="L1639" s="26">
        <f t="shared" si="253"/>
        <v>22.5</v>
      </c>
      <c r="M1639" s="27">
        <f t="shared" si="254"/>
        <v>67.5</v>
      </c>
      <c r="N1639" s="28">
        <v>0.16</v>
      </c>
      <c r="O1639" s="29">
        <f t="shared" si="255"/>
        <v>10.8</v>
      </c>
      <c r="P1639" s="30">
        <f t="shared" si="256"/>
        <v>78.3</v>
      </c>
      <c r="Q1639" s="23"/>
      <c r="R1639" s="52"/>
      <c r="S1639" s="53"/>
      <c r="T1639" s="54">
        <f t="shared" si="257"/>
        <v>0</v>
      </c>
      <c r="U1639" s="26">
        <f t="shared" si="258"/>
        <v>0</v>
      </c>
      <c r="V1639" s="55">
        <f t="shared" si="259"/>
        <v>0</v>
      </c>
      <c r="W1639" s="29">
        <f t="shared" si="260"/>
        <v>0</v>
      </c>
      <c r="X1639" s="30">
        <f t="shared" si="261"/>
        <v>0</v>
      </c>
      <c r="Y1639"/>
      <c r="Z1639"/>
      <c r="AA1639"/>
    </row>
    <row r="1640" spans="1:27" s="51" customFormat="1" ht="18.600000000000001" hidden="1" customHeight="1" x14ac:dyDescent="0.25">
      <c r="A1640" s="81" t="s">
        <v>2653</v>
      </c>
      <c r="B1640" s="31" t="s">
        <v>9303</v>
      </c>
      <c r="C1640" s="32" t="s">
        <v>9313</v>
      </c>
      <c r="D1640" s="31" t="s">
        <v>3860</v>
      </c>
      <c r="E1640" s="33" t="s">
        <v>3861</v>
      </c>
      <c r="F1640" s="33" t="s">
        <v>1937</v>
      </c>
      <c r="G1640" s="33" t="s">
        <v>3586</v>
      </c>
      <c r="H1640" s="84" t="s">
        <v>3862</v>
      </c>
      <c r="I1640" s="23" t="s">
        <v>24</v>
      </c>
      <c r="J1640" s="34">
        <v>90</v>
      </c>
      <c r="K1640" s="35">
        <v>0.25</v>
      </c>
      <c r="L1640" s="36">
        <f t="shared" si="253"/>
        <v>22.5</v>
      </c>
      <c r="M1640" s="37">
        <f t="shared" si="254"/>
        <v>67.5</v>
      </c>
      <c r="N1640" s="38">
        <v>0.16</v>
      </c>
      <c r="O1640" s="39">
        <f t="shared" si="255"/>
        <v>10.8</v>
      </c>
      <c r="P1640" s="40">
        <f t="shared" si="256"/>
        <v>78.3</v>
      </c>
      <c r="Q1640" s="23"/>
      <c r="R1640" s="56"/>
      <c r="S1640" s="57"/>
      <c r="T1640" s="58">
        <f t="shared" si="257"/>
        <v>0</v>
      </c>
      <c r="U1640" s="36">
        <f t="shared" si="258"/>
        <v>0</v>
      </c>
      <c r="V1640" s="59">
        <f t="shared" si="259"/>
        <v>0</v>
      </c>
      <c r="W1640" s="39">
        <f t="shared" si="260"/>
        <v>0</v>
      </c>
      <c r="X1640" s="40">
        <f t="shared" si="261"/>
        <v>0</v>
      </c>
      <c r="Y1640"/>
      <c r="Z1640"/>
      <c r="AA1640"/>
    </row>
    <row r="1641" spans="1:27" s="51" customFormat="1" ht="18.600000000000001" hidden="1" customHeight="1" x14ac:dyDescent="0.25">
      <c r="A1641" s="82" t="s">
        <v>2653</v>
      </c>
      <c r="B1641" s="41" t="s">
        <v>9303</v>
      </c>
      <c r="C1641" s="42" t="s">
        <v>9313</v>
      </c>
      <c r="D1641" s="41" t="s">
        <v>3863</v>
      </c>
      <c r="E1641" s="43" t="s">
        <v>3864</v>
      </c>
      <c r="F1641" s="43" t="s">
        <v>1937</v>
      </c>
      <c r="G1641" s="43" t="s">
        <v>3586</v>
      </c>
      <c r="H1641" s="85" t="s">
        <v>3865</v>
      </c>
      <c r="I1641" s="23" t="s">
        <v>24</v>
      </c>
      <c r="J1641" s="44">
        <v>90</v>
      </c>
      <c r="K1641" s="45">
        <v>0.25</v>
      </c>
      <c r="L1641" s="46">
        <f t="shared" si="253"/>
        <v>22.5</v>
      </c>
      <c r="M1641" s="47">
        <f t="shared" si="254"/>
        <v>67.5</v>
      </c>
      <c r="N1641" s="48">
        <v>0.16</v>
      </c>
      <c r="O1641" s="49">
        <f t="shared" si="255"/>
        <v>10.8</v>
      </c>
      <c r="P1641" s="50">
        <f t="shared" si="256"/>
        <v>78.3</v>
      </c>
      <c r="Q1641" s="23"/>
      <c r="R1641" s="60"/>
      <c r="S1641" s="61"/>
      <c r="T1641" s="62">
        <f t="shared" si="257"/>
        <v>0</v>
      </c>
      <c r="U1641" s="46">
        <f t="shared" si="258"/>
        <v>0</v>
      </c>
      <c r="V1641" s="63">
        <f t="shared" si="259"/>
        <v>0</v>
      </c>
      <c r="W1641" s="49">
        <f t="shared" si="260"/>
        <v>0</v>
      </c>
      <c r="X1641" s="50">
        <f t="shared" si="261"/>
        <v>0</v>
      </c>
      <c r="Y1641"/>
      <c r="Z1641"/>
      <c r="AA1641"/>
    </row>
    <row r="1642" spans="1:27" s="51" customFormat="1" ht="18.600000000000001" hidden="1" customHeight="1" x14ac:dyDescent="0.25">
      <c r="A1642" s="80" t="s">
        <v>2653</v>
      </c>
      <c r="B1642" s="20" t="s">
        <v>9303</v>
      </c>
      <c r="C1642" s="21" t="s">
        <v>9313</v>
      </c>
      <c r="D1642" s="20" t="s">
        <v>3866</v>
      </c>
      <c r="E1642" s="22" t="s">
        <v>3867</v>
      </c>
      <c r="F1642" s="22" t="s">
        <v>1937</v>
      </c>
      <c r="G1642" s="22" t="s">
        <v>3586</v>
      </c>
      <c r="H1642" s="83" t="s">
        <v>3868</v>
      </c>
      <c r="I1642" s="23" t="s">
        <v>24</v>
      </c>
      <c r="J1642" s="24">
        <v>90</v>
      </c>
      <c r="K1642" s="25">
        <v>0.25</v>
      </c>
      <c r="L1642" s="26">
        <f t="shared" si="253"/>
        <v>22.5</v>
      </c>
      <c r="M1642" s="27">
        <f t="shared" si="254"/>
        <v>67.5</v>
      </c>
      <c r="N1642" s="28">
        <v>0.16</v>
      </c>
      <c r="O1642" s="29">
        <f t="shared" si="255"/>
        <v>10.8</v>
      </c>
      <c r="P1642" s="30">
        <f t="shared" si="256"/>
        <v>78.3</v>
      </c>
      <c r="Q1642" s="23"/>
      <c r="R1642" s="52"/>
      <c r="S1642" s="53"/>
      <c r="T1642" s="54">
        <f t="shared" si="257"/>
        <v>0</v>
      </c>
      <c r="U1642" s="26">
        <f t="shared" si="258"/>
        <v>0</v>
      </c>
      <c r="V1642" s="55">
        <f t="shared" si="259"/>
        <v>0</v>
      </c>
      <c r="W1642" s="29">
        <f t="shared" si="260"/>
        <v>0</v>
      </c>
      <c r="X1642" s="30">
        <f t="shared" si="261"/>
        <v>0</v>
      </c>
      <c r="Y1642"/>
      <c r="Z1642"/>
      <c r="AA1642"/>
    </row>
    <row r="1643" spans="1:27" s="51" customFormat="1" ht="18.600000000000001" hidden="1" customHeight="1" x14ac:dyDescent="0.25">
      <c r="A1643" s="81" t="s">
        <v>2653</v>
      </c>
      <c r="B1643" s="31" t="s">
        <v>9303</v>
      </c>
      <c r="C1643" s="32" t="s">
        <v>9313</v>
      </c>
      <c r="D1643" s="31" t="s">
        <v>3869</v>
      </c>
      <c r="E1643" s="33" t="s">
        <v>3870</v>
      </c>
      <c r="F1643" s="33" t="s">
        <v>1937</v>
      </c>
      <c r="G1643" s="33" t="s">
        <v>3586</v>
      </c>
      <c r="H1643" s="84" t="s">
        <v>3871</v>
      </c>
      <c r="I1643" s="23" t="s">
        <v>24</v>
      </c>
      <c r="J1643" s="34">
        <v>90</v>
      </c>
      <c r="K1643" s="35">
        <v>0.25</v>
      </c>
      <c r="L1643" s="36">
        <f t="shared" si="253"/>
        <v>22.5</v>
      </c>
      <c r="M1643" s="37">
        <f t="shared" si="254"/>
        <v>67.5</v>
      </c>
      <c r="N1643" s="38">
        <v>0.16</v>
      </c>
      <c r="O1643" s="39">
        <f t="shared" si="255"/>
        <v>10.8</v>
      </c>
      <c r="P1643" s="40">
        <f t="shared" si="256"/>
        <v>78.3</v>
      </c>
      <c r="Q1643" s="23"/>
      <c r="R1643" s="56"/>
      <c r="S1643" s="57"/>
      <c r="T1643" s="58">
        <f t="shared" si="257"/>
        <v>0</v>
      </c>
      <c r="U1643" s="36">
        <f t="shared" si="258"/>
        <v>0</v>
      </c>
      <c r="V1643" s="59">
        <f t="shared" si="259"/>
        <v>0</v>
      </c>
      <c r="W1643" s="39">
        <f t="shared" si="260"/>
        <v>0</v>
      </c>
      <c r="X1643" s="40">
        <f t="shared" si="261"/>
        <v>0</v>
      </c>
      <c r="Y1643"/>
      <c r="Z1643"/>
      <c r="AA1643"/>
    </row>
    <row r="1644" spans="1:27" s="51" customFormat="1" ht="18.600000000000001" hidden="1" customHeight="1" x14ac:dyDescent="0.25">
      <c r="A1644" s="82" t="s">
        <v>2653</v>
      </c>
      <c r="B1644" s="41" t="s">
        <v>9303</v>
      </c>
      <c r="C1644" s="42" t="s">
        <v>9313</v>
      </c>
      <c r="D1644" s="41" t="s">
        <v>3872</v>
      </c>
      <c r="E1644" s="43" t="s">
        <v>3873</v>
      </c>
      <c r="F1644" s="43" t="s">
        <v>1937</v>
      </c>
      <c r="G1644" s="43" t="s">
        <v>3586</v>
      </c>
      <c r="H1644" s="85" t="s">
        <v>3874</v>
      </c>
      <c r="I1644" s="23" t="s">
        <v>24</v>
      </c>
      <c r="J1644" s="44">
        <v>90</v>
      </c>
      <c r="K1644" s="45">
        <v>0.25</v>
      </c>
      <c r="L1644" s="46">
        <f t="shared" si="253"/>
        <v>22.5</v>
      </c>
      <c r="M1644" s="47">
        <f t="shared" si="254"/>
        <v>67.5</v>
      </c>
      <c r="N1644" s="48">
        <v>0.16</v>
      </c>
      <c r="O1644" s="49">
        <f t="shared" si="255"/>
        <v>10.8</v>
      </c>
      <c r="P1644" s="50">
        <f t="shared" si="256"/>
        <v>78.3</v>
      </c>
      <c r="Q1644" s="23"/>
      <c r="R1644" s="60"/>
      <c r="S1644" s="61"/>
      <c r="T1644" s="62">
        <f t="shared" si="257"/>
        <v>0</v>
      </c>
      <c r="U1644" s="46">
        <f t="shared" si="258"/>
        <v>0</v>
      </c>
      <c r="V1644" s="63">
        <f t="shared" si="259"/>
        <v>0</v>
      </c>
      <c r="W1644" s="49">
        <f t="shared" si="260"/>
        <v>0</v>
      </c>
      <c r="X1644" s="50">
        <f t="shared" si="261"/>
        <v>0</v>
      </c>
      <c r="Y1644"/>
      <c r="Z1644"/>
      <c r="AA1644"/>
    </row>
    <row r="1645" spans="1:27" s="51" customFormat="1" ht="18.600000000000001" hidden="1" customHeight="1" x14ac:dyDescent="0.25">
      <c r="A1645" s="80" t="s">
        <v>2653</v>
      </c>
      <c r="B1645" s="20" t="s">
        <v>9303</v>
      </c>
      <c r="C1645" s="21" t="s">
        <v>9313</v>
      </c>
      <c r="D1645" s="20" t="s">
        <v>3875</v>
      </c>
      <c r="E1645" s="22" t="s">
        <v>3876</v>
      </c>
      <c r="F1645" s="22" t="s">
        <v>1937</v>
      </c>
      <c r="G1645" s="22" t="s">
        <v>3586</v>
      </c>
      <c r="H1645" s="83" t="s">
        <v>3877</v>
      </c>
      <c r="I1645" s="23" t="s">
        <v>24</v>
      </c>
      <c r="J1645" s="24">
        <v>90</v>
      </c>
      <c r="K1645" s="25">
        <v>0.25</v>
      </c>
      <c r="L1645" s="26">
        <f t="shared" si="253"/>
        <v>22.5</v>
      </c>
      <c r="M1645" s="27">
        <f t="shared" si="254"/>
        <v>67.5</v>
      </c>
      <c r="N1645" s="28">
        <v>0.16</v>
      </c>
      <c r="O1645" s="29">
        <f t="shared" si="255"/>
        <v>10.8</v>
      </c>
      <c r="P1645" s="30">
        <f t="shared" si="256"/>
        <v>78.3</v>
      </c>
      <c r="Q1645" s="23"/>
      <c r="R1645" s="52"/>
      <c r="S1645" s="53"/>
      <c r="T1645" s="54">
        <f t="shared" si="257"/>
        <v>0</v>
      </c>
      <c r="U1645" s="26">
        <f t="shared" si="258"/>
        <v>0</v>
      </c>
      <c r="V1645" s="55">
        <f t="shared" si="259"/>
        <v>0</v>
      </c>
      <c r="W1645" s="29">
        <f t="shared" si="260"/>
        <v>0</v>
      </c>
      <c r="X1645" s="30">
        <f t="shared" si="261"/>
        <v>0</v>
      </c>
      <c r="Y1645"/>
      <c r="Z1645"/>
      <c r="AA1645"/>
    </row>
    <row r="1646" spans="1:27" s="51" customFormat="1" ht="18.600000000000001" hidden="1" customHeight="1" x14ac:dyDescent="0.25">
      <c r="A1646" s="81" t="s">
        <v>2653</v>
      </c>
      <c r="B1646" s="31" t="s">
        <v>9303</v>
      </c>
      <c r="C1646" s="32" t="s">
        <v>9313</v>
      </c>
      <c r="D1646" s="31" t="s">
        <v>3878</v>
      </c>
      <c r="E1646" s="33" t="s">
        <v>3879</v>
      </c>
      <c r="F1646" s="33" t="s">
        <v>1937</v>
      </c>
      <c r="G1646" s="33" t="s">
        <v>3586</v>
      </c>
      <c r="H1646" s="84" t="s">
        <v>3880</v>
      </c>
      <c r="I1646" s="23" t="s">
        <v>24</v>
      </c>
      <c r="J1646" s="34">
        <v>90</v>
      </c>
      <c r="K1646" s="35">
        <v>0.25</v>
      </c>
      <c r="L1646" s="36">
        <f t="shared" si="253"/>
        <v>22.5</v>
      </c>
      <c r="M1646" s="37">
        <f t="shared" si="254"/>
        <v>67.5</v>
      </c>
      <c r="N1646" s="38">
        <v>0.16</v>
      </c>
      <c r="O1646" s="39">
        <f t="shared" si="255"/>
        <v>10.8</v>
      </c>
      <c r="P1646" s="40">
        <f t="shared" si="256"/>
        <v>78.3</v>
      </c>
      <c r="Q1646" s="23"/>
      <c r="R1646" s="56"/>
      <c r="S1646" s="57"/>
      <c r="T1646" s="58">
        <f t="shared" si="257"/>
        <v>0</v>
      </c>
      <c r="U1646" s="36">
        <f t="shared" si="258"/>
        <v>0</v>
      </c>
      <c r="V1646" s="59">
        <f t="shared" si="259"/>
        <v>0</v>
      </c>
      <c r="W1646" s="39">
        <f t="shared" si="260"/>
        <v>0</v>
      </c>
      <c r="X1646" s="40">
        <f t="shared" si="261"/>
        <v>0</v>
      </c>
      <c r="Y1646"/>
      <c r="Z1646"/>
      <c r="AA1646"/>
    </row>
    <row r="1647" spans="1:27" s="51" customFormat="1" ht="18.600000000000001" hidden="1" customHeight="1" x14ac:dyDescent="0.25">
      <c r="A1647" s="82" t="s">
        <v>2653</v>
      </c>
      <c r="B1647" s="41" t="s">
        <v>9303</v>
      </c>
      <c r="C1647" s="42" t="s">
        <v>9313</v>
      </c>
      <c r="D1647" s="41" t="s">
        <v>3881</v>
      </c>
      <c r="E1647" s="43" t="s">
        <v>3882</v>
      </c>
      <c r="F1647" s="43" t="s">
        <v>1937</v>
      </c>
      <c r="G1647" s="43" t="s">
        <v>3586</v>
      </c>
      <c r="H1647" s="85" t="s">
        <v>3883</v>
      </c>
      <c r="I1647" s="23" t="s">
        <v>24</v>
      </c>
      <c r="J1647" s="44">
        <v>90</v>
      </c>
      <c r="K1647" s="45">
        <v>0.25</v>
      </c>
      <c r="L1647" s="46">
        <f t="shared" si="253"/>
        <v>22.5</v>
      </c>
      <c r="M1647" s="47">
        <f t="shared" si="254"/>
        <v>67.5</v>
      </c>
      <c r="N1647" s="48">
        <v>0.16</v>
      </c>
      <c r="O1647" s="49">
        <f t="shared" si="255"/>
        <v>10.8</v>
      </c>
      <c r="P1647" s="50">
        <f t="shared" si="256"/>
        <v>78.3</v>
      </c>
      <c r="Q1647" s="23"/>
      <c r="R1647" s="60"/>
      <c r="S1647" s="61"/>
      <c r="T1647" s="62">
        <f t="shared" si="257"/>
        <v>0</v>
      </c>
      <c r="U1647" s="46">
        <f t="shared" si="258"/>
        <v>0</v>
      </c>
      <c r="V1647" s="63">
        <f t="shared" si="259"/>
        <v>0</v>
      </c>
      <c r="W1647" s="49">
        <f t="shared" si="260"/>
        <v>0</v>
      </c>
      <c r="X1647" s="50">
        <f t="shared" si="261"/>
        <v>0</v>
      </c>
      <c r="Y1647"/>
      <c r="Z1647"/>
      <c r="AA1647"/>
    </row>
    <row r="1648" spans="1:27" s="51" customFormat="1" ht="18.600000000000001" hidden="1" customHeight="1" x14ac:dyDescent="0.25">
      <c r="A1648" s="80" t="s">
        <v>2653</v>
      </c>
      <c r="B1648" s="20" t="s">
        <v>9303</v>
      </c>
      <c r="C1648" s="21" t="s">
        <v>9313</v>
      </c>
      <c r="D1648" s="20" t="s">
        <v>3884</v>
      </c>
      <c r="E1648" s="22" t="s">
        <v>3885</v>
      </c>
      <c r="F1648" s="22" t="s">
        <v>1937</v>
      </c>
      <c r="G1648" s="22" t="s">
        <v>3586</v>
      </c>
      <c r="H1648" s="83" t="s">
        <v>3886</v>
      </c>
      <c r="I1648" s="23" t="s">
        <v>24</v>
      </c>
      <c r="J1648" s="24">
        <v>90</v>
      </c>
      <c r="K1648" s="25">
        <v>0.25</v>
      </c>
      <c r="L1648" s="26">
        <f t="shared" si="253"/>
        <v>22.5</v>
      </c>
      <c r="M1648" s="27">
        <f t="shared" si="254"/>
        <v>67.5</v>
      </c>
      <c r="N1648" s="28">
        <v>0.16</v>
      </c>
      <c r="O1648" s="29">
        <f t="shared" si="255"/>
        <v>10.8</v>
      </c>
      <c r="P1648" s="30">
        <f t="shared" si="256"/>
        <v>78.3</v>
      </c>
      <c r="Q1648" s="23"/>
      <c r="R1648" s="52"/>
      <c r="S1648" s="53"/>
      <c r="T1648" s="54">
        <f t="shared" si="257"/>
        <v>0</v>
      </c>
      <c r="U1648" s="26">
        <f t="shared" si="258"/>
        <v>0</v>
      </c>
      <c r="V1648" s="55">
        <f t="shared" si="259"/>
        <v>0</v>
      </c>
      <c r="W1648" s="29">
        <f t="shared" si="260"/>
        <v>0</v>
      </c>
      <c r="X1648" s="30">
        <f t="shared" si="261"/>
        <v>0</v>
      </c>
      <c r="Y1648"/>
      <c r="Z1648"/>
      <c r="AA1648"/>
    </row>
    <row r="1649" spans="1:27" s="51" customFormat="1" ht="18.600000000000001" hidden="1" customHeight="1" x14ac:dyDescent="0.25">
      <c r="A1649" s="81" t="s">
        <v>2653</v>
      </c>
      <c r="B1649" s="31" t="s">
        <v>9303</v>
      </c>
      <c r="C1649" s="32" t="s">
        <v>9313</v>
      </c>
      <c r="D1649" s="31" t="s">
        <v>3887</v>
      </c>
      <c r="E1649" s="33" t="s">
        <v>3888</v>
      </c>
      <c r="F1649" s="33" t="s">
        <v>1937</v>
      </c>
      <c r="G1649" s="33" t="s">
        <v>3586</v>
      </c>
      <c r="H1649" s="84" t="s">
        <v>3889</v>
      </c>
      <c r="I1649" s="23" t="s">
        <v>24</v>
      </c>
      <c r="J1649" s="34">
        <v>90</v>
      </c>
      <c r="K1649" s="35">
        <v>0.25</v>
      </c>
      <c r="L1649" s="36">
        <f t="shared" si="253"/>
        <v>22.5</v>
      </c>
      <c r="M1649" s="37">
        <f t="shared" si="254"/>
        <v>67.5</v>
      </c>
      <c r="N1649" s="38">
        <v>0.16</v>
      </c>
      <c r="O1649" s="39">
        <f t="shared" si="255"/>
        <v>10.8</v>
      </c>
      <c r="P1649" s="40">
        <f t="shared" si="256"/>
        <v>78.3</v>
      </c>
      <c r="Q1649" s="23"/>
      <c r="R1649" s="56"/>
      <c r="S1649" s="57"/>
      <c r="T1649" s="58">
        <f t="shared" si="257"/>
        <v>0</v>
      </c>
      <c r="U1649" s="36">
        <f t="shared" si="258"/>
        <v>0</v>
      </c>
      <c r="V1649" s="59">
        <f t="shared" si="259"/>
        <v>0</v>
      </c>
      <c r="W1649" s="39">
        <f t="shared" si="260"/>
        <v>0</v>
      </c>
      <c r="X1649" s="40">
        <f t="shared" si="261"/>
        <v>0</v>
      </c>
      <c r="Y1649"/>
      <c r="Z1649"/>
      <c r="AA1649"/>
    </row>
    <row r="1650" spans="1:27" s="51" customFormat="1" ht="18.600000000000001" hidden="1" customHeight="1" x14ac:dyDescent="0.25">
      <c r="A1650" s="82" t="s">
        <v>2653</v>
      </c>
      <c r="B1650" s="41" t="s">
        <v>9303</v>
      </c>
      <c r="C1650" s="42" t="s">
        <v>9313</v>
      </c>
      <c r="D1650" s="41" t="s">
        <v>3890</v>
      </c>
      <c r="E1650" s="43" t="s">
        <v>3891</v>
      </c>
      <c r="F1650" s="43" t="s">
        <v>1937</v>
      </c>
      <c r="G1650" s="43" t="s">
        <v>3586</v>
      </c>
      <c r="H1650" s="85" t="s">
        <v>3892</v>
      </c>
      <c r="I1650" s="23" t="s">
        <v>24</v>
      </c>
      <c r="J1650" s="44">
        <v>90</v>
      </c>
      <c r="K1650" s="45">
        <v>0.25</v>
      </c>
      <c r="L1650" s="46">
        <f t="shared" si="253"/>
        <v>22.5</v>
      </c>
      <c r="M1650" s="47">
        <f t="shared" si="254"/>
        <v>67.5</v>
      </c>
      <c r="N1650" s="48">
        <v>0.16</v>
      </c>
      <c r="O1650" s="49">
        <f t="shared" si="255"/>
        <v>10.8</v>
      </c>
      <c r="P1650" s="50">
        <f t="shared" si="256"/>
        <v>78.3</v>
      </c>
      <c r="Q1650" s="23"/>
      <c r="R1650" s="60"/>
      <c r="S1650" s="61"/>
      <c r="T1650" s="62">
        <f t="shared" si="257"/>
        <v>0</v>
      </c>
      <c r="U1650" s="46">
        <f t="shared" si="258"/>
        <v>0</v>
      </c>
      <c r="V1650" s="63">
        <f t="shared" si="259"/>
        <v>0</v>
      </c>
      <c r="W1650" s="49">
        <f t="shared" si="260"/>
        <v>0</v>
      </c>
      <c r="X1650" s="50">
        <f t="shared" si="261"/>
        <v>0</v>
      </c>
      <c r="Y1650"/>
      <c r="Z1650"/>
      <c r="AA1650"/>
    </row>
    <row r="1651" spans="1:27" s="51" customFormat="1" ht="18.600000000000001" hidden="1" customHeight="1" x14ac:dyDescent="0.25">
      <c r="A1651" s="80" t="s">
        <v>2653</v>
      </c>
      <c r="B1651" s="20" t="s">
        <v>9303</v>
      </c>
      <c r="C1651" s="21" t="s">
        <v>9313</v>
      </c>
      <c r="D1651" s="20" t="s">
        <v>3893</v>
      </c>
      <c r="E1651" s="22" t="s">
        <v>3894</v>
      </c>
      <c r="F1651" s="22" t="s">
        <v>1937</v>
      </c>
      <c r="G1651" s="22" t="s">
        <v>3586</v>
      </c>
      <c r="H1651" s="83" t="s">
        <v>3895</v>
      </c>
      <c r="I1651" s="23" t="s">
        <v>24</v>
      </c>
      <c r="J1651" s="24">
        <v>90</v>
      </c>
      <c r="K1651" s="25">
        <v>0.25</v>
      </c>
      <c r="L1651" s="26">
        <f t="shared" si="253"/>
        <v>22.5</v>
      </c>
      <c r="M1651" s="27">
        <f t="shared" si="254"/>
        <v>67.5</v>
      </c>
      <c r="N1651" s="28">
        <v>0.16</v>
      </c>
      <c r="O1651" s="29">
        <f t="shared" si="255"/>
        <v>10.8</v>
      </c>
      <c r="P1651" s="30">
        <f t="shared" si="256"/>
        <v>78.3</v>
      </c>
      <c r="Q1651" s="23"/>
      <c r="R1651" s="52"/>
      <c r="S1651" s="53"/>
      <c r="T1651" s="54">
        <f t="shared" si="257"/>
        <v>0</v>
      </c>
      <c r="U1651" s="26">
        <f t="shared" si="258"/>
        <v>0</v>
      </c>
      <c r="V1651" s="55">
        <f t="shared" si="259"/>
        <v>0</v>
      </c>
      <c r="W1651" s="29">
        <f t="shared" si="260"/>
        <v>0</v>
      </c>
      <c r="X1651" s="30">
        <f t="shared" si="261"/>
        <v>0</v>
      </c>
      <c r="Y1651"/>
      <c r="Z1651"/>
      <c r="AA1651"/>
    </row>
    <row r="1652" spans="1:27" s="51" customFormat="1" ht="18.600000000000001" hidden="1" customHeight="1" x14ac:dyDescent="0.25">
      <c r="A1652" s="81" t="s">
        <v>2653</v>
      </c>
      <c r="B1652" s="31" t="s">
        <v>9303</v>
      </c>
      <c r="C1652" s="32" t="s">
        <v>9313</v>
      </c>
      <c r="D1652" s="31" t="s">
        <v>3896</v>
      </c>
      <c r="E1652" s="33" t="s">
        <v>3897</v>
      </c>
      <c r="F1652" s="33" t="s">
        <v>1937</v>
      </c>
      <c r="G1652" s="33" t="s">
        <v>3586</v>
      </c>
      <c r="H1652" s="84" t="s">
        <v>3898</v>
      </c>
      <c r="I1652" s="23" t="s">
        <v>24</v>
      </c>
      <c r="J1652" s="34">
        <v>90</v>
      </c>
      <c r="K1652" s="35">
        <v>0.25</v>
      </c>
      <c r="L1652" s="36">
        <f t="shared" si="253"/>
        <v>22.5</v>
      </c>
      <c r="M1652" s="37">
        <f t="shared" si="254"/>
        <v>67.5</v>
      </c>
      <c r="N1652" s="38">
        <v>0.16</v>
      </c>
      <c r="O1652" s="39">
        <f t="shared" si="255"/>
        <v>10.8</v>
      </c>
      <c r="P1652" s="40">
        <f t="shared" si="256"/>
        <v>78.3</v>
      </c>
      <c r="Q1652" s="23"/>
      <c r="R1652" s="56"/>
      <c r="S1652" s="57"/>
      <c r="T1652" s="58">
        <f t="shared" si="257"/>
        <v>0</v>
      </c>
      <c r="U1652" s="36">
        <f t="shared" si="258"/>
        <v>0</v>
      </c>
      <c r="V1652" s="59">
        <f t="shared" si="259"/>
        <v>0</v>
      </c>
      <c r="W1652" s="39">
        <f t="shared" si="260"/>
        <v>0</v>
      </c>
      <c r="X1652" s="40">
        <f t="shared" si="261"/>
        <v>0</v>
      </c>
      <c r="Y1652"/>
      <c r="Z1652"/>
      <c r="AA1652"/>
    </row>
    <row r="1653" spans="1:27" s="51" customFormat="1" ht="18.600000000000001" hidden="1" customHeight="1" x14ac:dyDescent="0.25">
      <c r="A1653" s="82" t="s">
        <v>2653</v>
      </c>
      <c r="B1653" s="41" t="s">
        <v>9303</v>
      </c>
      <c r="C1653" s="42" t="s">
        <v>9313</v>
      </c>
      <c r="D1653" s="41" t="s">
        <v>3899</v>
      </c>
      <c r="E1653" s="43" t="s">
        <v>3900</v>
      </c>
      <c r="F1653" s="43" t="s">
        <v>1937</v>
      </c>
      <c r="G1653" s="43" t="s">
        <v>3586</v>
      </c>
      <c r="H1653" s="85" t="s">
        <v>3901</v>
      </c>
      <c r="I1653" s="23" t="s">
        <v>24</v>
      </c>
      <c r="J1653" s="44">
        <v>90</v>
      </c>
      <c r="K1653" s="45">
        <v>0.25</v>
      </c>
      <c r="L1653" s="46">
        <f t="shared" si="253"/>
        <v>22.5</v>
      </c>
      <c r="M1653" s="47">
        <f t="shared" si="254"/>
        <v>67.5</v>
      </c>
      <c r="N1653" s="48">
        <v>0.16</v>
      </c>
      <c r="O1653" s="49">
        <f t="shared" si="255"/>
        <v>10.8</v>
      </c>
      <c r="P1653" s="50">
        <f t="shared" si="256"/>
        <v>78.3</v>
      </c>
      <c r="Q1653" s="23"/>
      <c r="R1653" s="60"/>
      <c r="S1653" s="61"/>
      <c r="T1653" s="62">
        <f t="shared" si="257"/>
        <v>0</v>
      </c>
      <c r="U1653" s="46">
        <f t="shared" si="258"/>
        <v>0</v>
      </c>
      <c r="V1653" s="63">
        <f t="shared" si="259"/>
        <v>0</v>
      </c>
      <c r="W1653" s="49">
        <f t="shared" si="260"/>
        <v>0</v>
      </c>
      <c r="X1653" s="50">
        <f t="shared" si="261"/>
        <v>0</v>
      </c>
      <c r="Y1653"/>
      <c r="Z1653"/>
      <c r="AA1653"/>
    </row>
    <row r="1654" spans="1:27" s="51" customFormat="1" ht="18.600000000000001" hidden="1" customHeight="1" x14ac:dyDescent="0.25">
      <c r="A1654" s="80" t="s">
        <v>2653</v>
      </c>
      <c r="B1654" s="20" t="s">
        <v>9303</v>
      </c>
      <c r="C1654" s="21" t="s">
        <v>9313</v>
      </c>
      <c r="D1654" s="20" t="s">
        <v>3902</v>
      </c>
      <c r="E1654" s="22" t="s">
        <v>3903</v>
      </c>
      <c r="F1654" s="22" t="s">
        <v>1937</v>
      </c>
      <c r="G1654" s="22" t="s">
        <v>3586</v>
      </c>
      <c r="H1654" s="83" t="s">
        <v>3904</v>
      </c>
      <c r="I1654" s="23" t="s">
        <v>24</v>
      </c>
      <c r="J1654" s="24">
        <v>90</v>
      </c>
      <c r="K1654" s="25">
        <v>0.25</v>
      </c>
      <c r="L1654" s="26">
        <f t="shared" si="253"/>
        <v>22.5</v>
      </c>
      <c r="M1654" s="27">
        <f t="shared" si="254"/>
        <v>67.5</v>
      </c>
      <c r="N1654" s="28">
        <v>0.16</v>
      </c>
      <c r="O1654" s="29">
        <f t="shared" si="255"/>
        <v>10.8</v>
      </c>
      <c r="P1654" s="30">
        <f t="shared" si="256"/>
        <v>78.3</v>
      </c>
      <c r="Q1654" s="23"/>
      <c r="R1654" s="52"/>
      <c r="S1654" s="53"/>
      <c r="T1654" s="54">
        <f t="shared" si="257"/>
        <v>0</v>
      </c>
      <c r="U1654" s="26">
        <f t="shared" si="258"/>
        <v>0</v>
      </c>
      <c r="V1654" s="55">
        <f t="shared" si="259"/>
        <v>0</v>
      </c>
      <c r="W1654" s="29">
        <f t="shared" si="260"/>
        <v>0</v>
      </c>
      <c r="X1654" s="30">
        <f t="shared" si="261"/>
        <v>0</v>
      </c>
      <c r="Y1654"/>
      <c r="Z1654"/>
      <c r="AA1654"/>
    </row>
    <row r="1655" spans="1:27" s="51" customFormat="1" ht="18.600000000000001" hidden="1" customHeight="1" x14ac:dyDescent="0.25">
      <c r="A1655" s="81" t="s">
        <v>2653</v>
      </c>
      <c r="B1655" s="31" t="s">
        <v>9303</v>
      </c>
      <c r="C1655" s="32" t="s">
        <v>9313</v>
      </c>
      <c r="D1655" s="31" t="s">
        <v>3905</v>
      </c>
      <c r="E1655" s="33" t="s">
        <v>3906</v>
      </c>
      <c r="F1655" s="33" t="s">
        <v>1937</v>
      </c>
      <c r="G1655" s="33" t="s">
        <v>3586</v>
      </c>
      <c r="H1655" s="84" t="s">
        <v>3907</v>
      </c>
      <c r="I1655" s="23" t="s">
        <v>24</v>
      </c>
      <c r="J1655" s="34">
        <v>90</v>
      </c>
      <c r="K1655" s="35">
        <v>0.25</v>
      </c>
      <c r="L1655" s="36">
        <f t="shared" si="253"/>
        <v>22.5</v>
      </c>
      <c r="M1655" s="37">
        <f t="shared" si="254"/>
        <v>67.5</v>
      </c>
      <c r="N1655" s="38">
        <v>0.16</v>
      </c>
      <c r="O1655" s="39">
        <f t="shared" si="255"/>
        <v>10.8</v>
      </c>
      <c r="P1655" s="40">
        <f t="shared" si="256"/>
        <v>78.3</v>
      </c>
      <c r="Q1655" s="23"/>
      <c r="R1655" s="56"/>
      <c r="S1655" s="57"/>
      <c r="T1655" s="58">
        <f t="shared" si="257"/>
        <v>0</v>
      </c>
      <c r="U1655" s="36">
        <f t="shared" si="258"/>
        <v>0</v>
      </c>
      <c r="V1655" s="59">
        <f t="shared" si="259"/>
        <v>0</v>
      </c>
      <c r="W1655" s="39">
        <f t="shared" si="260"/>
        <v>0</v>
      </c>
      <c r="X1655" s="40">
        <f t="shared" si="261"/>
        <v>0</v>
      </c>
      <c r="Y1655"/>
      <c r="Z1655"/>
      <c r="AA1655"/>
    </row>
    <row r="1656" spans="1:27" s="51" customFormat="1" ht="18.600000000000001" hidden="1" customHeight="1" x14ac:dyDescent="0.25">
      <c r="A1656" s="82" t="s">
        <v>2653</v>
      </c>
      <c r="B1656" s="41" t="s">
        <v>9303</v>
      </c>
      <c r="C1656" s="42" t="s">
        <v>9313</v>
      </c>
      <c r="D1656" s="41" t="s">
        <v>3908</v>
      </c>
      <c r="E1656" s="43" t="s">
        <v>3909</v>
      </c>
      <c r="F1656" s="43" t="s">
        <v>1937</v>
      </c>
      <c r="G1656" s="43" t="s">
        <v>3586</v>
      </c>
      <c r="H1656" s="85" t="s">
        <v>3910</v>
      </c>
      <c r="I1656" s="23" t="s">
        <v>24</v>
      </c>
      <c r="J1656" s="44">
        <v>90</v>
      </c>
      <c r="K1656" s="45">
        <v>0.25</v>
      </c>
      <c r="L1656" s="46">
        <f t="shared" si="253"/>
        <v>22.5</v>
      </c>
      <c r="M1656" s="47">
        <f t="shared" si="254"/>
        <v>67.5</v>
      </c>
      <c r="N1656" s="48">
        <v>0.16</v>
      </c>
      <c r="O1656" s="49">
        <f t="shared" si="255"/>
        <v>10.8</v>
      </c>
      <c r="P1656" s="50">
        <f t="shared" si="256"/>
        <v>78.3</v>
      </c>
      <c r="Q1656" s="23"/>
      <c r="R1656" s="60"/>
      <c r="S1656" s="61"/>
      <c r="T1656" s="62">
        <f t="shared" si="257"/>
        <v>0</v>
      </c>
      <c r="U1656" s="46">
        <f t="shared" si="258"/>
        <v>0</v>
      </c>
      <c r="V1656" s="63">
        <f t="shared" si="259"/>
        <v>0</v>
      </c>
      <c r="W1656" s="49">
        <f t="shared" si="260"/>
        <v>0</v>
      </c>
      <c r="X1656" s="50">
        <f t="shared" si="261"/>
        <v>0</v>
      </c>
      <c r="Y1656"/>
      <c r="Z1656"/>
      <c r="AA1656"/>
    </row>
    <row r="1657" spans="1:27" s="51" customFormat="1" ht="18.600000000000001" hidden="1" customHeight="1" x14ac:dyDescent="0.25">
      <c r="A1657" s="80" t="s">
        <v>2653</v>
      </c>
      <c r="B1657" s="20" t="s">
        <v>9303</v>
      </c>
      <c r="C1657" s="21" t="s">
        <v>9313</v>
      </c>
      <c r="D1657" s="20" t="s">
        <v>3911</v>
      </c>
      <c r="E1657" s="22" t="s">
        <v>3912</v>
      </c>
      <c r="F1657" s="22" t="s">
        <v>1937</v>
      </c>
      <c r="G1657" s="22" t="s">
        <v>3586</v>
      </c>
      <c r="H1657" s="83" t="s">
        <v>3913</v>
      </c>
      <c r="I1657" s="23" t="s">
        <v>24</v>
      </c>
      <c r="J1657" s="24">
        <v>90</v>
      </c>
      <c r="K1657" s="25">
        <v>0.25</v>
      </c>
      <c r="L1657" s="26">
        <f t="shared" si="253"/>
        <v>22.5</v>
      </c>
      <c r="M1657" s="27">
        <f t="shared" si="254"/>
        <v>67.5</v>
      </c>
      <c r="N1657" s="28">
        <v>0.16</v>
      </c>
      <c r="O1657" s="29">
        <f t="shared" si="255"/>
        <v>10.8</v>
      </c>
      <c r="P1657" s="30">
        <f t="shared" si="256"/>
        <v>78.3</v>
      </c>
      <c r="Q1657" s="23"/>
      <c r="R1657" s="52"/>
      <c r="S1657" s="53"/>
      <c r="T1657" s="54">
        <f t="shared" si="257"/>
        <v>0</v>
      </c>
      <c r="U1657" s="26">
        <f t="shared" si="258"/>
        <v>0</v>
      </c>
      <c r="V1657" s="55">
        <f t="shared" si="259"/>
        <v>0</v>
      </c>
      <c r="W1657" s="29">
        <f t="shared" si="260"/>
        <v>0</v>
      </c>
      <c r="X1657" s="30">
        <f t="shared" si="261"/>
        <v>0</v>
      </c>
      <c r="Y1657"/>
      <c r="Z1657"/>
      <c r="AA1657"/>
    </row>
    <row r="1658" spans="1:27" s="51" customFormat="1" ht="18.600000000000001" hidden="1" customHeight="1" x14ac:dyDescent="0.25">
      <c r="A1658" s="81" t="s">
        <v>2653</v>
      </c>
      <c r="B1658" s="31" t="s">
        <v>9303</v>
      </c>
      <c r="C1658" s="32" t="s">
        <v>9313</v>
      </c>
      <c r="D1658" s="31" t="s">
        <v>3914</v>
      </c>
      <c r="E1658" s="33" t="s">
        <v>3915</v>
      </c>
      <c r="F1658" s="33" t="s">
        <v>1937</v>
      </c>
      <c r="G1658" s="33" t="s">
        <v>3586</v>
      </c>
      <c r="H1658" s="84" t="s">
        <v>3916</v>
      </c>
      <c r="I1658" s="23" t="s">
        <v>24</v>
      </c>
      <c r="J1658" s="34">
        <v>90</v>
      </c>
      <c r="K1658" s="35">
        <v>0.25</v>
      </c>
      <c r="L1658" s="36">
        <f t="shared" si="253"/>
        <v>22.5</v>
      </c>
      <c r="M1658" s="37">
        <f t="shared" si="254"/>
        <v>67.5</v>
      </c>
      <c r="N1658" s="38">
        <v>0.16</v>
      </c>
      <c r="O1658" s="39">
        <f t="shared" si="255"/>
        <v>10.8</v>
      </c>
      <c r="P1658" s="40">
        <f t="shared" si="256"/>
        <v>78.3</v>
      </c>
      <c r="Q1658" s="23"/>
      <c r="R1658" s="56"/>
      <c r="S1658" s="57"/>
      <c r="T1658" s="58">
        <f t="shared" si="257"/>
        <v>0</v>
      </c>
      <c r="U1658" s="36">
        <f t="shared" si="258"/>
        <v>0</v>
      </c>
      <c r="V1658" s="59">
        <f t="shared" si="259"/>
        <v>0</v>
      </c>
      <c r="W1658" s="39">
        <f t="shared" si="260"/>
        <v>0</v>
      </c>
      <c r="X1658" s="40">
        <f t="shared" si="261"/>
        <v>0</v>
      </c>
      <c r="Y1658"/>
      <c r="Z1658"/>
      <c r="AA1658"/>
    </row>
    <row r="1659" spans="1:27" s="51" customFormat="1" ht="18.600000000000001" hidden="1" customHeight="1" x14ac:dyDescent="0.25">
      <c r="A1659" s="82" t="s">
        <v>2653</v>
      </c>
      <c r="B1659" s="41" t="s">
        <v>9303</v>
      </c>
      <c r="C1659" s="42" t="s">
        <v>9313</v>
      </c>
      <c r="D1659" s="41" t="s">
        <v>3917</v>
      </c>
      <c r="E1659" s="43" t="s">
        <v>3918</v>
      </c>
      <c r="F1659" s="43" t="s">
        <v>1937</v>
      </c>
      <c r="G1659" s="43" t="s">
        <v>3586</v>
      </c>
      <c r="H1659" s="85" t="s">
        <v>3919</v>
      </c>
      <c r="I1659" s="23" t="s">
        <v>24</v>
      </c>
      <c r="J1659" s="44">
        <v>90</v>
      </c>
      <c r="K1659" s="45">
        <v>0.25</v>
      </c>
      <c r="L1659" s="46">
        <f t="shared" si="253"/>
        <v>22.5</v>
      </c>
      <c r="M1659" s="47">
        <f t="shared" si="254"/>
        <v>67.5</v>
      </c>
      <c r="N1659" s="48">
        <v>0.16</v>
      </c>
      <c r="O1659" s="49">
        <f t="shared" si="255"/>
        <v>10.8</v>
      </c>
      <c r="P1659" s="50">
        <f t="shared" si="256"/>
        <v>78.3</v>
      </c>
      <c r="Q1659" s="23"/>
      <c r="R1659" s="60"/>
      <c r="S1659" s="61"/>
      <c r="T1659" s="62">
        <f t="shared" si="257"/>
        <v>0</v>
      </c>
      <c r="U1659" s="46">
        <f t="shared" si="258"/>
        <v>0</v>
      </c>
      <c r="V1659" s="63">
        <f t="shared" si="259"/>
        <v>0</v>
      </c>
      <c r="W1659" s="49">
        <f t="shared" si="260"/>
        <v>0</v>
      </c>
      <c r="X1659" s="50">
        <f t="shared" si="261"/>
        <v>0</v>
      </c>
      <c r="Y1659"/>
      <c r="Z1659"/>
      <c r="AA1659"/>
    </row>
    <row r="1660" spans="1:27" s="51" customFormat="1" ht="18.600000000000001" hidden="1" customHeight="1" x14ac:dyDescent="0.25">
      <c r="A1660" s="80" t="s">
        <v>2653</v>
      </c>
      <c r="B1660" s="20" t="s">
        <v>9303</v>
      </c>
      <c r="C1660" s="21" t="s">
        <v>9313</v>
      </c>
      <c r="D1660" s="20" t="s">
        <v>3920</v>
      </c>
      <c r="E1660" s="22" t="s">
        <v>3921</v>
      </c>
      <c r="F1660" s="22" t="s">
        <v>1937</v>
      </c>
      <c r="G1660" s="22" t="s">
        <v>3586</v>
      </c>
      <c r="H1660" s="83" t="s">
        <v>3922</v>
      </c>
      <c r="I1660" s="23" t="s">
        <v>24</v>
      </c>
      <c r="J1660" s="24">
        <v>90</v>
      </c>
      <c r="K1660" s="25">
        <v>0.25</v>
      </c>
      <c r="L1660" s="26">
        <f t="shared" si="253"/>
        <v>22.5</v>
      </c>
      <c r="M1660" s="27">
        <f t="shared" si="254"/>
        <v>67.5</v>
      </c>
      <c r="N1660" s="28">
        <v>0.16</v>
      </c>
      <c r="O1660" s="29">
        <f t="shared" si="255"/>
        <v>10.8</v>
      </c>
      <c r="P1660" s="30">
        <f t="shared" si="256"/>
        <v>78.3</v>
      </c>
      <c r="Q1660" s="23"/>
      <c r="R1660" s="52"/>
      <c r="S1660" s="53"/>
      <c r="T1660" s="54">
        <f t="shared" si="257"/>
        <v>0</v>
      </c>
      <c r="U1660" s="26">
        <f t="shared" si="258"/>
        <v>0</v>
      </c>
      <c r="V1660" s="55">
        <f t="shared" si="259"/>
        <v>0</v>
      </c>
      <c r="W1660" s="29">
        <f t="shared" si="260"/>
        <v>0</v>
      </c>
      <c r="X1660" s="30">
        <f t="shared" si="261"/>
        <v>0</v>
      </c>
      <c r="Y1660"/>
      <c r="Z1660"/>
      <c r="AA1660"/>
    </row>
    <row r="1661" spans="1:27" s="51" customFormat="1" ht="18.600000000000001" hidden="1" customHeight="1" x14ac:dyDescent="0.25">
      <c r="A1661" s="81" t="s">
        <v>2653</v>
      </c>
      <c r="B1661" s="31" t="s">
        <v>9303</v>
      </c>
      <c r="C1661" s="32" t="s">
        <v>9313</v>
      </c>
      <c r="D1661" s="31" t="s">
        <v>3923</v>
      </c>
      <c r="E1661" s="33" t="s">
        <v>3924</v>
      </c>
      <c r="F1661" s="33" t="s">
        <v>1937</v>
      </c>
      <c r="G1661" s="33" t="s">
        <v>3586</v>
      </c>
      <c r="H1661" s="84" t="s">
        <v>3925</v>
      </c>
      <c r="I1661" s="23" t="s">
        <v>24</v>
      </c>
      <c r="J1661" s="34">
        <v>90</v>
      </c>
      <c r="K1661" s="35">
        <v>0.25</v>
      </c>
      <c r="L1661" s="36">
        <f t="shared" si="253"/>
        <v>22.5</v>
      </c>
      <c r="M1661" s="37">
        <f t="shared" si="254"/>
        <v>67.5</v>
      </c>
      <c r="N1661" s="38">
        <v>0.16</v>
      </c>
      <c r="O1661" s="39">
        <f t="shared" si="255"/>
        <v>10.8</v>
      </c>
      <c r="P1661" s="40">
        <f t="shared" si="256"/>
        <v>78.3</v>
      </c>
      <c r="Q1661" s="23"/>
      <c r="R1661" s="56"/>
      <c r="S1661" s="57"/>
      <c r="T1661" s="58">
        <f t="shared" si="257"/>
        <v>0</v>
      </c>
      <c r="U1661" s="36">
        <f t="shared" si="258"/>
        <v>0</v>
      </c>
      <c r="V1661" s="59">
        <f t="shared" si="259"/>
        <v>0</v>
      </c>
      <c r="W1661" s="39">
        <f t="shared" si="260"/>
        <v>0</v>
      </c>
      <c r="X1661" s="40">
        <f t="shared" si="261"/>
        <v>0</v>
      </c>
      <c r="Y1661"/>
      <c r="Z1661"/>
      <c r="AA1661"/>
    </row>
    <row r="1662" spans="1:27" s="51" customFormat="1" ht="18.600000000000001" hidden="1" customHeight="1" x14ac:dyDescent="0.25">
      <c r="A1662" s="82" t="s">
        <v>2653</v>
      </c>
      <c r="B1662" s="41" t="s">
        <v>9303</v>
      </c>
      <c r="C1662" s="42" t="s">
        <v>9313</v>
      </c>
      <c r="D1662" s="41" t="s">
        <v>3926</v>
      </c>
      <c r="E1662" s="43" t="s">
        <v>3927</v>
      </c>
      <c r="F1662" s="43" t="s">
        <v>1937</v>
      </c>
      <c r="G1662" s="43" t="s">
        <v>3586</v>
      </c>
      <c r="H1662" s="85" t="s">
        <v>3928</v>
      </c>
      <c r="I1662" s="23" t="s">
        <v>24</v>
      </c>
      <c r="J1662" s="44">
        <v>90</v>
      </c>
      <c r="K1662" s="45">
        <v>0.25</v>
      </c>
      <c r="L1662" s="46">
        <f t="shared" si="253"/>
        <v>22.5</v>
      </c>
      <c r="M1662" s="47">
        <f t="shared" si="254"/>
        <v>67.5</v>
      </c>
      <c r="N1662" s="48">
        <v>0.16</v>
      </c>
      <c r="O1662" s="49">
        <f t="shared" si="255"/>
        <v>10.8</v>
      </c>
      <c r="P1662" s="50">
        <f t="shared" si="256"/>
        <v>78.3</v>
      </c>
      <c r="Q1662" s="23"/>
      <c r="R1662" s="60"/>
      <c r="S1662" s="61"/>
      <c r="T1662" s="62">
        <f t="shared" si="257"/>
        <v>0</v>
      </c>
      <c r="U1662" s="46">
        <f t="shared" si="258"/>
        <v>0</v>
      </c>
      <c r="V1662" s="63">
        <f t="shared" si="259"/>
        <v>0</v>
      </c>
      <c r="W1662" s="49">
        <f t="shared" si="260"/>
        <v>0</v>
      </c>
      <c r="X1662" s="50">
        <f t="shared" si="261"/>
        <v>0</v>
      </c>
      <c r="Y1662"/>
      <c r="Z1662"/>
      <c r="AA1662"/>
    </row>
    <row r="1663" spans="1:27" s="51" customFormat="1" ht="18.600000000000001" hidden="1" customHeight="1" x14ac:dyDescent="0.25">
      <c r="A1663" s="80" t="s">
        <v>2653</v>
      </c>
      <c r="B1663" s="20" t="s">
        <v>9303</v>
      </c>
      <c r="C1663" s="21" t="s">
        <v>9313</v>
      </c>
      <c r="D1663" s="20" t="s">
        <v>3929</v>
      </c>
      <c r="E1663" s="22" t="s">
        <v>3930</v>
      </c>
      <c r="F1663" s="22" t="s">
        <v>1937</v>
      </c>
      <c r="G1663" s="22" t="s">
        <v>3586</v>
      </c>
      <c r="H1663" s="83" t="s">
        <v>3931</v>
      </c>
      <c r="I1663" s="23" t="s">
        <v>24</v>
      </c>
      <c r="J1663" s="24">
        <v>90</v>
      </c>
      <c r="K1663" s="25">
        <v>0.25</v>
      </c>
      <c r="L1663" s="26">
        <f t="shared" si="253"/>
        <v>22.5</v>
      </c>
      <c r="M1663" s="27">
        <f t="shared" si="254"/>
        <v>67.5</v>
      </c>
      <c r="N1663" s="28">
        <v>0.16</v>
      </c>
      <c r="O1663" s="29">
        <f t="shared" si="255"/>
        <v>10.8</v>
      </c>
      <c r="P1663" s="30">
        <f t="shared" si="256"/>
        <v>78.3</v>
      </c>
      <c r="Q1663" s="23"/>
      <c r="R1663" s="52"/>
      <c r="S1663" s="53"/>
      <c r="T1663" s="54">
        <f t="shared" si="257"/>
        <v>0</v>
      </c>
      <c r="U1663" s="26">
        <f t="shared" si="258"/>
        <v>0</v>
      </c>
      <c r="V1663" s="55">
        <f t="shared" si="259"/>
        <v>0</v>
      </c>
      <c r="W1663" s="29">
        <f t="shared" si="260"/>
        <v>0</v>
      </c>
      <c r="X1663" s="30">
        <f t="shared" si="261"/>
        <v>0</v>
      </c>
      <c r="Y1663"/>
      <c r="Z1663"/>
      <c r="AA1663"/>
    </row>
    <row r="1664" spans="1:27" s="51" customFormat="1" ht="18.600000000000001" hidden="1" customHeight="1" x14ac:dyDescent="0.25">
      <c r="A1664" s="81" t="s">
        <v>2653</v>
      </c>
      <c r="B1664" s="31" t="s">
        <v>9303</v>
      </c>
      <c r="C1664" s="32" t="s">
        <v>9313</v>
      </c>
      <c r="D1664" s="31" t="s">
        <v>3932</v>
      </c>
      <c r="E1664" s="33" t="s">
        <v>3933</v>
      </c>
      <c r="F1664" s="33" t="s">
        <v>1937</v>
      </c>
      <c r="G1664" s="33" t="s">
        <v>3586</v>
      </c>
      <c r="H1664" s="84" t="s">
        <v>3934</v>
      </c>
      <c r="I1664" s="23" t="s">
        <v>24</v>
      </c>
      <c r="J1664" s="34">
        <v>90</v>
      </c>
      <c r="K1664" s="35">
        <v>0.25</v>
      </c>
      <c r="L1664" s="36">
        <f t="shared" si="253"/>
        <v>22.5</v>
      </c>
      <c r="M1664" s="37">
        <f t="shared" si="254"/>
        <v>67.5</v>
      </c>
      <c r="N1664" s="38">
        <v>0.16</v>
      </c>
      <c r="O1664" s="39">
        <f t="shared" si="255"/>
        <v>10.8</v>
      </c>
      <c r="P1664" s="40">
        <f t="shared" si="256"/>
        <v>78.3</v>
      </c>
      <c r="Q1664" s="23"/>
      <c r="R1664" s="56"/>
      <c r="S1664" s="57"/>
      <c r="T1664" s="58">
        <f t="shared" si="257"/>
        <v>0</v>
      </c>
      <c r="U1664" s="36">
        <f t="shared" si="258"/>
        <v>0</v>
      </c>
      <c r="V1664" s="59">
        <f t="shared" si="259"/>
        <v>0</v>
      </c>
      <c r="W1664" s="39">
        <f t="shared" si="260"/>
        <v>0</v>
      </c>
      <c r="X1664" s="40">
        <f t="shared" si="261"/>
        <v>0</v>
      </c>
      <c r="Y1664"/>
      <c r="Z1664"/>
      <c r="AA1664"/>
    </row>
    <row r="1665" spans="1:27" s="51" customFormat="1" ht="18.600000000000001" hidden="1" customHeight="1" x14ac:dyDescent="0.25">
      <c r="A1665" s="82" t="s">
        <v>2653</v>
      </c>
      <c r="B1665" s="41" t="s">
        <v>9303</v>
      </c>
      <c r="C1665" s="42" t="s">
        <v>9313</v>
      </c>
      <c r="D1665" s="41" t="s">
        <v>3935</v>
      </c>
      <c r="E1665" s="43" t="s">
        <v>3936</v>
      </c>
      <c r="F1665" s="43" t="s">
        <v>1937</v>
      </c>
      <c r="G1665" s="43" t="s">
        <v>3586</v>
      </c>
      <c r="H1665" s="85" t="s">
        <v>9643</v>
      </c>
      <c r="I1665" s="23" t="s">
        <v>24</v>
      </c>
      <c r="J1665" s="44">
        <v>90</v>
      </c>
      <c r="K1665" s="45">
        <v>0.25</v>
      </c>
      <c r="L1665" s="46">
        <f t="shared" si="253"/>
        <v>22.5</v>
      </c>
      <c r="M1665" s="47">
        <f t="shared" si="254"/>
        <v>67.5</v>
      </c>
      <c r="N1665" s="48">
        <v>0.16</v>
      </c>
      <c r="O1665" s="49">
        <f t="shared" si="255"/>
        <v>10.8</v>
      </c>
      <c r="P1665" s="50">
        <f t="shared" si="256"/>
        <v>78.3</v>
      </c>
      <c r="Q1665" s="23"/>
      <c r="R1665" s="60"/>
      <c r="S1665" s="61"/>
      <c r="T1665" s="62">
        <f t="shared" si="257"/>
        <v>0</v>
      </c>
      <c r="U1665" s="46">
        <f t="shared" si="258"/>
        <v>0</v>
      </c>
      <c r="V1665" s="63">
        <f t="shared" si="259"/>
        <v>0</v>
      </c>
      <c r="W1665" s="49">
        <f t="shared" si="260"/>
        <v>0</v>
      </c>
      <c r="X1665" s="50">
        <f t="shared" si="261"/>
        <v>0</v>
      </c>
      <c r="Y1665"/>
      <c r="Z1665"/>
      <c r="AA1665"/>
    </row>
    <row r="1666" spans="1:27" s="51" customFormat="1" ht="18.600000000000001" hidden="1" customHeight="1" x14ac:dyDescent="0.25">
      <c r="A1666" s="80" t="s">
        <v>2653</v>
      </c>
      <c r="B1666" s="20" t="s">
        <v>9303</v>
      </c>
      <c r="C1666" s="21" t="s">
        <v>9313</v>
      </c>
      <c r="D1666" s="20" t="s">
        <v>3937</v>
      </c>
      <c r="E1666" s="22" t="s">
        <v>3938</v>
      </c>
      <c r="F1666" s="22" t="s">
        <v>1937</v>
      </c>
      <c r="G1666" s="22" t="s">
        <v>3586</v>
      </c>
      <c r="H1666" s="83" t="s">
        <v>3939</v>
      </c>
      <c r="I1666" s="23" t="s">
        <v>24</v>
      </c>
      <c r="J1666" s="24">
        <v>90</v>
      </c>
      <c r="K1666" s="25">
        <v>0.25</v>
      </c>
      <c r="L1666" s="26">
        <f t="shared" si="253"/>
        <v>22.5</v>
      </c>
      <c r="M1666" s="27">
        <f t="shared" si="254"/>
        <v>67.5</v>
      </c>
      <c r="N1666" s="28">
        <v>0.16</v>
      </c>
      <c r="O1666" s="29">
        <f t="shared" si="255"/>
        <v>10.8</v>
      </c>
      <c r="P1666" s="30">
        <f t="shared" si="256"/>
        <v>78.3</v>
      </c>
      <c r="Q1666" s="23"/>
      <c r="R1666" s="52"/>
      <c r="S1666" s="53"/>
      <c r="T1666" s="54">
        <f t="shared" si="257"/>
        <v>0</v>
      </c>
      <c r="U1666" s="26">
        <f t="shared" si="258"/>
        <v>0</v>
      </c>
      <c r="V1666" s="55">
        <f t="shared" si="259"/>
        <v>0</v>
      </c>
      <c r="W1666" s="29">
        <f t="shared" si="260"/>
        <v>0</v>
      </c>
      <c r="X1666" s="30">
        <f t="shared" si="261"/>
        <v>0</v>
      </c>
      <c r="Y1666"/>
      <c r="Z1666"/>
      <c r="AA1666"/>
    </row>
    <row r="1667" spans="1:27" s="51" customFormat="1" ht="18.600000000000001" hidden="1" customHeight="1" x14ac:dyDescent="0.25">
      <c r="A1667" s="81" t="s">
        <v>2653</v>
      </c>
      <c r="B1667" s="31" t="s">
        <v>9303</v>
      </c>
      <c r="C1667" s="32" t="s">
        <v>9313</v>
      </c>
      <c r="D1667" s="31" t="s">
        <v>3940</v>
      </c>
      <c r="E1667" s="33" t="s">
        <v>3941</v>
      </c>
      <c r="F1667" s="33" t="s">
        <v>1937</v>
      </c>
      <c r="G1667" s="33" t="s">
        <v>3586</v>
      </c>
      <c r="H1667" s="84" t="s">
        <v>3942</v>
      </c>
      <c r="I1667" s="23" t="s">
        <v>24</v>
      </c>
      <c r="J1667" s="34">
        <v>90</v>
      </c>
      <c r="K1667" s="35">
        <v>0.25</v>
      </c>
      <c r="L1667" s="36">
        <f t="shared" si="253"/>
        <v>22.5</v>
      </c>
      <c r="M1667" s="37">
        <f t="shared" si="254"/>
        <v>67.5</v>
      </c>
      <c r="N1667" s="38">
        <v>0.16</v>
      </c>
      <c r="O1667" s="39">
        <f t="shared" si="255"/>
        <v>10.8</v>
      </c>
      <c r="P1667" s="40">
        <f t="shared" si="256"/>
        <v>78.3</v>
      </c>
      <c r="Q1667" s="23"/>
      <c r="R1667" s="56"/>
      <c r="S1667" s="57"/>
      <c r="T1667" s="58">
        <f t="shared" si="257"/>
        <v>0</v>
      </c>
      <c r="U1667" s="36">
        <f t="shared" si="258"/>
        <v>0</v>
      </c>
      <c r="V1667" s="59">
        <f t="shared" si="259"/>
        <v>0</v>
      </c>
      <c r="W1667" s="39">
        <f t="shared" si="260"/>
        <v>0</v>
      </c>
      <c r="X1667" s="40">
        <f t="shared" si="261"/>
        <v>0</v>
      </c>
      <c r="Y1667"/>
      <c r="Z1667"/>
      <c r="AA1667"/>
    </row>
    <row r="1668" spans="1:27" s="51" customFormat="1" ht="18.600000000000001" hidden="1" customHeight="1" x14ac:dyDescent="0.25">
      <c r="A1668" s="82" t="s">
        <v>2653</v>
      </c>
      <c r="B1668" s="41" t="s">
        <v>9303</v>
      </c>
      <c r="C1668" s="42" t="s">
        <v>9313</v>
      </c>
      <c r="D1668" s="41" t="s">
        <v>3943</v>
      </c>
      <c r="E1668" s="43" t="s">
        <v>3944</v>
      </c>
      <c r="F1668" s="43" t="s">
        <v>1937</v>
      </c>
      <c r="G1668" s="43" t="s">
        <v>3586</v>
      </c>
      <c r="H1668" s="85" t="s">
        <v>3945</v>
      </c>
      <c r="I1668" s="23" t="s">
        <v>24</v>
      </c>
      <c r="J1668" s="44">
        <v>90</v>
      </c>
      <c r="K1668" s="45">
        <v>0.25</v>
      </c>
      <c r="L1668" s="46">
        <f t="shared" si="253"/>
        <v>22.5</v>
      </c>
      <c r="M1668" s="47">
        <f t="shared" si="254"/>
        <v>67.5</v>
      </c>
      <c r="N1668" s="48">
        <v>0.16</v>
      </c>
      <c r="O1668" s="49">
        <f t="shared" si="255"/>
        <v>10.8</v>
      </c>
      <c r="P1668" s="50">
        <f t="shared" si="256"/>
        <v>78.3</v>
      </c>
      <c r="Q1668" s="23"/>
      <c r="R1668" s="60"/>
      <c r="S1668" s="61"/>
      <c r="T1668" s="62">
        <f t="shared" si="257"/>
        <v>0</v>
      </c>
      <c r="U1668" s="46">
        <f t="shared" si="258"/>
        <v>0</v>
      </c>
      <c r="V1668" s="63">
        <f t="shared" si="259"/>
        <v>0</v>
      </c>
      <c r="W1668" s="49">
        <f t="shared" si="260"/>
        <v>0</v>
      </c>
      <c r="X1668" s="50">
        <f t="shared" si="261"/>
        <v>0</v>
      </c>
      <c r="Y1668"/>
      <c r="Z1668"/>
      <c r="AA1668"/>
    </row>
    <row r="1669" spans="1:27" s="51" customFormat="1" ht="18.600000000000001" hidden="1" customHeight="1" x14ac:dyDescent="0.25">
      <c r="A1669" s="80" t="s">
        <v>2653</v>
      </c>
      <c r="B1669" s="20" t="s">
        <v>9303</v>
      </c>
      <c r="C1669" s="21" t="s">
        <v>9313</v>
      </c>
      <c r="D1669" s="20" t="s">
        <v>3946</v>
      </c>
      <c r="E1669" s="22" t="s">
        <v>3947</v>
      </c>
      <c r="F1669" s="22" t="s">
        <v>1937</v>
      </c>
      <c r="G1669" s="22" t="s">
        <v>3586</v>
      </c>
      <c r="H1669" s="83" t="s">
        <v>9644</v>
      </c>
      <c r="I1669" s="23" t="s">
        <v>24</v>
      </c>
      <c r="J1669" s="24">
        <v>90</v>
      </c>
      <c r="K1669" s="25">
        <v>0.25</v>
      </c>
      <c r="L1669" s="26">
        <f t="shared" si="253"/>
        <v>22.5</v>
      </c>
      <c r="M1669" s="27">
        <f t="shared" si="254"/>
        <v>67.5</v>
      </c>
      <c r="N1669" s="28">
        <v>0.16</v>
      </c>
      <c r="O1669" s="29">
        <f t="shared" si="255"/>
        <v>10.8</v>
      </c>
      <c r="P1669" s="30">
        <f t="shared" si="256"/>
        <v>78.3</v>
      </c>
      <c r="Q1669" s="23"/>
      <c r="R1669" s="52"/>
      <c r="S1669" s="53"/>
      <c r="T1669" s="54">
        <f t="shared" si="257"/>
        <v>0</v>
      </c>
      <c r="U1669" s="26">
        <f t="shared" si="258"/>
        <v>0</v>
      </c>
      <c r="V1669" s="55">
        <f t="shared" si="259"/>
        <v>0</v>
      </c>
      <c r="W1669" s="29">
        <f t="shared" si="260"/>
        <v>0</v>
      </c>
      <c r="X1669" s="30">
        <f t="shared" si="261"/>
        <v>0</v>
      </c>
      <c r="Y1669"/>
      <c r="Z1669"/>
      <c r="AA1669"/>
    </row>
    <row r="1670" spans="1:27" s="51" customFormat="1" ht="18.600000000000001" hidden="1" customHeight="1" x14ac:dyDescent="0.25">
      <c r="A1670" s="81" t="s">
        <v>2653</v>
      </c>
      <c r="B1670" s="31" t="s">
        <v>9303</v>
      </c>
      <c r="C1670" s="32" t="s">
        <v>9313</v>
      </c>
      <c r="D1670" s="31" t="s">
        <v>3948</v>
      </c>
      <c r="E1670" s="33" t="s">
        <v>3949</v>
      </c>
      <c r="F1670" s="33" t="s">
        <v>1937</v>
      </c>
      <c r="G1670" s="33" t="s">
        <v>3586</v>
      </c>
      <c r="H1670" s="84" t="s">
        <v>3950</v>
      </c>
      <c r="I1670" s="23" t="s">
        <v>24</v>
      </c>
      <c r="J1670" s="34">
        <v>90</v>
      </c>
      <c r="K1670" s="35">
        <v>0.25</v>
      </c>
      <c r="L1670" s="36">
        <f t="shared" si="253"/>
        <v>22.5</v>
      </c>
      <c r="M1670" s="37">
        <f t="shared" si="254"/>
        <v>67.5</v>
      </c>
      <c r="N1670" s="38">
        <v>0.16</v>
      </c>
      <c r="O1670" s="39">
        <f t="shared" si="255"/>
        <v>10.8</v>
      </c>
      <c r="P1670" s="40">
        <f t="shared" si="256"/>
        <v>78.3</v>
      </c>
      <c r="Q1670" s="23"/>
      <c r="R1670" s="56"/>
      <c r="S1670" s="57"/>
      <c r="T1670" s="58">
        <f t="shared" si="257"/>
        <v>0</v>
      </c>
      <c r="U1670" s="36">
        <f t="shared" si="258"/>
        <v>0</v>
      </c>
      <c r="V1670" s="59">
        <f t="shared" si="259"/>
        <v>0</v>
      </c>
      <c r="W1670" s="39">
        <f t="shared" si="260"/>
        <v>0</v>
      </c>
      <c r="X1670" s="40">
        <f t="shared" si="261"/>
        <v>0</v>
      </c>
      <c r="Y1670"/>
      <c r="Z1670"/>
      <c r="AA1670"/>
    </row>
    <row r="1671" spans="1:27" s="51" customFormat="1" ht="18.600000000000001" hidden="1" customHeight="1" x14ac:dyDescent="0.25">
      <c r="A1671" s="82" t="s">
        <v>2653</v>
      </c>
      <c r="B1671" s="41" t="s">
        <v>9303</v>
      </c>
      <c r="C1671" s="42" t="s">
        <v>9313</v>
      </c>
      <c r="D1671" s="41" t="s">
        <v>3951</v>
      </c>
      <c r="E1671" s="43" t="s">
        <v>3952</v>
      </c>
      <c r="F1671" s="43" t="s">
        <v>1937</v>
      </c>
      <c r="G1671" s="43" t="s">
        <v>3586</v>
      </c>
      <c r="H1671" s="85" t="s">
        <v>3953</v>
      </c>
      <c r="I1671" s="23" t="s">
        <v>24</v>
      </c>
      <c r="J1671" s="44">
        <v>90</v>
      </c>
      <c r="K1671" s="45">
        <v>0.25</v>
      </c>
      <c r="L1671" s="46">
        <f t="shared" si="253"/>
        <v>22.5</v>
      </c>
      <c r="M1671" s="47">
        <f t="shared" si="254"/>
        <v>67.5</v>
      </c>
      <c r="N1671" s="48">
        <v>0.16</v>
      </c>
      <c r="O1671" s="49">
        <f t="shared" si="255"/>
        <v>10.8</v>
      </c>
      <c r="P1671" s="50">
        <f t="shared" si="256"/>
        <v>78.3</v>
      </c>
      <c r="Q1671" s="23"/>
      <c r="R1671" s="60"/>
      <c r="S1671" s="61"/>
      <c r="T1671" s="62">
        <f t="shared" si="257"/>
        <v>0</v>
      </c>
      <c r="U1671" s="46">
        <f t="shared" si="258"/>
        <v>0</v>
      </c>
      <c r="V1671" s="63">
        <f t="shared" si="259"/>
        <v>0</v>
      </c>
      <c r="W1671" s="49">
        <f t="shared" si="260"/>
        <v>0</v>
      </c>
      <c r="X1671" s="50">
        <f t="shared" si="261"/>
        <v>0</v>
      </c>
      <c r="Y1671"/>
      <c r="Z1671"/>
      <c r="AA1671"/>
    </row>
    <row r="1672" spans="1:27" s="51" customFormat="1" ht="18.600000000000001" hidden="1" customHeight="1" x14ac:dyDescent="0.25">
      <c r="A1672" s="80" t="s">
        <v>2653</v>
      </c>
      <c r="B1672" s="20" t="s">
        <v>9303</v>
      </c>
      <c r="C1672" s="21" t="s">
        <v>9313</v>
      </c>
      <c r="D1672" s="20" t="s">
        <v>3954</v>
      </c>
      <c r="E1672" s="22" t="s">
        <v>3955</v>
      </c>
      <c r="F1672" s="22" t="s">
        <v>1937</v>
      </c>
      <c r="G1672" s="22" t="s">
        <v>3586</v>
      </c>
      <c r="H1672" s="83" t="s">
        <v>3956</v>
      </c>
      <c r="I1672" s="23" t="s">
        <v>24</v>
      </c>
      <c r="J1672" s="24">
        <v>90</v>
      </c>
      <c r="K1672" s="25">
        <v>0.25</v>
      </c>
      <c r="L1672" s="26">
        <f t="shared" si="253"/>
        <v>22.5</v>
      </c>
      <c r="M1672" s="27">
        <f t="shared" si="254"/>
        <v>67.5</v>
      </c>
      <c r="N1672" s="28">
        <v>0.16</v>
      </c>
      <c r="O1672" s="29">
        <f t="shared" si="255"/>
        <v>10.8</v>
      </c>
      <c r="P1672" s="30">
        <f t="shared" si="256"/>
        <v>78.3</v>
      </c>
      <c r="Q1672" s="23"/>
      <c r="R1672" s="52"/>
      <c r="S1672" s="53"/>
      <c r="T1672" s="54">
        <f t="shared" si="257"/>
        <v>0</v>
      </c>
      <c r="U1672" s="26">
        <f t="shared" si="258"/>
        <v>0</v>
      </c>
      <c r="V1672" s="55">
        <f t="shared" si="259"/>
        <v>0</v>
      </c>
      <c r="W1672" s="29">
        <f t="shared" si="260"/>
        <v>0</v>
      </c>
      <c r="X1672" s="30">
        <f t="shared" si="261"/>
        <v>0</v>
      </c>
      <c r="Y1672"/>
      <c r="Z1672"/>
      <c r="AA1672"/>
    </row>
    <row r="1673" spans="1:27" s="51" customFormat="1" ht="18.600000000000001" hidden="1" customHeight="1" x14ac:dyDescent="0.25">
      <c r="A1673" s="81" t="s">
        <v>2653</v>
      </c>
      <c r="B1673" s="31" t="s">
        <v>9303</v>
      </c>
      <c r="C1673" s="32" t="s">
        <v>9313</v>
      </c>
      <c r="D1673" s="31" t="s">
        <v>3957</v>
      </c>
      <c r="E1673" s="33" t="s">
        <v>3958</v>
      </c>
      <c r="F1673" s="33" t="s">
        <v>1937</v>
      </c>
      <c r="G1673" s="33" t="s">
        <v>3586</v>
      </c>
      <c r="H1673" s="84" t="s">
        <v>3959</v>
      </c>
      <c r="I1673" s="23" t="s">
        <v>24</v>
      </c>
      <c r="J1673" s="34">
        <v>90</v>
      </c>
      <c r="K1673" s="35">
        <v>0.25</v>
      </c>
      <c r="L1673" s="36">
        <f t="shared" si="253"/>
        <v>22.5</v>
      </c>
      <c r="M1673" s="37">
        <f t="shared" si="254"/>
        <v>67.5</v>
      </c>
      <c r="N1673" s="38">
        <v>0.16</v>
      </c>
      <c r="O1673" s="39">
        <f t="shared" si="255"/>
        <v>10.8</v>
      </c>
      <c r="P1673" s="40">
        <f t="shared" si="256"/>
        <v>78.3</v>
      </c>
      <c r="Q1673" s="23"/>
      <c r="R1673" s="56"/>
      <c r="S1673" s="57"/>
      <c r="T1673" s="58">
        <f t="shared" si="257"/>
        <v>0</v>
      </c>
      <c r="U1673" s="36">
        <f t="shared" si="258"/>
        <v>0</v>
      </c>
      <c r="V1673" s="59">
        <f t="shared" si="259"/>
        <v>0</v>
      </c>
      <c r="W1673" s="39">
        <f t="shared" si="260"/>
        <v>0</v>
      </c>
      <c r="X1673" s="40">
        <f t="shared" si="261"/>
        <v>0</v>
      </c>
      <c r="Y1673"/>
      <c r="Z1673"/>
      <c r="AA1673"/>
    </row>
    <row r="1674" spans="1:27" s="51" customFormat="1" ht="18.600000000000001" hidden="1" customHeight="1" x14ac:dyDescent="0.25">
      <c r="A1674" s="82" t="s">
        <v>2653</v>
      </c>
      <c r="B1674" s="41" t="s">
        <v>9303</v>
      </c>
      <c r="C1674" s="42" t="s">
        <v>9313</v>
      </c>
      <c r="D1674" s="41" t="s">
        <v>3960</v>
      </c>
      <c r="E1674" s="43" t="s">
        <v>3961</v>
      </c>
      <c r="F1674" s="43" t="s">
        <v>1937</v>
      </c>
      <c r="G1674" s="43" t="s">
        <v>3586</v>
      </c>
      <c r="H1674" s="85" t="s">
        <v>3962</v>
      </c>
      <c r="I1674" s="23" t="s">
        <v>24</v>
      </c>
      <c r="J1674" s="44">
        <v>90</v>
      </c>
      <c r="K1674" s="45">
        <v>0.25</v>
      </c>
      <c r="L1674" s="46">
        <f t="shared" si="253"/>
        <v>22.5</v>
      </c>
      <c r="M1674" s="47">
        <f t="shared" si="254"/>
        <v>67.5</v>
      </c>
      <c r="N1674" s="48">
        <v>0.16</v>
      </c>
      <c r="O1674" s="49">
        <f t="shared" si="255"/>
        <v>10.8</v>
      </c>
      <c r="P1674" s="50">
        <f t="shared" si="256"/>
        <v>78.3</v>
      </c>
      <c r="Q1674" s="23"/>
      <c r="R1674" s="60"/>
      <c r="S1674" s="61"/>
      <c r="T1674" s="62">
        <f t="shared" si="257"/>
        <v>0</v>
      </c>
      <c r="U1674" s="46">
        <f t="shared" si="258"/>
        <v>0</v>
      </c>
      <c r="V1674" s="63">
        <f t="shared" si="259"/>
        <v>0</v>
      </c>
      <c r="W1674" s="49">
        <f t="shared" si="260"/>
        <v>0</v>
      </c>
      <c r="X1674" s="50">
        <f t="shared" si="261"/>
        <v>0</v>
      </c>
      <c r="Y1674"/>
      <c r="Z1674"/>
      <c r="AA1674"/>
    </row>
    <row r="1675" spans="1:27" s="51" customFormat="1" ht="18.600000000000001" hidden="1" customHeight="1" x14ac:dyDescent="0.25">
      <c r="A1675" s="80" t="s">
        <v>2653</v>
      </c>
      <c r="B1675" s="20" t="s">
        <v>9303</v>
      </c>
      <c r="C1675" s="21" t="s">
        <v>9313</v>
      </c>
      <c r="D1675" s="20" t="s">
        <v>3963</v>
      </c>
      <c r="E1675" s="22" t="s">
        <v>3964</v>
      </c>
      <c r="F1675" s="22" t="s">
        <v>1937</v>
      </c>
      <c r="G1675" s="22" t="s">
        <v>3586</v>
      </c>
      <c r="H1675" s="83" t="s">
        <v>3965</v>
      </c>
      <c r="I1675" s="23" t="s">
        <v>24</v>
      </c>
      <c r="J1675" s="24">
        <v>90</v>
      </c>
      <c r="K1675" s="25">
        <v>0.25</v>
      </c>
      <c r="L1675" s="26">
        <f t="shared" si="253"/>
        <v>22.5</v>
      </c>
      <c r="M1675" s="27">
        <f t="shared" si="254"/>
        <v>67.5</v>
      </c>
      <c r="N1675" s="28">
        <v>0.16</v>
      </c>
      <c r="O1675" s="29">
        <f t="shared" si="255"/>
        <v>10.8</v>
      </c>
      <c r="P1675" s="30">
        <f t="shared" si="256"/>
        <v>78.3</v>
      </c>
      <c r="Q1675" s="23"/>
      <c r="R1675" s="52"/>
      <c r="S1675" s="53"/>
      <c r="T1675" s="54">
        <f t="shared" si="257"/>
        <v>0</v>
      </c>
      <c r="U1675" s="26">
        <f t="shared" si="258"/>
        <v>0</v>
      </c>
      <c r="V1675" s="55">
        <f t="shared" si="259"/>
        <v>0</v>
      </c>
      <c r="W1675" s="29">
        <f t="shared" si="260"/>
        <v>0</v>
      </c>
      <c r="X1675" s="30">
        <f t="shared" si="261"/>
        <v>0</v>
      </c>
      <c r="Y1675"/>
      <c r="Z1675"/>
      <c r="AA1675"/>
    </row>
    <row r="1676" spans="1:27" s="51" customFormat="1" ht="18.600000000000001" hidden="1" customHeight="1" x14ac:dyDescent="0.25">
      <c r="A1676" s="81" t="s">
        <v>2653</v>
      </c>
      <c r="B1676" s="31" t="s">
        <v>9303</v>
      </c>
      <c r="C1676" s="32" t="s">
        <v>9313</v>
      </c>
      <c r="D1676" s="31" t="s">
        <v>3966</v>
      </c>
      <c r="E1676" s="33" t="s">
        <v>3967</v>
      </c>
      <c r="F1676" s="33" t="s">
        <v>1937</v>
      </c>
      <c r="G1676" s="33" t="s">
        <v>3586</v>
      </c>
      <c r="H1676" s="84" t="s">
        <v>3968</v>
      </c>
      <c r="I1676" s="23" t="s">
        <v>24</v>
      </c>
      <c r="J1676" s="34">
        <v>90</v>
      </c>
      <c r="K1676" s="35">
        <v>0.25</v>
      </c>
      <c r="L1676" s="36">
        <f t="shared" si="253"/>
        <v>22.5</v>
      </c>
      <c r="M1676" s="37">
        <f t="shared" si="254"/>
        <v>67.5</v>
      </c>
      <c r="N1676" s="38">
        <v>0.16</v>
      </c>
      <c r="O1676" s="39">
        <f t="shared" si="255"/>
        <v>10.8</v>
      </c>
      <c r="P1676" s="40">
        <f t="shared" si="256"/>
        <v>78.3</v>
      </c>
      <c r="Q1676" s="23"/>
      <c r="R1676" s="56"/>
      <c r="S1676" s="57"/>
      <c r="T1676" s="58">
        <f t="shared" si="257"/>
        <v>0</v>
      </c>
      <c r="U1676" s="36">
        <f t="shared" si="258"/>
        <v>0</v>
      </c>
      <c r="V1676" s="59">
        <f t="shared" si="259"/>
        <v>0</v>
      </c>
      <c r="W1676" s="39">
        <f t="shared" si="260"/>
        <v>0</v>
      </c>
      <c r="X1676" s="40">
        <f t="shared" si="261"/>
        <v>0</v>
      </c>
      <c r="Y1676"/>
      <c r="Z1676"/>
      <c r="AA1676"/>
    </row>
    <row r="1677" spans="1:27" s="51" customFormat="1" ht="18.600000000000001" hidden="1" customHeight="1" x14ac:dyDescent="0.25">
      <c r="A1677" s="82" t="s">
        <v>2653</v>
      </c>
      <c r="B1677" s="41" t="s">
        <v>9303</v>
      </c>
      <c r="C1677" s="42" t="s">
        <v>9313</v>
      </c>
      <c r="D1677" s="41" t="s">
        <v>3969</v>
      </c>
      <c r="E1677" s="43" t="s">
        <v>3970</v>
      </c>
      <c r="F1677" s="43" t="s">
        <v>1937</v>
      </c>
      <c r="G1677" s="43" t="s">
        <v>3586</v>
      </c>
      <c r="H1677" s="85" t="s">
        <v>3971</v>
      </c>
      <c r="I1677" s="23" t="s">
        <v>24</v>
      </c>
      <c r="J1677" s="44">
        <v>90</v>
      </c>
      <c r="K1677" s="45">
        <v>0.25</v>
      </c>
      <c r="L1677" s="46">
        <f t="shared" si="253"/>
        <v>22.5</v>
      </c>
      <c r="M1677" s="47">
        <f t="shared" si="254"/>
        <v>67.5</v>
      </c>
      <c r="N1677" s="48">
        <v>0.16</v>
      </c>
      <c r="O1677" s="49">
        <f t="shared" si="255"/>
        <v>10.8</v>
      </c>
      <c r="P1677" s="50">
        <f t="shared" si="256"/>
        <v>78.3</v>
      </c>
      <c r="Q1677" s="23"/>
      <c r="R1677" s="60"/>
      <c r="S1677" s="61"/>
      <c r="T1677" s="62">
        <f t="shared" si="257"/>
        <v>0</v>
      </c>
      <c r="U1677" s="46">
        <f t="shared" si="258"/>
        <v>0</v>
      </c>
      <c r="V1677" s="63">
        <f t="shared" si="259"/>
        <v>0</v>
      </c>
      <c r="W1677" s="49">
        <f t="shared" si="260"/>
        <v>0</v>
      </c>
      <c r="X1677" s="50">
        <f t="shared" si="261"/>
        <v>0</v>
      </c>
      <c r="Y1677"/>
      <c r="Z1677"/>
      <c r="AA1677"/>
    </row>
    <row r="1678" spans="1:27" s="51" customFormat="1" ht="18.600000000000001" hidden="1" customHeight="1" x14ac:dyDescent="0.25">
      <c r="A1678" s="80" t="s">
        <v>2653</v>
      </c>
      <c r="B1678" s="20" t="s">
        <v>9303</v>
      </c>
      <c r="C1678" s="21" t="s">
        <v>9313</v>
      </c>
      <c r="D1678" s="20" t="s">
        <v>3972</v>
      </c>
      <c r="E1678" s="22" t="s">
        <v>3973</v>
      </c>
      <c r="F1678" s="22" t="s">
        <v>1937</v>
      </c>
      <c r="G1678" s="22" t="s">
        <v>3586</v>
      </c>
      <c r="H1678" s="83" t="s">
        <v>3974</v>
      </c>
      <c r="I1678" s="23" t="s">
        <v>24</v>
      </c>
      <c r="J1678" s="24">
        <v>90</v>
      </c>
      <c r="K1678" s="25">
        <v>0.25</v>
      </c>
      <c r="L1678" s="26">
        <f t="shared" si="253"/>
        <v>22.5</v>
      </c>
      <c r="M1678" s="27">
        <f t="shared" si="254"/>
        <v>67.5</v>
      </c>
      <c r="N1678" s="28">
        <v>0.16</v>
      </c>
      <c r="O1678" s="29">
        <f t="shared" si="255"/>
        <v>10.8</v>
      </c>
      <c r="P1678" s="30">
        <f t="shared" si="256"/>
        <v>78.3</v>
      </c>
      <c r="Q1678" s="23"/>
      <c r="R1678" s="52"/>
      <c r="S1678" s="53"/>
      <c r="T1678" s="54">
        <f t="shared" si="257"/>
        <v>0</v>
      </c>
      <c r="U1678" s="26">
        <f t="shared" si="258"/>
        <v>0</v>
      </c>
      <c r="V1678" s="55">
        <f t="shared" si="259"/>
        <v>0</v>
      </c>
      <c r="W1678" s="29">
        <f t="shared" si="260"/>
        <v>0</v>
      </c>
      <c r="X1678" s="30">
        <f t="shared" si="261"/>
        <v>0</v>
      </c>
      <c r="Y1678"/>
      <c r="Z1678"/>
      <c r="AA1678"/>
    </row>
    <row r="1679" spans="1:27" s="51" customFormat="1" ht="18.600000000000001" hidden="1" customHeight="1" x14ac:dyDescent="0.25">
      <c r="A1679" s="81" t="s">
        <v>2653</v>
      </c>
      <c r="B1679" s="31" t="s">
        <v>9303</v>
      </c>
      <c r="C1679" s="32" t="s">
        <v>9313</v>
      </c>
      <c r="D1679" s="31" t="s">
        <v>3975</v>
      </c>
      <c r="E1679" s="33" t="s">
        <v>3976</v>
      </c>
      <c r="F1679" s="33" t="s">
        <v>1937</v>
      </c>
      <c r="G1679" s="33" t="s">
        <v>3586</v>
      </c>
      <c r="H1679" s="84" t="s">
        <v>3977</v>
      </c>
      <c r="I1679" s="23" t="s">
        <v>24</v>
      </c>
      <c r="J1679" s="34">
        <v>90</v>
      </c>
      <c r="K1679" s="35">
        <v>0.25</v>
      </c>
      <c r="L1679" s="36">
        <f t="shared" si="253"/>
        <v>22.5</v>
      </c>
      <c r="M1679" s="37">
        <f t="shared" si="254"/>
        <v>67.5</v>
      </c>
      <c r="N1679" s="38">
        <v>0.16</v>
      </c>
      <c r="O1679" s="39">
        <f t="shared" si="255"/>
        <v>10.8</v>
      </c>
      <c r="P1679" s="40">
        <f t="shared" si="256"/>
        <v>78.3</v>
      </c>
      <c r="Q1679" s="23"/>
      <c r="R1679" s="56"/>
      <c r="S1679" s="57"/>
      <c r="T1679" s="58">
        <f t="shared" si="257"/>
        <v>0</v>
      </c>
      <c r="U1679" s="36">
        <f t="shared" si="258"/>
        <v>0</v>
      </c>
      <c r="V1679" s="59">
        <f t="shared" si="259"/>
        <v>0</v>
      </c>
      <c r="W1679" s="39">
        <f t="shared" si="260"/>
        <v>0</v>
      </c>
      <c r="X1679" s="40">
        <f t="shared" si="261"/>
        <v>0</v>
      </c>
      <c r="Y1679"/>
      <c r="Z1679"/>
      <c r="AA1679"/>
    </row>
    <row r="1680" spans="1:27" s="51" customFormat="1" ht="18.600000000000001" hidden="1" customHeight="1" x14ac:dyDescent="0.25">
      <c r="A1680" s="82" t="s">
        <v>2653</v>
      </c>
      <c r="B1680" s="41" t="s">
        <v>9303</v>
      </c>
      <c r="C1680" s="42" t="s">
        <v>9313</v>
      </c>
      <c r="D1680" s="41" t="s">
        <v>3978</v>
      </c>
      <c r="E1680" s="43" t="s">
        <v>3979</v>
      </c>
      <c r="F1680" s="43" t="s">
        <v>1937</v>
      </c>
      <c r="G1680" s="43" t="s">
        <v>3586</v>
      </c>
      <c r="H1680" s="85" t="s">
        <v>3980</v>
      </c>
      <c r="I1680" s="23" t="s">
        <v>24</v>
      </c>
      <c r="J1680" s="44">
        <v>90</v>
      </c>
      <c r="K1680" s="45">
        <v>0.25</v>
      </c>
      <c r="L1680" s="46">
        <f t="shared" si="253"/>
        <v>22.5</v>
      </c>
      <c r="M1680" s="47">
        <f t="shared" si="254"/>
        <v>67.5</v>
      </c>
      <c r="N1680" s="48">
        <v>0.16</v>
      </c>
      <c r="O1680" s="49">
        <f t="shared" si="255"/>
        <v>10.8</v>
      </c>
      <c r="P1680" s="50">
        <f t="shared" si="256"/>
        <v>78.3</v>
      </c>
      <c r="Q1680" s="23"/>
      <c r="R1680" s="60"/>
      <c r="S1680" s="61"/>
      <c r="T1680" s="62">
        <f t="shared" si="257"/>
        <v>0</v>
      </c>
      <c r="U1680" s="46">
        <f t="shared" si="258"/>
        <v>0</v>
      </c>
      <c r="V1680" s="63">
        <f t="shared" si="259"/>
        <v>0</v>
      </c>
      <c r="W1680" s="49">
        <f t="shared" si="260"/>
        <v>0</v>
      </c>
      <c r="X1680" s="50">
        <f t="shared" si="261"/>
        <v>0</v>
      </c>
      <c r="Y1680"/>
      <c r="Z1680"/>
      <c r="AA1680"/>
    </row>
    <row r="1681" spans="1:27" s="51" customFormat="1" ht="18.600000000000001" hidden="1" customHeight="1" x14ac:dyDescent="0.25">
      <c r="A1681" s="80" t="s">
        <v>2653</v>
      </c>
      <c r="B1681" s="20" t="s">
        <v>9303</v>
      </c>
      <c r="C1681" s="21" t="s">
        <v>9313</v>
      </c>
      <c r="D1681" s="20" t="s">
        <v>3981</v>
      </c>
      <c r="E1681" s="22" t="s">
        <v>3982</v>
      </c>
      <c r="F1681" s="22" t="s">
        <v>1937</v>
      </c>
      <c r="G1681" s="22" t="s">
        <v>3586</v>
      </c>
      <c r="H1681" s="83" t="s">
        <v>3983</v>
      </c>
      <c r="I1681" s="23" t="s">
        <v>24</v>
      </c>
      <c r="J1681" s="24">
        <v>90</v>
      </c>
      <c r="K1681" s="25">
        <v>0.25</v>
      </c>
      <c r="L1681" s="26">
        <f t="shared" si="253"/>
        <v>22.5</v>
      </c>
      <c r="M1681" s="27">
        <f t="shared" si="254"/>
        <v>67.5</v>
      </c>
      <c r="N1681" s="28">
        <v>0.16</v>
      </c>
      <c r="O1681" s="29">
        <f t="shared" si="255"/>
        <v>10.8</v>
      </c>
      <c r="P1681" s="30">
        <f t="shared" si="256"/>
        <v>78.3</v>
      </c>
      <c r="Q1681" s="23"/>
      <c r="R1681" s="52"/>
      <c r="S1681" s="53"/>
      <c r="T1681" s="54">
        <f t="shared" si="257"/>
        <v>0</v>
      </c>
      <c r="U1681" s="26">
        <f t="shared" si="258"/>
        <v>0</v>
      </c>
      <c r="V1681" s="55">
        <f t="shared" si="259"/>
        <v>0</v>
      </c>
      <c r="W1681" s="29">
        <f t="shared" si="260"/>
        <v>0</v>
      </c>
      <c r="X1681" s="30">
        <f t="shared" si="261"/>
        <v>0</v>
      </c>
      <c r="Y1681"/>
      <c r="Z1681"/>
      <c r="AA1681"/>
    </row>
    <row r="1682" spans="1:27" s="51" customFormat="1" ht="18.600000000000001" hidden="1" customHeight="1" x14ac:dyDescent="0.25">
      <c r="A1682" s="81" t="s">
        <v>2653</v>
      </c>
      <c r="B1682" s="31" t="s">
        <v>9303</v>
      </c>
      <c r="C1682" s="32" t="s">
        <v>9313</v>
      </c>
      <c r="D1682" s="31" t="s">
        <v>3984</v>
      </c>
      <c r="E1682" s="33" t="s">
        <v>3985</v>
      </c>
      <c r="F1682" s="33" t="s">
        <v>1937</v>
      </c>
      <c r="G1682" s="33" t="s">
        <v>3586</v>
      </c>
      <c r="H1682" s="84" t="s">
        <v>3986</v>
      </c>
      <c r="I1682" s="23" t="s">
        <v>24</v>
      </c>
      <c r="J1682" s="34">
        <v>90</v>
      </c>
      <c r="K1682" s="35">
        <v>0.25</v>
      </c>
      <c r="L1682" s="36">
        <f t="shared" si="253"/>
        <v>22.5</v>
      </c>
      <c r="M1682" s="37">
        <f t="shared" si="254"/>
        <v>67.5</v>
      </c>
      <c r="N1682" s="38">
        <v>0.16</v>
      </c>
      <c r="O1682" s="39">
        <f t="shared" si="255"/>
        <v>10.8</v>
      </c>
      <c r="P1682" s="40">
        <f t="shared" si="256"/>
        <v>78.3</v>
      </c>
      <c r="Q1682" s="23"/>
      <c r="R1682" s="56"/>
      <c r="S1682" s="57"/>
      <c r="T1682" s="58">
        <f t="shared" si="257"/>
        <v>0</v>
      </c>
      <c r="U1682" s="36">
        <f t="shared" si="258"/>
        <v>0</v>
      </c>
      <c r="V1682" s="59">
        <f t="shared" si="259"/>
        <v>0</v>
      </c>
      <c r="W1682" s="39">
        <f t="shared" si="260"/>
        <v>0</v>
      </c>
      <c r="X1682" s="40">
        <f t="shared" si="261"/>
        <v>0</v>
      </c>
      <c r="Y1682"/>
      <c r="Z1682"/>
      <c r="AA1682"/>
    </row>
    <row r="1683" spans="1:27" s="51" customFormat="1" ht="18.600000000000001" hidden="1" customHeight="1" x14ac:dyDescent="0.25">
      <c r="A1683" s="82" t="s">
        <v>2653</v>
      </c>
      <c r="B1683" s="41" t="s">
        <v>9303</v>
      </c>
      <c r="C1683" s="42" t="s">
        <v>9313</v>
      </c>
      <c r="D1683" s="41" t="s">
        <v>3987</v>
      </c>
      <c r="E1683" s="43" t="s">
        <v>3988</v>
      </c>
      <c r="F1683" s="43" t="s">
        <v>1937</v>
      </c>
      <c r="G1683" s="43" t="s">
        <v>3586</v>
      </c>
      <c r="H1683" s="85" t="s">
        <v>3989</v>
      </c>
      <c r="I1683" s="23" t="s">
        <v>24</v>
      </c>
      <c r="J1683" s="44">
        <v>90</v>
      </c>
      <c r="K1683" s="45">
        <v>0.25</v>
      </c>
      <c r="L1683" s="46">
        <f t="shared" si="253"/>
        <v>22.5</v>
      </c>
      <c r="M1683" s="47">
        <f t="shared" si="254"/>
        <v>67.5</v>
      </c>
      <c r="N1683" s="48">
        <v>0.16</v>
      </c>
      <c r="O1683" s="49">
        <f t="shared" si="255"/>
        <v>10.8</v>
      </c>
      <c r="P1683" s="50">
        <f t="shared" si="256"/>
        <v>78.3</v>
      </c>
      <c r="Q1683" s="23"/>
      <c r="R1683" s="60"/>
      <c r="S1683" s="61"/>
      <c r="T1683" s="62">
        <f t="shared" si="257"/>
        <v>0</v>
      </c>
      <c r="U1683" s="46">
        <f t="shared" si="258"/>
        <v>0</v>
      </c>
      <c r="V1683" s="63">
        <f t="shared" si="259"/>
        <v>0</v>
      </c>
      <c r="W1683" s="49">
        <f t="shared" si="260"/>
        <v>0</v>
      </c>
      <c r="X1683" s="50">
        <f t="shared" si="261"/>
        <v>0</v>
      </c>
      <c r="Y1683"/>
      <c r="Z1683"/>
      <c r="AA1683"/>
    </row>
    <row r="1684" spans="1:27" s="51" customFormat="1" ht="18.600000000000001" hidden="1" customHeight="1" x14ac:dyDescent="0.25">
      <c r="A1684" s="80" t="s">
        <v>2653</v>
      </c>
      <c r="B1684" s="20" t="s">
        <v>9303</v>
      </c>
      <c r="C1684" s="21" t="s">
        <v>9313</v>
      </c>
      <c r="D1684" s="20" t="s">
        <v>3990</v>
      </c>
      <c r="E1684" s="22" t="s">
        <v>3991</v>
      </c>
      <c r="F1684" s="22" t="s">
        <v>1937</v>
      </c>
      <c r="G1684" s="22" t="s">
        <v>3586</v>
      </c>
      <c r="H1684" s="83" t="s">
        <v>3992</v>
      </c>
      <c r="I1684" s="23" t="s">
        <v>24</v>
      </c>
      <c r="J1684" s="24">
        <v>90</v>
      </c>
      <c r="K1684" s="25">
        <v>0.25</v>
      </c>
      <c r="L1684" s="26">
        <f t="shared" si="253"/>
        <v>22.5</v>
      </c>
      <c r="M1684" s="27">
        <f t="shared" si="254"/>
        <v>67.5</v>
      </c>
      <c r="N1684" s="28">
        <v>0.16</v>
      </c>
      <c r="O1684" s="29">
        <f t="shared" si="255"/>
        <v>10.8</v>
      </c>
      <c r="P1684" s="30">
        <f t="shared" si="256"/>
        <v>78.3</v>
      </c>
      <c r="Q1684" s="23"/>
      <c r="R1684" s="52"/>
      <c r="S1684" s="53"/>
      <c r="T1684" s="54">
        <f t="shared" si="257"/>
        <v>0</v>
      </c>
      <c r="U1684" s="26">
        <f t="shared" si="258"/>
        <v>0</v>
      </c>
      <c r="V1684" s="55">
        <f t="shared" si="259"/>
        <v>0</v>
      </c>
      <c r="W1684" s="29">
        <f t="shared" si="260"/>
        <v>0</v>
      </c>
      <c r="X1684" s="30">
        <f t="shared" si="261"/>
        <v>0</v>
      </c>
      <c r="Y1684"/>
      <c r="Z1684"/>
      <c r="AA1684"/>
    </row>
    <row r="1685" spans="1:27" s="51" customFormat="1" ht="18.600000000000001" hidden="1" customHeight="1" x14ac:dyDescent="0.25">
      <c r="A1685" s="81" t="s">
        <v>2653</v>
      </c>
      <c r="B1685" s="31" t="s">
        <v>9303</v>
      </c>
      <c r="C1685" s="32" t="s">
        <v>9313</v>
      </c>
      <c r="D1685" s="31" t="s">
        <v>3993</v>
      </c>
      <c r="E1685" s="33" t="s">
        <v>3994</v>
      </c>
      <c r="F1685" s="33" t="s">
        <v>1937</v>
      </c>
      <c r="G1685" s="33" t="s">
        <v>3586</v>
      </c>
      <c r="H1685" s="84" t="s">
        <v>3995</v>
      </c>
      <c r="I1685" s="23" t="s">
        <v>24</v>
      </c>
      <c r="J1685" s="34">
        <v>90</v>
      </c>
      <c r="K1685" s="35">
        <v>0.25</v>
      </c>
      <c r="L1685" s="36">
        <f t="shared" si="253"/>
        <v>22.5</v>
      </c>
      <c r="M1685" s="37">
        <f t="shared" si="254"/>
        <v>67.5</v>
      </c>
      <c r="N1685" s="38">
        <v>0.16</v>
      </c>
      <c r="O1685" s="39">
        <f t="shared" si="255"/>
        <v>10.8</v>
      </c>
      <c r="P1685" s="40">
        <f t="shared" si="256"/>
        <v>78.3</v>
      </c>
      <c r="Q1685" s="23"/>
      <c r="R1685" s="56"/>
      <c r="S1685" s="57"/>
      <c r="T1685" s="58">
        <f t="shared" si="257"/>
        <v>0</v>
      </c>
      <c r="U1685" s="36">
        <f t="shared" si="258"/>
        <v>0</v>
      </c>
      <c r="V1685" s="59">
        <f t="shared" si="259"/>
        <v>0</v>
      </c>
      <c r="W1685" s="39">
        <f t="shared" si="260"/>
        <v>0</v>
      </c>
      <c r="X1685" s="40">
        <f t="shared" si="261"/>
        <v>0</v>
      </c>
      <c r="Y1685"/>
      <c r="Z1685"/>
      <c r="AA1685"/>
    </row>
    <row r="1686" spans="1:27" s="51" customFormat="1" ht="18.600000000000001" hidden="1" customHeight="1" x14ac:dyDescent="0.25">
      <c r="A1686" s="82" t="s">
        <v>2653</v>
      </c>
      <c r="B1686" s="41" t="s">
        <v>9303</v>
      </c>
      <c r="C1686" s="42" t="s">
        <v>9313</v>
      </c>
      <c r="D1686" s="41" t="s">
        <v>3996</v>
      </c>
      <c r="E1686" s="43" t="s">
        <v>3997</v>
      </c>
      <c r="F1686" s="43" t="s">
        <v>1937</v>
      </c>
      <c r="G1686" s="43" t="s">
        <v>3586</v>
      </c>
      <c r="H1686" s="85" t="s">
        <v>3998</v>
      </c>
      <c r="I1686" s="23" t="s">
        <v>24</v>
      </c>
      <c r="J1686" s="44">
        <v>90</v>
      </c>
      <c r="K1686" s="45">
        <v>0.25</v>
      </c>
      <c r="L1686" s="46">
        <f t="shared" si="253"/>
        <v>22.5</v>
      </c>
      <c r="M1686" s="47">
        <f t="shared" si="254"/>
        <v>67.5</v>
      </c>
      <c r="N1686" s="48">
        <v>0.16</v>
      </c>
      <c r="O1686" s="49">
        <f t="shared" si="255"/>
        <v>10.8</v>
      </c>
      <c r="P1686" s="50">
        <f t="shared" si="256"/>
        <v>78.3</v>
      </c>
      <c r="Q1686" s="23"/>
      <c r="R1686" s="60"/>
      <c r="S1686" s="61"/>
      <c r="T1686" s="62">
        <f t="shared" si="257"/>
        <v>0</v>
      </c>
      <c r="U1686" s="46">
        <f t="shared" si="258"/>
        <v>0</v>
      </c>
      <c r="V1686" s="63">
        <f t="shared" si="259"/>
        <v>0</v>
      </c>
      <c r="W1686" s="49">
        <f t="shared" si="260"/>
        <v>0</v>
      </c>
      <c r="X1686" s="50">
        <f t="shared" si="261"/>
        <v>0</v>
      </c>
      <c r="Y1686"/>
      <c r="Z1686"/>
      <c r="AA1686"/>
    </row>
    <row r="1687" spans="1:27" s="51" customFormat="1" ht="18.600000000000001" hidden="1" customHeight="1" x14ac:dyDescent="0.25">
      <c r="A1687" s="80" t="s">
        <v>2653</v>
      </c>
      <c r="B1687" s="20" t="s">
        <v>9303</v>
      </c>
      <c r="C1687" s="21" t="s">
        <v>9313</v>
      </c>
      <c r="D1687" s="20" t="s">
        <v>3999</v>
      </c>
      <c r="E1687" s="22" t="s">
        <v>4000</v>
      </c>
      <c r="F1687" s="22" t="s">
        <v>1937</v>
      </c>
      <c r="G1687" s="22" t="s">
        <v>3586</v>
      </c>
      <c r="H1687" s="83" t="s">
        <v>4001</v>
      </c>
      <c r="I1687" s="23" t="s">
        <v>24</v>
      </c>
      <c r="J1687" s="24">
        <v>90</v>
      </c>
      <c r="K1687" s="25">
        <v>0.25</v>
      </c>
      <c r="L1687" s="26">
        <f t="shared" ref="L1687:L1750" si="262">+J1687*K1687</f>
        <v>22.5</v>
      </c>
      <c r="M1687" s="27">
        <f t="shared" ref="M1687:M1750" si="263">+J1687-L1687</f>
        <v>67.5</v>
      </c>
      <c r="N1687" s="28">
        <v>0.16</v>
      </c>
      <c r="O1687" s="29">
        <f t="shared" ref="O1687:O1750" si="264">+M1687*N1687</f>
        <v>10.8</v>
      </c>
      <c r="P1687" s="30">
        <f t="shared" ref="P1687:P1750" si="265">+M1687+O1687</f>
        <v>78.3</v>
      </c>
      <c r="Q1687" s="23"/>
      <c r="R1687" s="52"/>
      <c r="S1687" s="53"/>
      <c r="T1687" s="54">
        <f t="shared" ref="T1687:T1750" si="266">+S1687*J1687</f>
        <v>0</v>
      </c>
      <c r="U1687" s="26">
        <f t="shared" ref="U1687:U1750" si="267">+T1687*K1687</f>
        <v>0</v>
      </c>
      <c r="V1687" s="55">
        <f t="shared" ref="V1687:V1750" si="268">+T1687-U1687</f>
        <v>0</v>
      </c>
      <c r="W1687" s="29">
        <f t="shared" ref="W1687:W1750" si="269">+V1687*N1687</f>
        <v>0</v>
      </c>
      <c r="X1687" s="30">
        <f t="shared" ref="X1687:X1750" si="270">+V1687+W1687</f>
        <v>0</v>
      </c>
      <c r="Y1687"/>
      <c r="Z1687"/>
      <c r="AA1687"/>
    </row>
    <row r="1688" spans="1:27" s="51" customFormat="1" ht="18.600000000000001" hidden="1" customHeight="1" x14ac:dyDescent="0.25">
      <c r="A1688" s="81" t="s">
        <v>2653</v>
      </c>
      <c r="B1688" s="31" t="s">
        <v>9303</v>
      </c>
      <c r="C1688" s="32" t="s">
        <v>9313</v>
      </c>
      <c r="D1688" s="31" t="s">
        <v>4002</v>
      </c>
      <c r="E1688" s="33" t="s">
        <v>4003</v>
      </c>
      <c r="F1688" s="33" t="s">
        <v>1937</v>
      </c>
      <c r="G1688" s="33" t="s">
        <v>3586</v>
      </c>
      <c r="H1688" s="84" t="s">
        <v>4004</v>
      </c>
      <c r="I1688" s="23" t="s">
        <v>24</v>
      </c>
      <c r="J1688" s="34">
        <v>90</v>
      </c>
      <c r="K1688" s="35">
        <v>0.25</v>
      </c>
      <c r="L1688" s="36">
        <f t="shared" si="262"/>
        <v>22.5</v>
      </c>
      <c r="M1688" s="37">
        <f t="shared" si="263"/>
        <v>67.5</v>
      </c>
      <c r="N1688" s="38">
        <v>0.16</v>
      </c>
      <c r="O1688" s="39">
        <f t="shared" si="264"/>
        <v>10.8</v>
      </c>
      <c r="P1688" s="40">
        <f t="shared" si="265"/>
        <v>78.3</v>
      </c>
      <c r="Q1688" s="23"/>
      <c r="R1688" s="56"/>
      <c r="S1688" s="57"/>
      <c r="T1688" s="58">
        <f t="shared" si="266"/>
        <v>0</v>
      </c>
      <c r="U1688" s="36">
        <f t="shared" si="267"/>
        <v>0</v>
      </c>
      <c r="V1688" s="59">
        <f t="shared" si="268"/>
        <v>0</v>
      </c>
      <c r="W1688" s="39">
        <f t="shared" si="269"/>
        <v>0</v>
      </c>
      <c r="X1688" s="40">
        <f t="shared" si="270"/>
        <v>0</v>
      </c>
      <c r="Y1688"/>
      <c r="Z1688"/>
      <c r="AA1688"/>
    </row>
    <row r="1689" spans="1:27" s="51" customFormat="1" ht="18.600000000000001" hidden="1" customHeight="1" x14ac:dyDescent="0.25">
      <c r="A1689" s="82" t="s">
        <v>2653</v>
      </c>
      <c r="B1689" s="41" t="s">
        <v>9303</v>
      </c>
      <c r="C1689" s="42" t="s">
        <v>9313</v>
      </c>
      <c r="D1689" s="41" t="s">
        <v>4005</v>
      </c>
      <c r="E1689" s="43" t="s">
        <v>4006</v>
      </c>
      <c r="F1689" s="43" t="s">
        <v>1937</v>
      </c>
      <c r="G1689" s="43" t="s">
        <v>3586</v>
      </c>
      <c r="H1689" s="85" t="s">
        <v>4007</v>
      </c>
      <c r="I1689" s="23" t="s">
        <v>24</v>
      </c>
      <c r="J1689" s="44">
        <v>90</v>
      </c>
      <c r="K1689" s="45">
        <v>0.25</v>
      </c>
      <c r="L1689" s="46">
        <f t="shared" si="262"/>
        <v>22.5</v>
      </c>
      <c r="M1689" s="47">
        <f t="shared" si="263"/>
        <v>67.5</v>
      </c>
      <c r="N1689" s="48">
        <v>0.16</v>
      </c>
      <c r="O1689" s="49">
        <f t="shared" si="264"/>
        <v>10.8</v>
      </c>
      <c r="P1689" s="50">
        <f t="shared" si="265"/>
        <v>78.3</v>
      </c>
      <c r="Q1689" s="23"/>
      <c r="R1689" s="60"/>
      <c r="S1689" s="61"/>
      <c r="T1689" s="62">
        <f t="shared" si="266"/>
        <v>0</v>
      </c>
      <c r="U1689" s="46">
        <f t="shared" si="267"/>
        <v>0</v>
      </c>
      <c r="V1689" s="63">
        <f t="shared" si="268"/>
        <v>0</v>
      </c>
      <c r="W1689" s="49">
        <f t="shared" si="269"/>
        <v>0</v>
      </c>
      <c r="X1689" s="50">
        <f t="shared" si="270"/>
        <v>0</v>
      </c>
      <c r="Y1689"/>
      <c r="Z1689"/>
      <c r="AA1689"/>
    </row>
    <row r="1690" spans="1:27" s="51" customFormat="1" ht="18.600000000000001" hidden="1" customHeight="1" x14ac:dyDescent="0.25">
      <c r="A1690" s="80" t="s">
        <v>2653</v>
      </c>
      <c r="B1690" s="20" t="s">
        <v>9303</v>
      </c>
      <c r="C1690" s="21" t="s">
        <v>9313</v>
      </c>
      <c r="D1690" s="20" t="s">
        <v>4008</v>
      </c>
      <c r="E1690" s="22" t="s">
        <v>4009</v>
      </c>
      <c r="F1690" s="22" t="s">
        <v>1937</v>
      </c>
      <c r="G1690" s="22" t="s">
        <v>3586</v>
      </c>
      <c r="H1690" s="83" t="s">
        <v>4010</v>
      </c>
      <c r="I1690" s="23" t="s">
        <v>24</v>
      </c>
      <c r="J1690" s="24">
        <v>90</v>
      </c>
      <c r="K1690" s="25">
        <v>0.25</v>
      </c>
      <c r="L1690" s="26">
        <f t="shared" si="262"/>
        <v>22.5</v>
      </c>
      <c r="M1690" s="27">
        <f t="shared" si="263"/>
        <v>67.5</v>
      </c>
      <c r="N1690" s="28">
        <v>0.16</v>
      </c>
      <c r="O1690" s="29">
        <f t="shared" si="264"/>
        <v>10.8</v>
      </c>
      <c r="P1690" s="30">
        <f t="shared" si="265"/>
        <v>78.3</v>
      </c>
      <c r="Q1690" s="23"/>
      <c r="R1690" s="52"/>
      <c r="S1690" s="53"/>
      <c r="T1690" s="54">
        <f t="shared" si="266"/>
        <v>0</v>
      </c>
      <c r="U1690" s="26">
        <f t="shared" si="267"/>
        <v>0</v>
      </c>
      <c r="V1690" s="55">
        <f t="shared" si="268"/>
        <v>0</v>
      </c>
      <c r="W1690" s="29">
        <f t="shared" si="269"/>
        <v>0</v>
      </c>
      <c r="X1690" s="30">
        <f t="shared" si="270"/>
        <v>0</v>
      </c>
      <c r="Y1690"/>
      <c r="Z1690"/>
      <c r="AA1690"/>
    </row>
    <row r="1691" spans="1:27" s="51" customFormat="1" ht="18.600000000000001" hidden="1" customHeight="1" x14ac:dyDescent="0.25">
      <c r="A1691" s="81" t="s">
        <v>2653</v>
      </c>
      <c r="B1691" s="31" t="s">
        <v>9303</v>
      </c>
      <c r="C1691" s="32" t="s">
        <v>9313</v>
      </c>
      <c r="D1691" s="31" t="s">
        <v>4011</v>
      </c>
      <c r="E1691" s="33" t="s">
        <v>4012</v>
      </c>
      <c r="F1691" s="33" t="s">
        <v>1937</v>
      </c>
      <c r="G1691" s="33" t="s">
        <v>3586</v>
      </c>
      <c r="H1691" s="84" t="s">
        <v>4013</v>
      </c>
      <c r="I1691" s="23" t="s">
        <v>24</v>
      </c>
      <c r="J1691" s="34">
        <v>90</v>
      </c>
      <c r="K1691" s="35">
        <v>0.25</v>
      </c>
      <c r="L1691" s="36">
        <f t="shared" si="262"/>
        <v>22.5</v>
      </c>
      <c r="M1691" s="37">
        <f t="shared" si="263"/>
        <v>67.5</v>
      </c>
      <c r="N1691" s="38">
        <v>0.16</v>
      </c>
      <c r="O1691" s="39">
        <f t="shared" si="264"/>
        <v>10.8</v>
      </c>
      <c r="P1691" s="40">
        <f t="shared" si="265"/>
        <v>78.3</v>
      </c>
      <c r="Q1691" s="23"/>
      <c r="R1691" s="56"/>
      <c r="S1691" s="57"/>
      <c r="T1691" s="58">
        <f t="shared" si="266"/>
        <v>0</v>
      </c>
      <c r="U1691" s="36">
        <f t="shared" si="267"/>
        <v>0</v>
      </c>
      <c r="V1691" s="59">
        <f t="shared" si="268"/>
        <v>0</v>
      </c>
      <c r="W1691" s="39">
        <f t="shared" si="269"/>
        <v>0</v>
      </c>
      <c r="X1691" s="40">
        <f t="shared" si="270"/>
        <v>0</v>
      </c>
      <c r="Y1691"/>
      <c r="Z1691"/>
      <c r="AA1691"/>
    </row>
    <row r="1692" spans="1:27" s="51" customFormat="1" ht="18.600000000000001" hidden="1" customHeight="1" x14ac:dyDescent="0.25">
      <c r="A1692" s="82" t="s">
        <v>2653</v>
      </c>
      <c r="B1692" s="41" t="s">
        <v>9303</v>
      </c>
      <c r="C1692" s="42" t="s">
        <v>9313</v>
      </c>
      <c r="D1692" s="41" t="s">
        <v>4014</v>
      </c>
      <c r="E1692" s="43" t="s">
        <v>4015</v>
      </c>
      <c r="F1692" s="43" t="s">
        <v>1937</v>
      </c>
      <c r="G1692" s="43" t="s">
        <v>3586</v>
      </c>
      <c r="H1692" s="85" t="s">
        <v>4016</v>
      </c>
      <c r="I1692" s="23" t="s">
        <v>24</v>
      </c>
      <c r="J1692" s="44">
        <v>90</v>
      </c>
      <c r="K1692" s="45">
        <v>0.25</v>
      </c>
      <c r="L1692" s="46">
        <f t="shared" si="262"/>
        <v>22.5</v>
      </c>
      <c r="M1692" s="47">
        <f t="shared" si="263"/>
        <v>67.5</v>
      </c>
      <c r="N1692" s="48">
        <v>0.16</v>
      </c>
      <c r="O1692" s="49">
        <f t="shared" si="264"/>
        <v>10.8</v>
      </c>
      <c r="P1692" s="50">
        <f t="shared" si="265"/>
        <v>78.3</v>
      </c>
      <c r="Q1692" s="23"/>
      <c r="R1692" s="60"/>
      <c r="S1692" s="61"/>
      <c r="T1692" s="62">
        <f t="shared" si="266"/>
        <v>0</v>
      </c>
      <c r="U1692" s="46">
        <f t="shared" si="267"/>
        <v>0</v>
      </c>
      <c r="V1692" s="63">
        <f t="shared" si="268"/>
        <v>0</v>
      </c>
      <c r="W1692" s="49">
        <f t="shared" si="269"/>
        <v>0</v>
      </c>
      <c r="X1692" s="50">
        <f t="shared" si="270"/>
        <v>0</v>
      </c>
      <c r="Y1692"/>
      <c r="Z1692"/>
      <c r="AA1692"/>
    </row>
    <row r="1693" spans="1:27" s="51" customFormat="1" ht="18.600000000000001" hidden="1" customHeight="1" x14ac:dyDescent="0.25">
      <c r="A1693" s="80" t="s">
        <v>2653</v>
      </c>
      <c r="B1693" s="20" t="s">
        <v>9303</v>
      </c>
      <c r="C1693" s="21" t="s">
        <v>9313</v>
      </c>
      <c r="D1693" s="20" t="s">
        <v>4017</v>
      </c>
      <c r="E1693" s="22" t="s">
        <v>4018</v>
      </c>
      <c r="F1693" s="22" t="s">
        <v>1937</v>
      </c>
      <c r="G1693" s="22" t="s">
        <v>3586</v>
      </c>
      <c r="H1693" s="83" t="s">
        <v>4019</v>
      </c>
      <c r="I1693" s="23" t="s">
        <v>24</v>
      </c>
      <c r="J1693" s="24">
        <v>90</v>
      </c>
      <c r="K1693" s="25">
        <v>0.25</v>
      </c>
      <c r="L1693" s="26">
        <f t="shared" si="262"/>
        <v>22.5</v>
      </c>
      <c r="M1693" s="27">
        <f t="shared" si="263"/>
        <v>67.5</v>
      </c>
      <c r="N1693" s="28">
        <v>0.16</v>
      </c>
      <c r="O1693" s="29">
        <f t="shared" si="264"/>
        <v>10.8</v>
      </c>
      <c r="P1693" s="30">
        <f t="shared" si="265"/>
        <v>78.3</v>
      </c>
      <c r="Q1693" s="23"/>
      <c r="R1693" s="52"/>
      <c r="S1693" s="53"/>
      <c r="T1693" s="54">
        <f t="shared" si="266"/>
        <v>0</v>
      </c>
      <c r="U1693" s="26">
        <f t="shared" si="267"/>
        <v>0</v>
      </c>
      <c r="V1693" s="55">
        <f t="shared" si="268"/>
        <v>0</v>
      </c>
      <c r="W1693" s="29">
        <f t="shared" si="269"/>
        <v>0</v>
      </c>
      <c r="X1693" s="30">
        <f t="shared" si="270"/>
        <v>0</v>
      </c>
      <c r="Y1693"/>
      <c r="Z1693"/>
      <c r="AA1693"/>
    </row>
    <row r="1694" spans="1:27" s="51" customFormat="1" ht="18.600000000000001" hidden="1" customHeight="1" x14ac:dyDescent="0.25">
      <c r="A1694" s="81" t="s">
        <v>2653</v>
      </c>
      <c r="B1694" s="31" t="s">
        <v>9303</v>
      </c>
      <c r="C1694" s="32" t="s">
        <v>9313</v>
      </c>
      <c r="D1694" s="31" t="s">
        <v>4020</v>
      </c>
      <c r="E1694" s="33" t="s">
        <v>4021</v>
      </c>
      <c r="F1694" s="33" t="s">
        <v>1937</v>
      </c>
      <c r="G1694" s="33" t="s">
        <v>3586</v>
      </c>
      <c r="H1694" s="84" t="s">
        <v>4022</v>
      </c>
      <c r="I1694" s="23" t="s">
        <v>24</v>
      </c>
      <c r="J1694" s="34">
        <v>90</v>
      </c>
      <c r="K1694" s="35">
        <v>0.25</v>
      </c>
      <c r="L1694" s="36">
        <f t="shared" si="262"/>
        <v>22.5</v>
      </c>
      <c r="M1694" s="37">
        <f t="shared" si="263"/>
        <v>67.5</v>
      </c>
      <c r="N1694" s="38">
        <v>0.16</v>
      </c>
      <c r="O1694" s="39">
        <f t="shared" si="264"/>
        <v>10.8</v>
      </c>
      <c r="P1694" s="40">
        <f t="shared" si="265"/>
        <v>78.3</v>
      </c>
      <c r="Q1694" s="23"/>
      <c r="R1694" s="56"/>
      <c r="S1694" s="57"/>
      <c r="T1694" s="58">
        <f t="shared" si="266"/>
        <v>0</v>
      </c>
      <c r="U1694" s="36">
        <f t="shared" si="267"/>
        <v>0</v>
      </c>
      <c r="V1694" s="59">
        <f t="shared" si="268"/>
        <v>0</v>
      </c>
      <c r="W1694" s="39">
        <f t="shared" si="269"/>
        <v>0</v>
      </c>
      <c r="X1694" s="40">
        <f t="shared" si="270"/>
        <v>0</v>
      </c>
      <c r="Y1694"/>
      <c r="Z1694"/>
      <c r="AA1694"/>
    </row>
    <row r="1695" spans="1:27" s="51" customFormat="1" ht="18.600000000000001" hidden="1" customHeight="1" x14ac:dyDescent="0.25">
      <c r="A1695" s="82" t="s">
        <v>2653</v>
      </c>
      <c r="B1695" s="41" t="s">
        <v>9303</v>
      </c>
      <c r="C1695" s="42" t="s">
        <v>9313</v>
      </c>
      <c r="D1695" s="41" t="s">
        <v>4023</v>
      </c>
      <c r="E1695" s="43" t="s">
        <v>4024</v>
      </c>
      <c r="F1695" s="43" t="s">
        <v>1937</v>
      </c>
      <c r="G1695" s="43" t="s">
        <v>3586</v>
      </c>
      <c r="H1695" s="85" t="s">
        <v>4025</v>
      </c>
      <c r="I1695" s="23" t="s">
        <v>24</v>
      </c>
      <c r="J1695" s="44">
        <v>90</v>
      </c>
      <c r="K1695" s="45">
        <v>0.25</v>
      </c>
      <c r="L1695" s="46">
        <f t="shared" si="262"/>
        <v>22.5</v>
      </c>
      <c r="M1695" s="47">
        <f t="shared" si="263"/>
        <v>67.5</v>
      </c>
      <c r="N1695" s="48">
        <v>0.16</v>
      </c>
      <c r="O1695" s="49">
        <f t="shared" si="264"/>
        <v>10.8</v>
      </c>
      <c r="P1695" s="50">
        <f t="shared" si="265"/>
        <v>78.3</v>
      </c>
      <c r="Q1695" s="23"/>
      <c r="R1695" s="60"/>
      <c r="S1695" s="61"/>
      <c r="T1695" s="62">
        <f t="shared" si="266"/>
        <v>0</v>
      </c>
      <c r="U1695" s="46">
        <f t="shared" si="267"/>
        <v>0</v>
      </c>
      <c r="V1695" s="63">
        <f t="shared" si="268"/>
        <v>0</v>
      </c>
      <c r="W1695" s="49">
        <f t="shared" si="269"/>
        <v>0</v>
      </c>
      <c r="X1695" s="50">
        <f t="shared" si="270"/>
        <v>0</v>
      </c>
      <c r="Y1695"/>
      <c r="Z1695"/>
      <c r="AA1695"/>
    </row>
    <row r="1696" spans="1:27" s="51" customFormat="1" ht="18.600000000000001" hidden="1" customHeight="1" x14ac:dyDescent="0.25">
      <c r="A1696" s="80" t="s">
        <v>2653</v>
      </c>
      <c r="B1696" s="20" t="s">
        <v>9303</v>
      </c>
      <c r="C1696" s="21" t="s">
        <v>9313</v>
      </c>
      <c r="D1696" s="20" t="s">
        <v>4026</v>
      </c>
      <c r="E1696" s="22" t="s">
        <v>4027</v>
      </c>
      <c r="F1696" s="22" t="s">
        <v>1937</v>
      </c>
      <c r="G1696" s="22" t="s">
        <v>3586</v>
      </c>
      <c r="H1696" s="83" t="s">
        <v>4028</v>
      </c>
      <c r="I1696" s="23" t="s">
        <v>24</v>
      </c>
      <c r="J1696" s="24">
        <v>90</v>
      </c>
      <c r="K1696" s="25">
        <v>0.25</v>
      </c>
      <c r="L1696" s="26">
        <f t="shared" si="262"/>
        <v>22.5</v>
      </c>
      <c r="M1696" s="27">
        <f t="shared" si="263"/>
        <v>67.5</v>
      </c>
      <c r="N1696" s="28">
        <v>0.16</v>
      </c>
      <c r="O1696" s="29">
        <f t="shared" si="264"/>
        <v>10.8</v>
      </c>
      <c r="P1696" s="30">
        <f t="shared" si="265"/>
        <v>78.3</v>
      </c>
      <c r="Q1696" s="23"/>
      <c r="R1696" s="52"/>
      <c r="S1696" s="53"/>
      <c r="T1696" s="54">
        <f t="shared" si="266"/>
        <v>0</v>
      </c>
      <c r="U1696" s="26">
        <f t="shared" si="267"/>
        <v>0</v>
      </c>
      <c r="V1696" s="55">
        <f t="shared" si="268"/>
        <v>0</v>
      </c>
      <c r="W1696" s="29">
        <f t="shared" si="269"/>
        <v>0</v>
      </c>
      <c r="X1696" s="30">
        <f t="shared" si="270"/>
        <v>0</v>
      </c>
      <c r="Y1696"/>
      <c r="Z1696"/>
      <c r="AA1696"/>
    </row>
    <row r="1697" spans="1:27" s="51" customFormat="1" ht="18.600000000000001" hidden="1" customHeight="1" x14ac:dyDescent="0.25">
      <c r="A1697" s="81" t="s">
        <v>2653</v>
      </c>
      <c r="B1697" s="31" t="s">
        <v>9303</v>
      </c>
      <c r="C1697" s="32" t="s">
        <v>9313</v>
      </c>
      <c r="D1697" s="31" t="s">
        <v>4029</v>
      </c>
      <c r="E1697" s="33" t="s">
        <v>4030</v>
      </c>
      <c r="F1697" s="33" t="s">
        <v>1937</v>
      </c>
      <c r="G1697" s="33" t="s">
        <v>3586</v>
      </c>
      <c r="H1697" s="84" t="s">
        <v>4031</v>
      </c>
      <c r="I1697" s="23" t="s">
        <v>24</v>
      </c>
      <c r="J1697" s="34">
        <v>90</v>
      </c>
      <c r="K1697" s="35">
        <v>0.25</v>
      </c>
      <c r="L1697" s="36">
        <f t="shared" si="262"/>
        <v>22.5</v>
      </c>
      <c r="M1697" s="37">
        <f t="shared" si="263"/>
        <v>67.5</v>
      </c>
      <c r="N1697" s="38">
        <v>0.16</v>
      </c>
      <c r="O1697" s="39">
        <f t="shared" si="264"/>
        <v>10.8</v>
      </c>
      <c r="P1697" s="40">
        <f t="shared" si="265"/>
        <v>78.3</v>
      </c>
      <c r="Q1697" s="23"/>
      <c r="R1697" s="56"/>
      <c r="S1697" s="57"/>
      <c r="T1697" s="58">
        <f t="shared" si="266"/>
        <v>0</v>
      </c>
      <c r="U1697" s="36">
        <f t="shared" si="267"/>
        <v>0</v>
      </c>
      <c r="V1697" s="59">
        <f t="shared" si="268"/>
        <v>0</v>
      </c>
      <c r="W1697" s="39">
        <f t="shared" si="269"/>
        <v>0</v>
      </c>
      <c r="X1697" s="40">
        <f t="shared" si="270"/>
        <v>0</v>
      </c>
      <c r="Y1697"/>
      <c r="Z1697"/>
      <c r="AA1697"/>
    </row>
    <row r="1698" spans="1:27" s="51" customFormat="1" ht="18.600000000000001" hidden="1" customHeight="1" x14ac:dyDescent="0.25">
      <c r="A1698" s="82" t="s">
        <v>2653</v>
      </c>
      <c r="B1698" s="41" t="s">
        <v>9303</v>
      </c>
      <c r="C1698" s="42" t="s">
        <v>9313</v>
      </c>
      <c r="D1698" s="41" t="s">
        <v>4032</v>
      </c>
      <c r="E1698" s="43" t="s">
        <v>4033</v>
      </c>
      <c r="F1698" s="43" t="s">
        <v>1937</v>
      </c>
      <c r="G1698" s="43" t="s">
        <v>3586</v>
      </c>
      <c r="H1698" s="85" t="s">
        <v>4034</v>
      </c>
      <c r="I1698" s="23" t="s">
        <v>24</v>
      </c>
      <c r="J1698" s="44">
        <v>90</v>
      </c>
      <c r="K1698" s="45">
        <v>0.25</v>
      </c>
      <c r="L1698" s="46">
        <f t="shared" si="262"/>
        <v>22.5</v>
      </c>
      <c r="M1698" s="47">
        <f t="shared" si="263"/>
        <v>67.5</v>
      </c>
      <c r="N1698" s="48">
        <v>0.16</v>
      </c>
      <c r="O1698" s="49">
        <f t="shared" si="264"/>
        <v>10.8</v>
      </c>
      <c r="P1698" s="50">
        <f t="shared" si="265"/>
        <v>78.3</v>
      </c>
      <c r="Q1698" s="23"/>
      <c r="R1698" s="60"/>
      <c r="S1698" s="61"/>
      <c r="T1698" s="62">
        <f t="shared" si="266"/>
        <v>0</v>
      </c>
      <c r="U1698" s="46">
        <f t="shared" si="267"/>
        <v>0</v>
      </c>
      <c r="V1698" s="63">
        <f t="shared" si="268"/>
        <v>0</v>
      </c>
      <c r="W1698" s="49">
        <f t="shared" si="269"/>
        <v>0</v>
      </c>
      <c r="X1698" s="50">
        <f t="shared" si="270"/>
        <v>0</v>
      </c>
      <c r="Y1698"/>
      <c r="Z1698"/>
      <c r="AA1698"/>
    </row>
    <row r="1699" spans="1:27" s="51" customFormat="1" ht="18.600000000000001" hidden="1" customHeight="1" x14ac:dyDescent="0.25">
      <c r="A1699" s="80" t="s">
        <v>2653</v>
      </c>
      <c r="B1699" s="20" t="s">
        <v>9303</v>
      </c>
      <c r="C1699" s="21" t="s">
        <v>9313</v>
      </c>
      <c r="D1699" s="20" t="s">
        <v>4035</v>
      </c>
      <c r="E1699" s="22" t="s">
        <v>4036</v>
      </c>
      <c r="F1699" s="22" t="s">
        <v>1937</v>
      </c>
      <c r="G1699" s="22" t="s">
        <v>3586</v>
      </c>
      <c r="H1699" s="83" t="s">
        <v>4037</v>
      </c>
      <c r="I1699" s="23" t="s">
        <v>24</v>
      </c>
      <c r="J1699" s="24">
        <v>90</v>
      </c>
      <c r="K1699" s="25">
        <v>0.25</v>
      </c>
      <c r="L1699" s="26">
        <f t="shared" si="262"/>
        <v>22.5</v>
      </c>
      <c r="M1699" s="27">
        <f t="shared" si="263"/>
        <v>67.5</v>
      </c>
      <c r="N1699" s="28">
        <v>0.16</v>
      </c>
      <c r="O1699" s="29">
        <f t="shared" si="264"/>
        <v>10.8</v>
      </c>
      <c r="P1699" s="30">
        <f t="shared" si="265"/>
        <v>78.3</v>
      </c>
      <c r="Q1699" s="23"/>
      <c r="R1699" s="52"/>
      <c r="S1699" s="53"/>
      <c r="T1699" s="54">
        <f t="shared" si="266"/>
        <v>0</v>
      </c>
      <c r="U1699" s="26">
        <f t="shared" si="267"/>
        <v>0</v>
      </c>
      <c r="V1699" s="55">
        <f t="shared" si="268"/>
        <v>0</v>
      </c>
      <c r="W1699" s="29">
        <f t="shared" si="269"/>
        <v>0</v>
      </c>
      <c r="X1699" s="30">
        <f t="shared" si="270"/>
        <v>0</v>
      </c>
      <c r="Y1699"/>
      <c r="Z1699"/>
      <c r="AA1699"/>
    </row>
    <row r="1700" spans="1:27" s="51" customFormat="1" ht="18.600000000000001" hidden="1" customHeight="1" x14ac:dyDescent="0.25">
      <c r="A1700" s="81" t="s">
        <v>2653</v>
      </c>
      <c r="B1700" s="31" t="s">
        <v>9303</v>
      </c>
      <c r="C1700" s="32" t="s">
        <v>9313</v>
      </c>
      <c r="D1700" s="31" t="s">
        <v>4038</v>
      </c>
      <c r="E1700" s="33" t="s">
        <v>4039</v>
      </c>
      <c r="F1700" s="33" t="s">
        <v>1937</v>
      </c>
      <c r="G1700" s="33" t="s">
        <v>3586</v>
      </c>
      <c r="H1700" s="84" t="s">
        <v>4040</v>
      </c>
      <c r="I1700" s="23" t="s">
        <v>24</v>
      </c>
      <c r="J1700" s="34">
        <v>90</v>
      </c>
      <c r="K1700" s="35">
        <v>0.25</v>
      </c>
      <c r="L1700" s="36">
        <f t="shared" si="262"/>
        <v>22.5</v>
      </c>
      <c r="M1700" s="37">
        <f t="shared" si="263"/>
        <v>67.5</v>
      </c>
      <c r="N1700" s="38">
        <v>0.16</v>
      </c>
      <c r="O1700" s="39">
        <f t="shared" si="264"/>
        <v>10.8</v>
      </c>
      <c r="P1700" s="40">
        <f t="shared" si="265"/>
        <v>78.3</v>
      </c>
      <c r="Q1700" s="23"/>
      <c r="R1700" s="56"/>
      <c r="S1700" s="57"/>
      <c r="T1700" s="58">
        <f t="shared" si="266"/>
        <v>0</v>
      </c>
      <c r="U1700" s="36">
        <f t="shared" si="267"/>
        <v>0</v>
      </c>
      <c r="V1700" s="59">
        <f t="shared" si="268"/>
        <v>0</v>
      </c>
      <c r="W1700" s="39">
        <f t="shared" si="269"/>
        <v>0</v>
      </c>
      <c r="X1700" s="40">
        <f t="shared" si="270"/>
        <v>0</v>
      </c>
      <c r="Y1700"/>
      <c r="Z1700"/>
      <c r="AA1700"/>
    </row>
    <row r="1701" spans="1:27" s="51" customFormat="1" ht="18.600000000000001" hidden="1" customHeight="1" x14ac:dyDescent="0.25">
      <c r="A1701" s="82" t="s">
        <v>2653</v>
      </c>
      <c r="B1701" s="41" t="s">
        <v>9303</v>
      </c>
      <c r="C1701" s="42" t="s">
        <v>9313</v>
      </c>
      <c r="D1701" s="41" t="s">
        <v>4041</v>
      </c>
      <c r="E1701" s="43" t="s">
        <v>4042</v>
      </c>
      <c r="F1701" s="43" t="s">
        <v>1937</v>
      </c>
      <c r="G1701" s="43" t="s">
        <v>3586</v>
      </c>
      <c r="H1701" s="85" t="s">
        <v>4043</v>
      </c>
      <c r="I1701" s="23" t="s">
        <v>24</v>
      </c>
      <c r="J1701" s="44">
        <v>90</v>
      </c>
      <c r="K1701" s="45">
        <v>0.25</v>
      </c>
      <c r="L1701" s="46">
        <f t="shared" si="262"/>
        <v>22.5</v>
      </c>
      <c r="M1701" s="47">
        <f t="shared" si="263"/>
        <v>67.5</v>
      </c>
      <c r="N1701" s="48">
        <v>0.16</v>
      </c>
      <c r="O1701" s="49">
        <f t="shared" si="264"/>
        <v>10.8</v>
      </c>
      <c r="P1701" s="50">
        <f t="shared" si="265"/>
        <v>78.3</v>
      </c>
      <c r="Q1701" s="23"/>
      <c r="R1701" s="60"/>
      <c r="S1701" s="61"/>
      <c r="T1701" s="62">
        <f t="shared" si="266"/>
        <v>0</v>
      </c>
      <c r="U1701" s="46">
        <f t="shared" si="267"/>
        <v>0</v>
      </c>
      <c r="V1701" s="63">
        <f t="shared" si="268"/>
        <v>0</v>
      </c>
      <c r="W1701" s="49">
        <f t="shared" si="269"/>
        <v>0</v>
      </c>
      <c r="X1701" s="50">
        <f t="shared" si="270"/>
        <v>0</v>
      </c>
      <c r="Y1701"/>
      <c r="Z1701"/>
      <c r="AA1701"/>
    </row>
    <row r="1702" spans="1:27" s="51" customFormat="1" ht="18.600000000000001" hidden="1" customHeight="1" x14ac:dyDescent="0.25">
      <c r="A1702" s="80" t="s">
        <v>2653</v>
      </c>
      <c r="B1702" s="20" t="s">
        <v>9303</v>
      </c>
      <c r="C1702" s="21" t="s">
        <v>9313</v>
      </c>
      <c r="D1702" s="20" t="s">
        <v>4044</v>
      </c>
      <c r="E1702" s="22" t="s">
        <v>4045</v>
      </c>
      <c r="F1702" s="22" t="s">
        <v>1937</v>
      </c>
      <c r="G1702" s="22" t="s">
        <v>3586</v>
      </c>
      <c r="H1702" s="83" t="s">
        <v>4046</v>
      </c>
      <c r="I1702" s="23" t="s">
        <v>24</v>
      </c>
      <c r="J1702" s="24">
        <v>90</v>
      </c>
      <c r="K1702" s="25">
        <v>0.25</v>
      </c>
      <c r="L1702" s="26">
        <f t="shared" si="262"/>
        <v>22.5</v>
      </c>
      <c r="M1702" s="27">
        <f t="shared" si="263"/>
        <v>67.5</v>
      </c>
      <c r="N1702" s="28">
        <v>0.16</v>
      </c>
      <c r="O1702" s="29">
        <f t="shared" si="264"/>
        <v>10.8</v>
      </c>
      <c r="P1702" s="30">
        <f t="shared" si="265"/>
        <v>78.3</v>
      </c>
      <c r="Q1702" s="23"/>
      <c r="R1702" s="52"/>
      <c r="S1702" s="53"/>
      <c r="T1702" s="54">
        <f t="shared" si="266"/>
        <v>0</v>
      </c>
      <c r="U1702" s="26">
        <f t="shared" si="267"/>
        <v>0</v>
      </c>
      <c r="V1702" s="55">
        <f t="shared" si="268"/>
        <v>0</v>
      </c>
      <c r="W1702" s="29">
        <f t="shared" si="269"/>
        <v>0</v>
      </c>
      <c r="X1702" s="30">
        <f t="shared" si="270"/>
        <v>0</v>
      </c>
      <c r="Y1702"/>
      <c r="Z1702"/>
      <c r="AA1702"/>
    </row>
    <row r="1703" spans="1:27" s="51" customFormat="1" ht="18.600000000000001" hidden="1" customHeight="1" x14ac:dyDescent="0.25">
      <c r="A1703" s="81" t="s">
        <v>2653</v>
      </c>
      <c r="B1703" s="31" t="s">
        <v>9303</v>
      </c>
      <c r="C1703" s="32" t="s">
        <v>9313</v>
      </c>
      <c r="D1703" s="31" t="s">
        <v>4047</v>
      </c>
      <c r="E1703" s="33" t="s">
        <v>4048</v>
      </c>
      <c r="F1703" s="33" t="s">
        <v>1937</v>
      </c>
      <c r="G1703" s="33" t="s">
        <v>3586</v>
      </c>
      <c r="H1703" s="84" t="s">
        <v>4049</v>
      </c>
      <c r="I1703" s="23" t="s">
        <v>24</v>
      </c>
      <c r="J1703" s="34">
        <v>90</v>
      </c>
      <c r="K1703" s="35">
        <v>0.25</v>
      </c>
      <c r="L1703" s="36">
        <f t="shared" si="262"/>
        <v>22.5</v>
      </c>
      <c r="M1703" s="37">
        <f t="shared" si="263"/>
        <v>67.5</v>
      </c>
      <c r="N1703" s="38">
        <v>0.16</v>
      </c>
      <c r="O1703" s="39">
        <f t="shared" si="264"/>
        <v>10.8</v>
      </c>
      <c r="P1703" s="40">
        <f t="shared" si="265"/>
        <v>78.3</v>
      </c>
      <c r="Q1703" s="23"/>
      <c r="R1703" s="56"/>
      <c r="S1703" s="57"/>
      <c r="T1703" s="58">
        <f t="shared" si="266"/>
        <v>0</v>
      </c>
      <c r="U1703" s="36">
        <f t="shared" si="267"/>
        <v>0</v>
      </c>
      <c r="V1703" s="59">
        <f t="shared" si="268"/>
        <v>0</v>
      </c>
      <c r="W1703" s="39">
        <f t="shared" si="269"/>
        <v>0</v>
      </c>
      <c r="X1703" s="40">
        <f t="shared" si="270"/>
        <v>0</v>
      </c>
      <c r="Y1703"/>
      <c r="Z1703"/>
      <c r="AA1703"/>
    </row>
    <row r="1704" spans="1:27" s="51" customFormat="1" ht="18.600000000000001" hidden="1" customHeight="1" x14ac:dyDescent="0.25">
      <c r="A1704" s="82" t="s">
        <v>2653</v>
      </c>
      <c r="B1704" s="41" t="s">
        <v>9303</v>
      </c>
      <c r="C1704" s="42" t="s">
        <v>9313</v>
      </c>
      <c r="D1704" s="41" t="s">
        <v>4050</v>
      </c>
      <c r="E1704" s="43" t="s">
        <v>4051</v>
      </c>
      <c r="F1704" s="43" t="s">
        <v>1937</v>
      </c>
      <c r="G1704" s="43" t="s">
        <v>3586</v>
      </c>
      <c r="H1704" s="85" t="s">
        <v>4052</v>
      </c>
      <c r="I1704" s="23" t="s">
        <v>24</v>
      </c>
      <c r="J1704" s="44">
        <v>90</v>
      </c>
      <c r="K1704" s="45">
        <v>0.25</v>
      </c>
      <c r="L1704" s="46">
        <f t="shared" si="262"/>
        <v>22.5</v>
      </c>
      <c r="M1704" s="47">
        <f t="shared" si="263"/>
        <v>67.5</v>
      </c>
      <c r="N1704" s="48">
        <v>0.16</v>
      </c>
      <c r="O1704" s="49">
        <f t="shared" si="264"/>
        <v>10.8</v>
      </c>
      <c r="P1704" s="50">
        <f t="shared" si="265"/>
        <v>78.3</v>
      </c>
      <c r="Q1704" s="23"/>
      <c r="R1704" s="60"/>
      <c r="S1704" s="61"/>
      <c r="T1704" s="62">
        <f t="shared" si="266"/>
        <v>0</v>
      </c>
      <c r="U1704" s="46">
        <f t="shared" si="267"/>
        <v>0</v>
      </c>
      <c r="V1704" s="63">
        <f t="shared" si="268"/>
        <v>0</v>
      </c>
      <c r="W1704" s="49">
        <f t="shared" si="269"/>
        <v>0</v>
      </c>
      <c r="X1704" s="50">
        <f t="shared" si="270"/>
        <v>0</v>
      </c>
      <c r="Y1704"/>
      <c r="Z1704"/>
      <c r="AA1704"/>
    </row>
    <row r="1705" spans="1:27" s="51" customFormat="1" ht="18.600000000000001" hidden="1" customHeight="1" x14ac:dyDescent="0.25">
      <c r="A1705" s="80" t="s">
        <v>2653</v>
      </c>
      <c r="B1705" s="20" t="s">
        <v>9303</v>
      </c>
      <c r="C1705" s="21" t="s">
        <v>9313</v>
      </c>
      <c r="D1705" s="20" t="s">
        <v>4053</v>
      </c>
      <c r="E1705" s="22" t="s">
        <v>4054</v>
      </c>
      <c r="F1705" s="22" t="s">
        <v>1937</v>
      </c>
      <c r="G1705" s="22" t="s">
        <v>3586</v>
      </c>
      <c r="H1705" s="83" t="s">
        <v>4055</v>
      </c>
      <c r="I1705" s="23" t="s">
        <v>24</v>
      </c>
      <c r="J1705" s="24">
        <v>90</v>
      </c>
      <c r="K1705" s="25">
        <v>0.25</v>
      </c>
      <c r="L1705" s="26">
        <f t="shared" si="262"/>
        <v>22.5</v>
      </c>
      <c r="M1705" s="27">
        <f t="shared" si="263"/>
        <v>67.5</v>
      </c>
      <c r="N1705" s="28">
        <v>0.16</v>
      </c>
      <c r="O1705" s="29">
        <f t="shared" si="264"/>
        <v>10.8</v>
      </c>
      <c r="P1705" s="30">
        <f t="shared" si="265"/>
        <v>78.3</v>
      </c>
      <c r="Q1705" s="23"/>
      <c r="R1705" s="52"/>
      <c r="S1705" s="53"/>
      <c r="T1705" s="54">
        <f t="shared" si="266"/>
        <v>0</v>
      </c>
      <c r="U1705" s="26">
        <f t="shared" si="267"/>
        <v>0</v>
      </c>
      <c r="V1705" s="55">
        <f t="shared" si="268"/>
        <v>0</v>
      </c>
      <c r="W1705" s="29">
        <f t="shared" si="269"/>
        <v>0</v>
      </c>
      <c r="X1705" s="30">
        <f t="shared" si="270"/>
        <v>0</v>
      </c>
      <c r="Y1705"/>
      <c r="Z1705"/>
      <c r="AA1705"/>
    </row>
    <row r="1706" spans="1:27" s="51" customFormat="1" ht="18.600000000000001" hidden="1" customHeight="1" x14ac:dyDescent="0.25">
      <c r="A1706" s="81" t="s">
        <v>2653</v>
      </c>
      <c r="B1706" s="31" t="s">
        <v>9303</v>
      </c>
      <c r="C1706" s="32" t="s">
        <v>9313</v>
      </c>
      <c r="D1706" s="31" t="s">
        <v>4056</v>
      </c>
      <c r="E1706" s="33" t="s">
        <v>4057</v>
      </c>
      <c r="F1706" s="33" t="s">
        <v>1937</v>
      </c>
      <c r="G1706" s="33" t="s">
        <v>3586</v>
      </c>
      <c r="H1706" s="84" t="s">
        <v>4058</v>
      </c>
      <c r="I1706" s="23" t="s">
        <v>24</v>
      </c>
      <c r="J1706" s="34">
        <v>90</v>
      </c>
      <c r="K1706" s="35">
        <v>0.25</v>
      </c>
      <c r="L1706" s="36">
        <f t="shared" si="262"/>
        <v>22.5</v>
      </c>
      <c r="M1706" s="37">
        <f t="shared" si="263"/>
        <v>67.5</v>
      </c>
      <c r="N1706" s="38">
        <v>0.16</v>
      </c>
      <c r="O1706" s="39">
        <f t="shared" si="264"/>
        <v>10.8</v>
      </c>
      <c r="P1706" s="40">
        <f t="shared" si="265"/>
        <v>78.3</v>
      </c>
      <c r="Q1706" s="23"/>
      <c r="R1706" s="56"/>
      <c r="S1706" s="57"/>
      <c r="T1706" s="58">
        <f t="shared" si="266"/>
        <v>0</v>
      </c>
      <c r="U1706" s="36">
        <f t="shared" si="267"/>
        <v>0</v>
      </c>
      <c r="V1706" s="59">
        <f t="shared" si="268"/>
        <v>0</v>
      </c>
      <c r="W1706" s="39">
        <f t="shared" si="269"/>
        <v>0</v>
      </c>
      <c r="X1706" s="40">
        <f t="shared" si="270"/>
        <v>0</v>
      </c>
      <c r="Y1706"/>
      <c r="Z1706"/>
      <c r="AA1706"/>
    </row>
    <row r="1707" spans="1:27" s="51" customFormat="1" ht="18.600000000000001" hidden="1" customHeight="1" x14ac:dyDescent="0.25">
      <c r="A1707" s="82" t="s">
        <v>2653</v>
      </c>
      <c r="B1707" s="41" t="s">
        <v>9303</v>
      </c>
      <c r="C1707" s="42" t="s">
        <v>9313</v>
      </c>
      <c r="D1707" s="41" t="s">
        <v>4059</v>
      </c>
      <c r="E1707" s="43" t="s">
        <v>4060</v>
      </c>
      <c r="F1707" s="43" t="s">
        <v>1937</v>
      </c>
      <c r="G1707" s="43" t="s">
        <v>3586</v>
      </c>
      <c r="H1707" s="85" t="s">
        <v>4061</v>
      </c>
      <c r="I1707" s="23" t="s">
        <v>24</v>
      </c>
      <c r="J1707" s="44">
        <v>90</v>
      </c>
      <c r="K1707" s="45">
        <v>0.25</v>
      </c>
      <c r="L1707" s="46">
        <f t="shared" si="262"/>
        <v>22.5</v>
      </c>
      <c r="M1707" s="47">
        <f t="shared" si="263"/>
        <v>67.5</v>
      </c>
      <c r="N1707" s="48">
        <v>0.16</v>
      </c>
      <c r="O1707" s="49">
        <f t="shared" si="264"/>
        <v>10.8</v>
      </c>
      <c r="P1707" s="50">
        <f t="shared" si="265"/>
        <v>78.3</v>
      </c>
      <c r="Q1707" s="23"/>
      <c r="R1707" s="60"/>
      <c r="S1707" s="61"/>
      <c r="T1707" s="62">
        <f t="shared" si="266"/>
        <v>0</v>
      </c>
      <c r="U1707" s="46">
        <f t="shared" si="267"/>
        <v>0</v>
      </c>
      <c r="V1707" s="63">
        <f t="shared" si="268"/>
        <v>0</v>
      </c>
      <c r="W1707" s="49">
        <f t="shared" si="269"/>
        <v>0</v>
      </c>
      <c r="X1707" s="50">
        <f t="shared" si="270"/>
        <v>0</v>
      </c>
      <c r="Y1707"/>
      <c r="Z1707"/>
      <c r="AA1707"/>
    </row>
    <row r="1708" spans="1:27" s="51" customFormat="1" ht="18.600000000000001" hidden="1" customHeight="1" x14ac:dyDescent="0.25">
      <c r="A1708" s="80" t="s">
        <v>2653</v>
      </c>
      <c r="B1708" s="20" t="s">
        <v>9303</v>
      </c>
      <c r="C1708" s="21" t="s">
        <v>9313</v>
      </c>
      <c r="D1708" s="20" t="s">
        <v>4062</v>
      </c>
      <c r="E1708" s="22" t="s">
        <v>4063</v>
      </c>
      <c r="F1708" s="22" t="s">
        <v>1937</v>
      </c>
      <c r="G1708" s="22" t="s">
        <v>3586</v>
      </c>
      <c r="H1708" s="83" t="s">
        <v>4064</v>
      </c>
      <c r="I1708" s="23" t="s">
        <v>24</v>
      </c>
      <c r="J1708" s="24">
        <v>90</v>
      </c>
      <c r="K1708" s="25">
        <v>0.25</v>
      </c>
      <c r="L1708" s="26">
        <f t="shared" si="262"/>
        <v>22.5</v>
      </c>
      <c r="M1708" s="27">
        <f t="shared" si="263"/>
        <v>67.5</v>
      </c>
      <c r="N1708" s="28">
        <v>0.16</v>
      </c>
      <c r="O1708" s="29">
        <f t="shared" si="264"/>
        <v>10.8</v>
      </c>
      <c r="P1708" s="30">
        <f t="shared" si="265"/>
        <v>78.3</v>
      </c>
      <c r="Q1708" s="23"/>
      <c r="R1708" s="52"/>
      <c r="S1708" s="53"/>
      <c r="T1708" s="54">
        <f t="shared" si="266"/>
        <v>0</v>
      </c>
      <c r="U1708" s="26">
        <f t="shared" si="267"/>
        <v>0</v>
      </c>
      <c r="V1708" s="55">
        <f t="shared" si="268"/>
        <v>0</v>
      </c>
      <c r="W1708" s="29">
        <f t="shared" si="269"/>
        <v>0</v>
      </c>
      <c r="X1708" s="30">
        <f t="shared" si="270"/>
        <v>0</v>
      </c>
      <c r="Y1708"/>
      <c r="Z1708"/>
      <c r="AA1708"/>
    </row>
    <row r="1709" spans="1:27" s="51" customFormat="1" ht="18.600000000000001" hidden="1" customHeight="1" x14ac:dyDescent="0.25">
      <c r="A1709" s="81" t="s">
        <v>2653</v>
      </c>
      <c r="B1709" s="31" t="s">
        <v>9303</v>
      </c>
      <c r="C1709" s="32" t="s">
        <v>9313</v>
      </c>
      <c r="D1709" s="31" t="s">
        <v>4065</v>
      </c>
      <c r="E1709" s="33" t="s">
        <v>4066</v>
      </c>
      <c r="F1709" s="33" t="s">
        <v>1937</v>
      </c>
      <c r="G1709" s="33" t="s">
        <v>3586</v>
      </c>
      <c r="H1709" s="84" t="s">
        <v>4067</v>
      </c>
      <c r="I1709" s="23" t="s">
        <v>24</v>
      </c>
      <c r="J1709" s="34">
        <v>90</v>
      </c>
      <c r="K1709" s="35">
        <v>0.25</v>
      </c>
      <c r="L1709" s="36">
        <f t="shared" si="262"/>
        <v>22.5</v>
      </c>
      <c r="M1709" s="37">
        <f t="shared" si="263"/>
        <v>67.5</v>
      </c>
      <c r="N1709" s="38">
        <v>0.16</v>
      </c>
      <c r="O1709" s="39">
        <f t="shared" si="264"/>
        <v>10.8</v>
      </c>
      <c r="P1709" s="40">
        <f t="shared" si="265"/>
        <v>78.3</v>
      </c>
      <c r="Q1709" s="23"/>
      <c r="R1709" s="56"/>
      <c r="S1709" s="57"/>
      <c r="T1709" s="58">
        <f t="shared" si="266"/>
        <v>0</v>
      </c>
      <c r="U1709" s="36">
        <f t="shared" si="267"/>
        <v>0</v>
      </c>
      <c r="V1709" s="59">
        <f t="shared" si="268"/>
        <v>0</v>
      </c>
      <c r="W1709" s="39">
        <f t="shared" si="269"/>
        <v>0</v>
      </c>
      <c r="X1709" s="40">
        <f t="shared" si="270"/>
        <v>0</v>
      </c>
      <c r="Y1709"/>
      <c r="Z1709"/>
      <c r="AA1709"/>
    </row>
    <row r="1710" spans="1:27" s="51" customFormat="1" ht="18.600000000000001" hidden="1" customHeight="1" x14ac:dyDescent="0.25">
      <c r="A1710" s="82" t="s">
        <v>2653</v>
      </c>
      <c r="B1710" s="41" t="s">
        <v>9303</v>
      </c>
      <c r="C1710" s="42" t="s">
        <v>9313</v>
      </c>
      <c r="D1710" s="41" t="s">
        <v>4068</v>
      </c>
      <c r="E1710" s="43" t="s">
        <v>4069</v>
      </c>
      <c r="F1710" s="43" t="s">
        <v>1937</v>
      </c>
      <c r="G1710" s="43" t="s">
        <v>3586</v>
      </c>
      <c r="H1710" s="85" t="s">
        <v>4070</v>
      </c>
      <c r="I1710" s="23" t="s">
        <v>24</v>
      </c>
      <c r="J1710" s="44">
        <v>90</v>
      </c>
      <c r="K1710" s="45">
        <v>0.25</v>
      </c>
      <c r="L1710" s="46">
        <f t="shared" si="262"/>
        <v>22.5</v>
      </c>
      <c r="M1710" s="47">
        <f t="shared" si="263"/>
        <v>67.5</v>
      </c>
      <c r="N1710" s="48">
        <v>0.16</v>
      </c>
      <c r="O1710" s="49">
        <f t="shared" si="264"/>
        <v>10.8</v>
      </c>
      <c r="P1710" s="50">
        <f t="shared" si="265"/>
        <v>78.3</v>
      </c>
      <c r="Q1710" s="23"/>
      <c r="R1710" s="60"/>
      <c r="S1710" s="61"/>
      <c r="T1710" s="62">
        <f t="shared" si="266"/>
        <v>0</v>
      </c>
      <c r="U1710" s="46">
        <f t="shared" si="267"/>
        <v>0</v>
      </c>
      <c r="V1710" s="63">
        <f t="shared" si="268"/>
        <v>0</v>
      </c>
      <c r="W1710" s="49">
        <f t="shared" si="269"/>
        <v>0</v>
      </c>
      <c r="X1710" s="50">
        <f t="shared" si="270"/>
        <v>0</v>
      </c>
      <c r="Y1710"/>
      <c r="Z1710"/>
      <c r="AA1710"/>
    </row>
    <row r="1711" spans="1:27" s="51" customFormat="1" ht="18.600000000000001" hidden="1" customHeight="1" x14ac:dyDescent="0.25">
      <c r="A1711" s="80" t="s">
        <v>2653</v>
      </c>
      <c r="B1711" s="20" t="s">
        <v>9303</v>
      </c>
      <c r="C1711" s="21" t="s">
        <v>9313</v>
      </c>
      <c r="D1711" s="20" t="s">
        <v>4071</v>
      </c>
      <c r="E1711" s="22" t="s">
        <v>4072</v>
      </c>
      <c r="F1711" s="22" t="s">
        <v>1937</v>
      </c>
      <c r="G1711" s="22" t="s">
        <v>3586</v>
      </c>
      <c r="H1711" s="83" t="s">
        <v>4073</v>
      </c>
      <c r="I1711" s="23" t="s">
        <v>24</v>
      </c>
      <c r="J1711" s="24">
        <v>90</v>
      </c>
      <c r="K1711" s="25">
        <v>0.25</v>
      </c>
      <c r="L1711" s="26">
        <f t="shared" si="262"/>
        <v>22.5</v>
      </c>
      <c r="M1711" s="27">
        <f t="shared" si="263"/>
        <v>67.5</v>
      </c>
      <c r="N1711" s="28">
        <v>0.16</v>
      </c>
      <c r="O1711" s="29">
        <f t="shared" si="264"/>
        <v>10.8</v>
      </c>
      <c r="P1711" s="30">
        <f t="shared" si="265"/>
        <v>78.3</v>
      </c>
      <c r="Q1711" s="23"/>
      <c r="R1711" s="52"/>
      <c r="S1711" s="53"/>
      <c r="T1711" s="54">
        <f t="shared" si="266"/>
        <v>0</v>
      </c>
      <c r="U1711" s="26">
        <f t="shared" si="267"/>
        <v>0</v>
      </c>
      <c r="V1711" s="55">
        <f t="shared" si="268"/>
        <v>0</v>
      </c>
      <c r="W1711" s="29">
        <f t="shared" si="269"/>
        <v>0</v>
      </c>
      <c r="X1711" s="30">
        <f t="shared" si="270"/>
        <v>0</v>
      </c>
      <c r="Y1711"/>
      <c r="Z1711"/>
      <c r="AA1711"/>
    </row>
    <row r="1712" spans="1:27" s="51" customFormat="1" ht="18.600000000000001" hidden="1" customHeight="1" x14ac:dyDescent="0.25">
      <c r="A1712" s="81" t="s">
        <v>2653</v>
      </c>
      <c r="B1712" s="31" t="s">
        <v>9303</v>
      </c>
      <c r="C1712" s="32" t="s">
        <v>9313</v>
      </c>
      <c r="D1712" s="31" t="s">
        <v>4074</v>
      </c>
      <c r="E1712" s="33" t="s">
        <v>4075</v>
      </c>
      <c r="F1712" s="33" t="s">
        <v>1937</v>
      </c>
      <c r="G1712" s="33" t="s">
        <v>3586</v>
      </c>
      <c r="H1712" s="84" t="s">
        <v>4076</v>
      </c>
      <c r="I1712" s="23" t="s">
        <v>24</v>
      </c>
      <c r="J1712" s="34">
        <v>90</v>
      </c>
      <c r="K1712" s="35">
        <v>0.25</v>
      </c>
      <c r="L1712" s="36">
        <f t="shared" si="262"/>
        <v>22.5</v>
      </c>
      <c r="M1712" s="37">
        <f t="shared" si="263"/>
        <v>67.5</v>
      </c>
      <c r="N1712" s="38">
        <v>0.16</v>
      </c>
      <c r="O1712" s="39">
        <f t="shared" si="264"/>
        <v>10.8</v>
      </c>
      <c r="P1712" s="40">
        <f t="shared" si="265"/>
        <v>78.3</v>
      </c>
      <c r="Q1712" s="23"/>
      <c r="R1712" s="56"/>
      <c r="S1712" s="57"/>
      <c r="T1712" s="58">
        <f t="shared" si="266"/>
        <v>0</v>
      </c>
      <c r="U1712" s="36">
        <f t="shared" si="267"/>
        <v>0</v>
      </c>
      <c r="V1712" s="59">
        <f t="shared" si="268"/>
        <v>0</v>
      </c>
      <c r="W1712" s="39">
        <f t="shared" si="269"/>
        <v>0</v>
      </c>
      <c r="X1712" s="40">
        <f t="shared" si="270"/>
        <v>0</v>
      </c>
      <c r="Y1712"/>
      <c r="Z1712"/>
      <c r="AA1712"/>
    </row>
    <row r="1713" spans="1:27" s="51" customFormat="1" ht="18.600000000000001" hidden="1" customHeight="1" x14ac:dyDescent="0.25">
      <c r="A1713" s="82" t="s">
        <v>2653</v>
      </c>
      <c r="B1713" s="41" t="s">
        <v>9303</v>
      </c>
      <c r="C1713" s="42" t="s">
        <v>9313</v>
      </c>
      <c r="D1713" s="41" t="s">
        <v>4077</v>
      </c>
      <c r="E1713" s="43" t="s">
        <v>4078</v>
      </c>
      <c r="F1713" s="43" t="s">
        <v>1937</v>
      </c>
      <c r="G1713" s="43" t="s">
        <v>3586</v>
      </c>
      <c r="H1713" s="85" t="s">
        <v>4079</v>
      </c>
      <c r="I1713" s="23" t="s">
        <v>24</v>
      </c>
      <c r="J1713" s="44">
        <v>90</v>
      </c>
      <c r="K1713" s="45">
        <v>0.25</v>
      </c>
      <c r="L1713" s="46">
        <f t="shared" si="262"/>
        <v>22.5</v>
      </c>
      <c r="M1713" s="47">
        <f t="shared" si="263"/>
        <v>67.5</v>
      </c>
      <c r="N1713" s="48">
        <v>0.16</v>
      </c>
      <c r="O1713" s="49">
        <f t="shared" si="264"/>
        <v>10.8</v>
      </c>
      <c r="P1713" s="50">
        <f t="shared" si="265"/>
        <v>78.3</v>
      </c>
      <c r="Q1713" s="23"/>
      <c r="R1713" s="60"/>
      <c r="S1713" s="61"/>
      <c r="T1713" s="62">
        <f t="shared" si="266"/>
        <v>0</v>
      </c>
      <c r="U1713" s="46">
        <f t="shared" si="267"/>
        <v>0</v>
      </c>
      <c r="V1713" s="63">
        <f t="shared" si="268"/>
        <v>0</v>
      </c>
      <c r="W1713" s="49">
        <f t="shared" si="269"/>
        <v>0</v>
      </c>
      <c r="X1713" s="50">
        <f t="shared" si="270"/>
        <v>0</v>
      </c>
      <c r="Y1713"/>
      <c r="Z1713"/>
      <c r="AA1713"/>
    </row>
    <row r="1714" spans="1:27" s="51" customFormat="1" ht="18.600000000000001" hidden="1" customHeight="1" x14ac:dyDescent="0.25">
      <c r="A1714" s="80" t="s">
        <v>2653</v>
      </c>
      <c r="B1714" s="20" t="s">
        <v>9303</v>
      </c>
      <c r="C1714" s="21" t="s">
        <v>9313</v>
      </c>
      <c r="D1714" s="20" t="s">
        <v>4080</v>
      </c>
      <c r="E1714" s="22" t="s">
        <v>4081</v>
      </c>
      <c r="F1714" s="22" t="s">
        <v>1937</v>
      </c>
      <c r="G1714" s="22" t="s">
        <v>3586</v>
      </c>
      <c r="H1714" s="83" t="s">
        <v>4082</v>
      </c>
      <c r="I1714" s="23" t="s">
        <v>24</v>
      </c>
      <c r="J1714" s="24">
        <v>90</v>
      </c>
      <c r="K1714" s="25">
        <v>0.25</v>
      </c>
      <c r="L1714" s="26">
        <f t="shared" si="262"/>
        <v>22.5</v>
      </c>
      <c r="M1714" s="27">
        <f t="shared" si="263"/>
        <v>67.5</v>
      </c>
      <c r="N1714" s="28">
        <v>0.16</v>
      </c>
      <c r="O1714" s="29">
        <f t="shared" si="264"/>
        <v>10.8</v>
      </c>
      <c r="P1714" s="30">
        <f t="shared" si="265"/>
        <v>78.3</v>
      </c>
      <c r="Q1714" s="23"/>
      <c r="R1714" s="52"/>
      <c r="S1714" s="53"/>
      <c r="T1714" s="54">
        <f t="shared" si="266"/>
        <v>0</v>
      </c>
      <c r="U1714" s="26">
        <f t="shared" si="267"/>
        <v>0</v>
      </c>
      <c r="V1714" s="55">
        <f t="shared" si="268"/>
        <v>0</v>
      </c>
      <c r="W1714" s="29">
        <f t="shared" si="269"/>
        <v>0</v>
      </c>
      <c r="X1714" s="30">
        <f t="shared" si="270"/>
        <v>0</v>
      </c>
      <c r="Y1714"/>
      <c r="Z1714"/>
      <c r="AA1714"/>
    </row>
    <row r="1715" spans="1:27" s="51" customFormat="1" ht="18.600000000000001" hidden="1" customHeight="1" x14ac:dyDescent="0.25">
      <c r="A1715" s="81" t="s">
        <v>2653</v>
      </c>
      <c r="B1715" s="31" t="s">
        <v>9303</v>
      </c>
      <c r="C1715" s="32" t="s">
        <v>9313</v>
      </c>
      <c r="D1715" s="31" t="s">
        <v>4083</v>
      </c>
      <c r="E1715" s="33" t="s">
        <v>4084</v>
      </c>
      <c r="F1715" s="33" t="s">
        <v>1937</v>
      </c>
      <c r="G1715" s="33" t="s">
        <v>3586</v>
      </c>
      <c r="H1715" s="84" t="s">
        <v>4085</v>
      </c>
      <c r="I1715" s="23" t="s">
        <v>24</v>
      </c>
      <c r="J1715" s="34">
        <v>90</v>
      </c>
      <c r="K1715" s="35">
        <v>0.25</v>
      </c>
      <c r="L1715" s="36">
        <f t="shared" si="262"/>
        <v>22.5</v>
      </c>
      <c r="M1715" s="37">
        <f t="shared" si="263"/>
        <v>67.5</v>
      </c>
      <c r="N1715" s="38">
        <v>0.16</v>
      </c>
      <c r="O1715" s="39">
        <f t="shared" si="264"/>
        <v>10.8</v>
      </c>
      <c r="P1715" s="40">
        <f t="shared" si="265"/>
        <v>78.3</v>
      </c>
      <c r="Q1715" s="23"/>
      <c r="R1715" s="56"/>
      <c r="S1715" s="57"/>
      <c r="T1715" s="58">
        <f t="shared" si="266"/>
        <v>0</v>
      </c>
      <c r="U1715" s="36">
        <f t="shared" si="267"/>
        <v>0</v>
      </c>
      <c r="V1715" s="59">
        <f t="shared" si="268"/>
        <v>0</v>
      </c>
      <c r="W1715" s="39">
        <f t="shared" si="269"/>
        <v>0</v>
      </c>
      <c r="X1715" s="40">
        <f t="shared" si="270"/>
        <v>0</v>
      </c>
      <c r="Y1715"/>
      <c r="Z1715"/>
      <c r="AA1715"/>
    </row>
    <row r="1716" spans="1:27" s="51" customFormat="1" ht="18.600000000000001" hidden="1" customHeight="1" x14ac:dyDescent="0.25">
      <c r="A1716" s="82" t="s">
        <v>2653</v>
      </c>
      <c r="B1716" s="41" t="s">
        <v>9303</v>
      </c>
      <c r="C1716" s="42" t="s">
        <v>9313</v>
      </c>
      <c r="D1716" s="41" t="s">
        <v>4086</v>
      </c>
      <c r="E1716" s="43" t="s">
        <v>4087</v>
      </c>
      <c r="F1716" s="43" t="s">
        <v>1937</v>
      </c>
      <c r="G1716" s="43" t="s">
        <v>3586</v>
      </c>
      <c r="H1716" s="85" t="s">
        <v>4088</v>
      </c>
      <c r="I1716" s="23" t="s">
        <v>24</v>
      </c>
      <c r="J1716" s="44">
        <v>90</v>
      </c>
      <c r="K1716" s="45">
        <v>0.25</v>
      </c>
      <c r="L1716" s="46">
        <f t="shared" si="262"/>
        <v>22.5</v>
      </c>
      <c r="M1716" s="47">
        <f t="shared" si="263"/>
        <v>67.5</v>
      </c>
      <c r="N1716" s="48">
        <v>0.16</v>
      </c>
      <c r="O1716" s="49">
        <f t="shared" si="264"/>
        <v>10.8</v>
      </c>
      <c r="P1716" s="50">
        <f t="shared" si="265"/>
        <v>78.3</v>
      </c>
      <c r="Q1716" s="23"/>
      <c r="R1716" s="60"/>
      <c r="S1716" s="61"/>
      <c r="T1716" s="62">
        <f t="shared" si="266"/>
        <v>0</v>
      </c>
      <c r="U1716" s="46">
        <f t="shared" si="267"/>
        <v>0</v>
      </c>
      <c r="V1716" s="63">
        <f t="shared" si="268"/>
        <v>0</v>
      </c>
      <c r="W1716" s="49">
        <f t="shared" si="269"/>
        <v>0</v>
      </c>
      <c r="X1716" s="50">
        <f t="shared" si="270"/>
        <v>0</v>
      </c>
      <c r="Y1716"/>
      <c r="Z1716"/>
      <c r="AA1716"/>
    </row>
    <row r="1717" spans="1:27" s="51" customFormat="1" ht="18.600000000000001" hidden="1" customHeight="1" x14ac:dyDescent="0.25">
      <c r="A1717" s="80" t="s">
        <v>2653</v>
      </c>
      <c r="B1717" s="20" t="s">
        <v>9303</v>
      </c>
      <c r="C1717" s="21" t="s">
        <v>9313</v>
      </c>
      <c r="D1717" s="20" t="s">
        <v>4089</v>
      </c>
      <c r="E1717" s="22" t="s">
        <v>4090</v>
      </c>
      <c r="F1717" s="22" t="s">
        <v>1937</v>
      </c>
      <c r="G1717" s="22" t="s">
        <v>3586</v>
      </c>
      <c r="H1717" s="83" t="s">
        <v>4091</v>
      </c>
      <c r="I1717" s="23" t="s">
        <v>24</v>
      </c>
      <c r="J1717" s="24">
        <v>90</v>
      </c>
      <c r="K1717" s="25">
        <v>0.25</v>
      </c>
      <c r="L1717" s="26">
        <f t="shared" si="262"/>
        <v>22.5</v>
      </c>
      <c r="M1717" s="27">
        <f t="shared" si="263"/>
        <v>67.5</v>
      </c>
      <c r="N1717" s="28">
        <v>0.16</v>
      </c>
      <c r="O1717" s="29">
        <f t="shared" si="264"/>
        <v>10.8</v>
      </c>
      <c r="P1717" s="30">
        <f t="shared" si="265"/>
        <v>78.3</v>
      </c>
      <c r="Q1717" s="23"/>
      <c r="R1717" s="52"/>
      <c r="S1717" s="53"/>
      <c r="T1717" s="54">
        <f t="shared" si="266"/>
        <v>0</v>
      </c>
      <c r="U1717" s="26">
        <f t="shared" si="267"/>
        <v>0</v>
      </c>
      <c r="V1717" s="55">
        <f t="shared" si="268"/>
        <v>0</v>
      </c>
      <c r="W1717" s="29">
        <f t="shared" si="269"/>
        <v>0</v>
      </c>
      <c r="X1717" s="30">
        <f t="shared" si="270"/>
        <v>0</v>
      </c>
      <c r="Y1717"/>
      <c r="Z1717"/>
      <c r="AA1717"/>
    </row>
    <row r="1718" spans="1:27" s="51" customFormat="1" ht="18.600000000000001" hidden="1" customHeight="1" x14ac:dyDescent="0.25">
      <c r="A1718" s="81" t="s">
        <v>2653</v>
      </c>
      <c r="B1718" s="31" t="s">
        <v>9303</v>
      </c>
      <c r="C1718" s="32" t="s">
        <v>9313</v>
      </c>
      <c r="D1718" s="31" t="s">
        <v>4092</v>
      </c>
      <c r="E1718" s="33" t="s">
        <v>4093</v>
      </c>
      <c r="F1718" s="33" t="s">
        <v>1937</v>
      </c>
      <c r="G1718" s="33" t="s">
        <v>3586</v>
      </c>
      <c r="H1718" s="84" t="s">
        <v>4094</v>
      </c>
      <c r="I1718" s="23" t="s">
        <v>24</v>
      </c>
      <c r="J1718" s="34">
        <v>90</v>
      </c>
      <c r="K1718" s="35">
        <v>0.25</v>
      </c>
      <c r="L1718" s="36">
        <f t="shared" si="262"/>
        <v>22.5</v>
      </c>
      <c r="M1718" s="37">
        <f t="shared" si="263"/>
        <v>67.5</v>
      </c>
      <c r="N1718" s="38">
        <v>0.16</v>
      </c>
      <c r="O1718" s="39">
        <f t="shared" si="264"/>
        <v>10.8</v>
      </c>
      <c r="P1718" s="40">
        <f t="shared" si="265"/>
        <v>78.3</v>
      </c>
      <c r="Q1718" s="23"/>
      <c r="R1718" s="56"/>
      <c r="S1718" s="57"/>
      <c r="T1718" s="58">
        <f t="shared" si="266"/>
        <v>0</v>
      </c>
      <c r="U1718" s="36">
        <f t="shared" si="267"/>
        <v>0</v>
      </c>
      <c r="V1718" s="59">
        <f t="shared" si="268"/>
        <v>0</v>
      </c>
      <c r="W1718" s="39">
        <f t="shared" si="269"/>
        <v>0</v>
      </c>
      <c r="X1718" s="40">
        <f t="shared" si="270"/>
        <v>0</v>
      </c>
      <c r="Y1718"/>
      <c r="Z1718"/>
      <c r="AA1718"/>
    </row>
    <row r="1719" spans="1:27" s="51" customFormat="1" ht="18.600000000000001" hidden="1" customHeight="1" x14ac:dyDescent="0.25">
      <c r="A1719" s="82" t="s">
        <v>2653</v>
      </c>
      <c r="B1719" s="41" t="s">
        <v>9303</v>
      </c>
      <c r="C1719" s="42" t="s">
        <v>9313</v>
      </c>
      <c r="D1719" s="41" t="s">
        <v>4095</v>
      </c>
      <c r="E1719" s="43" t="s">
        <v>4096</v>
      </c>
      <c r="F1719" s="43" t="s">
        <v>1937</v>
      </c>
      <c r="G1719" s="43" t="s">
        <v>3586</v>
      </c>
      <c r="H1719" s="85" t="s">
        <v>4097</v>
      </c>
      <c r="I1719" s="23" t="s">
        <v>24</v>
      </c>
      <c r="J1719" s="44">
        <v>90</v>
      </c>
      <c r="K1719" s="45">
        <v>0.25</v>
      </c>
      <c r="L1719" s="46">
        <f t="shared" si="262"/>
        <v>22.5</v>
      </c>
      <c r="M1719" s="47">
        <f t="shared" si="263"/>
        <v>67.5</v>
      </c>
      <c r="N1719" s="48">
        <v>0.16</v>
      </c>
      <c r="O1719" s="49">
        <f t="shared" si="264"/>
        <v>10.8</v>
      </c>
      <c r="P1719" s="50">
        <f t="shared" si="265"/>
        <v>78.3</v>
      </c>
      <c r="Q1719" s="23"/>
      <c r="R1719" s="60"/>
      <c r="S1719" s="61"/>
      <c r="T1719" s="62">
        <f t="shared" si="266"/>
        <v>0</v>
      </c>
      <c r="U1719" s="46">
        <f t="shared" si="267"/>
        <v>0</v>
      </c>
      <c r="V1719" s="63">
        <f t="shared" si="268"/>
        <v>0</v>
      </c>
      <c r="W1719" s="49">
        <f t="shared" si="269"/>
        <v>0</v>
      </c>
      <c r="X1719" s="50">
        <f t="shared" si="270"/>
        <v>0</v>
      </c>
      <c r="Y1719"/>
      <c r="Z1719"/>
      <c r="AA1719"/>
    </row>
    <row r="1720" spans="1:27" s="51" customFormat="1" ht="18.600000000000001" hidden="1" customHeight="1" x14ac:dyDescent="0.25">
      <c r="A1720" s="80" t="s">
        <v>2653</v>
      </c>
      <c r="B1720" s="20" t="s">
        <v>9303</v>
      </c>
      <c r="C1720" s="21" t="s">
        <v>9313</v>
      </c>
      <c r="D1720" s="20" t="s">
        <v>4098</v>
      </c>
      <c r="E1720" s="22" t="s">
        <v>4099</v>
      </c>
      <c r="F1720" s="22" t="s">
        <v>1937</v>
      </c>
      <c r="G1720" s="22" t="s">
        <v>3586</v>
      </c>
      <c r="H1720" s="83" t="s">
        <v>4100</v>
      </c>
      <c r="I1720" s="23" t="s">
        <v>24</v>
      </c>
      <c r="J1720" s="24">
        <v>90</v>
      </c>
      <c r="K1720" s="25">
        <v>0.25</v>
      </c>
      <c r="L1720" s="26">
        <f t="shared" si="262"/>
        <v>22.5</v>
      </c>
      <c r="M1720" s="27">
        <f t="shared" si="263"/>
        <v>67.5</v>
      </c>
      <c r="N1720" s="28">
        <v>0.16</v>
      </c>
      <c r="O1720" s="29">
        <f t="shared" si="264"/>
        <v>10.8</v>
      </c>
      <c r="P1720" s="30">
        <f t="shared" si="265"/>
        <v>78.3</v>
      </c>
      <c r="Q1720" s="23"/>
      <c r="R1720" s="52"/>
      <c r="S1720" s="53"/>
      <c r="T1720" s="54">
        <f t="shared" si="266"/>
        <v>0</v>
      </c>
      <c r="U1720" s="26">
        <f t="shared" si="267"/>
        <v>0</v>
      </c>
      <c r="V1720" s="55">
        <f t="shared" si="268"/>
        <v>0</v>
      </c>
      <c r="W1720" s="29">
        <f t="shared" si="269"/>
        <v>0</v>
      </c>
      <c r="X1720" s="30">
        <f t="shared" si="270"/>
        <v>0</v>
      </c>
      <c r="Y1720"/>
      <c r="Z1720"/>
      <c r="AA1720"/>
    </row>
    <row r="1721" spans="1:27" s="51" customFormat="1" ht="18.600000000000001" hidden="1" customHeight="1" x14ac:dyDescent="0.25">
      <c r="A1721" s="81" t="s">
        <v>2653</v>
      </c>
      <c r="B1721" s="31" t="s">
        <v>9303</v>
      </c>
      <c r="C1721" s="32" t="s">
        <v>9313</v>
      </c>
      <c r="D1721" s="31" t="s">
        <v>4101</v>
      </c>
      <c r="E1721" s="33" t="s">
        <v>4102</v>
      </c>
      <c r="F1721" s="33" t="s">
        <v>1937</v>
      </c>
      <c r="G1721" s="33" t="s">
        <v>3586</v>
      </c>
      <c r="H1721" s="84" t="s">
        <v>4103</v>
      </c>
      <c r="I1721" s="23" t="s">
        <v>24</v>
      </c>
      <c r="J1721" s="34">
        <v>90</v>
      </c>
      <c r="K1721" s="35">
        <v>0.25</v>
      </c>
      <c r="L1721" s="36">
        <f t="shared" si="262"/>
        <v>22.5</v>
      </c>
      <c r="M1721" s="37">
        <f t="shared" si="263"/>
        <v>67.5</v>
      </c>
      <c r="N1721" s="38">
        <v>0.16</v>
      </c>
      <c r="O1721" s="39">
        <f t="shared" si="264"/>
        <v>10.8</v>
      </c>
      <c r="P1721" s="40">
        <f t="shared" si="265"/>
        <v>78.3</v>
      </c>
      <c r="Q1721" s="23"/>
      <c r="R1721" s="56"/>
      <c r="S1721" s="57"/>
      <c r="T1721" s="58">
        <f t="shared" si="266"/>
        <v>0</v>
      </c>
      <c r="U1721" s="36">
        <f t="shared" si="267"/>
        <v>0</v>
      </c>
      <c r="V1721" s="59">
        <f t="shared" si="268"/>
        <v>0</v>
      </c>
      <c r="W1721" s="39">
        <f t="shared" si="269"/>
        <v>0</v>
      </c>
      <c r="X1721" s="40">
        <f t="shared" si="270"/>
        <v>0</v>
      </c>
      <c r="Y1721"/>
      <c r="Z1721"/>
      <c r="AA1721"/>
    </row>
    <row r="1722" spans="1:27" s="51" customFormat="1" ht="18.600000000000001" hidden="1" customHeight="1" x14ac:dyDescent="0.25">
      <c r="A1722" s="82" t="s">
        <v>2653</v>
      </c>
      <c r="B1722" s="41" t="s">
        <v>9303</v>
      </c>
      <c r="C1722" s="42" t="s">
        <v>9313</v>
      </c>
      <c r="D1722" s="41" t="s">
        <v>4104</v>
      </c>
      <c r="E1722" s="43" t="s">
        <v>4105</v>
      </c>
      <c r="F1722" s="43" t="s">
        <v>1937</v>
      </c>
      <c r="G1722" s="43" t="s">
        <v>3586</v>
      </c>
      <c r="H1722" s="85" t="s">
        <v>4106</v>
      </c>
      <c r="I1722" s="23" t="s">
        <v>24</v>
      </c>
      <c r="J1722" s="44">
        <v>90</v>
      </c>
      <c r="K1722" s="45">
        <v>0.25</v>
      </c>
      <c r="L1722" s="46">
        <f t="shared" si="262"/>
        <v>22.5</v>
      </c>
      <c r="M1722" s="47">
        <f t="shared" si="263"/>
        <v>67.5</v>
      </c>
      <c r="N1722" s="48">
        <v>0.16</v>
      </c>
      <c r="O1722" s="49">
        <f t="shared" si="264"/>
        <v>10.8</v>
      </c>
      <c r="P1722" s="50">
        <f t="shared" si="265"/>
        <v>78.3</v>
      </c>
      <c r="Q1722" s="23"/>
      <c r="R1722" s="60"/>
      <c r="S1722" s="61"/>
      <c r="T1722" s="62">
        <f t="shared" si="266"/>
        <v>0</v>
      </c>
      <c r="U1722" s="46">
        <f t="shared" si="267"/>
        <v>0</v>
      </c>
      <c r="V1722" s="63">
        <f t="shared" si="268"/>
        <v>0</v>
      </c>
      <c r="W1722" s="49">
        <f t="shared" si="269"/>
        <v>0</v>
      </c>
      <c r="X1722" s="50">
        <f t="shared" si="270"/>
        <v>0</v>
      </c>
      <c r="Y1722"/>
      <c r="Z1722"/>
      <c r="AA1722"/>
    </row>
    <row r="1723" spans="1:27" s="51" customFormat="1" ht="18.600000000000001" hidden="1" customHeight="1" x14ac:dyDescent="0.25">
      <c r="A1723" s="80" t="s">
        <v>2653</v>
      </c>
      <c r="B1723" s="20" t="s">
        <v>9303</v>
      </c>
      <c r="C1723" s="21" t="s">
        <v>9313</v>
      </c>
      <c r="D1723" s="20" t="s">
        <v>4107</v>
      </c>
      <c r="E1723" s="22" t="s">
        <v>4108</v>
      </c>
      <c r="F1723" s="22" t="s">
        <v>1937</v>
      </c>
      <c r="G1723" s="22" t="s">
        <v>3586</v>
      </c>
      <c r="H1723" s="83" t="s">
        <v>4109</v>
      </c>
      <c r="I1723" s="23" t="s">
        <v>24</v>
      </c>
      <c r="J1723" s="24">
        <v>90</v>
      </c>
      <c r="K1723" s="25">
        <v>0.25</v>
      </c>
      <c r="L1723" s="26">
        <f t="shared" si="262"/>
        <v>22.5</v>
      </c>
      <c r="M1723" s="27">
        <f t="shared" si="263"/>
        <v>67.5</v>
      </c>
      <c r="N1723" s="28">
        <v>0.16</v>
      </c>
      <c r="O1723" s="29">
        <f t="shared" si="264"/>
        <v>10.8</v>
      </c>
      <c r="P1723" s="30">
        <f t="shared" si="265"/>
        <v>78.3</v>
      </c>
      <c r="Q1723" s="23"/>
      <c r="R1723" s="52"/>
      <c r="S1723" s="53"/>
      <c r="T1723" s="54">
        <f t="shared" si="266"/>
        <v>0</v>
      </c>
      <c r="U1723" s="26">
        <f t="shared" si="267"/>
        <v>0</v>
      </c>
      <c r="V1723" s="55">
        <f t="shared" si="268"/>
        <v>0</v>
      </c>
      <c r="W1723" s="29">
        <f t="shared" si="269"/>
        <v>0</v>
      </c>
      <c r="X1723" s="30">
        <f t="shared" si="270"/>
        <v>0</v>
      </c>
      <c r="Y1723"/>
      <c r="Z1723"/>
      <c r="AA1723"/>
    </row>
    <row r="1724" spans="1:27" s="51" customFormat="1" ht="18.600000000000001" hidden="1" customHeight="1" x14ac:dyDescent="0.25">
      <c r="A1724" s="81" t="s">
        <v>2653</v>
      </c>
      <c r="B1724" s="31" t="s">
        <v>9303</v>
      </c>
      <c r="C1724" s="32" t="s">
        <v>9313</v>
      </c>
      <c r="D1724" s="31" t="s">
        <v>4110</v>
      </c>
      <c r="E1724" s="33" t="s">
        <v>4111</v>
      </c>
      <c r="F1724" s="33" t="s">
        <v>1937</v>
      </c>
      <c r="G1724" s="33" t="s">
        <v>3586</v>
      </c>
      <c r="H1724" s="84" t="s">
        <v>4112</v>
      </c>
      <c r="I1724" s="23" t="s">
        <v>24</v>
      </c>
      <c r="J1724" s="34">
        <v>90</v>
      </c>
      <c r="K1724" s="35">
        <v>0.25</v>
      </c>
      <c r="L1724" s="36">
        <f t="shared" si="262"/>
        <v>22.5</v>
      </c>
      <c r="M1724" s="37">
        <f t="shared" si="263"/>
        <v>67.5</v>
      </c>
      <c r="N1724" s="38">
        <v>0.16</v>
      </c>
      <c r="O1724" s="39">
        <f t="shared" si="264"/>
        <v>10.8</v>
      </c>
      <c r="P1724" s="40">
        <f t="shared" si="265"/>
        <v>78.3</v>
      </c>
      <c r="Q1724" s="23"/>
      <c r="R1724" s="56"/>
      <c r="S1724" s="57"/>
      <c r="T1724" s="58">
        <f t="shared" si="266"/>
        <v>0</v>
      </c>
      <c r="U1724" s="36">
        <f t="shared" si="267"/>
        <v>0</v>
      </c>
      <c r="V1724" s="59">
        <f t="shared" si="268"/>
        <v>0</v>
      </c>
      <c r="W1724" s="39">
        <f t="shared" si="269"/>
        <v>0</v>
      </c>
      <c r="X1724" s="40">
        <f t="shared" si="270"/>
        <v>0</v>
      </c>
      <c r="Y1724"/>
      <c r="Z1724"/>
      <c r="AA1724"/>
    </row>
    <row r="1725" spans="1:27" s="51" customFormat="1" ht="18.600000000000001" hidden="1" customHeight="1" x14ac:dyDescent="0.25">
      <c r="A1725" s="82" t="s">
        <v>2653</v>
      </c>
      <c r="B1725" s="41" t="s">
        <v>9303</v>
      </c>
      <c r="C1725" s="42" t="s">
        <v>9313</v>
      </c>
      <c r="D1725" s="41" t="s">
        <v>4113</v>
      </c>
      <c r="E1725" s="43" t="s">
        <v>4114</v>
      </c>
      <c r="F1725" s="43" t="s">
        <v>1937</v>
      </c>
      <c r="G1725" s="43" t="s">
        <v>3586</v>
      </c>
      <c r="H1725" s="85" t="s">
        <v>4115</v>
      </c>
      <c r="I1725" s="23" t="s">
        <v>24</v>
      </c>
      <c r="J1725" s="44">
        <v>90</v>
      </c>
      <c r="K1725" s="45">
        <v>0.25</v>
      </c>
      <c r="L1725" s="46">
        <f t="shared" si="262"/>
        <v>22.5</v>
      </c>
      <c r="M1725" s="47">
        <f t="shared" si="263"/>
        <v>67.5</v>
      </c>
      <c r="N1725" s="48">
        <v>0.16</v>
      </c>
      <c r="O1725" s="49">
        <f t="shared" si="264"/>
        <v>10.8</v>
      </c>
      <c r="P1725" s="50">
        <f t="shared" si="265"/>
        <v>78.3</v>
      </c>
      <c r="Q1725" s="23"/>
      <c r="R1725" s="60"/>
      <c r="S1725" s="61"/>
      <c r="T1725" s="62">
        <f t="shared" si="266"/>
        <v>0</v>
      </c>
      <c r="U1725" s="46">
        <f t="shared" si="267"/>
        <v>0</v>
      </c>
      <c r="V1725" s="63">
        <f t="shared" si="268"/>
        <v>0</v>
      </c>
      <c r="W1725" s="49">
        <f t="shared" si="269"/>
        <v>0</v>
      </c>
      <c r="X1725" s="50">
        <f t="shared" si="270"/>
        <v>0</v>
      </c>
      <c r="Y1725"/>
      <c r="Z1725"/>
      <c r="AA1725"/>
    </row>
    <row r="1726" spans="1:27" s="51" customFormat="1" ht="18.600000000000001" hidden="1" customHeight="1" x14ac:dyDescent="0.25">
      <c r="A1726" s="80" t="s">
        <v>2653</v>
      </c>
      <c r="B1726" s="20" t="s">
        <v>9303</v>
      </c>
      <c r="C1726" s="21" t="s">
        <v>9313</v>
      </c>
      <c r="D1726" s="20" t="s">
        <v>4116</v>
      </c>
      <c r="E1726" s="22" t="s">
        <v>4117</v>
      </c>
      <c r="F1726" s="22" t="s">
        <v>1937</v>
      </c>
      <c r="G1726" s="22" t="s">
        <v>3586</v>
      </c>
      <c r="H1726" s="83" t="s">
        <v>4118</v>
      </c>
      <c r="I1726" s="23" t="s">
        <v>24</v>
      </c>
      <c r="J1726" s="24">
        <v>90</v>
      </c>
      <c r="K1726" s="25">
        <v>0.25</v>
      </c>
      <c r="L1726" s="26">
        <f t="shared" si="262"/>
        <v>22.5</v>
      </c>
      <c r="M1726" s="27">
        <f t="shared" si="263"/>
        <v>67.5</v>
      </c>
      <c r="N1726" s="28">
        <v>0.16</v>
      </c>
      <c r="O1726" s="29">
        <f t="shared" si="264"/>
        <v>10.8</v>
      </c>
      <c r="P1726" s="30">
        <f t="shared" si="265"/>
        <v>78.3</v>
      </c>
      <c r="Q1726" s="23"/>
      <c r="R1726" s="52"/>
      <c r="S1726" s="53"/>
      <c r="T1726" s="54">
        <f t="shared" si="266"/>
        <v>0</v>
      </c>
      <c r="U1726" s="26">
        <f t="shared" si="267"/>
        <v>0</v>
      </c>
      <c r="V1726" s="55">
        <f t="shared" si="268"/>
        <v>0</v>
      </c>
      <c r="W1726" s="29">
        <f t="shared" si="269"/>
        <v>0</v>
      </c>
      <c r="X1726" s="30">
        <f t="shared" si="270"/>
        <v>0</v>
      </c>
      <c r="Y1726"/>
      <c r="Z1726"/>
      <c r="AA1726"/>
    </row>
    <row r="1727" spans="1:27" s="51" customFormat="1" ht="18.600000000000001" hidden="1" customHeight="1" x14ac:dyDescent="0.25">
      <c r="A1727" s="81" t="s">
        <v>2653</v>
      </c>
      <c r="B1727" s="31" t="s">
        <v>9303</v>
      </c>
      <c r="C1727" s="32" t="s">
        <v>9313</v>
      </c>
      <c r="D1727" s="31" t="s">
        <v>4119</v>
      </c>
      <c r="E1727" s="33" t="s">
        <v>4120</v>
      </c>
      <c r="F1727" s="33" t="s">
        <v>1937</v>
      </c>
      <c r="G1727" s="33" t="s">
        <v>3586</v>
      </c>
      <c r="H1727" s="84" t="s">
        <v>4121</v>
      </c>
      <c r="I1727" s="23" t="s">
        <v>24</v>
      </c>
      <c r="J1727" s="34">
        <v>90</v>
      </c>
      <c r="K1727" s="35">
        <v>0.25</v>
      </c>
      <c r="L1727" s="36">
        <f t="shared" si="262"/>
        <v>22.5</v>
      </c>
      <c r="M1727" s="37">
        <f t="shared" si="263"/>
        <v>67.5</v>
      </c>
      <c r="N1727" s="38">
        <v>0.16</v>
      </c>
      <c r="O1727" s="39">
        <f t="shared" si="264"/>
        <v>10.8</v>
      </c>
      <c r="P1727" s="40">
        <f t="shared" si="265"/>
        <v>78.3</v>
      </c>
      <c r="Q1727" s="23"/>
      <c r="R1727" s="56"/>
      <c r="S1727" s="57"/>
      <c r="T1727" s="58">
        <f t="shared" si="266"/>
        <v>0</v>
      </c>
      <c r="U1727" s="36">
        <f t="shared" si="267"/>
        <v>0</v>
      </c>
      <c r="V1727" s="59">
        <f t="shared" si="268"/>
        <v>0</v>
      </c>
      <c r="W1727" s="39">
        <f t="shared" si="269"/>
        <v>0</v>
      </c>
      <c r="X1727" s="40">
        <f t="shared" si="270"/>
        <v>0</v>
      </c>
      <c r="Y1727"/>
      <c r="Z1727"/>
      <c r="AA1727"/>
    </row>
    <row r="1728" spans="1:27" s="51" customFormat="1" ht="18.600000000000001" hidden="1" customHeight="1" x14ac:dyDescent="0.25">
      <c r="A1728" s="82" t="s">
        <v>2653</v>
      </c>
      <c r="B1728" s="41" t="s">
        <v>9303</v>
      </c>
      <c r="C1728" s="42" t="s">
        <v>9313</v>
      </c>
      <c r="D1728" s="41" t="s">
        <v>4122</v>
      </c>
      <c r="E1728" s="43" t="s">
        <v>4123</v>
      </c>
      <c r="F1728" s="43" t="s">
        <v>1937</v>
      </c>
      <c r="G1728" s="43" t="s">
        <v>3586</v>
      </c>
      <c r="H1728" s="85" t="s">
        <v>4124</v>
      </c>
      <c r="I1728" s="23" t="s">
        <v>24</v>
      </c>
      <c r="J1728" s="44">
        <v>90</v>
      </c>
      <c r="K1728" s="45">
        <v>0.25</v>
      </c>
      <c r="L1728" s="46">
        <f t="shared" si="262"/>
        <v>22.5</v>
      </c>
      <c r="M1728" s="47">
        <f t="shared" si="263"/>
        <v>67.5</v>
      </c>
      <c r="N1728" s="48">
        <v>0.16</v>
      </c>
      <c r="O1728" s="49">
        <f t="shared" si="264"/>
        <v>10.8</v>
      </c>
      <c r="P1728" s="50">
        <f t="shared" si="265"/>
        <v>78.3</v>
      </c>
      <c r="Q1728" s="23"/>
      <c r="R1728" s="60"/>
      <c r="S1728" s="61"/>
      <c r="T1728" s="62">
        <f t="shared" si="266"/>
        <v>0</v>
      </c>
      <c r="U1728" s="46">
        <f t="shared" si="267"/>
        <v>0</v>
      </c>
      <c r="V1728" s="63">
        <f t="shared" si="268"/>
        <v>0</v>
      </c>
      <c r="W1728" s="49">
        <f t="shared" si="269"/>
        <v>0</v>
      </c>
      <c r="X1728" s="50">
        <f t="shared" si="270"/>
        <v>0</v>
      </c>
      <c r="Y1728"/>
      <c r="Z1728"/>
      <c r="AA1728"/>
    </row>
    <row r="1729" spans="1:27" s="51" customFormat="1" ht="18.600000000000001" hidden="1" customHeight="1" x14ac:dyDescent="0.25">
      <c r="A1729" s="80" t="s">
        <v>2653</v>
      </c>
      <c r="B1729" s="20" t="s">
        <v>9303</v>
      </c>
      <c r="C1729" s="21" t="s">
        <v>9313</v>
      </c>
      <c r="D1729" s="20" t="s">
        <v>4125</v>
      </c>
      <c r="E1729" s="22" t="s">
        <v>4126</v>
      </c>
      <c r="F1729" s="22" t="s">
        <v>1937</v>
      </c>
      <c r="G1729" s="22" t="s">
        <v>3586</v>
      </c>
      <c r="H1729" s="83" t="s">
        <v>4127</v>
      </c>
      <c r="I1729" s="23" t="s">
        <v>24</v>
      </c>
      <c r="J1729" s="24">
        <v>90</v>
      </c>
      <c r="K1729" s="25">
        <v>0.25</v>
      </c>
      <c r="L1729" s="26">
        <f t="shared" si="262"/>
        <v>22.5</v>
      </c>
      <c r="M1729" s="27">
        <f t="shared" si="263"/>
        <v>67.5</v>
      </c>
      <c r="N1729" s="28">
        <v>0.16</v>
      </c>
      <c r="O1729" s="29">
        <f t="shared" si="264"/>
        <v>10.8</v>
      </c>
      <c r="P1729" s="30">
        <f t="shared" si="265"/>
        <v>78.3</v>
      </c>
      <c r="Q1729" s="23"/>
      <c r="R1729" s="52"/>
      <c r="S1729" s="53"/>
      <c r="T1729" s="54">
        <f t="shared" si="266"/>
        <v>0</v>
      </c>
      <c r="U1729" s="26">
        <f t="shared" si="267"/>
        <v>0</v>
      </c>
      <c r="V1729" s="55">
        <f t="shared" si="268"/>
        <v>0</v>
      </c>
      <c r="W1729" s="29">
        <f t="shared" si="269"/>
        <v>0</v>
      </c>
      <c r="X1729" s="30">
        <f t="shared" si="270"/>
        <v>0</v>
      </c>
      <c r="Y1729"/>
      <c r="Z1729"/>
      <c r="AA1729"/>
    </row>
    <row r="1730" spans="1:27" s="51" customFormat="1" ht="18.600000000000001" hidden="1" customHeight="1" x14ac:dyDescent="0.25">
      <c r="A1730" s="81" t="s">
        <v>2653</v>
      </c>
      <c r="B1730" s="31" t="s">
        <v>9303</v>
      </c>
      <c r="C1730" s="32" t="s">
        <v>9313</v>
      </c>
      <c r="D1730" s="31" t="s">
        <v>4128</v>
      </c>
      <c r="E1730" s="33" t="s">
        <v>4129</v>
      </c>
      <c r="F1730" s="33" t="s">
        <v>1937</v>
      </c>
      <c r="G1730" s="33" t="s">
        <v>3586</v>
      </c>
      <c r="H1730" s="84" t="s">
        <v>4130</v>
      </c>
      <c r="I1730" s="23" t="s">
        <v>24</v>
      </c>
      <c r="J1730" s="34">
        <v>90</v>
      </c>
      <c r="K1730" s="35">
        <v>0.25</v>
      </c>
      <c r="L1730" s="36">
        <f t="shared" si="262"/>
        <v>22.5</v>
      </c>
      <c r="M1730" s="37">
        <f t="shared" si="263"/>
        <v>67.5</v>
      </c>
      <c r="N1730" s="38">
        <v>0.16</v>
      </c>
      <c r="O1730" s="39">
        <f t="shared" si="264"/>
        <v>10.8</v>
      </c>
      <c r="P1730" s="40">
        <f t="shared" si="265"/>
        <v>78.3</v>
      </c>
      <c r="Q1730" s="23"/>
      <c r="R1730" s="56"/>
      <c r="S1730" s="57"/>
      <c r="T1730" s="58">
        <f t="shared" si="266"/>
        <v>0</v>
      </c>
      <c r="U1730" s="36">
        <f t="shared" si="267"/>
        <v>0</v>
      </c>
      <c r="V1730" s="59">
        <f t="shared" si="268"/>
        <v>0</v>
      </c>
      <c r="W1730" s="39">
        <f t="shared" si="269"/>
        <v>0</v>
      </c>
      <c r="X1730" s="40">
        <f t="shared" si="270"/>
        <v>0</v>
      </c>
      <c r="Y1730"/>
      <c r="Z1730"/>
      <c r="AA1730"/>
    </row>
    <row r="1731" spans="1:27" s="51" customFormat="1" ht="18.600000000000001" hidden="1" customHeight="1" x14ac:dyDescent="0.25">
      <c r="A1731" s="82" t="s">
        <v>2653</v>
      </c>
      <c r="B1731" s="41" t="s">
        <v>9303</v>
      </c>
      <c r="C1731" s="42" t="s">
        <v>9313</v>
      </c>
      <c r="D1731" s="41" t="s">
        <v>4131</v>
      </c>
      <c r="E1731" s="43" t="s">
        <v>4132</v>
      </c>
      <c r="F1731" s="43" t="s">
        <v>1937</v>
      </c>
      <c r="G1731" s="43" t="s">
        <v>3586</v>
      </c>
      <c r="H1731" s="85" t="s">
        <v>4133</v>
      </c>
      <c r="I1731" s="23" t="s">
        <v>24</v>
      </c>
      <c r="J1731" s="44">
        <v>90</v>
      </c>
      <c r="K1731" s="45">
        <v>0.25</v>
      </c>
      <c r="L1731" s="46">
        <f t="shared" si="262"/>
        <v>22.5</v>
      </c>
      <c r="M1731" s="47">
        <f t="shared" si="263"/>
        <v>67.5</v>
      </c>
      <c r="N1731" s="48">
        <v>0.16</v>
      </c>
      <c r="O1731" s="49">
        <f t="shared" si="264"/>
        <v>10.8</v>
      </c>
      <c r="P1731" s="50">
        <f t="shared" si="265"/>
        <v>78.3</v>
      </c>
      <c r="Q1731" s="23"/>
      <c r="R1731" s="60"/>
      <c r="S1731" s="61"/>
      <c r="T1731" s="62">
        <f t="shared" si="266"/>
        <v>0</v>
      </c>
      <c r="U1731" s="46">
        <f t="shared" si="267"/>
        <v>0</v>
      </c>
      <c r="V1731" s="63">
        <f t="shared" si="268"/>
        <v>0</v>
      </c>
      <c r="W1731" s="49">
        <f t="shared" si="269"/>
        <v>0</v>
      </c>
      <c r="X1731" s="50">
        <f t="shared" si="270"/>
        <v>0</v>
      </c>
      <c r="Y1731"/>
      <c r="Z1731"/>
      <c r="AA1731"/>
    </row>
    <row r="1732" spans="1:27" s="51" customFormat="1" ht="18.600000000000001" hidden="1" customHeight="1" x14ac:dyDescent="0.25">
      <c r="A1732" s="80" t="s">
        <v>2653</v>
      </c>
      <c r="B1732" s="20" t="s">
        <v>9303</v>
      </c>
      <c r="C1732" s="21" t="s">
        <v>9313</v>
      </c>
      <c r="D1732" s="20" t="s">
        <v>4134</v>
      </c>
      <c r="E1732" s="22" t="s">
        <v>4135</v>
      </c>
      <c r="F1732" s="22" t="s">
        <v>1937</v>
      </c>
      <c r="G1732" s="22" t="s">
        <v>3586</v>
      </c>
      <c r="H1732" s="83" t="s">
        <v>4136</v>
      </c>
      <c r="I1732" s="23" t="s">
        <v>24</v>
      </c>
      <c r="J1732" s="24">
        <v>90</v>
      </c>
      <c r="K1732" s="25">
        <v>0.25</v>
      </c>
      <c r="L1732" s="26">
        <f t="shared" si="262"/>
        <v>22.5</v>
      </c>
      <c r="M1732" s="27">
        <f t="shared" si="263"/>
        <v>67.5</v>
      </c>
      <c r="N1732" s="28">
        <v>0.16</v>
      </c>
      <c r="O1732" s="29">
        <f t="shared" si="264"/>
        <v>10.8</v>
      </c>
      <c r="P1732" s="30">
        <f t="shared" si="265"/>
        <v>78.3</v>
      </c>
      <c r="Q1732" s="23"/>
      <c r="R1732" s="52"/>
      <c r="S1732" s="53"/>
      <c r="T1732" s="54">
        <f t="shared" si="266"/>
        <v>0</v>
      </c>
      <c r="U1732" s="26">
        <f t="shared" si="267"/>
        <v>0</v>
      </c>
      <c r="V1732" s="55">
        <f t="shared" si="268"/>
        <v>0</v>
      </c>
      <c r="W1732" s="29">
        <f t="shared" si="269"/>
        <v>0</v>
      </c>
      <c r="X1732" s="30">
        <f t="shared" si="270"/>
        <v>0</v>
      </c>
      <c r="Y1732"/>
      <c r="Z1732"/>
      <c r="AA1732"/>
    </row>
    <row r="1733" spans="1:27" s="51" customFormat="1" ht="18.600000000000001" hidden="1" customHeight="1" x14ac:dyDescent="0.25">
      <c r="A1733" s="81" t="s">
        <v>2653</v>
      </c>
      <c r="B1733" s="31" t="s">
        <v>9303</v>
      </c>
      <c r="C1733" s="32" t="s">
        <v>9313</v>
      </c>
      <c r="D1733" s="31" t="s">
        <v>4137</v>
      </c>
      <c r="E1733" s="33" t="s">
        <v>4138</v>
      </c>
      <c r="F1733" s="33" t="s">
        <v>1937</v>
      </c>
      <c r="G1733" s="33" t="s">
        <v>3586</v>
      </c>
      <c r="H1733" s="84" t="s">
        <v>4139</v>
      </c>
      <c r="I1733" s="23" t="s">
        <v>24</v>
      </c>
      <c r="J1733" s="34">
        <v>90</v>
      </c>
      <c r="K1733" s="35">
        <v>0.25</v>
      </c>
      <c r="L1733" s="36">
        <f t="shared" si="262"/>
        <v>22.5</v>
      </c>
      <c r="M1733" s="37">
        <f t="shared" si="263"/>
        <v>67.5</v>
      </c>
      <c r="N1733" s="38">
        <v>0.16</v>
      </c>
      <c r="O1733" s="39">
        <f t="shared" si="264"/>
        <v>10.8</v>
      </c>
      <c r="P1733" s="40">
        <f t="shared" si="265"/>
        <v>78.3</v>
      </c>
      <c r="Q1733" s="23"/>
      <c r="R1733" s="56"/>
      <c r="S1733" s="57"/>
      <c r="T1733" s="58">
        <f t="shared" si="266"/>
        <v>0</v>
      </c>
      <c r="U1733" s="36">
        <f t="shared" si="267"/>
        <v>0</v>
      </c>
      <c r="V1733" s="59">
        <f t="shared" si="268"/>
        <v>0</v>
      </c>
      <c r="W1733" s="39">
        <f t="shared" si="269"/>
        <v>0</v>
      </c>
      <c r="X1733" s="40">
        <f t="shared" si="270"/>
        <v>0</v>
      </c>
      <c r="Y1733"/>
      <c r="Z1733"/>
      <c r="AA1733"/>
    </row>
    <row r="1734" spans="1:27" s="51" customFormat="1" ht="18.600000000000001" hidden="1" customHeight="1" x14ac:dyDescent="0.25">
      <c r="A1734" s="82" t="s">
        <v>2653</v>
      </c>
      <c r="B1734" s="41" t="s">
        <v>9303</v>
      </c>
      <c r="C1734" s="42" t="s">
        <v>9313</v>
      </c>
      <c r="D1734" s="41" t="s">
        <v>4140</v>
      </c>
      <c r="E1734" s="43" t="s">
        <v>4141</v>
      </c>
      <c r="F1734" s="43" t="s">
        <v>1937</v>
      </c>
      <c r="G1734" s="43" t="s">
        <v>3586</v>
      </c>
      <c r="H1734" s="85" t="s">
        <v>4142</v>
      </c>
      <c r="I1734" s="23" t="s">
        <v>24</v>
      </c>
      <c r="J1734" s="44">
        <v>90</v>
      </c>
      <c r="K1734" s="45">
        <v>0.25</v>
      </c>
      <c r="L1734" s="46">
        <f t="shared" si="262"/>
        <v>22.5</v>
      </c>
      <c r="M1734" s="47">
        <f t="shared" si="263"/>
        <v>67.5</v>
      </c>
      <c r="N1734" s="48">
        <v>0.16</v>
      </c>
      <c r="O1734" s="49">
        <f t="shared" si="264"/>
        <v>10.8</v>
      </c>
      <c r="P1734" s="50">
        <f t="shared" si="265"/>
        <v>78.3</v>
      </c>
      <c r="Q1734" s="23"/>
      <c r="R1734" s="60"/>
      <c r="S1734" s="61"/>
      <c r="T1734" s="62">
        <f t="shared" si="266"/>
        <v>0</v>
      </c>
      <c r="U1734" s="46">
        <f t="shared" si="267"/>
        <v>0</v>
      </c>
      <c r="V1734" s="63">
        <f t="shared" si="268"/>
        <v>0</v>
      </c>
      <c r="W1734" s="49">
        <f t="shared" si="269"/>
        <v>0</v>
      </c>
      <c r="X1734" s="50">
        <f t="shared" si="270"/>
        <v>0</v>
      </c>
      <c r="Y1734"/>
      <c r="Z1734"/>
      <c r="AA1734"/>
    </row>
    <row r="1735" spans="1:27" s="51" customFormat="1" ht="18.600000000000001" hidden="1" customHeight="1" x14ac:dyDescent="0.25">
      <c r="A1735" s="80" t="s">
        <v>2653</v>
      </c>
      <c r="B1735" s="20" t="s">
        <v>9303</v>
      </c>
      <c r="C1735" s="21" t="s">
        <v>9313</v>
      </c>
      <c r="D1735" s="20" t="s">
        <v>4143</v>
      </c>
      <c r="E1735" s="22" t="s">
        <v>4144</v>
      </c>
      <c r="F1735" s="22" t="s">
        <v>1937</v>
      </c>
      <c r="G1735" s="22" t="s">
        <v>3586</v>
      </c>
      <c r="H1735" s="83" t="s">
        <v>4145</v>
      </c>
      <c r="I1735" s="23" t="s">
        <v>24</v>
      </c>
      <c r="J1735" s="24">
        <v>90</v>
      </c>
      <c r="K1735" s="25">
        <v>0.25</v>
      </c>
      <c r="L1735" s="26">
        <f t="shared" si="262"/>
        <v>22.5</v>
      </c>
      <c r="M1735" s="27">
        <f t="shared" si="263"/>
        <v>67.5</v>
      </c>
      <c r="N1735" s="28">
        <v>0.16</v>
      </c>
      <c r="O1735" s="29">
        <f t="shared" si="264"/>
        <v>10.8</v>
      </c>
      <c r="P1735" s="30">
        <f t="shared" si="265"/>
        <v>78.3</v>
      </c>
      <c r="Q1735" s="23"/>
      <c r="R1735" s="52"/>
      <c r="S1735" s="53"/>
      <c r="T1735" s="54">
        <f t="shared" si="266"/>
        <v>0</v>
      </c>
      <c r="U1735" s="26">
        <f t="shared" si="267"/>
        <v>0</v>
      </c>
      <c r="V1735" s="55">
        <f t="shared" si="268"/>
        <v>0</v>
      </c>
      <c r="W1735" s="29">
        <f t="shared" si="269"/>
        <v>0</v>
      </c>
      <c r="X1735" s="30">
        <f t="shared" si="270"/>
        <v>0</v>
      </c>
      <c r="Y1735"/>
      <c r="Z1735"/>
      <c r="AA1735"/>
    </row>
    <row r="1736" spans="1:27" s="51" customFormat="1" ht="18.600000000000001" hidden="1" customHeight="1" x14ac:dyDescent="0.25">
      <c r="A1736" s="81" t="s">
        <v>2653</v>
      </c>
      <c r="B1736" s="31" t="s">
        <v>9303</v>
      </c>
      <c r="C1736" s="32" t="s">
        <v>9313</v>
      </c>
      <c r="D1736" s="31" t="s">
        <v>4146</v>
      </c>
      <c r="E1736" s="33" t="s">
        <v>4147</v>
      </c>
      <c r="F1736" s="33" t="s">
        <v>1937</v>
      </c>
      <c r="G1736" s="33" t="s">
        <v>3586</v>
      </c>
      <c r="H1736" s="84" t="s">
        <v>4148</v>
      </c>
      <c r="I1736" s="23" t="s">
        <v>24</v>
      </c>
      <c r="J1736" s="34">
        <v>90</v>
      </c>
      <c r="K1736" s="35">
        <v>0.25</v>
      </c>
      <c r="L1736" s="36">
        <f t="shared" si="262"/>
        <v>22.5</v>
      </c>
      <c r="M1736" s="37">
        <f t="shared" si="263"/>
        <v>67.5</v>
      </c>
      <c r="N1736" s="38">
        <v>0.16</v>
      </c>
      <c r="O1736" s="39">
        <f t="shared" si="264"/>
        <v>10.8</v>
      </c>
      <c r="P1736" s="40">
        <f t="shared" si="265"/>
        <v>78.3</v>
      </c>
      <c r="Q1736" s="23"/>
      <c r="R1736" s="56"/>
      <c r="S1736" s="57"/>
      <c r="T1736" s="58">
        <f t="shared" si="266"/>
        <v>0</v>
      </c>
      <c r="U1736" s="36">
        <f t="shared" si="267"/>
        <v>0</v>
      </c>
      <c r="V1736" s="59">
        <f t="shared" si="268"/>
        <v>0</v>
      </c>
      <c r="W1736" s="39">
        <f t="shared" si="269"/>
        <v>0</v>
      </c>
      <c r="X1736" s="40">
        <f t="shared" si="270"/>
        <v>0</v>
      </c>
      <c r="Y1736"/>
      <c r="Z1736"/>
      <c r="AA1736"/>
    </row>
    <row r="1737" spans="1:27" s="51" customFormat="1" ht="18.600000000000001" hidden="1" customHeight="1" x14ac:dyDescent="0.25">
      <c r="A1737" s="82" t="s">
        <v>2653</v>
      </c>
      <c r="B1737" s="41" t="s">
        <v>9303</v>
      </c>
      <c r="C1737" s="42" t="s">
        <v>9313</v>
      </c>
      <c r="D1737" s="41" t="s">
        <v>4149</v>
      </c>
      <c r="E1737" s="43" t="s">
        <v>4150</v>
      </c>
      <c r="F1737" s="43" t="s">
        <v>1937</v>
      </c>
      <c r="G1737" s="43" t="s">
        <v>3586</v>
      </c>
      <c r="H1737" s="85" t="s">
        <v>4151</v>
      </c>
      <c r="I1737" s="23" t="s">
        <v>24</v>
      </c>
      <c r="J1737" s="44">
        <v>90</v>
      </c>
      <c r="K1737" s="45">
        <v>0.25</v>
      </c>
      <c r="L1737" s="46">
        <f t="shared" si="262"/>
        <v>22.5</v>
      </c>
      <c r="M1737" s="47">
        <f t="shared" si="263"/>
        <v>67.5</v>
      </c>
      <c r="N1737" s="48">
        <v>0.16</v>
      </c>
      <c r="O1737" s="49">
        <f t="shared" si="264"/>
        <v>10.8</v>
      </c>
      <c r="P1737" s="50">
        <f t="shared" si="265"/>
        <v>78.3</v>
      </c>
      <c r="Q1737" s="23"/>
      <c r="R1737" s="60"/>
      <c r="S1737" s="61"/>
      <c r="T1737" s="62">
        <f t="shared" si="266"/>
        <v>0</v>
      </c>
      <c r="U1737" s="46">
        <f t="shared" si="267"/>
        <v>0</v>
      </c>
      <c r="V1737" s="63">
        <f t="shared" si="268"/>
        <v>0</v>
      </c>
      <c r="W1737" s="49">
        <f t="shared" si="269"/>
        <v>0</v>
      </c>
      <c r="X1737" s="50">
        <f t="shared" si="270"/>
        <v>0</v>
      </c>
      <c r="Y1737"/>
      <c r="Z1737"/>
      <c r="AA1737"/>
    </row>
    <row r="1738" spans="1:27" s="51" customFormat="1" ht="18.600000000000001" hidden="1" customHeight="1" x14ac:dyDescent="0.25">
      <c r="A1738" s="80" t="s">
        <v>2653</v>
      </c>
      <c r="B1738" s="20" t="s">
        <v>9303</v>
      </c>
      <c r="C1738" s="21" t="s">
        <v>9313</v>
      </c>
      <c r="D1738" s="20" t="s">
        <v>4152</v>
      </c>
      <c r="E1738" s="22" t="s">
        <v>4153</v>
      </c>
      <c r="F1738" s="22" t="s">
        <v>1937</v>
      </c>
      <c r="G1738" s="22" t="s">
        <v>3586</v>
      </c>
      <c r="H1738" s="83" t="s">
        <v>4154</v>
      </c>
      <c r="I1738" s="23" t="s">
        <v>24</v>
      </c>
      <c r="J1738" s="24">
        <v>90</v>
      </c>
      <c r="K1738" s="25">
        <v>0.25</v>
      </c>
      <c r="L1738" s="26">
        <f t="shared" si="262"/>
        <v>22.5</v>
      </c>
      <c r="M1738" s="27">
        <f t="shared" si="263"/>
        <v>67.5</v>
      </c>
      <c r="N1738" s="28">
        <v>0.16</v>
      </c>
      <c r="O1738" s="29">
        <f t="shared" si="264"/>
        <v>10.8</v>
      </c>
      <c r="P1738" s="30">
        <f t="shared" si="265"/>
        <v>78.3</v>
      </c>
      <c r="Q1738" s="23"/>
      <c r="R1738" s="52"/>
      <c r="S1738" s="53"/>
      <c r="T1738" s="54">
        <f t="shared" si="266"/>
        <v>0</v>
      </c>
      <c r="U1738" s="26">
        <f t="shared" si="267"/>
        <v>0</v>
      </c>
      <c r="V1738" s="55">
        <f t="shared" si="268"/>
        <v>0</v>
      </c>
      <c r="W1738" s="29">
        <f t="shared" si="269"/>
        <v>0</v>
      </c>
      <c r="X1738" s="30">
        <f t="shared" si="270"/>
        <v>0</v>
      </c>
      <c r="Y1738"/>
      <c r="Z1738"/>
      <c r="AA1738"/>
    </row>
    <row r="1739" spans="1:27" s="51" customFormat="1" ht="18.600000000000001" hidden="1" customHeight="1" x14ac:dyDescent="0.25">
      <c r="A1739" s="81" t="s">
        <v>2653</v>
      </c>
      <c r="B1739" s="31" t="s">
        <v>9303</v>
      </c>
      <c r="C1739" s="32" t="s">
        <v>9313</v>
      </c>
      <c r="D1739" s="31" t="s">
        <v>4155</v>
      </c>
      <c r="E1739" s="33" t="s">
        <v>4156</v>
      </c>
      <c r="F1739" s="33" t="s">
        <v>1937</v>
      </c>
      <c r="G1739" s="33" t="s">
        <v>3586</v>
      </c>
      <c r="H1739" s="84" t="s">
        <v>4157</v>
      </c>
      <c r="I1739" s="23" t="s">
        <v>24</v>
      </c>
      <c r="J1739" s="34">
        <v>90</v>
      </c>
      <c r="K1739" s="35">
        <v>0.25</v>
      </c>
      <c r="L1739" s="36">
        <f t="shared" si="262"/>
        <v>22.5</v>
      </c>
      <c r="M1739" s="37">
        <f t="shared" si="263"/>
        <v>67.5</v>
      </c>
      <c r="N1739" s="38">
        <v>0.16</v>
      </c>
      <c r="O1739" s="39">
        <f t="shared" si="264"/>
        <v>10.8</v>
      </c>
      <c r="P1739" s="40">
        <f t="shared" si="265"/>
        <v>78.3</v>
      </c>
      <c r="Q1739" s="23"/>
      <c r="R1739" s="56"/>
      <c r="S1739" s="57"/>
      <c r="T1739" s="58">
        <f t="shared" si="266"/>
        <v>0</v>
      </c>
      <c r="U1739" s="36">
        <f t="shared" si="267"/>
        <v>0</v>
      </c>
      <c r="V1739" s="59">
        <f t="shared" si="268"/>
        <v>0</v>
      </c>
      <c r="W1739" s="39">
        <f t="shared" si="269"/>
        <v>0</v>
      </c>
      <c r="X1739" s="40">
        <f t="shared" si="270"/>
        <v>0</v>
      </c>
      <c r="Y1739"/>
      <c r="Z1739"/>
      <c r="AA1739"/>
    </row>
    <row r="1740" spans="1:27" s="51" customFormat="1" ht="18.600000000000001" hidden="1" customHeight="1" x14ac:dyDescent="0.25">
      <c r="A1740" s="82" t="s">
        <v>2653</v>
      </c>
      <c r="B1740" s="41" t="s">
        <v>9303</v>
      </c>
      <c r="C1740" s="42" t="s">
        <v>9313</v>
      </c>
      <c r="D1740" s="41" t="s">
        <v>4158</v>
      </c>
      <c r="E1740" s="43" t="s">
        <v>4159</v>
      </c>
      <c r="F1740" s="43" t="s">
        <v>1937</v>
      </c>
      <c r="G1740" s="43" t="s">
        <v>3586</v>
      </c>
      <c r="H1740" s="85" t="s">
        <v>4160</v>
      </c>
      <c r="I1740" s="23" t="s">
        <v>24</v>
      </c>
      <c r="J1740" s="44">
        <v>90</v>
      </c>
      <c r="K1740" s="45">
        <v>0.25</v>
      </c>
      <c r="L1740" s="46">
        <f t="shared" si="262"/>
        <v>22.5</v>
      </c>
      <c r="M1740" s="47">
        <f t="shared" si="263"/>
        <v>67.5</v>
      </c>
      <c r="N1740" s="48">
        <v>0.16</v>
      </c>
      <c r="O1740" s="49">
        <f t="shared" si="264"/>
        <v>10.8</v>
      </c>
      <c r="P1740" s="50">
        <f t="shared" si="265"/>
        <v>78.3</v>
      </c>
      <c r="Q1740" s="23"/>
      <c r="R1740" s="60"/>
      <c r="S1740" s="61"/>
      <c r="T1740" s="62">
        <f t="shared" si="266"/>
        <v>0</v>
      </c>
      <c r="U1740" s="46">
        <f t="shared" si="267"/>
        <v>0</v>
      </c>
      <c r="V1740" s="63">
        <f t="shared" si="268"/>
        <v>0</v>
      </c>
      <c r="W1740" s="49">
        <f t="shared" si="269"/>
        <v>0</v>
      </c>
      <c r="X1740" s="50">
        <f t="shared" si="270"/>
        <v>0</v>
      </c>
      <c r="Y1740"/>
      <c r="Z1740"/>
      <c r="AA1740"/>
    </row>
    <row r="1741" spans="1:27" s="51" customFormat="1" ht="18.600000000000001" hidden="1" customHeight="1" x14ac:dyDescent="0.25">
      <c r="A1741" s="80" t="s">
        <v>2653</v>
      </c>
      <c r="B1741" s="20" t="s">
        <v>9303</v>
      </c>
      <c r="C1741" s="21" t="s">
        <v>9313</v>
      </c>
      <c r="D1741" s="20" t="s">
        <v>4161</v>
      </c>
      <c r="E1741" s="22" t="s">
        <v>4162</v>
      </c>
      <c r="F1741" s="22" t="s">
        <v>1937</v>
      </c>
      <c r="G1741" s="22" t="s">
        <v>3586</v>
      </c>
      <c r="H1741" s="83" t="s">
        <v>4163</v>
      </c>
      <c r="I1741" s="23" t="s">
        <v>24</v>
      </c>
      <c r="J1741" s="24">
        <v>90</v>
      </c>
      <c r="K1741" s="25">
        <v>0.25</v>
      </c>
      <c r="L1741" s="26">
        <f t="shared" si="262"/>
        <v>22.5</v>
      </c>
      <c r="M1741" s="27">
        <f t="shared" si="263"/>
        <v>67.5</v>
      </c>
      <c r="N1741" s="28">
        <v>0.16</v>
      </c>
      <c r="O1741" s="29">
        <f t="shared" si="264"/>
        <v>10.8</v>
      </c>
      <c r="P1741" s="30">
        <f t="shared" si="265"/>
        <v>78.3</v>
      </c>
      <c r="Q1741" s="23"/>
      <c r="R1741" s="52"/>
      <c r="S1741" s="53"/>
      <c r="T1741" s="54">
        <f t="shared" si="266"/>
        <v>0</v>
      </c>
      <c r="U1741" s="26">
        <f t="shared" si="267"/>
        <v>0</v>
      </c>
      <c r="V1741" s="55">
        <f t="shared" si="268"/>
        <v>0</v>
      </c>
      <c r="W1741" s="29">
        <f t="shared" si="269"/>
        <v>0</v>
      </c>
      <c r="X1741" s="30">
        <f t="shared" si="270"/>
        <v>0</v>
      </c>
      <c r="Y1741"/>
      <c r="Z1741"/>
      <c r="AA1741"/>
    </row>
    <row r="1742" spans="1:27" s="51" customFormat="1" ht="18.600000000000001" hidden="1" customHeight="1" x14ac:dyDescent="0.25">
      <c r="A1742" s="81" t="s">
        <v>2653</v>
      </c>
      <c r="B1742" s="31" t="s">
        <v>9303</v>
      </c>
      <c r="C1742" s="32" t="s">
        <v>9313</v>
      </c>
      <c r="D1742" s="31" t="s">
        <v>4164</v>
      </c>
      <c r="E1742" s="33" t="s">
        <v>4165</v>
      </c>
      <c r="F1742" s="33" t="s">
        <v>1937</v>
      </c>
      <c r="G1742" s="33" t="s">
        <v>3586</v>
      </c>
      <c r="H1742" s="84" t="s">
        <v>4166</v>
      </c>
      <c r="I1742" s="23" t="s">
        <v>24</v>
      </c>
      <c r="J1742" s="34">
        <v>90</v>
      </c>
      <c r="K1742" s="35">
        <v>0.25</v>
      </c>
      <c r="L1742" s="36">
        <f t="shared" si="262"/>
        <v>22.5</v>
      </c>
      <c r="M1742" s="37">
        <f t="shared" si="263"/>
        <v>67.5</v>
      </c>
      <c r="N1742" s="38">
        <v>0.16</v>
      </c>
      <c r="O1742" s="39">
        <f t="shared" si="264"/>
        <v>10.8</v>
      </c>
      <c r="P1742" s="40">
        <f t="shared" si="265"/>
        <v>78.3</v>
      </c>
      <c r="Q1742" s="23"/>
      <c r="R1742" s="56"/>
      <c r="S1742" s="57"/>
      <c r="T1742" s="58">
        <f t="shared" si="266"/>
        <v>0</v>
      </c>
      <c r="U1742" s="36">
        <f t="shared" si="267"/>
        <v>0</v>
      </c>
      <c r="V1742" s="59">
        <f t="shared" si="268"/>
        <v>0</v>
      </c>
      <c r="W1742" s="39">
        <f t="shared" si="269"/>
        <v>0</v>
      </c>
      <c r="X1742" s="40">
        <f t="shared" si="270"/>
        <v>0</v>
      </c>
      <c r="Y1742"/>
      <c r="Z1742"/>
      <c r="AA1742"/>
    </row>
    <row r="1743" spans="1:27" s="51" customFormat="1" ht="18.600000000000001" hidden="1" customHeight="1" x14ac:dyDescent="0.25">
      <c r="A1743" s="82" t="s">
        <v>2653</v>
      </c>
      <c r="B1743" s="41" t="s">
        <v>9303</v>
      </c>
      <c r="C1743" s="42" t="s">
        <v>9313</v>
      </c>
      <c r="D1743" s="41" t="s">
        <v>4167</v>
      </c>
      <c r="E1743" s="43" t="s">
        <v>4168</v>
      </c>
      <c r="F1743" s="43" t="s">
        <v>1937</v>
      </c>
      <c r="G1743" s="43" t="s">
        <v>3586</v>
      </c>
      <c r="H1743" s="85" t="s">
        <v>4169</v>
      </c>
      <c r="I1743" s="23" t="s">
        <v>24</v>
      </c>
      <c r="J1743" s="44">
        <v>90</v>
      </c>
      <c r="K1743" s="45">
        <v>0.25</v>
      </c>
      <c r="L1743" s="46">
        <f t="shared" si="262"/>
        <v>22.5</v>
      </c>
      <c r="M1743" s="47">
        <f t="shared" si="263"/>
        <v>67.5</v>
      </c>
      <c r="N1743" s="48">
        <v>0.16</v>
      </c>
      <c r="O1743" s="49">
        <f t="shared" si="264"/>
        <v>10.8</v>
      </c>
      <c r="P1743" s="50">
        <f t="shared" si="265"/>
        <v>78.3</v>
      </c>
      <c r="Q1743" s="23"/>
      <c r="R1743" s="60"/>
      <c r="S1743" s="61"/>
      <c r="T1743" s="62">
        <f t="shared" si="266"/>
        <v>0</v>
      </c>
      <c r="U1743" s="46">
        <f t="shared" si="267"/>
        <v>0</v>
      </c>
      <c r="V1743" s="63">
        <f t="shared" si="268"/>
        <v>0</v>
      </c>
      <c r="W1743" s="49">
        <f t="shared" si="269"/>
        <v>0</v>
      </c>
      <c r="X1743" s="50">
        <f t="shared" si="270"/>
        <v>0</v>
      </c>
      <c r="Y1743"/>
      <c r="Z1743"/>
      <c r="AA1743"/>
    </row>
    <row r="1744" spans="1:27" s="51" customFormat="1" ht="18.600000000000001" hidden="1" customHeight="1" x14ac:dyDescent="0.25">
      <c r="A1744" s="80" t="s">
        <v>2653</v>
      </c>
      <c r="B1744" s="20" t="s">
        <v>9303</v>
      </c>
      <c r="C1744" s="21" t="s">
        <v>9313</v>
      </c>
      <c r="D1744" s="20" t="s">
        <v>4170</v>
      </c>
      <c r="E1744" s="22" t="s">
        <v>4171</v>
      </c>
      <c r="F1744" s="22" t="s">
        <v>1937</v>
      </c>
      <c r="G1744" s="22" t="s">
        <v>3586</v>
      </c>
      <c r="H1744" s="83" t="s">
        <v>4172</v>
      </c>
      <c r="I1744" s="23" t="s">
        <v>24</v>
      </c>
      <c r="J1744" s="24">
        <v>90</v>
      </c>
      <c r="K1744" s="25">
        <v>0.25</v>
      </c>
      <c r="L1744" s="26">
        <f t="shared" si="262"/>
        <v>22.5</v>
      </c>
      <c r="M1744" s="27">
        <f t="shared" si="263"/>
        <v>67.5</v>
      </c>
      <c r="N1744" s="28">
        <v>0.16</v>
      </c>
      <c r="O1744" s="29">
        <f t="shared" si="264"/>
        <v>10.8</v>
      </c>
      <c r="P1744" s="30">
        <f t="shared" si="265"/>
        <v>78.3</v>
      </c>
      <c r="Q1744" s="23"/>
      <c r="R1744" s="52"/>
      <c r="S1744" s="53"/>
      <c r="T1744" s="54">
        <f t="shared" si="266"/>
        <v>0</v>
      </c>
      <c r="U1744" s="26">
        <f t="shared" si="267"/>
        <v>0</v>
      </c>
      <c r="V1744" s="55">
        <f t="shared" si="268"/>
        <v>0</v>
      </c>
      <c r="W1744" s="29">
        <f t="shared" si="269"/>
        <v>0</v>
      </c>
      <c r="X1744" s="30">
        <f t="shared" si="270"/>
        <v>0</v>
      </c>
      <c r="Y1744"/>
      <c r="Z1744"/>
      <c r="AA1744"/>
    </row>
    <row r="1745" spans="1:27" s="51" customFormat="1" ht="18.600000000000001" hidden="1" customHeight="1" x14ac:dyDescent="0.25">
      <c r="A1745" s="81" t="s">
        <v>2653</v>
      </c>
      <c r="B1745" s="31" t="s">
        <v>9303</v>
      </c>
      <c r="C1745" s="32" t="s">
        <v>9313</v>
      </c>
      <c r="D1745" s="31" t="s">
        <v>4173</v>
      </c>
      <c r="E1745" s="33" t="s">
        <v>4174</v>
      </c>
      <c r="F1745" s="33" t="s">
        <v>1937</v>
      </c>
      <c r="G1745" s="33" t="s">
        <v>3586</v>
      </c>
      <c r="H1745" s="84" t="s">
        <v>4175</v>
      </c>
      <c r="I1745" s="23" t="s">
        <v>24</v>
      </c>
      <c r="J1745" s="34">
        <v>90</v>
      </c>
      <c r="K1745" s="35">
        <v>0.25</v>
      </c>
      <c r="L1745" s="36">
        <f t="shared" si="262"/>
        <v>22.5</v>
      </c>
      <c r="M1745" s="37">
        <f t="shared" si="263"/>
        <v>67.5</v>
      </c>
      <c r="N1745" s="38">
        <v>0.16</v>
      </c>
      <c r="O1745" s="39">
        <f t="shared" si="264"/>
        <v>10.8</v>
      </c>
      <c r="P1745" s="40">
        <f t="shared" si="265"/>
        <v>78.3</v>
      </c>
      <c r="Q1745" s="23"/>
      <c r="R1745" s="56"/>
      <c r="S1745" s="57"/>
      <c r="T1745" s="58">
        <f t="shared" si="266"/>
        <v>0</v>
      </c>
      <c r="U1745" s="36">
        <f t="shared" si="267"/>
        <v>0</v>
      </c>
      <c r="V1745" s="59">
        <f t="shared" si="268"/>
        <v>0</v>
      </c>
      <c r="W1745" s="39">
        <f t="shared" si="269"/>
        <v>0</v>
      </c>
      <c r="X1745" s="40">
        <f t="shared" si="270"/>
        <v>0</v>
      </c>
      <c r="Y1745"/>
      <c r="Z1745"/>
      <c r="AA1745"/>
    </row>
    <row r="1746" spans="1:27" s="51" customFormat="1" ht="18.600000000000001" hidden="1" customHeight="1" x14ac:dyDescent="0.25">
      <c r="A1746" s="82" t="s">
        <v>2653</v>
      </c>
      <c r="B1746" s="41" t="s">
        <v>9303</v>
      </c>
      <c r="C1746" s="42" t="s">
        <v>9313</v>
      </c>
      <c r="D1746" s="41" t="s">
        <v>4176</v>
      </c>
      <c r="E1746" s="43" t="s">
        <v>4177</v>
      </c>
      <c r="F1746" s="43" t="s">
        <v>1937</v>
      </c>
      <c r="G1746" s="43" t="s">
        <v>3586</v>
      </c>
      <c r="H1746" s="85" t="s">
        <v>4178</v>
      </c>
      <c r="I1746" s="23" t="s">
        <v>24</v>
      </c>
      <c r="J1746" s="44">
        <v>90</v>
      </c>
      <c r="K1746" s="45">
        <v>0.25</v>
      </c>
      <c r="L1746" s="46">
        <f t="shared" si="262"/>
        <v>22.5</v>
      </c>
      <c r="M1746" s="47">
        <f t="shared" si="263"/>
        <v>67.5</v>
      </c>
      <c r="N1746" s="48">
        <v>0.16</v>
      </c>
      <c r="O1746" s="49">
        <f t="shared" si="264"/>
        <v>10.8</v>
      </c>
      <c r="P1746" s="50">
        <f t="shared" si="265"/>
        <v>78.3</v>
      </c>
      <c r="Q1746" s="23"/>
      <c r="R1746" s="60"/>
      <c r="S1746" s="61"/>
      <c r="T1746" s="62">
        <f t="shared" si="266"/>
        <v>0</v>
      </c>
      <c r="U1746" s="46">
        <f t="shared" si="267"/>
        <v>0</v>
      </c>
      <c r="V1746" s="63">
        <f t="shared" si="268"/>
        <v>0</v>
      </c>
      <c r="W1746" s="49">
        <f t="shared" si="269"/>
        <v>0</v>
      </c>
      <c r="X1746" s="50">
        <f t="shared" si="270"/>
        <v>0</v>
      </c>
      <c r="Y1746"/>
      <c r="Z1746"/>
      <c r="AA1746"/>
    </row>
    <row r="1747" spans="1:27" s="51" customFormat="1" ht="18.600000000000001" hidden="1" customHeight="1" x14ac:dyDescent="0.25">
      <c r="A1747" s="80" t="s">
        <v>2653</v>
      </c>
      <c r="B1747" s="20" t="s">
        <v>9303</v>
      </c>
      <c r="C1747" s="21" t="s">
        <v>9313</v>
      </c>
      <c r="D1747" s="20" t="s">
        <v>4179</v>
      </c>
      <c r="E1747" s="22" t="s">
        <v>4180</v>
      </c>
      <c r="F1747" s="22" t="s">
        <v>1937</v>
      </c>
      <c r="G1747" s="22" t="s">
        <v>3586</v>
      </c>
      <c r="H1747" s="83" t="s">
        <v>4181</v>
      </c>
      <c r="I1747" s="23" t="s">
        <v>24</v>
      </c>
      <c r="J1747" s="24">
        <v>90</v>
      </c>
      <c r="K1747" s="25">
        <v>0.25</v>
      </c>
      <c r="L1747" s="26">
        <f t="shared" si="262"/>
        <v>22.5</v>
      </c>
      <c r="M1747" s="27">
        <f t="shared" si="263"/>
        <v>67.5</v>
      </c>
      <c r="N1747" s="28">
        <v>0.16</v>
      </c>
      <c r="O1747" s="29">
        <f t="shared" si="264"/>
        <v>10.8</v>
      </c>
      <c r="P1747" s="30">
        <f t="shared" si="265"/>
        <v>78.3</v>
      </c>
      <c r="Q1747" s="23"/>
      <c r="R1747" s="52"/>
      <c r="S1747" s="53"/>
      <c r="T1747" s="54">
        <f t="shared" si="266"/>
        <v>0</v>
      </c>
      <c r="U1747" s="26">
        <f t="shared" si="267"/>
        <v>0</v>
      </c>
      <c r="V1747" s="55">
        <f t="shared" si="268"/>
        <v>0</v>
      </c>
      <c r="W1747" s="29">
        <f t="shared" si="269"/>
        <v>0</v>
      </c>
      <c r="X1747" s="30">
        <f t="shared" si="270"/>
        <v>0</v>
      </c>
      <c r="Y1747"/>
      <c r="Z1747"/>
      <c r="AA1747"/>
    </row>
    <row r="1748" spans="1:27" s="51" customFormat="1" ht="18.600000000000001" hidden="1" customHeight="1" x14ac:dyDescent="0.25">
      <c r="A1748" s="81" t="s">
        <v>2653</v>
      </c>
      <c r="B1748" s="31" t="s">
        <v>9303</v>
      </c>
      <c r="C1748" s="32" t="s">
        <v>9313</v>
      </c>
      <c r="D1748" s="31" t="s">
        <v>4182</v>
      </c>
      <c r="E1748" s="33" t="s">
        <v>4183</v>
      </c>
      <c r="F1748" s="33" t="s">
        <v>1937</v>
      </c>
      <c r="G1748" s="33" t="s">
        <v>3586</v>
      </c>
      <c r="H1748" s="84" t="s">
        <v>4184</v>
      </c>
      <c r="I1748" s="23" t="s">
        <v>24</v>
      </c>
      <c r="J1748" s="34">
        <v>90</v>
      </c>
      <c r="K1748" s="35">
        <v>0.25</v>
      </c>
      <c r="L1748" s="36">
        <f t="shared" si="262"/>
        <v>22.5</v>
      </c>
      <c r="M1748" s="37">
        <f t="shared" si="263"/>
        <v>67.5</v>
      </c>
      <c r="N1748" s="38">
        <v>0.16</v>
      </c>
      <c r="O1748" s="39">
        <f t="shared" si="264"/>
        <v>10.8</v>
      </c>
      <c r="P1748" s="40">
        <f t="shared" si="265"/>
        <v>78.3</v>
      </c>
      <c r="Q1748" s="23"/>
      <c r="R1748" s="56"/>
      <c r="S1748" s="57"/>
      <c r="T1748" s="58">
        <f t="shared" si="266"/>
        <v>0</v>
      </c>
      <c r="U1748" s="36">
        <f t="shared" si="267"/>
        <v>0</v>
      </c>
      <c r="V1748" s="59">
        <f t="shared" si="268"/>
        <v>0</v>
      </c>
      <c r="W1748" s="39">
        <f t="shared" si="269"/>
        <v>0</v>
      </c>
      <c r="X1748" s="40">
        <f t="shared" si="270"/>
        <v>0</v>
      </c>
      <c r="Y1748"/>
      <c r="Z1748"/>
      <c r="AA1748"/>
    </row>
    <row r="1749" spans="1:27" s="51" customFormat="1" ht="18.600000000000001" hidden="1" customHeight="1" x14ac:dyDescent="0.25">
      <c r="A1749" s="82" t="s">
        <v>2653</v>
      </c>
      <c r="B1749" s="41" t="s">
        <v>9303</v>
      </c>
      <c r="C1749" s="42" t="s">
        <v>9313</v>
      </c>
      <c r="D1749" s="41" t="s">
        <v>4185</v>
      </c>
      <c r="E1749" s="43" t="s">
        <v>4186</v>
      </c>
      <c r="F1749" s="43" t="s">
        <v>1937</v>
      </c>
      <c r="G1749" s="43" t="s">
        <v>3586</v>
      </c>
      <c r="H1749" s="85" t="s">
        <v>4187</v>
      </c>
      <c r="I1749" s="23" t="s">
        <v>24</v>
      </c>
      <c r="J1749" s="44">
        <v>90</v>
      </c>
      <c r="K1749" s="45">
        <v>0.25</v>
      </c>
      <c r="L1749" s="46">
        <f t="shared" si="262"/>
        <v>22.5</v>
      </c>
      <c r="M1749" s="47">
        <f t="shared" si="263"/>
        <v>67.5</v>
      </c>
      <c r="N1749" s="48">
        <v>0.16</v>
      </c>
      <c r="O1749" s="49">
        <f t="shared" si="264"/>
        <v>10.8</v>
      </c>
      <c r="P1749" s="50">
        <f t="shared" si="265"/>
        <v>78.3</v>
      </c>
      <c r="Q1749" s="23"/>
      <c r="R1749" s="60"/>
      <c r="S1749" s="61"/>
      <c r="T1749" s="62">
        <f t="shared" si="266"/>
        <v>0</v>
      </c>
      <c r="U1749" s="46">
        <f t="shared" si="267"/>
        <v>0</v>
      </c>
      <c r="V1749" s="63">
        <f t="shared" si="268"/>
        <v>0</v>
      </c>
      <c r="W1749" s="49">
        <f t="shared" si="269"/>
        <v>0</v>
      </c>
      <c r="X1749" s="50">
        <f t="shared" si="270"/>
        <v>0</v>
      </c>
      <c r="Y1749"/>
      <c r="Z1749"/>
      <c r="AA1749"/>
    </row>
    <row r="1750" spans="1:27" s="51" customFormat="1" ht="18.600000000000001" hidden="1" customHeight="1" x14ac:dyDescent="0.25">
      <c r="A1750" s="80" t="s">
        <v>2653</v>
      </c>
      <c r="B1750" s="20" t="s">
        <v>9303</v>
      </c>
      <c r="C1750" s="21" t="s">
        <v>9313</v>
      </c>
      <c r="D1750" s="20" t="s">
        <v>4188</v>
      </c>
      <c r="E1750" s="22" t="s">
        <v>4189</v>
      </c>
      <c r="F1750" s="22" t="s">
        <v>1937</v>
      </c>
      <c r="G1750" s="22" t="s">
        <v>3586</v>
      </c>
      <c r="H1750" s="83" t="s">
        <v>4190</v>
      </c>
      <c r="I1750" s="23" t="s">
        <v>24</v>
      </c>
      <c r="J1750" s="24">
        <v>90</v>
      </c>
      <c r="K1750" s="25">
        <v>0.25</v>
      </c>
      <c r="L1750" s="26">
        <f t="shared" si="262"/>
        <v>22.5</v>
      </c>
      <c r="M1750" s="27">
        <f t="shared" si="263"/>
        <v>67.5</v>
      </c>
      <c r="N1750" s="28">
        <v>0.16</v>
      </c>
      <c r="O1750" s="29">
        <f t="shared" si="264"/>
        <v>10.8</v>
      </c>
      <c r="P1750" s="30">
        <f t="shared" si="265"/>
        <v>78.3</v>
      </c>
      <c r="Q1750" s="23"/>
      <c r="R1750" s="52"/>
      <c r="S1750" s="53"/>
      <c r="T1750" s="54">
        <f t="shared" si="266"/>
        <v>0</v>
      </c>
      <c r="U1750" s="26">
        <f t="shared" si="267"/>
        <v>0</v>
      </c>
      <c r="V1750" s="55">
        <f t="shared" si="268"/>
        <v>0</v>
      </c>
      <c r="W1750" s="29">
        <f t="shared" si="269"/>
        <v>0</v>
      </c>
      <c r="X1750" s="30">
        <f t="shared" si="270"/>
        <v>0</v>
      </c>
      <c r="Y1750"/>
      <c r="Z1750"/>
      <c r="AA1750"/>
    </row>
    <row r="1751" spans="1:27" s="51" customFormat="1" ht="18.600000000000001" hidden="1" customHeight="1" x14ac:dyDescent="0.25">
      <c r="A1751" s="81" t="s">
        <v>2653</v>
      </c>
      <c r="B1751" s="31" t="s">
        <v>9303</v>
      </c>
      <c r="C1751" s="32" t="s">
        <v>9313</v>
      </c>
      <c r="D1751" s="31" t="s">
        <v>4191</v>
      </c>
      <c r="E1751" s="33" t="s">
        <v>4192</v>
      </c>
      <c r="F1751" s="33" t="s">
        <v>1937</v>
      </c>
      <c r="G1751" s="33" t="s">
        <v>3586</v>
      </c>
      <c r="H1751" s="84" t="s">
        <v>4193</v>
      </c>
      <c r="I1751" s="23" t="s">
        <v>24</v>
      </c>
      <c r="J1751" s="34">
        <v>90</v>
      </c>
      <c r="K1751" s="35">
        <v>0.25</v>
      </c>
      <c r="L1751" s="36">
        <f t="shared" ref="L1751:L1814" si="271">+J1751*K1751</f>
        <v>22.5</v>
      </c>
      <c r="M1751" s="37">
        <f t="shared" ref="M1751:M1814" si="272">+J1751-L1751</f>
        <v>67.5</v>
      </c>
      <c r="N1751" s="38">
        <v>0.16</v>
      </c>
      <c r="O1751" s="39">
        <f t="shared" ref="O1751:O1814" si="273">+M1751*N1751</f>
        <v>10.8</v>
      </c>
      <c r="P1751" s="40">
        <f t="shared" ref="P1751:P1814" si="274">+M1751+O1751</f>
        <v>78.3</v>
      </c>
      <c r="Q1751" s="23"/>
      <c r="R1751" s="56"/>
      <c r="S1751" s="57"/>
      <c r="T1751" s="58">
        <f t="shared" ref="T1751:T1814" si="275">+S1751*J1751</f>
        <v>0</v>
      </c>
      <c r="U1751" s="36">
        <f t="shared" ref="U1751:U1814" si="276">+T1751*K1751</f>
        <v>0</v>
      </c>
      <c r="V1751" s="59">
        <f t="shared" ref="V1751:V1814" si="277">+T1751-U1751</f>
        <v>0</v>
      </c>
      <c r="W1751" s="39">
        <f t="shared" ref="W1751:W1814" si="278">+V1751*N1751</f>
        <v>0</v>
      </c>
      <c r="X1751" s="40">
        <f t="shared" ref="X1751:X1814" si="279">+V1751+W1751</f>
        <v>0</v>
      </c>
      <c r="Y1751"/>
      <c r="Z1751"/>
      <c r="AA1751"/>
    </row>
    <row r="1752" spans="1:27" s="51" customFormat="1" ht="18.600000000000001" hidden="1" customHeight="1" x14ac:dyDescent="0.25">
      <c r="A1752" s="82" t="s">
        <v>2653</v>
      </c>
      <c r="B1752" s="41" t="s">
        <v>9303</v>
      </c>
      <c r="C1752" s="42" t="s">
        <v>9313</v>
      </c>
      <c r="D1752" s="41" t="s">
        <v>4194</v>
      </c>
      <c r="E1752" s="43" t="s">
        <v>4195</v>
      </c>
      <c r="F1752" s="43" t="s">
        <v>1937</v>
      </c>
      <c r="G1752" s="43" t="s">
        <v>3586</v>
      </c>
      <c r="H1752" s="85" t="s">
        <v>4196</v>
      </c>
      <c r="I1752" s="23" t="s">
        <v>24</v>
      </c>
      <c r="J1752" s="44">
        <v>90</v>
      </c>
      <c r="K1752" s="45">
        <v>0.25</v>
      </c>
      <c r="L1752" s="46">
        <f t="shared" si="271"/>
        <v>22.5</v>
      </c>
      <c r="M1752" s="47">
        <f t="shared" si="272"/>
        <v>67.5</v>
      </c>
      <c r="N1752" s="48">
        <v>0.16</v>
      </c>
      <c r="O1752" s="49">
        <f t="shared" si="273"/>
        <v>10.8</v>
      </c>
      <c r="P1752" s="50">
        <f t="shared" si="274"/>
        <v>78.3</v>
      </c>
      <c r="Q1752" s="23"/>
      <c r="R1752" s="60"/>
      <c r="S1752" s="61"/>
      <c r="T1752" s="62">
        <f t="shared" si="275"/>
        <v>0</v>
      </c>
      <c r="U1752" s="46">
        <f t="shared" si="276"/>
        <v>0</v>
      </c>
      <c r="V1752" s="63">
        <f t="shared" si="277"/>
        <v>0</v>
      </c>
      <c r="W1752" s="49">
        <f t="shared" si="278"/>
        <v>0</v>
      </c>
      <c r="X1752" s="50">
        <f t="shared" si="279"/>
        <v>0</v>
      </c>
      <c r="Y1752"/>
      <c r="Z1752"/>
      <c r="AA1752"/>
    </row>
    <row r="1753" spans="1:27" s="51" customFormat="1" ht="18.600000000000001" hidden="1" customHeight="1" x14ac:dyDescent="0.25">
      <c r="A1753" s="80" t="s">
        <v>2653</v>
      </c>
      <c r="B1753" s="20" t="s">
        <v>9303</v>
      </c>
      <c r="C1753" s="21" t="s">
        <v>9313</v>
      </c>
      <c r="D1753" s="20" t="s">
        <v>4197</v>
      </c>
      <c r="E1753" s="22" t="s">
        <v>4198</v>
      </c>
      <c r="F1753" s="22" t="s">
        <v>1937</v>
      </c>
      <c r="G1753" s="22" t="s">
        <v>3586</v>
      </c>
      <c r="H1753" s="83" t="s">
        <v>4199</v>
      </c>
      <c r="I1753" s="23" t="s">
        <v>24</v>
      </c>
      <c r="J1753" s="24">
        <v>90</v>
      </c>
      <c r="K1753" s="25">
        <v>0.25</v>
      </c>
      <c r="L1753" s="26">
        <f t="shared" si="271"/>
        <v>22.5</v>
      </c>
      <c r="M1753" s="27">
        <f t="shared" si="272"/>
        <v>67.5</v>
      </c>
      <c r="N1753" s="28">
        <v>0.16</v>
      </c>
      <c r="O1753" s="29">
        <f t="shared" si="273"/>
        <v>10.8</v>
      </c>
      <c r="P1753" s="30">
        <f t="shared" si="274"/>
        <v>78.3</v>
      </c>
      <c r="Q1753" s="23"/>
      <c r="R1753" s="52"/>
      <c r="S1753" s="53"/>
      <c r="T1753" s="54">
        <f t="shared" si="275"/>
        <v>0</v>
      </c>
      <c r="U1753" s="26">
        <f t="shared" si="276"/>
        <v>0</v>
      </c>
      <c r="V1753" s="55">
        <f t="shared" si="277"/>
        <v>0</v>
      </c>
      <c r="W1753" s="29">
        <f t="shared" si="278"/>
        <v>0</v>
      </c>
      <c r="X1753" s="30">
        <f t="shared" si="279"/>
        <v>0</v>
      </c>
      <c r="Y1753"/>
      <c r="Z1753"/>
      <c r="AA1753"/>
    </row>
    <row r="1754" spans="1:27" s="51" customFormat="1" ht="18.600000000000001" customHeight="1" x14ac:dyDescent="0.25">
      <c r="A1754" s="81" t="s">
        <v>2653</v>
      </c>
      <c r="B1754" s="31" t="s">
        <v>9303</v>
      </c>
      <c r="C1754" s="32" t="s">
        <v>9313</v>
      </c>
      <c r="D1754" s="31" t="s">
        <v>4200</v>
      </c>
      <c r="E1754" s="33" t="s">
        <v>4201</v>
      </c>
      <c r="F1754" s="33" t="s">
        <v>1937</v>
      </c>
      <c r="G1754" s="33" t="s">
        <v>3586</v>
      </c>
      <c r="H1754" s="84" t="s">
        <v>4202</v>
      </c>
      <c r="I1754" s="23" t="s">
        <v>24</v>
      </c>
      <c r="J1754" s="34">
        <v>90</v>
      </c>
      <c r="K1754" s="35">
        <v>0.25</v>
      </c>
      <c r="L1754" s="36">
        <f t="shared" si="271"/>
        <v>22.5</v>
      </c>
      <c r="M1754" s="37">
        <f t="shared" si="272"/>
        <v>67.5</v>
      </c>
      <c r="N1754" s="38">
        <v>0.16</v>
      </c>
      <c r="O1754" s="39">
        <f t="shared" si="273"/>
        <v>10.8</v>
      </c>
      <c r="P1754" s="40">
        <f t="shared" si="274"/>
        <v>78.3</v>
      </c>
      <c r="Q1754" s="23"/>
      <c r="R1754" s="56"/>
      <c r="S1754" s="57">
        <v>1</v>
      </c>
      <c r="T1754" s="58">
        <f t="shared" si="275"/>
        <v>90</v>
      </c>
      <c r="U1754" s="36">
        <f t="shared" si="276"/>
        <v>22.5</v>
      </c>
      <c r="V1754" s="59">
        <f t="shared" si="277"/>
        <v>67.5</v>
      </c>
      <c r="W1754" s="39">
        <f t="shared" si="278"/>
        <v>10.8</v>
      </c>
      <c r="X1754" s="40">
        <f t="shared" si="279"/>
        <v>78.3</v>
      </c>
      <c r="Y1754"/>
      <c r="Z1754"/>
      <c r="AA1754"/>
    </row>
    <row r="1755" spans="1:27" s="51" customFormat="1" ht="18.600000000000001" hidden="1" customHeight="1" x14ac:dyDescent="0.25">
      <c r="A1755" s="82" t="s">
        <v>2653</v>
      </c>
      <c r="B1755" s="41" t="s">
        <v>9303</v>
      </c>
      <c r="C1755" s="42" t="s">
        <v>9313</v>
      </c>
      <c r="D1755" s="41" t="s">
        <v>4203</v>
      </c>
      <c r="E1755" s="43" t="s">
        <v>4204</v>
      </c>
      <c r="F1755" s="43" t="s">
        <v>1937</v>
      </c>
      <c r="G1755" s="43" t="s">
        <v>3586</v>
      </c>
      <c r="H1755" s="85" t="s">
        <v>4205</v>
      </c>
      <c r="I1755" s="23" t="s">
        <v>24</v>
      </c>
      <c r="J1755" s="44">
        <v>90</v>
      </c>
      <c r="K1755" s="45">
        <v>0.25</v>
      </c>
      <c r="L1755" s="46">
        <f t="shared" si="271"/>
        <v>22.5</v>
      </c>
      <c r="M1755" s="47">
        <f t="shared" si="272"/>
        <v>67.5</v>
      </c>
      <c r="N1755" s="48">
        <v>0.16</v>
      </c>
      <c r="O1755" s="49">
        <f t="shared" si="273"/>
        <v>10.8</v>
      </c>
      <c r="P1755" s="50">
        <f t="shared" si="274"/>
        <v>78.3</v>
      </c>
      <c r="Q1755" s="23"/>
      <c r="R1755" s="60"/>
      <c r="S1755" s="61"/>
      <c r="T1755" s="62">
        <f t="shared" si="275"/>
        <v>0</v>
      </c>
      <c r="U1755" s="46">
        <f t="shared" si="276"/>
        <v>0</v>
      </c>
      <c r="V1755" s="63">
        <f t="shared" si="277"/>
        <v>0</v>
      </c>
      <c r="W1755" s="49">
        <f t="shared" si="278"/>
        <v>0</v>
      </c>
      <c r="X1755" s="50">
        <f t="shared" si="279"/>
        <v>0</v>
      </c>
      <c r="Y1755"/>
      <c r="Z1755"/>
      <c r="AA1755"/>
    </row>
    <row r="1756" spans="1:27" s="51" customFormat="1" ht="18.600000000000001" customHeight="1" x14ac:dyDescent="0.25">
      <c r="A1756" s="80" t="s">
        <v>2653</v>
      </c>
      <c r="B1756" s="20" t="s">
        <v>9303</v>
      </c>
      <c r="C1756" s="21" t="s">
        <v>9313</v>
      </c>
      <c r="D1756" s="20" t="s">
        <v>4206</v>
      </c>
      <c r="E1756" s="22" t="s">
        <v>4207</v>
      </c>
      <c r="F1756" s="22" t="s">
        <v>1937</v>
      </c>
      <c r="G1756" s="22" t="s">
        <v>3586</v>
      </c>
      <c r="H1756" s="83" t="s">
        <v>4208</v>
      </c>
      <c r="I1756" s="23" t="s">
        <v>24</v>
      </c>
      <c r="J1756" s="24">
        <v>90</v>
      </c>
      <c r="K1756" s="25">
        <v>0.25</v>
      </c>
      <c r="L1756" s="26">
        <f t="shared" si="271"/>
        <v>22.5</v>
      </c>
      <c r="M1756" s="27">
        <f t="shared" si="272"/>
        <v>67.5</v>
      </c>
      <c r="N1756" s="28">
        <v>0.16</v>
      </c>
      <c r="O1756" s="29">
        <f t="shared" si="273"/>
        <v>10.8</v>
      </c>
      <c r="P1756" s="30">
        <f t="shared" si="274"/>
        <v>78.3</v>
      </c>
      <c r="Q1756" s="23"/>
      <c r="R1756" s="52"/>
      <c r="S1756" s="53">
        <v>1</v>
      </c>
      <c r="T1756" s="54">
        <f t="shared" si="275"/>
        <v>90</v>
      </c>
      <c r="U1756" s="26">
        <f t="shared" si="276"/>
        <v>22.5</v>
      </c>
      <c r="V1756" s="55">
        <f t="shared" si="277"/>
        <v>67.5</v>
      </c>
      <c r="W1756" s="29">
        <f t="shared" si="278"/>
        <v>10.8</v>
      </c>
      <c r="X1756" s="30">
        <f t="shared" si="279"/>
        <v>78.3</v>
      </c>
      <c r="Y1756"/>
      <c r="Z1756"/>
      <c r="AA1756"/>
    </row>
    <row r="1757" spans="1:27" s="51" customFormat="1" ht="18.600000000000001" hidden="1" customHeight="1" x14ac:dyDescent="0.25">
      <c r="A1757" s="81" t="s">
        <v>2653</v>
      </c>
      <c r="B1757" s="31" t="s">
        <v>9303</v>
      </c>
      <c r="C1757" s="32" t="s">
        <v>9313</v>
      </c>
      <c r="D1757" s="31" t="s">
        <v>4209</v>
      </c>
      <c r="E1757" s="33" t="s">
        <v>4210</v>
      </c>
      <c r="F1757" s="33" t="s">
        <v>1937</v>
      </c>
      <c r="G1757" s="33" t="s">
        <v>3586</v>
      </c>
      <c r="H1757" s="84" t="s">
        <v>4211</v>
      </c>
      <c r="I1757" s="23" t="s">
        <v>24</v>
      </c>
      <c r="J1757" s="34">
        <v>90</v>
      </c>
      <c r="K1757" s="35">
        <v>0.25</v>
      </c>
      <c r="L1757" s="36">
        <f t="shared" si="271"/>
        <v>22.5</v>
      </c>
      <c r="M1757" s="37">
        <f t="shared" si="272"/>
        <v>67.5</v>
      </c>
      <c r="N1757" s="38">
        <v>0.16</v>
      </c>
      <c r="O1757" s="39">
        <f t="shared" si="273"/>
        <v>10.8</v>
      </c>
      <c r="P1757" s="40">
        <f t="shared" si="274"/>
        <v>78.3</v>
      </c>
      <c r="Q1757" s="23"/>
      <c r="R1757" s="56"/>
      <c r="S1757" s="57"/>
      <c r="T1757" s="58">
        <f t="shared" si="275"/>
        <v>0</v>
      </c>
      <c r="U1757" s="36">
        <f t="shared" si="276"/>
        <v>0</v>
      </c>
      <c r="V1757" s="59">
        <f t="shared" si="277"/>
        <v>0</v>
      </c>
      <c r="W1757" s="39">
        <f t="shared" si="278"/>
        <v>0</v>
      </c>
      <c r="X1757" s="40">
        <f t="shared" si="279"/>
        <v>0</v>
      </c>
      <c r="Y1757"/>
      <c r="Z1757"/>
      <c r="AA1757"/>
    </row>
    <row r="1758" spans="1:27" s="51" customFormat="1" ht="18.600000000000001" hidden="1" customHeight="1" x14ac:dyDescent="0.25">
      <c r="A1758" s="82" t="s">
        <v>2653</v>
      </c>
      <c r="B1758" s="41" t="s">
        <v>9303</v>
      </c>
      <c r="C1758" s="42" t="s">
        <v>9313</v>
      </c>
      <c r="D1758" s="41" t="s">
        <v>4212</v>
      </c>
      <c r="E1758" s="43" t="s">
        <v>4213</v>
      </c>
      <c r="F1758" s="43" t="s">
        <v>1937</v>
      </c>
      <c r="G1758" s="43" t="s">
        <v>3586</v>
      </c>
      <c r="H1758" s="85" t="s">
        <v>4214</v>
      </c>
      <c r="I1758" s="23" t="s">
        <v>24</v>
      </c>
      <c r="J1758" s="44">
        <v>90</v>
      </c>
      <c r="K1758" s="45">
        <v>0.25</v>
      </c>
      <c r="L1758" s="46">
        <f t="shared" si="271"/>
        <v>22.5</v>
      </c>
      <c r="M1758" s="47">
        <f t="shared" si="272"/>
        <v>67.5</v>
      </c>
      <c r="N1758" s="48">
        <v>0.16</v>
      </c>
      <c r="O1758" s="49">
        <f t="shared" si="273"/>
        <v>10.8</v>
      </c>
      <c r="P1758" s="50">
        <f t="shared" si="274"/>
        <v>78.3</v>
      </c>
      <c r="Q1758" s="23"/>
      <c r="R1758" s="60"/>
      <c r="S1758" s="61"/>
      <c r="T1758" s="62">
        <f t="shared" si="275"/>
        <v>0</v>
      </c>
      <c r="U1758" s="46">
        <f t="shared" si="276"/>
        <v>0</v>
      </c>
      <c r="V1758" s="63">
        <f t="shared" si="277"/>
        <v>0</v>
      </c>
      <c r="W1758" s="49">
        <f t="shared" si="278"/>
        <v>0</v>
      </c>
      <c r="X1758" s="50">
        <f t="shared" si="279"/>
        <v>0</v>
      </c>
      <c r="Y1758"/>
      <c r="Z1758"/>
      <c r="AA1758"/>
    </row>
    <row r="1759" spans="1:27" s="51" customFormat="1" ht="18.600000000000001" customHeight="1" x14ac:dyDescent="0.25">
      <c r="A1759" s="80" t="s">
        <v>2653</v>
      </c>
      <c r="B1759" s="20" t="s">
        <v>9303</v>
      </c>
      <c r="C1759" s="21" t="s">
        <v>9313</v>
      </c>
      <c r="D1759" s="20" t="s">
        <v>4215</v>
      </c>
      <c r="E1759" s="22" t="s">
        <v>4216</v>
      </c>
      <c r="F1759" s="22" t="s">
        <v>1937</v>
      </c>
      <c r="G1759" s="22" t="s">
        <v>3586</v>
      </c>
      <c r="H1759" s="83" t="s">
        <v>4217</v>
      </c>
      <c r="I1759" s="23" t="s">
        <v>24</v>
      </c>
      <c r="J1759" s="24">
        <v>90</v>
      </c>
      <c r="K1759" s="25">
        <v>0.25</v>
      </c>
      <c r="L1759" s="26">
        <f t="shared" si="271"/>
        <v>22.5</v>
      </c>
      <c r="M1759" s="27">
        <f t="shared" si="272"/>
        <v>67.5</v>
      </c>
      <c r="N1759" s="28">
        <v>0.16</v>
      </c>
      <c r="O1759" s="29">
        <f t="shared" si="273"/>
        <v>10.8</v>
      </c>
      <c r="P1759" s="30">
        <f t="shared" si="274"/>
        <v>78.3</v>
      </c>
      <c r="Q1759" s="23"/>
      <c r="R1759" s="52"/>
      <c r="S1759" s="53">
        <v>1</v>
      </c>
      <c r="T1759" s="54">
        <f t="shared" si="275"/>
        <v>90</v>
      </c>
      <c r="U1759" s="26">
        <f t="shared" si="276"/>
        <v>22.5</v>
      </c>
      <c r="V1759" s="55">
        <f t="shared" si="277"/>
        <v>67.5</v>
      </c>
      <c r="W1759" s="29">
        <f t="shared" si="278"/>
        <v>10.8</v>
      </c>
      <c r="X1759" s="30">
        <f t="shared" si="279"/>
        <v>78.3</v>
      </c>
      <c r="Y1759"/>
      <c r="Z1759"/>
      <c r="AA1759"/>
    </row>
    <row r="1760" spans="1:27" s="51" customFormat="1" ht="18.600000000000001" hidden="1" customHeight="1" x14ac:dyDescent="0.25">
      <c r="A1760" s="81" t="s">
        <v>2653</v>
      </c>
      <c r="B1760" s="31" t="s">
        <v>9303</v>
      </c>
      <c r="C1760" s="32" t="s">
        <v>9313</v>
      </c>
      <c r="D1760" s="31" t="s">
        <v>4218</v>
      </c>
      <c r="E1760" s="33" t="s">
        <v>4219</v>
      </c>
      <c r="F1760" s="33" t="s">
        <v>1937</v>
      </c>
      <c r="G1760" s="33" t="s">
        <v>3586</v>
      </c>
      <c r="H1760" s="84" t="s">
        <v>4220</v>
      </c>
      <c r="I1760" s="23" t="s">
        <v>24</v>
      </c>
      <c r="J1760" s="34">
        <v>90</v>
      </c>
      <c r="K1760" s="35">
        <v>0.25</v>
      </c>
      <c r="L1760" s="36">
        <f t="shared" si="271"/>
        <v>22.5</v>
      </c>
      <c r="M1760" s="37">
        <f t="shared" si="272"/>
        <v>67.5</v>
      </c>
      <c r="N1760" s="38">
        <v>0.16</v>
      </c>
      <c r="O1760" s="39">
        <f t="shared" si="273"/>
        <v>10.8</v>
      </c>
      <c r="P1760" s="40">
        <f t="shared" si="274"/>
        <v>78.3</v>
      </c>
      <c r="Q1760" s="23"/>
      <c r="R1760" s="56"/>
      <c r="S1760" s="57"/>
      <c r="T1760" s="58">
        <f t="shared" si="275"/>
        <v>0</v>
      </c>
      <c r="U1760" s="36">
        <f t="shared" si="276"/>
        <v>0</v>
      </c>
      <c r="V1760" s="59">
        <f t="shared" si="277"/>
        <v>0</v>
      </c>
      <c r="W1760" s="39">
        <f t="shared" si="278"/>
        <v>0</v>
      </c>
      <c r="X1760" s="40">
        <f t="shared" si="279"/>
        <v>0</v>
      </c>
      <c r="Y1760"/>
      <c r="Z1760"/>
      <c r="AA1760"/>
    </row>
    <row r="1761" spans="1:27" s="51" customFormat="1" ht="18.600000000000001" hidden="1" customHeight="1" x14ac:dyDescent="0.25">
      <c r="A1761" s="82" t="s">
        <v>2653</v>
      </c>
      <c r="B1761" s="41" t="s">
        <v>9303</v>
      </c>
      <c r="C1761" s="42" t="s">
        <v>9313</v>
      </c>
      <c r="D1761" s="41" t="s">
        <v>4221</v>
      </c>
      <c r="E1761" s="43" t="s">
        <v>4222</v>
      </c>
      <c r="F1761" s="43" t="s">
        <v>1937</v>
      </c>
      <c r="G1761" s="43" t="s">
        <v>3586</v>
      </c>
      <c r="H1761" s="85" t="s">
        <v>4223</v>
      </c>
      <c r="I1761" s="23" t="s">
        <v>24</v>
      </c>
      <c r="J1761" s="44">
        <v>90</v>
      </c>
      <c r="K1761" s="45">
        <v>0.25</v>
      </c>
      <c r="L1761" s="46">
        <f t="shared" si="271"/>
        <v>22.5</v>
      </c>
      <c r="M1761" s="47">
        <f t="shared" si="272"/>
        <v>67.5</v>
      </c>
      <c r="N1761" s="48">
        <v>0.16</v>
      </c>
      <c r="O1761" s="49">
        <f t="shared" si="273"/>
        <v>10.8</v>
      </c>
      <c r="P1761" s="50">
        <f t="shared" si="274"/>
        <v>78.3</v>
      </c>
      <c r="Q1761" s="23"/>
      <c r="R1761" s="60"/>
      <c r="S1761" s="61"/>
      <c r="T1761" s="62">
        <f t="shared" si="275"/>
        <v>0</v>
      </c>
      <c r="U1761" s="46">
        <f t="shared" si="276"/>
        <v>0</v>
      </c>
      <c r="V1761" s="63">
        <f t="shared" si="277"/>
        <v>0</v>
      </c>
      <c r="W1761" s="49">
        <f t="shared" si="278"/>
        <v>0</v>
      </c>
      <c r="X1761" s="50">
        <f t="shared" si="279"/>
        <v>0</v>
      </c>
      <c r="Y1761"/>
      <c r="Z1761"/>
      <c r="AA1761"/>
    </row>
    <row r="1762" spans="1:27" s="51" customFormat="1" ht="18.600000000000001" hidden="1" customHeight="1" x14ac:dyDescent="0.25">
      <c r="A1762" s="80" t="s">
        <v>2653</v>
      </c>
      <c r="B1762" s="20" t="s">
        <v>9303</v>
      </c>
      <c r="C1762" s="21" t="s">
        <v>9313</v>
      </c>
      <c r="D1762" s="20" t="s">
        <v>4224</v>
      </c>
      <c r="E1762" s="22" t="s">
        <v>4225</v>
      </c>
      <c r="F1762" s="22" t="s">
        <v>1937</v>
      </c>
      <c r="G1762" s="22" t="s">
        <v>3586</v>
      </c>
      <c r="H1762" s="83" t="s">
        <v>4226</v>
      </c>
      <c r="I1762" s="23" t="s">
        <v>24</v>
      </c>
      <c r="J1762" s="24">
        <v>90</v>
      </c>
      <c r="K1762" s="25">
        <v>0.25</v>
      </c>
      <c r="L1762" s="26">
        <f t="shared" si="271"/>
        <v>22.5</v>
      </c>
      <c r="M1762" s="27">
        <f t="shared" si="272"/>
        <v>67.5</v>
      </c>
      <c r="N1762" s="28">
        <v>0.16</v>
      </c>
      <c r="O1762" s="29">
        <f t="shared" si="273"/>
        <v>10.8</v>
      </c>
      <c r="P1762" s="30">
        <f t="shared" si="274"/>
        <v>78.3</v>
      </c>
      <c r="Q1762" s="23"/>
      <c r="R1762" s="52"/>
      <c r="S1762" s="53"/>
      <c r="T1762" s="54">
        <f t="shared" si="275"/>
        <v>0</v>
      </c>
      <c r="U1762" s="26">
        <f t="shared" si="276"/>
        <v>0</v>
      </c>
      <c r="V1762" s="55">
        <f t="shared" si="277"/>
        <v>0</v>
      </c>
      <c r="W1762" s="29">
        <f t="shared" si="278"/>
        <v>0</v>
      </c>
      <c r="X1762" s="30">
        <f t="shared" si="279"/>
        <v>0</v>
      </c>
      <c r="Y1762"/>
      <c r="Z1762"/>
      <c r="AA1762"/>
    </row>
    <row r="1763" spans="1:27" s="51" customFormat="1" ht="18.600000000000001" hidden="1" customHeight="1" x14ac:dyDescent="0.25">
      <c r="A1763" s="81" t="s">
        <v>2653</v>
      </c>
      <c r="B1763" s="31" t="s">
        <v>9303</v>
      </c>
      <c r="C1763" s="32" t="s">
        <v>9313</v>
      </c>
      <c r="D1763" s="31" t="s">
        <v>4227</v>
      </c>
      <c r="E1763" s="33" t="s">
        <v>4228</v>
      </c>
      <c r="F1763" s="33" t="s">
        <v>1937</v>
      </c>
      <c r="G1763" s="33" t="s">
        <v>3586</v>
      </c>
      <c r="H1763" s="84" t="s">
        <v>4229</v>
      </c>
      <c r="I1763" s="23" t="s">
        <v>24</v>
      </c>
      <c r="J1763" s="34">
        <v>90</v>
      </c>
      <c r="K1763" s="35">
        <v>0.25</v>
      </c>
      <c r="L1763" s="36">
        <f t="shared" si="271"/>
        <v>22.5</v>
      </c>
      <c r="M1763" s="37">
        <f t="shared" si="272"/>
        <v>67.5</v>
      </c>
      <c r="N1763" s="38">
        <v>0.16</v>
      </c>
      <c r="O1763" s="39">
        <f t="shared" si="273"/>
        <v>10.8</v>
      </c>
      <c r="P1763" s="40">
        <f t="shared" si="274"/>
        <v>78.3</v>
      </c>
      <c r="Q1763" s="23"/>
      <c r="R1763" s="56"/>
      <c r="S1763" s="57"/>
      <c r="T1763" s="58">
        <f t="shared" si="275"/>
        <v>0</v>
      </c>
      <c r="U1763" s="36">
        <f t="shared" si="276"/>
        <v>0</v>
      </c>
      <c r="V1763" s="59">
        <f t="shared" si="277"/>
        <v>0</v>
      </c>
      <c r="W1763" s="39">
        <f t="shared" si="278"/>
        <v>0</v>
      </c>
      <c r="X1763" s="40">
        <f t="shared" si="279"/>
        <v>0</v>
      </c>
      <c r="Y1763"/>
      <c r="Z1763"/>
      <c r="AA1763"/>
    </row>
    <row r="1764" spans="1:27" s="51" customFormat="1" ht="18.600000000000001" hidden="1" customHeight="1" x14ac:dyDescent="0.25">
      <c r="A1764" s="82" t="s">
        <v>2653</v>
      </c>
      <c r="B1764" s="41" t="s">
        <v>9303</v>
      </c>
      <c r="C1764" s="42" t="s">
        <v>9313</v>
      </c>
      <c r="D1764" s="41" t="s">
        <v>4230</v>
      </c>
      <c r="E1764" s="43" t="s">
        <v>4231</v>
      </c>
      <c r="F1764" s="43" t="s">
        <v>1937</v>
      </c>
      <c r="G1764" s="43" t="s">
        <v>3586</v>
      </c>
      <c r="H1764" s="85" t="s">
        <v>4232</v>
      </c>
      <c r="I1764" s="23" t="s">
        <v>24</v>
      </c>
      <c r="J1764" s="44">
        <v>90</v>
      </c>
      <c r="K1764" s="45">
        <v>0.25</v>
      </c>
      <c r="L1764" s="46">
        <f t="shared" si="271"/>
        <v>22.5</v>
      </c>
      <c r="M1764" s="47">
        <f t="shared" si="272"/>
        <v>67.5</v>
      </c>
      <c r="N1764" s="48">
        <v>0.16</v>
      </c>
      <c r="O1764" s="49">
        <f t="shared" si="273"/>
        <v>10.8</v>
      </c>
      <c r="P1764" s="50">
        <f t="shared" si="274"/>
        <v>78.3</v>
      </c>
      <c r="Q1764" s="23"/>
      <c r="R1764" s="60"/>
      <c r="S1764" s="61"/>
      <c r="T1764" s="62">
        <f t="shared" si="275"/>
        <v>0</v>
      </c>
      <c r="U1764" s="46">
        <f t="shared" si="276"/>
        <v>0</v>
      </c>
      <c r="V1764" s="63">
        <f t="shared" si="277"/>
        <v>0</v>
      </c>
      <c r="W1764" s="49">
        <f t="shared" si="278"/>
        <v>0</v>
      </c>
      <c r="X1764" s="50">
        <f t="shared" si="279"/>
        <v>0</v>
      </c>
      <c r="Y1764"/>
      <c r="Z1764"/>
      <c r="AA1764"/>
    </row>
    <row r="1765" spans="1:27" s="51" customFormat="1" ht="18.600000000000001" hidden="1" customHeight="1" x14ac:dyDescent="0.25">
      <c r="A1765" s="80" t="s">
        <v>2653</v>
      </c>
      <c r="B1765" s="20" t="s">
        <v>9303</v>
      </c>
      <c r="C1765" s="21" t="s">
        <v>9313</v>
      </c>
      <c r="D1765" s="20" t="s">
        <v>4233</v>
      </c>
      <c r="E1765" s="22" t="s">
        <v>4234</v>
      </c>
      <c r="F1765" s="22" t="s">
        <v>1937</v>
      </c>
      <c r="G1765" s="22" t="s">
        <v>3586</v>
      </c>
      <c r="H1765" s="83" t="s">
        <v>4235</v>
      </c>
      <c r="I1765" s="23" t="s">
        <v>24</v>
      </c>
      <c r="J1765" s="24">
        <v>90</v>
      </c>
      <c r="K1765" s="25">
        <v>0.25</v>
      </c>
      <c r="L1765" s="26">
        <f t="shared" si="271"/>
        <v>22.5</v>
      </c>
      <c r="M1765" s="27">
        <f t="shared" si="272"/>
        <v>67.5</v>
      </c>
      <c r="N1765" s="28">
        <v>0.16</v>
      </c>
      <c r="O1765" s="29">
        <f t="shared" si="273"/>
        <v>10.8</v>
      </c>
      <c r="P1765" s="30">
        <f t="shared" si="274"/>
        <v>78.3</v>
      </c>
      <c r="Q1765" s="23"/>
      <c r="R1765" s="52"/>
      <c r="S1765" s="53"/>
      <c r="T1765" s="54">
        <f t="shared" si="275"/>
        <v>0</v>
      </c>
      <c r="U1765" s="26">
        <f t="shared" si="276"/>
        <v>0</v>
      </c>
      <c r="V1765" s="55">
        <f t="shared" si="277"/>
        <v>0</v>
      </c>
      <c r="W1765" s="29">
        <f t="shared" si="278"/>
        <v>0</v>
      </c>
      <c r="X1765" s="30">
        <f t="shared" si="279"/>
        <v>0</v>
      </c>
      <c r="Y1765"/>
      <c r="Z1765"/>
      <c r="AA1765"/>
    </row>
    <row r="1766" spans="1:27" s="51" customFormat="1" ht="18.600000000000001" hidden="1" customHeight="1" x14ac:dyDescent="0.25">
      <c r="A1766" s="81" t="s">
        <v>2653</v>
      </c>
      <c r="B1766" s="31" t="s">
        <v>9303</v>
      </c>
      <c r="C1766" s="32" t="s">
        <v>9313</v>
      </c>
      <c r="D1766" s="31" t="s">
        <v>4236</v>
      </c>
      <c r="E1766" s="33" t="s">
        <v>4237</v>
      </c>
      <c r="F1766" s="33" t="s">
        <v>1937</v>
      </c>
      <c r="G1766" s="33" t="s">
        <v>3586</v>
      </c>
      <c r="H1766" s="84" t="s">
        <v>4238</v>
      </c>
      <c r="I1766" s="23" t="s">
        <v>24</v>
      </c>
      <c r="J1766" s="34">
        <v>90</v>
      </c>
      <c r="K1766" s="35">
        <v>0.25</v>
      </c>
      <c r="L1766" s="36">
        <f t="shared" si="271"/>
        <v>22.5</v>
      </c>
      <c r="M1766" s="37">
        <f t="shared" si="272"/>
        <v>67.5</v>
      </c>
      <c r="N1766" s="38">
        <v>0.16</v>
      </c>
      <c r="O1766" s="39">
        <f t="shared" si="273"/>
        <v>10.8</v>
      </c>
      <c r="P1766" s="40">
        <f t="shared" si="274"/>
        <v>78.3</v>
      </c>
      <c r="Q1766" s="23"/>
      <c r="R1766" s="56"/>
      <c r="S1766" s="57"/>
      <c r="T1766" s="58">
        <f t="shared" si="275"/>
        <v>0</v>
      </c>
      <c r="U1766" s="36">
        <f t="shared" si="276"/>
        <v>0</v>
      </c>
      <c r="V1766" s="59">
        <f t="shared" si="277"/>
        <v>0</v>
      </c>
      <c r="W1766" s="39">
        <f t="shared" si="278"/>
        <v>0</v>
      </c>
      <c r="X1766" s="40">
        <f t="shared" si="279"/>
        <v>0</v>
      </c>
      <c r="Y1766"/>
      <c r="Z1766"/>
      <c r="AA1766"/>
    </row>
    <row r="1767" spans="1:27" s="51" customFormat="1" ht="18.600000000000001" hidden="1" customHeight="1" x14ac:dyDescent="0.25">
      <c r="A1767" s="82" t="s">
        <v>2653</v>
      </c>
      <c r="B1767" s="41" t="s">
        <v>9303</v>
      </c>
      <c r="C1767" s="42" t="s">
        <v>9313</v>
      </c>
      <c r="D1767" s="41" t="s">
        <v>4239</v>
      </c>
      <c r="E1767" s="43" t="s">
        <v>4240</v>
      </c>
      <c r="F1767" s="43" t="s">
        <v>1937</v>
      </c>
      <c r="G1767" s="43" t="s">
        <v>3586</v>
      </c>
      <c r="H1767" s="85" t="s">
        <v>4241</v>
      </c>
      <c r="I1767" s="23" t="s">
        <v>24</v>
      </c>
      <c r="J1767" s="44">
        <v>90</v>
      </c>
      <c r="K1767" s="45">
        <v>0.25</v>
      </c>
      <c r="L1767" s="46">
        <f t="shared" si="271"/>
        <v>22.5</v>
      </c>
      <c r="M1767" s="47">
        <f t="shared" si="272"/>
        <v>67.5</v>
      </c>
      <c r="N1767" s="48">
        <v>0.16</v>
      </c>
      <c r="O1767" s="49">
        <f t="shared" si="273"/>
        <v>10.8</v>
      </c>
      <c r="P1767" s="50">
        <f t="shared" si="274"/>
        <v>78.3</v>
      </c>
      <c r="Q1767" s="23"/>
      <c r="R1767" s="60"/>
      <c r="S1767" s="61"/>
      <c r="T1767" s="62">
        <f t="shared" si="275"/>
        <v>0</v>
      </c>
      <c r="U1767" s="46">
        <f t="shared" si="276"/>
        <v>0</v>
      </c>
      <c r="V1767" s="63">
        <f t="shared" si="277"/>
        <v>0</v>
      </c>
      <c r="W1767" s="49">
        <f t="shared" si="278"/>
        <v>0</v>
      </c>
      <c r="X1767" s="50">
        <f t="shared" si="279"/>
        <v>0</v>
      </c>
      <c r="Y1767"/>
      <c r="Z1767"/>
      <c r="AA1767"/>
    </row>
    <row r="1768" spans="1:27" s="51" customFormat="1" ht="18.600000000000001" hidden="1" customHeight="1" x14ac:dyDescent="0.25">
      <c r="A1768" s="80" t="s">
        <v>2653</v>
      </c>
      <c r="B1768" s="20" t="s">
        <v>9303</v>
      </c>
      <c r="C1768" s="21" t="s">
        <v>9313</v>
      </c>
      <c r="D1768" s="20" t="s">
        <v>4242</v>
      </c>
      <c r="E1768" s="22" t="s">
        <v>4243</v>
      </c>
      <c r="F1768" s="22" t="s">
        <v>1937</v>
      </c>
      <c r="G1768" s="22" t="s">
        <v>3586</v>
      </c>
      <c r="H1768" s="83" t="s">
        <v>4244</v>
      </c>
      <c r="I1768" s="23" t="s">
        <v>24</v>
      </c>
      <c r="J1768" s="24">
        <v>90</v>
      </c>
      <c r="K1768" s="25">
        <v>0.25</v>
      </c>
      <c r="L1768" s="26">
        <f t="shared" si="271"/>
        <v>22.5</v>
      </c>
      <c r="M1768" s="27">
        <f t="shared" si="272"/>
        <v>67.5</v>
      </c>
      <c r="N1768" s="28">
        <v>0.16</v>
      </c>
      <c r="O1768" s="29">
        <f t="shared" si="273"/>
        <v>10.8</v>
      </c>
      <c r="P1768" s="30">
        <f t="shared" si="274"/>
        <v>78.3</v>
      </c>
      <c r="Q1768" s="23"/>
      <c r="R1768" s="52"/>
      <c r="S1768" s="53"/>
      <c r="T1768" s="54">
        <f t="shared" si="275"/>
        <v>0</v>
      </c>
      <c r="U1768" s="26">
        <f t="shared" si="276"/>
        <v>0</v>
      </c>
      <c r="V1768" s="55">
        <f t="shared" si="277"/>
        <v>0</v>
      </c>
      <c r="W1768" s="29">
        <f t="shared" si="278"/>
        <v>0</v>
      </c>
      <c r="X1768" s="30">
        <f t="shared" si="279"/>
        <v>0</v>
      </c>
      <c r="Y1768"/>
      <c r="Z1768"/>
      <c r="AA1768"/>
    </row>
    <row r="1769" spans="1:27" s="51" customFormat="1" ht="18.600000000000001" hidden="1" customHeight="1" x14ac:dyDescent="0.25">
      <c r="A1769" s="81" t="s">
        <v>2653</v>
      </c>
      <c r="B1769" s="31" t="s">
        <v>9303</v>
      </c>
      <c r="C1769" s="32" t="s">
        <v>9313</v>
      </c>
      <c r="D1769" s="31" t="s">
        <v>4245</v>
      </c>
      <c r="E1769" s="33" t="s">
        <v>4246</v>
      </c>
      <c r="F1769" s="33" t="s">
        <v>1937</v>
      </c>
      <c r="G1769" s="33" t="s">
        <v>3586</v>
      </c>
      <c r="H1769" s="84" t="s">
        <v>4247</v>
      </c>
      <c r="I1769" s="23" t="s">
        <v>24</v>
      </c>
      <c r="J1769" s="34">
        <v>90</v>
      </c>
      <c r="K1769" s="35">
        <v>0.25</v>
      </c>
      <c r="L1769" s="36">
        <f t="shared" si="271"/>
        <v>22.5</v>
      </c>
      <c r="M1769" s="37">
        <f t="shared" si="272"/>
        <v>67.5</v>
      </c>
      <c r="N1769" s="38">
        <v>0.16</v>
      </c>
      <c r="O1769" s="39">
        <f t="shared" si="273"/>
        <v>10.8</v>
      </c>
      <c r="P1769" s="40">
        <f t="shared" si="274"/>
        <v>78.3</v>
      </c>
      <c r="Q1769" s="23"/>
      <c r="R1769" s="56"/>
      <c r="S1769" s="57"/>
      <c r="T1769" s="58">
        <f t="shared" si="275"/>
        <v>0</v>
      </c>
      <c r="U1769" s="36">
        <f t="shared" si="276"/>
        <v>0</v>
      </c>
      <c r="V1769" s="59">
        <f t="shared" si="277"/>
        <v>0</v>
      </c>
      <c r="W1769" s="39">
        <f t="shared" si="278"/>
        <v>0</v>
      </c>
      <c r="X1769" s="40">
        <f t="shared" si="279"/>
        <v>0</v>
      </c>
      <c r="Y1769"/>
      <c r="Z1769"/>
      <c r="AA1769"/>
    </row>
    <row r="1770" spans="1:27" s="51" customFormat="1" ht="18.600000000000001" hidden="1" customHeight="1" x14ac:dyDescent="0.25">
      <c r="A1770" s="82" t="s">
        <v>2653</v>
      </c>
      <c r="B1770" s="41" t="s">
        <v>9303</v>
      </c>
      <c r="C1770" s="42" t="s">
        <v>9313</v>
      </c>
      <c r="D1770" s="41" t="s">
        <v>4248</v>
      </c>
      <c r="E1770" s="43" t="s">
        <v>4249</v>
      </c>
      <c r="F1770" s="43" t="s">
        <v>1937</v>
      </c>
      <c r="G1770" s="43" t="s">
        <v>3586</v>
      </c>
      <c r="H1770" s="85" t="s">
        <v>4250</v>
      </c>
      <c r="I1770" s="23" t="s">
        <v>24</v>
      </c>
      <c r="J1770" s="44">
        <v>90</v>
      </c>
      <c r="K1770" s="45">
        <v>0.25</v>
      </c>
      <c r="L1770" s="46">
        <f t="shared" si="271"/>
        <v>22.5</v>
      </c>
      <c r="M1770" s="47">
        <f t="shared" si="272"/>
        <v>67.5</v>
      </c>
      <c r="N1770" s="48">
        <v>0.16</v>
      </c>
      <c r="O1770" s="49">
        <f t="shared" si="273"/>
        <v>10.8</v>
      </c>
      <c r="P1770" s="50">
        <f t="shared" si="274"/>
        <v>78.3</v>
      </c>
      <c r="Q1770" s="23"/>
      <c r="R1770" s="60"/>
      <c r="S1770" s="61"/>
      <c r="T1770" s="62">
        <f t="shared" si="275"/>
        <v>0</v>
      </c>
      <c r="U1770" s="46">
        <f t="shared" si="276"/>
        <v>0</v>
      </c>
      <c r="V1770" s="63">
        <f t="shared" si="277"/>
        <v>0</v>
      </c>
      <c r="W1770" s="49">
        <f t="shared" si="278"/>
        <v>0</v>
      </c>
      <c r="X1770" s="50">
        <f t="shared" si="279"/>
        <v>0</v>
      </c>
      <c r="Y1770"/>
      <c r="Z1770"/>
      <c r="AA1770"/>
    </row>
    <row r="1771" spans="1:27" s="51" customFormat="1" ht="18.600000000000001" hidden="1" customHeight="1" x14ac:dyDescent="0.25">
      <c r="A1771" s="80" t="s">
        <v>2653</v>
      </c>
      <c r="B1771" s="20" t="s">
        <v>9303</v>
      </c>
      <c r="C1771" s="21" t="s">
        <v>9314</v>
      </c>
      <c r="D1771" s="20" t="s">
        <v>4251</v>
      </c>
      <c r="E1771" s="22" t="s">
        <v>9514</v>
      </c>
      <c r="F1771" s="22" t="s">
        <v>1937</v>
      </c>
      <c r="G1771" s="22" t="s">
        <v>3586</v>
      </c>
      <c r="H1771" s="83" t="s">
        <v>4253</v>
      </c>
      <c r="I1771" s="23" t="s">
        <v>24</v>
      </c>
      <c r="J1771" s="24">
        <v>90</v>
      </c>
      <c r="K1771" s="25">
        <v>0.25</v>
      </c>
      <c r="L1771" s="26">
        <f t="shared" si="271"/>
        <v>22.5</v>
      </c>
      <c r="M1771" s="27">
        <f t="shared" si="272"/>
        <v>67.5</v>
      </c>
      <c r="N1771" s="28">
        <v>0.16</v>
      </c>
      <c r="O1771" s="29">
        <f t="shared" si="273"/>
        <v>10.8</v>
      </c>
      <c r="P1771" s="30">
        <f t="shared" si="274"/>
        <v>78.3</v>
      </c>
      <c r="Q1771" s="23"/>
      <c r="R1771" s="52"/>
      <c r="S1771" s="53"/>
      <c r="T1771" s="54">
        <f t="shared" si="275"/>
        <v>0</v>
      </c>
      <c r="U1771" s="26">
        <f t="shared" si="276"/>
        <v>0</v>
      </c>
      <c r="V1771" s="55">
        <f t="shared" si="277"/>
        <v>0</v>
      </c>
      <c r="W1771" s="29">
        <f t="shared" si="278"/>
        <v>0</v>
      </c>
      <c r="X1771" s="30">
        <f t="shared" si="279"/>
        <v>0</v>
      </c>
      <c r="Y1771"/>
      <c r="Z1771"/>
      <c r="AA1771"/>
    </row>
    <row r="1772" spans="1:27" s="51" customFormat="1" ht="18.600000000000001" hidden="1" customHeight="1" x14ac:dyDescent="0.25">
      <c r="A1772" s="81" t="s">
        <v>2653</v>
      </c>
      <c r="B1772" s="31" t="s">
        <v>9303</v>
      </c>
      <c r="C1772" s="32" t="s">
        <v>9314</v>
      </c>
      <c r="D1772" s="31" t="s">
        <v>4254</v>
      </c>
      <c r="E1772" s="33" t="s">
        <v>4255</v>
      </c>
      <c r="F1772" s="33" t="s">
        <v>1937</v>
      </c>
      <c r="G1772" s="33" t="s">
        <v>3586</v>
      </c>
      <c r="H1772" s="84" t="s">
        <v>4256</v>
      </c>
      <c r="I1772" s="23" t="s">
        <v>24</v>
      </c>
      <c r="J1772" s="34">
        <v>90</v>
      </c>
      <c r="K1772" s="35">
        <v>0.25</v>
      </c>
      <c r="L1772" s="36">
        <f t="shared" si="271"/>
        <v>22.5</v>
      </c>
      <c r="M1772" s="37">
        <f t="shared" si="272"/>
        <v>67.5</v>
      </c>
      <c r="N1772" s="38">
        <v>0.16</v>
      </c>
      <c r="O1772" s="39">
        <f t="shared" si="273"/>
        <v>10.8</v>
      </c>
      <c r="P1772" s="40">
        <f t="shared" si="274"/>
        <v>78.3</v>
      </c>
      <c r="Q1772" s="23"/>
      <c r="R1772" s="56"/>
      <c r="S1772" s="57"/>
      <c r="T1772" s="58">
        <f t="shared" si="275"/>
        <v>0</v>
      </c>
      <c r="U1772" s="36">
        <f t="shared" si="276"/>
        <v>0</v>
      </c>
      <c r="V1772" s="59">
        <f t="shared" si="277"/>
        <v>0</v>
      </c>
      <c r="W1772" s="39">
        <f t="shared" si="278"/>
        <v>0</v>
      </c>
      <c r="X1772" s="40">
        <f t="shared" si="279"/>
        <v>0</v>
      </c>
      <c r="Y1772"/>
      <c r="Z1772"/>
      <c r="AA1772"/>
    </row>
    <row r="1773" spans="1:27" s="51" customFormat="1" ht="18.600000000000001" hidden="1" customHeight="1" x14ac:dyDescent="0.25">
      <c r="A1773" s="82" t="s">
        <v>2653</v>
      </c>
      <c r="B1773" s="41" t="s">
        <v>9303</v>
      </c>
      <c r="C1773" s="42" t="s">
        <v>9314</v>
      </c>
      <c r="D1773" s="41" t="s">
        <v>4257</v>
      </c>
      <c r="E1773" s="43" t="s">
        <v>4258</v>
      </c>
      <c r="F1773" s="43" t="s">
        <v>1937</v>
      </c>
      <c r="G1773" s="43" t="s">
        <v>3586</v>
      </c>
      <c r="H1773" s="85" t="s">
        <v>4259</v>
      </c>
      <c r="I1773" s="23" t="s">
        <v>24</v>
      </c>
      <c r="J1773" s="44">
        <v>90</v>
      </c>
      <c r="K1773" s="45">
        <v>0.25</v>
      </c>
      <c r="L1773" s="46">
        <f t="shared" si="271"/>
        <v>22.5</v>
      </c>
      <c r="M1773" s="47">
        <f t="shared" si="272"/>
        <v>67.5</v>
      </c>
      <c r="N1773" s="48">
        <v>0.16</v>
      </c>
      <c r="O1773" s="49">
        <f t="shared" si="273"/>
        <v>10.8</v>
      </c>
      <c r="P1773" s="50">
        <f t="shared" si="274"/>
        <v>78.3</v>
      </c>
      <c r="Q1773" s="23"/>
      <c r="R1773" s="60"/>
      <c r="S1773" s="61"/>
      <c r="T1773" s="62">
        <f t="shared" si="275"/>
        <v>0</v>
      </c>
      <c r="U1773" s="46">
        <f t="shared" si="276"/>
        <v>0</v>
      </c>
      <c r="V1773" s="63">
        <f t="shared" si="277"/>
        <v>0</v>
      </c>
      <c r="W1773" s="49">
        <f t="shared" si="278"/>
        <v>0</v>
      </c>
      <c r="X1773" s="50">
        <f t="shared" si="279"/>
        <v>0</v>
      </c>
      <c r="Y1773"/>
      <c r="Z1773"/>
      <c r="AA1773"/>
    </row>
    <row r="1774" spans="1:27" s="51" customFormat="1" ht="18.600000000000001" hidden="1" customHeight="1" x14ac:dyDescent="0.25">
      <c r="A1774" s="80" t="s">
        <v>2653</v>
      </c>
      <c r="B1774" s="20" t="s">
        <v>9303</v>
      </c>
      <c r="C1774" s="21" t="s">
        <v>9314</v>
      </c>
      <c r="D1774" s="20" t="s">
        <v>4260</v>
      </c>
      <c r="E1774" s="22" t="s">
        <v>9515</v>
      </c>
      <c r="F1774" s="22" t="s">
        <v>1937</v>
      </c>
      <c r="G1774" s="22" t="s">
        <v>3586</v>
      </c>
      <c r="H1774" s="83" t="s">
        <v>4261</v>
      </c>
      <c r="I1774" s="23" t="s">
        <v>24</v>
      </c>
      <c r="J1774" s="24">
        <v>90</v>
      </c>
      <c r="K1774" s="25">
        <v>0.25</v>
      </c>
      <c r="L1774" s="26">
        <f t="shared" si="271"/>
        <v>22.5</v>
      </c>
      <c r="M1774" s="27">
        <f t="shared" si="272"/>
        <v>67.5</v>
      </c>
      <c r="N1774" s="28">
        <v>0.16</v>
      </c>
      <c r="O1774" s="29">
        <f t="shared" si="273"/>
        <v>10.8</v>
      </c>
      <c r="P1774" s="30">
        <f t="shared" si="274"/>
        <v>78.3</v>
      </c>
      <c r="Q1774" s="23"/>
      <c r="R1774" s="52"/>
      <c r="S1774" s="53"/>
      <c r="T1774" s="54">
        <f t="shared" si="275"/>
        <v>0</v>
      </c>
      <c r="U1774" s="26">
        <f t="shared" si="276"/>
        <v>0</v>
      </c>
      <c r="V1774" s="55">
        <f t="shared" si="277"/>
        <v>0</v>
      </c>
      <c r="W1774" s="29">
        <f t="shared" si="278"/>
        <v>0</v>
      </c>
      <c r="X1774" s="30">
        <f t="shared" si="279"/>
        <v>0</v>
      </c>
      <c r="Y1774"/>
      <c r="Z1774"/>
      <c r="AA1774"/>
    </row>
    <row r="1775" spans="1:27" s="51" customFormat="1" ht="18.600000000000001" hidden="1" customHeight="1" x14ac:dyDescent="0.25">
      <c r="A1775" s="81" t="s">
        <v>2653</v>
      </c>
      <c r="B1775" s="31" t="s">
        <v>9194</v>
      </c>
      <c r="C1775" s="32" t="s">
        <v>9194</v>
      </c>
      <c r="D1775" s="31">
        <v>8435568337985</v>
      </c>
      <c r="E1775" s="33" t="s">
        <v>4262</v>
      </c>
      <c r="F1775" s="33" t="s">
        <v>1937</v>
      </c>
      <c r="G1775" s="33" t="s">
        <v>4263</v>
      </c>
      <c r="H1775" s="84" t="s">
        <v>4264</v>
      </c>
      <c r="I1775" s="23" t="s">
        <v>24</v>
      </c>
      <c r="J1775" s="34">
        <v>320</v>
      </c>
      <c r="K1775" s="35">
        <v>0.25</v>
      </c>
      <c r="L1775" s="36">
        <f t="shared" si="271"/>
        <v>80</v>
      </c>
      <c r="M1775" s="37">
        <f t="shared" si="272"/>
        <v>240</v>
      </c>
      <c r="N1775" s="38">
        <v>0.16</v>
      </c>
      <c r="O1775" s="39">
        <f t="shared" si="273"/>
        <v>38.4</v>
      </c>
      <c r="P1775" s="40">
        <f t="shared" si="274"/>
        <v>278.39999999999998</v>
      </c>
      <c r="Q1775" s="23"/>
      <c r="R1775" s="56"/>
      <c r="S1775" s="57"/>
      <c r="T1775" s="58">
        <f t="shared" si="275"/>
        <v>0</v>
      </c>
      <c r="U1775" s="36">
        <f t="shared" si="276"/>
        <v>0</v>
      </c>
      <c r="V1775" s="59">
        <f t="shared" si="277"/>
        <v>0</v>
      </c>
      <c r="W1775" s="39">
        <f t="shared" si="278"/>
        <v>0</v>
      </c>
      <c r="X1775" s="40">
        <f t="shared" si="279"/>
        <v>0</v>
      </c>
      <c r="Y1775"/>
      <c r="Z1775"/>
      <c r="AA1775"/>
    </row>
    <row r="1776" spans="1:27" s="51" customFormat="1" ht="18.600000000000001" hidden="1" customHeight="1" x14ac:dyDescent="0.25">
      <c r="A1776" s="82" t="s">
        <v>2653</v>
      </c>
      <c r="B1776" s="41" t="s">
        <v>9194</v>
      </c>
      <c r="C1776" s="42" t="s">
        <v>9194</v>
      </c>
      <c r="D1776" s="41" t="s">
        <v>4265</v>
      </c>
      <c r="E1776" s="43" t="s">
        <v>4266</v>
      </c>
      <c r="F1776" s="43" t="s">
        <v>1937</v>
      </c>
      <c r="G1776" s="43" t="s">
        <v>4263</v>
      </c>
      <c r="H1776" s="85" t="s">
        <v>4267</v>
      </c>
      <c r="I1776" s="23" t="s">
        <v>24</v>
      </c>
      <c r="J1776" s="44">
        <v>320</v>
      </c>
      <c r="K1776" s="45">
        <v>0.25</v>
      </c>
      <c r="L1776" s="46">
        <f t="shared" si="271"/>
        <v>80</v>
      </c>
      <c r="M1776" s="47">
        <f t="shared" si="272"/>
        <v>240</v>
      </c>
      <c r="N1776" s="48">
        <v>0.16</v>
      </c>
      <c r="O1776" s="49">
        <f t="shared" si="273"/>
        <v>38.4</v>
      </c>
      <c r="P1776" s="50">
        <f t="shared" si="274"/>
        <v>278.39999999999998</v>
      </c>
      <c r="Q1776" s="23"/>
      <c r="R1776" s="60"/>
      <c r="S1776" s="61"/>
      <c r="T1776" s="62">
        <f t="shared" si="275"/>
        <v>0</v>
      </c>
      <c r="U1776" s="46">
        <f t="shared" si="276"/>
        <v>0</v>
      </c>
      <c r="V1776" s="63">
        <f t="shared" si="277"/>
        <v>0</v>
      </c>
      <c r="W1776" s="49">
        <f t="shared" si="278"/>
        <v>0</v>
      </c>
      <c r="X1776" s="50">
        <f t="shared" si="279"/>
        <v>0</v>
      </c>
      <c r="Y1776"/>
      <c r="Z1776"/>
      <c r="AA1776"/>
    </row>
    <row r="1777" spans="1:27" s="51" customFormat="1" ht="18.600000000000001" hidden="1" customHeight="1" x14ac:dyDescent="0.25">
      <c r="A1777" s="80" t="s">
        <v>2653</v>
      </c>
      <c r="B1777" s="20" t="s">
        <v>9194</v>
      </c>
      <c r="C1777" s="21" t="s">
        <v>9194</v>
      </c>
      <c r="D1777" s="20">
        <v>8435568338005</v>
      </c>
      <c r="E1777" s="22" t="s">
        <v>4268</v>
      </c>
      <c r="F1777" s="22" t="s">
        <v>1937</v>
      </c>
      <c r="G1777" s="22" t="s">
        <v>2655</v>
      </c>
      <c r="H1777" s="83" t="s">
        <v>4269</v>
      </c>
      <c r="I1777" s="23" t="s">
        <v>24</v>
      </c>
      <c r="J1777" s="24">
        <v>210</v>
      </c>
      <c r="K1777" s="25">
        <v>0.25</v>
      </c>
      <c r="L1777" s="26">
        <f t="shared" si="271"/>
        <v>52.5</v>
      </c>
      <c r="M1777" s="27">
        <f t="shared" si="272"/>
        <v>157.5</v>
      </c>
      <c r="N1777" s="28">
        <v>0.16</v>
      </c>
      <c r="O1777" s="29">
        <f t="shared" si="273"/>
        <v>25.2</v>
      </c>
      <c r="P1777" s="30">
        <f t="shared" si="274"/>
        <v>182.7</v>
      </c>
      <c r="Q1777" s="23"/>
      <c r="R1777" s="52"/>
      <c r="S1777" s="53"/>
      <c r="T1777" s="54">
        <f t="shared" si="275"/>
        <v>0</v>
      </c>
      <c r="U1777" s="26">
        <f t="shared" si="276"/>
        <v>0</v>
      </c>
      <c r="V1777" s="55">
        <f t="shared" si="277"/>
        <v>0</v>
      </c>
      <c r="W1777" s="29">
        <f t="shared" si="278"/>
        <v>0</v>
      </c>
      <c r="X1777" s="30">
        <f t="shared" si="279"/>
        <v>0</v>
      </c>
      <c r="Y1777"/>
      <c r="Z1777"/>
      <c r="AA1777"/>
    </row>
    <row r="1778" spans="1:27" s="51" customFormat="1" ht="18.600000000000001" hidden="1" customHeight="1" x14ac:dyDescent="0.25">
      <c r="A1778" s="81" t="s">
        <v>2653</v>
      </c>
      <c r="B1778" s="31" t="s">
        <v>9194</v>
      </c>
      <c r="C1778" s="32" t="s">
        <v>9194</v>
      </c>
      <c r="D1778" s="31" t="s">
        <v>4270</v>
      </c>
      <c r="E1778" s="33" t="s">
        <v>4271</v>
      </c>
      <c r="F1778" s="33" t="s">
        <v>1937</v>
      </c>
      <c r="G1778" s="33" t="s">
        <v>2655</v>
      </c>
      <c r="H1778" s="84" t="s">
        <v>4272</v>
      </c>
      <c r="I1778" s="23" t="s">
        <v>24</v>
      </c>
      <c r="J1778" s="34">
        <v>210</v>
      </c>
      <c r="K1778" s="35">
        <v>0.25</v>
      </c>
      <c r="L1778" s="36">
        <f t="shared" si="271"/>
        <v>52.5</v>
      </c>
      <c r="M1778" s="37">
        <f t="shared" si="272"/>
        <v>157.5</v>
      </c>
      <c r="N1778" s="38">
        <v>0.16</v>
      </c>
      <c r="O1778" s="39">
        <f t="shared" si="273"/>
        <v>25.2</v>
      </c>
      <c r="P1778" s="40">
        <f t="shared" si="274"/>
        <v>182.7</v>
      </c>
      <c r="Q1778" s="23"/>
      <c r="R1778" s="56"/>
      <c r="S1778" s="57"/>
      <c r="T1778" s="58">
        <f t="shared" si="275"/>
        <v>0</v>
      </c>
      <c r="U1778" s="36">
        <f t="shared" si="276"/>
        <v>0</v>
      </c>
      <c r="V1778" s="59">
        <f t="shared" si="277"/>
        <v>0</v>
      </c>
      <c r="W1778" s="39">
        <f t="shared" si="278"/>
        <v>0</v>
      </c>
      <c r="X1778" s="40">
        <f t="shared" si="279"/>
        <v>0</v>
      </c>
      <c r="Y1778"/>
      <c r="Z1778"/>
      <c r="AA1778"/>
    </row>
    <row r="1779" spans="1:27" s="51" customFormat="1" ht="18.600000000000001" hidden="1" customHeight="1" x14ac:dyDescent="0.25">
      <c r="A1779" s="82" t="s">
        <v>2653</v>
      </c>
      <c r="B1779" s="41" t="s">
        <v>9194</v>
      </c>
      <c r="C1779" s="42" t="s">
        <v>9194</v>
      </c>
      <c r="D1779" s="41">
        <v>8435568338029</v>
      </c>
      <c r="E1779" s="43" t="s">
        <v>4273</v>
      </c>
      <c r="F1779" s="43" t="s">
        <v>1937</v>
      </c>
      <c r="G1779" s="43" t="s">
        <v>4274</v>
      </c>
      <c r="H1779" s="85" t="s">
        <v>4275</v>
      </c>
      <c r="I1779" s="23" t="s">
        <v>24</v>
      </c>
      <c r="J1779" s="44">
        <v>110</v>
      </c>
      <c r="K1779" s="45">
        <v>0.25</v>
      </c>
      <c r="L1779" s="46">
        <f t="shared" si="271"/>
        <v>27.5</v>
      </c>
      <c r="M1779" s="47">
        <f t="shared" si="272"/>
        <v>82.5</v>
      </c>
      <c r="N1779" s="48">
        <v>0.16</v>
      </c>
      <c r="O1779" s="49">
        <f t="shared" si="273"/>
        <v>13.200000000000001</v>
      </c>
      <c r="P1779" s="50">
        <f t="shared" si="274"/>
        <v>95.7</v>
      </c>
      <c r="Q1779" s="23"/>
      <c r="R1779" s="60"/>
      <c r="S1779" s="61"/>
      <c r="T1779" s="62">
        <f t="shared" si="275"/>
        <v>0</v>
      </c>
      <c r="U1779" s="46">
        <f t="shared" si="276"/>
        <v>0</v>
      </c>
      <c r="V1779" s="63">
        <f t="shared" si="277"/>
        <v>0</v>
      </c>
      <c r="W1779" s="49">
        <f t="shared" si="278"/>
        <v>0</v>
      </c>
      <c r="X1779" s="50">
        <f t="shared" si="279"/>
        <v>0</v>
      </c>
      <c r="Y1779"/>
      <c r="Z1779"/>
      <c r="AA1779"/>
    </row>
    <row r="1780" spans="1:27" s="51" customFormat="1" ht="18.600000000000001" hidden="1" customHeight="1" x14ac:dyDescent="0.25">
      <c r="A1780" s="80" t="s">
        <v>2653</v>
      </c>
      <c r="B1780" s="20" t="s">
        <v>9303</v>
      </c>
      <c r="C1780" s="21" t="s">
        <v>9315</v>
      </c>
      <c r="D1780" s="20" t="s">
        <v>4276</v>
      </c>
      <c r="E1780" s="22" t="s">
        <v>4277</v>
      </c>
      <c r="F1780" s="22" t="s">
        <v>1937</v>
      </c>
      <c r="G1780" s="22" t="s">
        <v>3586</v>
      </c>
      <c r="H1780" s="83" t="s">
        <v>4278</v>
      </c>
      <c r="I1780" s="23" t="s">
        <v>24</v>
      </c>
      <c r="J1780" s="24">
        <v>95</v>
      </c>
      <c r="K1780" s="25">
        <v>0.25</v>
      </c>
      <c r="L1780" s="26">
        <f t="shared" si="271"/>
        <v>23.75</v>
      </c>
      <c r="M1780" s="27">
        <f t="shared" si="272"/>
        <v>71.25</v>
      </c>
      <c r="N1780" s="28">
        <v>0.16</v>
      </c>
      <c r="O1780" s="29">
        <f t="shared" si="273"/>
        <v>11.4</v>
      </c>
      <c r="P1780" s="30">
        <f t="shared" si="274"/>
        <v>82.65</v>
      </c>
      <c r="Q1780" s="23"/>
      <c r="R1780" s="52"/>
      <c r="S1780" s="53"/>
      <c r="T1780" s="54">
        <f t="shared" si="275"/>
        <v>0</v>
      </c>
      <c r="U1780" s="26">
        <f t="shared" si="276"/>
        <v>0</v>
      </c>
      <c r="V1780" s="55">
        <f t="shared" si="277"/>
        <v>0</v>
      </c>
      <c r="W1780" s="29">
        <f t="shared" si="278"/>
        <v>0</v>
      </c>
      <c r="X1780" s="30">
        <f t="shared" si="279"/>
        <v>0</v>
      </c>
      <c r="Y1780"/>
      <c r="Z1780"/>
      <c r="AA1780"/>
    </row>
    <row r="1781" spans="1:27" s="51" customFormat="1" ht="18.600000000000001" hidden="1" customHeight="1" x14ac:dyDescent="0.25">
      <c r="A1781" s="81" t="s">
        <v>2653</v>
      </c>
      <c r="B1781" s="31" t="s">
        <v>9303</v>
      </c>
      <c r="C1781" s="32" t="s">
        <v>9315</v>
      </c>
      <c r="D1781" s="31" t="s">
        <v>4279</v>
      </c>
      <c r="E1781" s="33" t="s">
        <v>4280</v>
      </c>
      <c r="F1781" s="33" t="s">
        <v>1937</v>
      </c>
      <c r="G1781" s="33" t="s">
        <v>3586</v>
      </c>
      <c r="H1781" s="84" t="s">
        <v>4281</v>
      </c>
      <c r="I1781" s="23" t="s">
        <v>24</v>
      </c>
      <c r="J1781" s="34">
        <v>95</v>
      </c>
      <c r="K1781" s="35">
        <v>0.25</v>
      </c>
      <c r="L1781" s="36">
        <f t="shared" si="271"/>
        <v>23.75</v>
      </c>
      <c r="M1781" s="37">
        <f t="shared" si="272"/>
        <v>71.25</v>
      </c>
      <c r="N1781" s="38">
        <v>0.16</v>
      </c>
      <c r="O1781" s="39">
        <f t="shared" si="273"/>
        <v>11.4</v>
      </c>
      <c r="P1781" s="40">
        <f t="shared" si="274"/>
        <v>82.65</v>
      </c>
      <c r="Q1781" s="23"/>
      <c r="R1781" s="56"/>
      <c r="S1781" s="57"/>
      <c r="T1781" s="58">
        <f t="shared" si="275"/>
        <v>0</v>
      </c>
      <c r="U1781" s="36">
        <f t="shared" si="276"/>
        <v>0</v>
      </c>
      <c r="V1781" s="59">
        <f t="shared" si="277"/>
        <v>0</v>
      </c>
      <c r="W1781" s="39">
        <f t="shared" si="278"/>
        <v>0</v>
      </c>
      <c r="X1781" s="40">
        <f t="shared" si="279"/>
        <v>0</v>
      </c>
      <c r="Y1781"/>
      <c r="Z1781"/>
      <c r="AA1781"/>
    </row>
    <row r="1782" spans="1:27" s="51" customFormat="1" ht="18.600000000000001" hidden="1" customHeight="1" x14ac:dyDescent="0.25">
      <c r="A1782" s="82" t="s">
        <v>2653</v>
      </c>
      <c r="B1782" s="41" t="s">
        <v>9303</v>
      </c>
      <c r="C1782" s="42" t="s">
        <v>9315</v>
      </c>
      <c r="D1782" s="41" t="s">
        <v>4282</v>
      </c>
      <c r="E1782" s="43" t="s">
        <v>4283</v>
      </c>
      <c r="F1782" s="43" t="s">
        <v>1937</v>
      </c>
      <c r="G1782" s="43" t="s">
        <v>3586</v>
      </c>
      <c r="H1782" s="85" t="s">
        <v>4284</v>
      </c>
      <c r="I1782" s="23" t="s">
        <v>24</v>
      </c>
      <c r="J1782" s="44">
        <v>95</v>
      </c>
      <c r="K1782" s="45">
        <v>0.25</v>
      </c>
      <c r="L1782" s="46">
        <f t="shared" si="271"/>
        <v>23.75</v>
      </c>
      <c r="M1782" s="47">
        <f t="shared" si="272"/>
        <v>71.25</v>
      </c>
      <c r="N1782" s="48">
        <v>0.16</v>
      </c>
      <c r="O1782" s="49">
        <f t="shared" si="273"/>
        <v>11.4</v>
      </c>
      <c r="P1782" s="50">
        <f t="shared" si="274"/>
        <v>82.65</v>
      </c>
      <c r="Q1782" s="23"/>
      <c r="R1782" s="60"/>
      <c r="S1782" s="61"/>
      <c r="T1782" s="62">
        <f t="shared" si="275"/>
        <v>0</v>
      </c>
      <c r="U1782" s="46">
        <f t="shared" si="276"/>
        <v>0</v>
      </c>
      <c r="V1782" s="63">
        <f t="shared" si="277"/>
        <v>0</v>
      </c>
      <c r="W1782" s="49">
        <f t="shared" si="278"/>
        <v>0</v>
      </c>
      <c r="X1782" s="50">
        <f t="shared" si="279"/>
        <v>0</v>
      </c>
      <c r="Y1782"/>
      <c r="Z1782"/>
      <c r="AA1782"/>
    </row>
    <row r="1783" spans="1:27" s="51" customFormat="1" ht="18.600000000000001" hidden="1" customHeight="1" x14ac:dyDescent="0.25">
      <c r="A1783" s="80" t="s">
        <v>2653</v>
      </c>
      <c r="B1783" s="20" t="s">
        <v>9303</v>
      </c>
      <c r="C1783" s="21" t="s">
        <v>9315</v>
      </c>
      <c r="D1783" s="20" t="s">
        <v>4285</v>
      </c>
      <c r="E1783" s="22" t="s">
        <v>4286</v>
      </c>
      <c r="F1783" s="22" t="s">
        <v>1937</v>
      </c>
      <c r="G1783" s="22" t="s">
        <v>3586</v>
      </c>
      <c r="H1783" s="83" t="s">
        <v>4287</v>
      </c>
      <c r="I1783" s="23" t="s">
        <v>24</v>
      </c>
      <c r="J1783" s="24">
        <v>95</v>
      </c>
      <c r="K1783" s="25">
        <v>0.25</v>
      </c>
      <c r="L1783" s="26">
        <f t="shared" si="271"/>
        <v>23.75</v>
      </c>
      <c r="M1783" s="27">
        <f t="shared" si="272"/>
        <v>71.25</v>
      </c>
      <c r="N1783" s="28">
        <v>0.16</v>
      </c>
      <c r="O1783" s="29">
        <f t="shared" si="273"/>
        <v>11.4</v>
      </c>
      <c r="P1783" s="30">
        <f t="shared" si="274"/>
        <v>82.65</v>
      </c>
      <c r="Q1783" s="23"/>
      <c r="R1783" s="52"/>
      <c r="S1783" s="53"/>
      <c r="T1783" s="54">
        <f t="shared" si="275"/>
        <v>0</v>
      </c>
      <c r="U1783" s="26">
        <f t="shared" si="276"/>
        <v>0</v>
      </c>
      <c r="V1783" s="55">
        <f t="shared" si="277"/>
        <v>0</v>
      </c>
      <c r="W1783" s="29">
        <f t="shared" si="278"/>
        <v>0</v>
      </c>
      <c r="X1783" s="30">
        <f t="shared" si="279"/>
        <v>0</v>
      </c>
      <c r="Y1783"/>
      <c r="Z1783"/>
      <c r="AA1783"/>
    </row>
    <row r="1784" spans="1:27" s="51" customFormat="1" ht="18.600000000000001" hidden="1" customHeight="1" x14ac:dyDescent="0.25">
      <c r="A1784" s="81" t="s">
        <v>2653</v>
      </c>
      <c r="B1784" s="31" t="s">
        <v>9303</v>
      </c>
      <c r="C1784" s="32" t="s">
        <v>9315</v>
      </c>
      <c r="D1784" s="31" t="s">
        <v>4288</v>
      </c>
      <c r="E1784" s="33" t="s">
        <v>4289</v>
      </c>
      <c r="F1784" s="33" t="s">
        <v>1937</v>
      </c>
      <c r="G1784" s="33" t="s">
        <v>3586</v>
      </c>
      <c r="H1784" s="84" t="s">
        <v>4290</v>
      </c>
      <c r="I1784" s="23" t="s">
        <v>24</v>
      </c>
      <c r="J1784" s="34">
        <v>95</v>
      </c>
      <c r="K1784" s="35">
        <v>0.25</v>
      </c>
      <c r="L1784" s="36">
        <f t="shared" si="271"/>
        <v>23.75</v>
      </c>
      <c r="M1784" s="37">
        <f t="shared" si="272"/>
        <v>71.25</v>
      </c>
      <c r="N1784" s="38">
        <v>0.16</v>
      </c>
      <c r="O1784" s="39">
        <f t="shared" si="273"/>
        <v>11.4</v>
      </c>
      <c r="P1784" s="40">
        <f t="shared" si="274"/>
        <v>82.65</v>
      </c>
      <c r="Q1784" s="23"/>
      <c r="R1784" s="56"/>
      <c r="S1784" s="57"/>
      <c r="T1784" s="58">
        <f t="shared" si="275"/>
        <v>0</v>
      </c>
      <c r="U1784" s="36">
        <f t="shared" si="276"/>
        <v>0</v>
      </c>
      <c r="V1784" s="59">
        <f t="shared" si="277"/>
        <v>0</v>
      </c>
      <c r="W1784" s="39">
        <f t="shared" si="278"/>
        <v>0</v>
      </c>
      <c r="X1784" s="40">
        <f t="shared" si="279"/>
        <v>0</v>
      </c>
      <c r="Y1784"/>
      <c r="Z1784"/>
      <c r="AA1784"/>
    </row>
    <row r="1785" spans="1:27" s="51" customFormat="1" ht="18.600000000000001" hidden="1" customHeight="1" x14ac:dyDescent="0.25">
      <c r="A1785" s="82" t="s">
        <v>2653</v>
      </c>
      <c r="B1785" s="41" t="s">
        <v>9303</v>
      </c>
      <c r="C1785" s="42" t="s">
        <v>9315</v>
      </c>
      <c r="D1785" s="41" t="s">
        <v>4291</v>
      </c>
      <c r="E1785" s="43" t="s">
        <v>4292</v>
      </c>
      <c r="F1785" s="43" t="s">
        <v>1937</v>
      </c>
      <c r="G1785" s="43" t="s">
        <v>3586</v>
      </c>
      <c r="H1785" s="85" t="s">
        <v>4293</v>
      </c>
      <c r="I1785" s="23" t="s">
        <v>24</v>
      </c>
      <c r="J1785" s="44">
        <v>95</v>
      </c>
      <c r="K1785" s="45">
        <v>0.25</v>
      </c>
      <c r="L1785" s="46">
        <f t="shared" si="271"/>
        <v>23.75</v>
      </c>
      <c r="M1785" s="47">
        <f t="shared" si="272"/>
        <v>71.25</v>
      </c>
      <c r="N1785" s="48">
        <v>0.16</v>
      </c>
      <c r="O1785" s="49">
        <f t="shared" si="273"/>
        <v>11.4</v>
      </c>
      <c r="P1785" s="50">
        <f t="shared" si="274"/>
        <v>82.65</v>
      </c>
      <c r="Q1785" s="23"/>
      <c r="R1785" s="60"/>
      <c r="S1785" s="61"/>
      <c r="T1785" s="62">
        <f t="shared" si="275"/>
        <v>0</v>
      </c>
      <c r="U1785" s="46">
        <f t="shared" si="276"/>
        <v>0</v>
      </c>
      <c r="V1785" s="63">
        <f t="shared" si="277"/>
        <v>0</v>
      </c>
      <c r="W1785" s="49">
        <f t="shared" si="278"/>
        <v>0</v>
      </c>
      <c r="X1785" s="50">
        <f t="shared" si="279"/>
        <v>0</v>
      </c>
      <c r="Y1785"/>
      <c r="Z1785"/>
      <c r="AA1785"/>
    </row>
    <row r="1786" spans="1:27" s="51" customFormat="1" ht="18.600000000000001" hidden="1" customHeight="1" x14ac:dyDescent="0.25">
      <c r="A1786" s="80" t="s">
        <v>2653</v>
      </c>
      <c r="B1786" s="20" t="s">
        <v>9303</v>
      </c>
      <c r="C1786" s="21" t="s">
        <v>9315</v>
      </c>
      <c r="D1786" s="20" t="s">
        <v>4294</v>
      </c>
      <c r="E1786" s="22" t="s">
        <v>4295</v>
      </c>
      <c r="F1786" s="22" t="s">
        <v>1937</v>
      </c>
      <c r="G1786" s="22" t="s">
        <v>3586</v>
      </c>
      <c r="H1786" s="83" t="s">
        <v>4296</v>
      </c>
      <c r="I1786" s="23" t="s">
        <v>24</v>
      </c>
      <c r="J1786" s="24">
        <v>95</v>
      </c>
      <c r="K1786" s="25">
        <v>0.25</v>
      </c>
      <c r="L1786" s="26">
        <f t="shared" si="271"/>
        <v>23.75</v>
      </c>
      <c r="M1786" s="27">
        <f t="shared" si="272"/>
        <v>71.25</v>
      </c>
      <c r="N1786" s="28">
        <v>0.16</v>
      </c>
      <c r="O1786" s="29">
        <f t="shared" si="273"/>
        <v>11.4</v>
      </c>
      <c r="P1786" s="30">
        <f t="shared" si="274"/>
        <v>82.65</v>
      </c>
      <c r="Q1786" s="23"/>
      <c r="R1786" s="52"/>
      <c r="S1786" s="53"/>
      <c r="T1786" s="54">
        <f t="shared" si="275"/>
        <v>0</v>
      </c>
      <c r="U1786" s="26">
        <f t="shared" si="276"/>
        <v>0</v>
      </c>
      <c r="V1786" s="55">
        <f t="shared" si="277"/>
        <v>0</v>
      </c>
      <c r="W1786" s="29">
        <f t="shared" si="278"/>
        <v>0</v>
      </c>
      <c r="X1786" s="30">
        <f t="shared" si="279"/>
        <v>0</v>
      </c>
      <c r="Y1786"/>
      <c r="Z1786"/>
      <c r="AA1786"/>
    </row>
    <row r="1787" spans="1:27" s="51" customFormat="1" ht="18.600000000000001" hidden="1" customHeight="1" x14ac:dyDescent="0.25">
      <c r="A1787" s="81" t="s">
        <v>2653</v>
      </c>
      <c r="B1787" s="31" t="s">
        <v>9303</v>
      </c>
      <c r="C1787" s="32" t="s">
        <v>9315</v>
      </c>
      <c r="D1787" s="31" t="s">
        <v>4297</v>
      </c>
      <c r="E1787" s="33" t="s">
        <v>4298</v>
      </c>
      <c r="F1787" s="33" t="s">
        <v>1937</v>
      </c>
      <c r="G1787" s="33" t="s">
        <v>3586</v>
      </c>
      <c r="H1787" s="84" t="s">
        <v>4299</v>
      </c>
      <c r="I1787" s="23" t="s">
        <v>24</v>
      </c>
      <c r="J1787" s="34">
        <v>95</v>
      </c>
      <c r="K1787" s="35">
        <v>0.25</v>
      </c>
      <c r="L1787" s="36">
        <f t="shared" si="271"/>
        <v>23.75</v>
      </c>
      <c r="M1787" s="37">
        <f t="shared" si="272"/>
        <v>71.25</v>
      </c>
      <c r="N1787" s="38">
        <v>0.16</v>
      </c>
      <c r="O1787" s="39">
        <f t="shared" si="273"/>
        <v>11.4</v>
      </c>
      <c r="P1787" s="40">
        <f t="shared" si="274"/>
        <v>82.65</v>
      </c>
      <c r="Q1787" s="23"/>
      <c r="R1787" s="56"/>
      <c r="S1787" s="57"/>
      <c r="T1787" s="58">
        <f t="shared" si="275"/>
        <v>0</v>
      </c>
      <c r="U1787" s="36">
        <f t="shared" si="276"/>
        <v>0</v>
      </c>
      <c r="V1787" s="59">
        <f t="shared" si="277"/>
        <v>0</v>
      </c>
      <c r="W1787" s="39">
        <f t="shared" si="278"/>
        <v>0</v>
      </c>
      <c r="X1787" s="40">
        <f t="shared" si="279"/>
        <v>0</v>
      </c>
      <c r="Y1787"/>
      <c r="Z1787"/>
      <c r="AA1787"/>
    </row>
    <row r="1788" spans="1:27" s="51" customFormat="1" ht="18.600000000000001" hidden="1" customHeight="1" x14ac:dyDescent="0.25">
      <c r="A1788" s="82" t="s">
        <v>2653</v>
      </c>
      <c r="B1788" s="41" t="s">
        <v>9303</v>
      </c>
      <c r="C1788" s="42" t="s">
        <v>9315</v>
      </c>
      <c r="D1788" s="41" t="s">
        <v>4300</v>
      </c>
      <c r="E1788" s="43" t="s">
        <v>4301</v>
      </c>
      <c r="F1788" s="43" t="s">
        <v>1937</v>
      </c>
      <c r="G1788" s="43" t="s">
        <v>3586</v>
      </c>
      <c r="H1788" s="85" t="s">
        <v>4302</v>
      </c>
      <c r="I1788" s="23" t="s">
        <v>24</v>
      </c>
      <c r="J1788" s="44">
        <v>95</v>
      </c>
      <c r="K1788" s="45">
        <v>0.25</v>
      </c>
      <c r="L1788" s="46">
        <f t="shared" si="271"/>
        <v>23.75</v>
      </c>
      <c r="M1788" s="47">
        <f t="shared" si="272"/>
        <v>71.25</v>
      </c>
      <c r="N1788" s="48">
        <v>0.16</v>
      </c>
      <c r="O1788" s="49">
        <f t="shared" si="273"/>
        <v>11.4</v>
      </c>
      <c r="P1788" s="50">
        <f t="shared" si="274"/>
        <v>82.65</v>
      </c>
      <c r="Q1788" s="23"/>
      <c r="R1788" s="60"/>
      <c r="S1788" s="61"/>
      <c r="T1788" s="62">
        <f t="shared" si="275"/>
        <v>0</v>
      </c>
      <c r="U1788" s="46">
        <f t="shared" si="276"/>
        <v>0</v>
      </c>
      <c r="V1788" s="63">
        <f t="shared" si="277"/>
        <v>0</v>
      </c>
      <c r="W1788" s="49">
        <f t="shared" si="278"/>
        <v>0</v>
      </c>
      <c r="X1788" s="50">
        <f t="shared" si="279"/>
        <v>0</v>
      </c>
      <c r="Y1788"/>
      <c r="Z1788"/>
      <c r="AA1788"/>
    </row>
    <row r="1789" spans="1:27" s="51" customFormat="1" ht="18.600000000000001" hidden="1" customHeight="1" x14ac:dyDescent="0.25">
      <c r="A1789" s="80" t="s">
        <v>2653</v>
      </c>
      <c r="B1789" s="20" t="s">
        <v>9303</v>
      </c>
      <c r="C1789" s="21" t="s">
        <v>9315</v>
      </c>
      <c r="D1789" s="20" t="s">
        <v>4303</v>
      </c>
      <c r="E1789" s="22" t="s">
        <v>4304</v>
      </c>
      <c r="F1789" s="22" t="s">
        <v>1937</v>
      </c>
      <c r="G1789" s="22" t="s">
        <v>3586</v>
      </c>
      <c r="H1789" s="83" t="s">
        <v>4305</v>
      </c>
      <c r="I1789" s="23" t="s">
        <v>24</v>
      </c>
      <c r="J1789" s="24">
        <v>95</v>
      </c>
      <c r="K1789" s="25">
        <v>0.25</v>
      </c>
      <c r="L1789" s="26">
        <f t="shared" si="271"/>
        <v>23.75</v>
      </c>
      <c r="M1789" s="27">
        <f t="shared" si="272"/>
        <v>71.25</v>
      </c>
      <c r="N1789" s="28">
        <v>0.16</v>
      </c>
      <c r="O1789" s="29">
        <f t="shared" si="273"/>
        <v>11.4</v>
      </c>
      <c r="P1789" s="30">
        <f t="shared" si="274"/>
        <v>82.65</v>
      </c>
      <c r="Q1789" s="23"/>
      <c r="R1789" s="52"/>
      <c r="S1789" s="53"/>
      <c r="T1789" s="54">
        <f t="shared" si="275"/>
        <v>0</v>
      </c>
      <c r="U1789" s="26">
        <f t="shared" si="276"/>
        <v>0</v>
      </c>
      <c r="V1789" s="55">
        <f t="shared" si="277"/>
        <v>0</v>
      </c>
      <c r="W1789" s="29">
        <f t="shared" si="278"/>
        <v>0</v>
      </c>
      <c r="X1789" s="30">
        <f t="shared" si="279"/>
        <v>0</v>
      </c>
      <c r="Y1789"/>
      <c r="Z1789"/>
      <c r="AA1789"/>
    </row>
    <row r="1790" spans="1:27" s="51" customFormat="1" ht="18.600000000000001" hidden="1" customHeight="1" x14ac:dyDescent="0.25">
      <c r="A1790" s="81" t="s">
        <v>2653</v>
      </c>
      <c r="B1790" s="31" t="s">
        <v>9303</v>
      </c>
      <c r="C1790" s="32" t="s">
        <v>9316</v>
      </c>
      <c r="D1790" s="31" t="s">
        <v>4306</v>
      </c>
      <c r="E1790" s="33" t="s">
        <v>4307</v>
      </c>
      <c r="F1790" s="33" t="s">
        <v>1937</v>
      </c>
      <c r="G1790" s="33" t="s">
        <v>3586</v>
      </c>
      <c r="H1790" s="84" t="s">
        <v>4308</v>
      </c>
      <c r="I1790" s="23" t="s">
        <v>24</v>
      </c>
      <c r="J1790" s="34">
        <v>90</v>
      </c>
      <c r="K1790" s="35">
        <v>0.25</v>
      </c>
      <c r="L1790" s="36">
        <f t="shared" si="271"/>
        <v>22.5</v>
      </c>
      <c r="M1790" s="37">
        <f t="shared" si="272"/>
        <v>67.5</v>
      </c>
      <c r="N1790" s="38">
        <v>0.16</v>
      </c>
      <c r="O1790" s="39">
        <f t="shared" si="273"/>
        <v>10.8</v>
      </c>
      <c r="P1790" s="40">
        <f t="shared" si="274"/>
        <v>78.3</v>
      </c>
      <c r="Q1790" s="23"/>
      <c r="R1790" s="56"/>
      <c r="S1790" s="57"/>
      <c r="T1790" s="58">
        <f t="shared" si="275"/>
        <v>0</v>
      </c>
      <c r="U1790" s="36">
        <f t="shared" si="276"/>
        <v>0</v>
      </c>
      <c r="V1790" s="59">
        <f t="shared" si="277"/>
        <v>0</v>
      </c>
      <c r="W1790" s="39">
        <f t="shared" si="278"/>
        <v>0</v>
      </c>
      <c r="X1790" s="40">
        <f t="shared" si="279"/>
        <v>0</v>
      </c>
      <c r="Y1790"/>
      <c r="Z1790"/>
      <c r="AA1790"/>
    </row>
    <row r="1791" spans="1:27" s="51" customFormat="1" ht="18.600000000000001" hidden="1" customHeight="1" x14ac:dyDescent="0.25">
      <c r="A1791" s="82" t="s">
        <v>2653</v>
      </c>
      <c r="B1791" s="41" t="s">
        <v>9303</v>
      </c>
      <c r="C1791" s="42" t="s">
        <v>9316</v>
      </c>
      <c r="D1791" s="41" t="s">
        <v>4309</v>
      </c>
      <c r="E1791" s="43" t="s">
        <v>4310</v>
      </c>
      <c r="F1791" s="43" t="s">
        <v>1937</v>
      </c>
      <c r="G1791" s="43" t="s">
        <v>3586</v>
      </c>
      <c r="H1791" s="85" t="s">
        <v>4311</v>
      </c>
      <c r="I1791" s="23" t="s">
        <v>24</v>
      </c>
      <c r="J1791" s="44">
        <v>90</v>
      </c>
      <c r="K1791" s="45">
        <v>0.25</v>
      </c>
      <c r="L1791" s="46">
        <f t="shared" si="271"/>
        <v>22.5</v>
      </c>
      <c r="M1791" s="47">
        <f t="shared" si="272"/>
        <v>67.5</v>
      </c>
      <c r="N1791" s="48">
        <v>0.16</v>
      </c>
      <c r="O1791" s="49">
        <f t="shared" si="273"/>
        <v>10.8</v>
      </c>
      <c r="P1791" s="50">
        <f t="shared" si="274"/>
        <v>78.3</v>
      </c>
      <c r="Q1791" s="23"/>
      <c r="R1791" s="60"/>
      <c r="S1791" s="61"/>
      <c r="T1791" s="62">
        <f t="shared" si="275"/>
        <v>0</v>
      </c>
      <c r="U1791" s="46">
        <f t="shared" si="276"/>
        <v>0</v>
      </c>
      <c r="V1791" s="63">
        <f t="shared" si="277"/>
        <v>0</v>
      </c>
      <c r="W1791" s="49">
        <f t="shared" si="278"/>
        <v>0</v>
      </c>
      <c r="X1791" s="50">
        <f t="shared" si="279"/>
        <v>0</v>
      </c>
      <c r="Y1791"/>
      <c r="Z1791"/>
      <c r="AA1791"/>
    </row>
    <row r="1792" spans="1:27" s="51" customFormat="1" ht="18.600000000000001" hidden="1" customHeight="1" x14ac:dyDescent="0.25">
      <c r="A1792" s="80" t="s">
        <v>2653</v>
      </c>
      <c r="B1792" s="20" t="s">
        <v>9303</v>
      </c>
      <c r="C1792" s="21" t="s">
        <v>9316</v>
      </c>
      <c r="D1792" s="20" t="s">
        <v>4312</v>
      </c>
      <c r="E1792" s="22" t="s">
        <v>4313</v>
      </c>
      <c r="F1792" s="22" t="s">
        <v>1937</v>
      </c>
      <c r="G1792" s="22" t="s">
        <v>3586</v>
      </c>
      <c r="H1792" s="83" t="s">
        <v>4314</v>
      </c>
      <c r="I1792" s="23" t="s">
        <v>24</v>
      </c>
      <c r="J1792" s="24">
        <v>90</v>
      </c>
      <c r="K1792" s="25">
        <v>0.25</v>
      </c>
      <c r="L1792" s="26">
        <f t="shared" si="271"/>
        <v>22.5</v>
      </c>
      <c r="M1792" s="27">
        <f t="shared" si="272"/>
        <v>67.5</v>
      </c>
      <c r="N1792" s="28">
        <v>0.16</v>
      </c>
      <c r="O1792" s="29">
        <f t="shared" si="273"/>
        <v>10.8</v>
      </c>
      <c r="P1792" s="30">
        <f t="shared" si="274"/>
        <v>78.3</v>
      </c>
      <c r="Q1792" s="23"/>
      <c r="R1792" s="52"/>
      <c r="S1792" s="53"/>
      <c r="T1792" s="54">
        <f t="shared" si="275"/>
        <v>0</v>
      </c>
      <c r="U1792" s="26">
        <f t="shared" si="276"/>
        <v>0</v>
      </c>
      <c r="V1792" s="55">
        <f t="shared" si="277"/>
        <v>0</v>
      </c>
      <c r="W1792" s="29">
        <f t="shared" si="278"/>
        <v>0</v>
      </c>
      <c r="X1792" s="30">
        <f t="shared" si="279"/>
        <v>0</v>
      </c>
      <c r="Y1792"/>
      <c r="Z1792"/>
      <c r="AA1792"/>
    </row>
    <row r="1793" spans="1:27" s="51" customFormat="1" ht="18.600000000000001" hidden="1" customHeight="1" x14ac:dyDescent="0.25">
      <c r="A1793" s="81" t="s">
        <v>2653</v>
      </c>
      <c r="B1793" s="31" t="s">
        <v>9303</v>
      </c>
      <c r="C1793" s="32" t="s">
        <v>9316</v>
      </c>
      <c r="D1793" s="31" t="s">
        <v>4315</v>
      </c>
      <c r="E1793" s="33" t="s">
        <v>4316</v>
      </c>
      <c r="F1793" s="33" t="s">
        <v>1937</v>
      </c>
      <c r="G1793" s="33" t="s">
        <v>3586</v>
      </c>
      <c r="H1793" s="84" t="s">
        <v>4317</v>
      </c>
      <c r="I1793" s="23" t="s">
        <v>24</v>
      </c>
      <c r="J1793" s="34">
        <v>90</v>
      </c>
      <c r="K1793" s="35">
        <v>0.25</v>
      </c>
      <c r="L1793" s="36">
        <f t="shared" si="271"/>
        <v>22.5</v>
      </c>
      <c r="M1793" s="37">
        <f t="shared" si="272"/>
        <v>67.5</v>
      </c>
      <c r="N1793" s="38">
        <v>0.16</v>
      </c>
      <c r="O1793" s="39">
        <f t="shared" si="273"/>
        <v>10.8</v>
      </c>
      <c r="P1793" s="40">
        <f t="shared" si="274"/>
        <v>78.3</v>
      </c>
      <c r="Q1793" s="23"/>
      <c r="R1793" s="56"/>
      <c r="S1793" s="57"/>
      <c r="T1793" s="58">
        <f t="shared" si="275"/>
        <v>0</v>
      </c>
      <c r="U1793" s="36">
        <f t="shared" si="276"/>
        <v>0</v>
      </c>
      <c r="V1793" s="59">
        <f t="shared" si="277"/>
        <v>0</v>
      </c>
      <c r="W1793" s="39">
        <f t="shared" si="278"/>
        <v>0</v>
      </c>
      <c r="X1793" s="40">
        <f t="shared" si="279"/>
        <v>0</v>
      </c>
      <c r="Y1793"/>
      <c r="Z1793"/>
      <c r="AA1793"/>
    </row>
    <row r="1794" spans="1:27" s="51" customFormat="1" ht="18.600000000000001" hidden="1" customHeight="1" x14ac:dyDescent="0.25">
      <c r="A1794" s="82" t="s">
        <v>2653</v>
      </c>
      <c r="B1794" s="41" t="s">
        <v>9303</v>
      </c>
      <c r="C1794" s="42" t="s">
        <v>9316</v>
      </c>
      <c r="D1794" s="41" t="s">
        <v>4318</v>
      </c>
      <c r="E1794" s="43" t="s">
        <v>4319</v>
      </c>
      <c r="F1794" s="43" t="s">
        <v>1937</v>
      </c>
      <c r="G1794" s="43" t="s">
        <v>3586</v>
      </c>
      <c r="H1794" s="85" t="s">
        <v>4320</v>
      </c>
      <c r="I1794" s="23" t="s">
        <v>24</v>
      </c>
      <c r="J1794" s="44">
        <v>90</v>
      </c>
      <c r="K1794" s="45">
        <v>0.25</v>
      </c>
      <c r="L1794" s="46">
        <f t="shared" si="271"/>
        <v>22.5</v>
      </c>
      <c r="M1794" s="47">
        <f t="shared" si="272"/>
        <v>67.5</v>
      </c>
      <c r="N1794" s="48">
        <v>0.16</v>
      </c>
      <c r="O1794" s="49">
        <f t="shared" si="273"/>
        <v>10.8</v>
      </c>
      <c r="P1794" s="50">
        <f t="shared" si="274"/>
        <v>78.3</v>
      </c>
      <c r="Q1794" s="23"/>
      <c r="R1794" s="60"/>
      <c r="S1794" s="61"/>
      <c r="T1794" s="62">
        <f t="shared" si="275"/>
        <v>0</v>
      </c>
      <c r="U1794" s="46">
        <f t="shared" si="276"/>
        <v>0</v>
      </c>
      <c r="V1794" s="63">
        <f t="shared" si="277"/>
        <v>0</v>
      </c>
      <c r="W1794" s="49">
        <f t="shared" si="278"/>
        <v>0</v>
      </c>
      <c r="X1794" s="50">
        <f t="shared" si="279"/>
        <v>0</v>
      </c>
      <c r="Y1794"/>
      <c r="Z1794"/>
      <c r="AA1794"/>
    </row>
    <row r="1795" spans="1:27" s="51" customFormat="1" ht="18.600000000000001" hidden="1" customHeight="1" x14ac:dyDescent="0.25">
      <c r="A1795" s="80" t="s">
        <v>2653</v>
      </c>
      <c r="B1795" s="20" t="s">
        <v>9303</v>
      </c>
      <c r="C1795" s="21" t="s">
        <v>9316</v>
      </c>
      <c r="D1795" s="20" t="s">
        <v>4321</v>
      </c>
      <c r="E1795" s="22" t="s">
        <v>4322</v>
      </c>
      <c r="F1795" s="22" t="s">
        <v>1937</v>
      </c>
      <c r="G1795" s="22" t="s">
        <v>3586</v>
      </c>
      <c r="H1795" s="83" t="s">
        <v>4323</v>
      </c>
      <c r="I1795" s="23" t="s">
        <v>24</v>
      </c>
      <c r="J1795" s="24">
        <v>90</v>
      </c>
      <c r="K1795" s="25">
        <v>0.25</v>
      </c>
      <c r="L1795" s="26">
        <f t="shared" si="271"/>
        <v>22.5</v>
      </c>
      <c r="M1795" s="27">
        <f t="shared" si="272"/>
        <v>67.5</v>
      </c>
      <c r="N1795" s="28">
        <v>0.16</v>
      </c>
      <c r="O1795" s="29">
        <f t="shared" si="273"/>
        <v>10.8</v>
      </c>
      <c r="P1795" s="30">
        <f t="shared" si="274"/>
        <v>78.3</v>
      </c>
      <c r="Q1795" s="23"/>
      <c r="R1795" s="52"/>
      <c r="S1795" s="53"/>
      <c r="T1795" s="54">
        <f t="shared" si="275"/>
        <v>0</v>
      </c>
      <c r="U1795" s="26">
        <f t="shared" si="276"/>
        <v>0</v>
      </c>
      <c r="V1795" s="55">
        <f t="shared" si="277"/>
        <v>0</v>
      </c>
      <c r="W1795" s="29">
        <f t="shared" si="278"/>
        <v>0</v>
      </c>
      <c r="X1795" s="30">
        <f t="shared" si="279"/>
        <v>0</v>
      </c>
      <c r="Y1795"/>
      <c r="Z1795"/>
      <c r="AA1795"/>
    </row>
    <row r="1796" spans="1:27" s="51" customFormat="1" ht="18.600000000000001" hidden="1" customHeight="1" x14ac:dyDescent="0.25">
      <c r="A1796" s="81" t="s">
        <v>2653</v>
      </c>
      <c r="B1796" s="31" t="s">
        <v>9303</v>
      </c>
      <c r="C1796" s="32" t="s">
        <v>9316</v>
      </c>
      <c r="D1796" s="31" t="s">
        <v>4324</v>
      </c>
      <c r="E1796" s="33" t="s">
        <v>4325</v>
      </c>
      <c r="F1796" s="33" t="s">
        <v>1937</v>
      </c>
      <c r="G1796" s="33" t="s">
        <v>3586</v>
      </c>
      <c r="H1796" s="84" t="s">
        <v>4326</v>
      </c>
      <c r="I1796" s="23" t="s">
        <v>24</v>
      </c>
      <c r="J1796" s="34">
        <v>90</v>
      </c>
      <c r="K1796" s="35">
        <v>0.25</v>
      </c>
      <c r="L1796" s="36">
        <f t="shared" si="271"/>
        <v>22.5</v>
      </c>
      <c r="M1796" s="37">
        <f t="shared" si="272"/>
        <v>67.5</v>
      </c>
      <c r="N1796" s="38">
        <v>0.16</v>
      </c>
      <c r="O1796" s="39">
        <f t="shared" si="273"/>
        <v>10.8</v>
      </c>
      <c r="P1796" s="40">
        <f t="shared" si="274"/>
        <v>78.3</v>
      </c>
      <c r="Q1796" s="23"/>
      <c r="R1796" s="56"/>
      <c r="S1796" s="57"/>
      <c r="T1796" s="58">
        <f t="shared" si="275"/>
        <v>0</v>
      </c>
      <c r="U1796" s="36">
        <f t="shared" si="276"/>
        <v>0</v>
      </c>
      <c r="V1796" s="59">
        <f t="shared" si="277"/>
        <v>0</v>
      </c>
      <c r="W1796" s="39">
        <f t="shared" si="278"/>
        <v>0</v>
      </c>
      <c r="X1796" s="40">
        <f t="shared" si="279"/>
        <v>0</v>
      </c>
      <c r="Y1796"/>
      <c r="Z1796"/>
      <c r="AA1796"/>
    </row>
    <row r="1797" spans="1:27" s="51" customFormat="1" ht="18.600000000000001" hidden="1" customHeight="1" x14ac:dyDescent="0.25">
      <c r="A1797" s="82" t="s">
        <v>2653</v>
      </c>
      <c r="B1797" s="41" t="s">
        <v>9303</v>
      </c>
      <c r="C1797" s="42" t="s">
        <v>9316</v>
      </c>
      <c r="D1797" s="41" t="s">
        <v>4327</v>
      </c>
      <c r="E1797" s="43" t="s">
        <v>4328</v>
      </c>
      <c r="F1797" s="43" t="s">
        <v>1937</v>
      </c>
      <c r="G1797" s="43" t="s">
        <v>3586</v>
      </c>
      <c r="H1797" s="85" t="s">
        <v>4329</v>
      </c>
      <c r="I1797" s="23" t="s">
        <v>24</v>
      </c>
      <c r="J1797" s="44">
        <v>90</v>
      </c>
      <c r="K1797" s="45">
        <v>0.25</v>
      </c>
      <c r="L1797" s="46">
        <f t="shared" si="271"/>
        <v>22.5</v>
      </c>
      <c r="M1797" s="47">
        <f t="shared" si="272"/>
        <v>67.5</v>
      </c>
      <c r="N1797" s="48">
        <v>0.16</v>
      </c>
      <c r="O1797" s="49">
        <f t="shared" si="273"/>
        <v>10.8</v>
      </c>
      <c r="P1797" s="50">
        <f t="shared" si="274"/>
        <v>78.3</v>
      </c>
      <c r="Q1797" s="23"/>
      <c r="R1797" s="60"/>
      <c r="S1797" s="61"/>
      <c r="T1797" s="62">
        <f t="shared" si="275"/>
        <v>0</v>
      </c>
      <c r="U1797" s="46">
        <f t="shared" si="276"/>
        <v>0</v>
      </c>
      <c r="V1797" s="63">
        <f t="shared" si="277"/>
        <v>0</v>
      </c>
      <c r="W1797" s="49">
        <f t="shared" si="278"/>
        <v>0</v>
      </c>
      <c r="X1797" s="50">
        <f t="shared" si="279"/>
        <v>0</v>
      </c>
      <c r="Y1797"/>
      <c r="Z1797"/>
      <c r="AA1797"/>
    </row>
    <row r="1798" spans="1:27" s="51" customFormat="1" ht="18.600000000000001" hidden="1" customHeight="1" x14ac:dyDescent="0.25">
      <c r="A1798" s="80" t="s">
        <v>2653</v>
      </c>
      <c r="B1798" s="20" t="s">
        <v>9303</v>
      </c>
      <c r="C1798" s="21" t="s">
        <v>9316</v>
      </c>
      <c r="D1798" s="20" t="s">
        <v>4330</v>
      </c>
      <c r="E1798" s="22" t="s">
        <v>4331</v>
      </c>
      <c r="F1798" s="22" t="s">
        <v>1937</v>
      </c>
      <c r="G1798" s="22" t="s">
        <v>3586</v>
      </c>
      <c r="H1798" s="83" t="s">
        <v>4332</v>
      </c>
      <c r="I1798" s="23" t="s">
        <v>24</v>
      </c>
      <c r="J1798" s="24">
        <v>90</v>
      </c>
      <c r="K1798" s="25">
        <v>0.25</v>
      </c>
      <c r="L1798" s="26">
        <f t="shared" si="271"/>
        <v>22.5</v>
      </c>
      <c r="M1798" s="27">
        <f t="shared" si="272"/>
        <v>67.5</v>
      </c>
      <c r="N1798" s="28">
        <v>0.16</v>
      </c>
      <c r="O1798" s="29">
        <f t="shared" si="273"/>
        <v>10.8</v>
      </c>
      <c r="P1798" s="30">
        <f t="shared" si="274"/>
        <v>78.3</v>
      </c>
      <c r="Q1798" s="23"/>
      <c r="R1798" s="52"/>
      <c r="S1798" s="53"/>
      <c r="T1798" s="54">
        <f t="shared" si="275"/>
        <v>0</v>
      </c>
      <c r="U1798" s="26">
        <f t="shared" si="276"/>
        <v>0</v>
      </c>
      <c r="V1798" s="55">
        <f t="shared" si="277"/>
        <v>0</v>
      </c>
      <c r="W1798" s="29">
        <f t="shared" si="278"/>
        <v>0</v>
      </c>
      <c r="X1798" s="30">
        <f t="shared" si="279"/>
        <v>0</v>
      </c>
      <c r="Y1798"/>
      <c r="Z1798"/>
      <c r="AA1798"/>
    </row>
    <row r="1799" spans="1:27" s="51" customFormat="1" ht="18.600000000000001" hidden="1" customHeight="1" x14ac:dyDescent="0.25">
      <c r="A1799" s="81" t="s">
        <v>2653</v>
      </c>
      <c r="B1799" s="31" t="s">
        <v>9303</v>
      </c>
      <c r="C1799" s="32" t="s">
        <v>9316</v>
      </c>
      <c r="D1799" s="31" t="s">
        <v>4333</v>
      </c>
      <c r="E1799" s="33" t="s">
        <v>4334</v>
      </c>
      <c r="F1799" s="33" t="s">
        <v>1937</v>
      </c>
      <c r="G1799" s="33" t="s">
        <v>3586</v>
      </c>
      <c r="H1799" s="84" t="s">
        <v>4335</v>
      </c>
      <c r="I1799" s="23" t="s">
        <v>24</v>
      </c>
      <c r="J1799" s="34">
        <v>90</v>
      </c>
      <c r="K1799" s="35">
        <v>0.25</v>
      </c>
      <c r="L1799" s="36">
        <f t="shared" si="271"/>
        <v>22.5</v>
      </c>
      <c r="M1799" s="37">
        <f t="shared" si="272"/>
        <v>67.5</v>
      </c>
      <c r="N1799" s="38">
        <v>0.16</v>
      </c>
      <c r="O1799" s="39">
        <f t="shared" si="273"/>
        <v>10.8</v>
      </c>
      <c r="P1799" s="40">
        <f t="shared" si="274"/>
        <v>78.3</v>
      </c>
      <c r="Q1799" s="23"/>
      <c r="R1799" s="56"/>
      <c r="S1799" s="57"/>
      <c r="T1799" s="58">
        <f t="shared" si="275"/>
        <v>0</v>
      </c>
      <c r="U1799" s="36">
        <f t="shared" si="276"/>
        <v>0</v>
      </c>
      <c r="V1799" s="59">
        <f t="shared" si="277"/>
        <v>0</v>
      </c>
      <c r="W1799" s="39">
        <f t="shared" si="278"/>
        <v>0</v>
      </c>
      <c r="X1799" s="40">
        <f t="shared" si="279"/>
        <v>0</v>
      </c>
      <c r="Y1799"/>
      <c r="Z1799"/>
      <c r="AA1799"/>
    </row>
    <row r="1800" spans="1:27" s="51" customFormat="1" ht="18.600000000000001" hidden="1" customHeight="1" x14ac:dyDescent="0.25">
      <c r="A1800" s="82" t="s">
        <v>2653</v>
      </c>
      <c r="B1800" s="41" t="s">
        <v>9303</v>
      </c>
      <c r="C1800" s="42" t="s">
        <v>9316</v>
      </c>
      <c r="D1800" s="41" t="s">
        <v>4336</v>
      </c>
      <c r="E1800" s="43" t="s">
        <v>4337</v>
      </c>
      <c r="F1800" s="43" t="s">
        <v>1937</v>
      </c>
      <c r="G1800" s="43" t="s">
        <v>3586</v>
      </c>
      <c r="H1800" s="85" t="s">
        <v>4338</v>
      </c>
      <c r="I1800" s="23" t="s">
        <v>24</v>
      </c>
      <c r="J1800" s="44">
        <v>90</v>
      </c>
      <c r="K1800" s="45">
        <v>0.25</v>
      </c>
      <c r="L1800" s="46">
        <f t="shared" si="271"/>
        <v>22.5</v>
      </c>
      <c r="M1800" s="47">
        <f t="shared" si="272"/>
        <v>67.5</v>
      </c>
      <c r="N1800" s="48">
        <v>0.16</v>
      </c>
      <c r="O1800" s="49">
        <f t="shared" si="273"/>
        <v>10.8</v>
      </c>
      <c r="P1800" s="50">
        <f t="shared" si="274"/>
        <v>78.3</v>
      </c>
      <c r="Q1800" s="23"/>
      <c r="R1800" s="60"/>
      <c r="S1800" s="61"/>
      <c r="T1800" s="62">
        <f t="shared" si="275"/>
        <v>0</v>
      </c>
      <c r="U1800" s="46">
        <f t="shared" si="276"/>
        <v>0</v>
      </c>
      <c r="V1800" s="63">
        <f t="shared" si="277"/>
        <v>0</v>
      </c>
      <c r="W1800" s="49">
        <f t="shared" si="278"/>
        <v>0</v>
      </c>
      <c r="X1800" s="50">
        <f t="shared" si="279"/>
        <v>0</v>
      </c>
      <c r="Y1800"/>
      <c r="Z1800"/>
      <c r="AA1800"/>
    </row>
    <row r="1801" spans="1:27" s="51" customFormat="1" ht="18.600000000000001" hidden="1" customHeight="1" x14ac:dyDescent="0.25">
      <c r="A1801" s="80" t="s">
        <v>2653</v>
      </c>
      <c r="B1801" s="20" t="s">
        <v>9303</v>
      </c>
      <c r="C1801" s="21" t="s">
        <v>9316</v>
      </c>
      <c r="D1801" s="20" t="s">
        <v>4339</v>
      </c>
      <c r="E1801" s="22" t="s">
        <v>4340</v>
      </c>
      <c r="F1801" s="22" t="s">
        <v>1937</v>
      </c>
      <c r="G1801" s="22" t="s">
        <v>3586</v>
      </c>
      <c r="H1801" s="83" t="s">
        <v>4341</v>
      </c>
      <c r="I1801" s="23" t="s">
        <v>24</v>
      </c>
      <c r="J1801" s="24">
        <v>90</v>
      </c>
      <c r="K1801" s="25">
        <v>0.25</v>
      </c>
      <c r="L1801" s="26">
        <f t="shared" si="271"/>
        <v>22.5</v>
      </c>
      <c r="M1801" s="27">
        <f t="shared" si="272"/>
        <v>67.5</v>
      </c>
      <c r="N1801" s="28">
        <v>0.16</v>
      </c>
      <c r="O1801" s="29">
        <f t="shared" si="273"/>
        <v>10.8</v>
      </c>
      <c r="P1801" s="30">
        <f t="shared" si="274"/>
        <v>78.3</v>
      </c>
      <c r="Q1801" s="23"/>
      <c r="R1801" s="52"/>
      <c r="S1801" s="53"/>
      <c r="T1801" s="54">
        <f t="shared" si="275"/>
        <v>0</v>
      </c>
      <c r="U1801" s="26">
        <f t="shared" si="276"/>
        <v>0</v>
      </c>
      <c r="V1801" s="55">
        <f t="shared" si="277"/>
        <v>0</v>
      </c>
      <c r="W1801" s="29">
        <f t="shared" si="278"/>
        <v>0</v>
      </c>
      <c r="X1801" s="30">
        <f t="shared" si="279"/>
        <v>0</v>
      </c>
      <c r="Y1801"/>
      <c r="Z1801"/>
      <c r="AA1801"/>
    </row>
    <row r="1802" spans="1:27" s="51" customFormat="1" ht="18.600000000000001" hidden="1" customHeight="1" x14ac:dyDescent="0.25">
      <c r="A1802" s="81" t="s">
        <v>2653</v>
      </c>
      <c r="B1802" s="31" t="s">
        <v>9303</v>
      </c>
      <c r="C1802" s="32" t="s">
        <v>9316</v>
      </c>
      <c r="D1802" s="31" t="s">
        <v>4342</v>
      </c>
      <c r="E1802" s="33" t="s">
        <v>4343</v>
      </c>
      <c r="F1802" s="33" t="s">
        <v>1937</v>
      </c>
      <c r="G1802" s="33" t="s">
        <v>3586</v>
      </c>
      <c r="H1802" s="84" t="s">
        <v>4344</v>
      </c>
      <c r="I1802" s="23" t="s">
        <v>24</v>
      </c>
      <c r="J1802" s="34">
        <v>90</v>
      </c>
      <c r="K1802" s="35">
        <v>0.25</v>
      </c>
      <c r="L1802" s="36">
        <f t="shared" si="271"/>
        <v>22.5</v>
      </c>
      <c r="M1802" s="37">
        <f t="shared" si="272"/>
        <v>67.5</v>
      </c>
      <c r="N1802" s="38">
        <v>0.16</v>
      </c>
      <c r="O1802" s="39">
        <f t="shared" si="273"/>
        <v>10.8</v>
      </c>
      <c r="P1802" s="40">
        <f t="shared" si="274"/>
        <v>78.3</v>
      </c>
      <c r="Q1802" s="23"/>
      <c r="R1802" s="56"/>
      <c r="S1802" s="57"/>
      <c r="T1802" s="58">
        <f t="shared" si="275"/>
        <v>0</v>
      </c>
      <c r="U1802" s="36">
        <f t="shared" si="276"/>
        <v>0</v>
      </c>
      <c r="V1802" s="59">
        <f t="shared" si="277"/>
        <v>0</v>
      </c>
      <c r="W1802" s="39">
        <f t="shared" si="278"/>
        <v>0</v>
      </c>
      <c r="X1802" s="40">
        <f t="shared" si="279"/>
        <v>0</v>
      </c>
      <c r="Y1802"/>
      <c r="Z1802"/>
      <c r="AA1802"/>
    </row>
    <row r="1803" spans="1:27" s="51" customFormat="1" ht="18.600000000000001" hidden="1" customHeight="1" x14ac:dyDescent="0.25">
      <c r="A1803" s="82" t="s">
        <v>2653</v>
      </c>
      <c r="B1803" s="41" t="s">
        <v>9303</v>
      </c>
      <c r="C1803" s="42" t="s">
        <v>9316</v>
      </c>
      <c r="D1803" s="41" t="s">
        <v>4345</v>
      </c>
      <c r="E1803" s="43" t="s">
        <v>4346</v>
      </c>
      <c r="F1803" s="43" t="s">
        <v>1937</v>
      </c>
      <c r="G1803" s="43" t="s">
        <v>3586</v>
      </c>
      <c r="H1803" s="85" t="s">
        <v>4347</v>
      </c>
      <c r="I1803" s="23" t="s">
        <v>24</v>
      </c>
      <c r="J1803" s="44">
        <v>90</v>
      </c>
      <c r="K1803" s="45">
        <v>0.25</v>
      </c>
      <c r="L1803" s="46">
        <f t="shared" si="271"/>
        <v>22.5</v>
      </c>
      <c r="M1803" s="47">
        <f t="shared" si="272"/>
        <v>67.5</v>
      </c>
      <c r="N1803" s="48">
        <v>0.16</v>
      </c>
      <c r="O1803" s="49">
        <f t="shared" si="273"/>
        <v>10.8</v>
      </c>
      <c r="P1803" s="50">
        <f t="shared" si="274"/>
        <v>78.3</v>
      </c>
      <c r="Q1803" s="23"/>
      <c r="R1803" s="60"/>
      <c r="S1803" s="61"/>
      <c r="T1803" s="62">
        <f t="shared" si="275"/>
        <v>0</v>
      </c>
      <c r="U1803" s="46">
        <f t="shared" si="276"/>
        <v>0</v>
      </c>
      <c r="V1803" s="63">
        <f t="shared" si="277"/>
        <v>0</v>
      </c>
      <c r="W1803" s="49">
        <f t="shared" si="278"/>
        <v>0</v>
      </c>
      <c r="X1803" s="50">
        <f t="shared" si="279"/>
        <v>0</v>
      </c>
      <c r="Y1803"/>
      <c r="Z1803"/>
      <c r="AA1803"/>
    </row>
    <row r="1804" spans="1:27" s="51" customFormat="1" ht="18.600000000000001" hidden="1" customHeight="1" x14ac:dyDescent="0.25">
      <c r="A1804" s="80" t="s">
        <v>2653</v>
      </c>
      <c r="B1804" s="20" t="s">
        <v>9303</v>
      </c>
      <c r="C1804" s="21" t="s">
        <v>9316</v>
      </c>
      <c r="D1804" s="20" t="s">
        <v>4348</v>
      </c>
      <c r="E1804" s="22" t="s">
        <v>4349</v>
      </c>
      <c r="F1804" s="22" t="s">
        <v>1937</v>
      </c>
      <c r="G1804" s="22" t="s">
        <v>3586</v>
      </c>
      <c r="H1804" s="83" t="s">
        <v>4350</v>
      </c>
      <c r="I1804" s="23" t="s">
        <v>24</v>
      </c>
      <c r="J1804" s="24">
        <v>90</v>
      </c>
      <c r="K1804" s="25">
        <v>0.25</v>
      </c>
      <c r="L1804" s="26">
        <f t="shared" si="271"/>
        <v>22.5</v>
      </c>
      <c r="M1804" s="27">
        <f t="shared" si="272"/>
        <v>67.5</v>
      </c>
      <c r="N1804" s="28">
        <v>0.16</v>
      </c>
      <c r="O1804" s="29">
        <f t="shared" si="273"/>
        <v>10.8</v>
      </c>
      <c r="P1804" s="30">
        <f t="shared" si="274"/>
        <v>78.3</v>
      </c>
      <c r="Q1804" s="23"/>
      <c r="R1804" s="52"/>
      <c r="S1804" s="53"/>
      <c r="T1804" s="54">
        <f t="shared" si="275"/>
        <v>0</v>
      </c>
      <c r="U1804" s="26">
        <f t="shared" si="276"/>
        <v>0</v>
      </c>
      <c r="V1804" s="55">
        <f t="shared" si="277"/>
        <v>0</v>
      </c>
      <c r="W1804" s="29">
        <f t="shared" si="278"/>
        <v>0</v>
      </c>
      <c r="X1804" s="30">
        <f t="shared" si="279"/>
        <v>0</v>
      </c>
      <c r="Y1804"/>
      <c r="Z1804"/>
      <c r="AA1804"/>
    </row>
    <row r="1805" spans="1:27" s="51" customFormat="1" ht="18.600000000000001" hidden="1" customHeight="1" x14ac:dyDescent="0.25">
      <c r="A1805" s="81" t="s">
        <v>2653</v>
      </c>
      <c r="B1805" s="31" t="s">
        <v>9303</v>
      </c>
      <c r="C1805" s="32" t="s">
        <v>9316</v>
      </c>
      <c r="D1805" s="31" t="s">
        <v>4351</v>
      </c>
      <c r="E1805" s="33" t="s">
        <v>4352</v>
      </c>
      <c r="F1805" s="33" t="s">
        <v>1937</v>
      </c>
      <c r="G1805" s="33" t="s">
        <v>3586</v>
      </c>
      <c r="H1805" s="84" t="s">
        <v>4353</v>
      </c>
      <c r="I1805" s="23" t="s">
        <v>24</v>
      </c>
      <c r="J1805" s="34">
        <v>90</v>
      </c>
      <c r="K1805" s="35">
        <v>0.25</v>
      </c>
      <c r="L1805" s="36">
        <f t="shared" si="271"/>
        <v>22.5</v>
      </c>
      <c r="M1805" s="37">
        <f t="shared" si="272"/>
        <v>67.5</v>
      </c>
      <c r="N1805" s="38">
        <v>0.16</v>
      </c>
      <c r="O1805" s="39">
        <f t="shared" si="273"/>
        <v>10.8</v>
      </c>
      <c r="P1805" s="40">
        <f t="shared" si="274"/>
        <v>78.3</v>
      </c>
      <c r="Q1805" s="23"/>
      <c r="R1805" s="56"/>
      <c r="S1805" s="57"/>
      <c r="T1805" s="58">
        <f t="shared" si="275"/>
        <v>0</v>
      </c>
      <c r="U1805" s="36">
        <f t="shared" si="276"/>
        <v>0</v>
      </c>
      <c r="V1805" s="59">
        <f t="shared" si="277"/>
        <v>0</v>
      </c>
      <c r="W1805" s="39">
        <f t="shared" si="278"/>
        <v>0</v>
      </c>
      <c r="X1805" s="40">
        <f t="shared" si="279"/>
        <v>0</v>
      </c>
      <c r="Y1805"/>
      <c r="Z1805"/>
      <c r="AA1805"/>
    </row>
    <row r="1806" spans="1:27" s="51" customFormat="1" ht="18.600000000000001" hidden="1" customHeight="1" x14ac:dyDescent="0.25">
      <c r="A1806" s="82" t="s">
        <v>2653</v>
      </c>
      <c r="B1806" s="41" t="s">
        <v>9303</v>
      </c>
      <c r="C1806" s="42" t="s">
        <v>9316</v>
      </c>
      <c r="D1806" s="41" t="s">
        <v>4354</v>
      </c>
      <c r="E1806" s="43" t="s">
        <v>4355</v>
      </c>
      <c r="F1806" s="43" t="s">
        <v>1937</v>
      </c>
      <c r="G1806" s="43" t="s">
        <v>3586</v>
      </c>
      <c r="H1806" s="85" t="s">
        <v>4356</v>
      </c>
      <c r="I1806" s="23" t="s">
        <v>24</v>
      </c>
      <c r="J1806" s="44">
        <v>90</v>
      </c>
      <c r="K1806" s="45">
        <v>0.25</v>
      </c>
      <c r="L1806" s="46">
        <f t="shared" si="271"/>
        <v>22.5</v>
      </c>
      <c r="M1806" s="47">
        <f t="shared" si="272"/>
        <v>67.5</v>
      </c>
      <c r="N1806" s="48">
        <v>0.16</v>
      </c>
      <c r="O1806" s="49">
        <f t="shared" si="273"/>
        <v>10.8</v>
      </c>
      <c r="P1806" s="50">
        <f t="shared" si="274"/>
        <v>78.3</v>
      </c>
      <c r="Q1806" s="23"/>
      <c r="R1806" s="60"/>
      <c r="S1806" s="61"/>
      <c r="T1806" s="62">
        <f t="shared" si="275"/>
        <v>0</v>
      </c>
      <c r="U1806" s="46">
        <f t="shared" si="276"/>
        <v>0</v>
      </c>
      <c r="V1806" s="63">
        <f t="shared" si="277"/>
        <v>0</v>
      </c>
      <c r="W1806" s="49">
        <f t="shared" si="278"/>
        <v>0</v>
      </c>
      <c r="X1806" s="50">
        <f t="shared" si="279"/>
        <v>0</v>
      </c>
      <c r="Y1806"/>
      <c r="Z1806"/>
      <c r="AA1806"/>
    </row>
    <row r="1807" spans="1:27" s="51" customFormat="1" ht="18.600000000000001" hidden="1" customHeight="1" x14ac:dyDescent="0.25">
      <c r="A1807" s="80" t="s">
        <v>2653</v>
      </c>
      <c r="B1807" s="20" t="s">
        <v>9303</v>
      </c>
      <c r="C1807" s="21" t="s">
        <v>9316</v>
      </c>
      <c r="D1807" s="20" t="s">
        <v>4357</v>
      </c>
      <c r="E1807" s="22" t="s">
        <v>4358</v>
      </c>
      <c r="F1807" s="22" t="s">
        <v>1937</v>
      </c>
      <c r="G1807" s="22" t="s">
        <v>3586</v>
      </c>
      <c r="H1807" s="83" t="s">
        <v>4359</v>
      </c>
      <c r="I1807" s="23" t="s">
        <v>24</v>
      </c>
      <c r="J1807" s="24">
        <v>90</v>
      </c>
      <c r="K1807" s="25">
        <v>0.25</v>
      </c>
      <c r="L1807" s="26">
        <f t="shared" si="271"/>
        <v>22.5</v>
      </c>
      <c r="M1807" s="27">
        <f t="shared" si="272"/>
        <v>67.5</v>
      </c>
      <c r="N1807" s="28">
        <v>0.16</v>
      </c>
      <c r="O1807" s="29">
        <f t="shared" si="273"/>
        <v>10.8</v>
      </c>
      <c r="P1807" s="30">
        <f t="shared" si="274"/>
        <v>78.3</v>
      </c>
      <c r="Q1807" s="23"/>
      <c r="R1807" s="52"/>
      <c r="S1807" s="53"/>
      <c r="T1807" s="54">
        <f t="shared" si="275"/>
        <v>0</v>
      </c>
      <c r="U1807" s="26">
        <f t="shared" si="276"/>
        <v>0</v>
      </c>
      <c r="V1807" s="55">
        <f t="shared" si="277"/>
        <v>0</v>
      </c>
      <c r="W1807" s="29">
        <f t="shared" si="278"/>
        <v>0</v>
      </c>
      <c r="X1807" s="30">
        <f t="shared" si="279"/>
        <v>0</v>
      </c>
      <c r="Y1807"/>
      <c r="Z1807"/>
      <c r="AA1807"/>
    </row>
    <row r="1808" spans="1:27" s="51" customFormat="1" ht="18.600000000000001" hidden="1" customHeight="1" x14ac:dyDescent="0.25">
      <c r="A1808" s="81" t="s">
        <v>2653</v>
      </c>
      <c r="B1808" s="31" t="s">
        <v>9303</v>
      </c>
      <c r="C1808" s="32" t="s">
        <v>9316</v>
      </c>
      <c r="D1808" s="31" t="s">
        <v>4360</v>
      </c>
      <c r="E1808" s="33" t="s">
        <v>4361</v>
      </c>
      <c r="F1808" s="33" t="s">
        <v>1937</v>
      </c>
      <c r="G1808" s="33" t="s">
        <v>3586</v>
      </c>
      <c r="H1808" s="84" t="s">
        <v>4362</v>
      </c>
      <c r="I1808" s="23" t="s">
        <v>24</v>
      </c>
      <c r="J1808" s="34">
        <v>90</v>
      </c>
      <c r="K1808" s="35">
        <v>0.25</v>
      </c>
      <c r="L1808" s="36">
        <f t="shared" si="271"/>
        <v>22.5</v>
      </c>
      <c r="M1808" s="37">
        <f t="shared" si="272"/>
        <v>67.5</v>
      </c>
      <c r="N1808" s="38">
        <v>0.16</v>
      </c>
      <c r="O1808" s="39">
        <f t="shared" si="273"/>
        <v>10.8</v>
      </c>
      <c r="P1808" s="40">
        <f t="shared" si="274"/>
        <v>78.3</v>
      </c>
      <c r="Q1808" s="23"/>
      <c r="R1808" s="56"/>
      <c r="S1808" s="57"/>
      <c r="T1808" s="58">
        <f t="shared" si="275"/>
        <v>0</v>
      </c>
      <c r="U1808" s="36">
        <f t="shared" si="276"/>
        <v>0</v>
      </c>
      <c r="V1808" s="59">
        <f t="shared" si="277"/>
        <v>0</v>
      </c>
      <c r="W1808" s="39">
        <f t="shared" si="278"/>
        <v>0</v>
      </c>
      <c r="X1808" s="40">
        <f t="shared" si="279"/>
        <v>0</v>
      </c>
      <c r="Y1808"/>
      <c r="Z1808"/>
      <c r="AA1808"/>
    </row>
    <row r="1809" spans="1:27" s="51" customFormat="1" ht="18.600000000000001" hidden="1" customHeight="1" x14ac:dyDescent="0.25">
      <c r="A1809" s="82" t="s">
        <v>2653</v>
      </c>
      <c r="B1809" s="41" t="s">
        <v>9303</v>
      </c>
      <c r="C1809" s="42" t="s">
        <v>9316</v>
      </c>
      <c r="D1809" s="41" t="s">
        <v>4363</v>
      </c>
      <c r="E1809" s="43" t="s">
        <v>4364</v>
      </c>
      <c r="F1809" s="43" t="s">
        <v>1937</v>
      </c>
      <c r="G1809" s="43" t="s">
        <v>3586</v>
      </c>
      <c r="H1809" s="85" t="s">
        <v>4365</v>
      </c>
      <c r="I1809" s="23" t="s">
        <v>24</v>
      </c>
      <c r="J1809" s="44">
        <v>90</v>
      </c>
      <c r="K1809" s="45">
        <v>0.25</v>
      </c>
      <c r="L1809" s="46">
        <f t="shared" si="271"/>
        <v>22.5</v>
      </c>
      <c r="M1809" s="47">
        <f t="shared" si="272"/>
        <v>67.5</v>
      </c>
      <c r="N1809" s="48">
        <v>0.16</v>
      </c>
      <c r="O1809" s="49">
        <f t="shared" si="273"/>
        <v>10.8</v>
      </c>
      <c r="P1809" s="50">
        <f t="shared" si="274"/>
        <v>78.3</v>
      </c>
      <c r="Q1809" s="23"/>
      <c r="R1809" s="60"/>
      <c r="S1809" s="61"/>
      <c r="T1809" s="62">
        <f t="shared" si="275"/>
        <v>0</v>
      </c>
      <c r="U1809" s="46">
        <f t="shared" si="276"/>
        <v>0</v>
      </c>
      <c r="V1809" s="63">
        <f t="shared" si="277"/>
        <v>0</v>
      </c>
      <c r="W1809" s="49">
        <f t="shared" si="278"/>
        <v>0</v>
      </c>
      <c r="X1809" s="50">
        <f t="shared" si="279"/>
        <v>0</v>
      </c>
      <c r="Y1809"/>
      <c r="Z1809"/>
      <c r="AA1809"/>
    </row>
    <row r="1810" spans="1:27" s="51" customFormat="1" ht="18.600000000000001" hidden="1" customHeight="1" x14ac:dyDescent="0.25">
      <c r="A1810" s="80" t="s">
        <v>2653</v>
      </c>
      <c r="B1810" s="20" t="s">
        <v>9303</v>
      </c>
      <c r="C1810" s="21" t="s">
        <v>9316</v>
      </c>
      <c r="D1810" s="20" t="s">
        <v>4366</v>
      </c>
      <c r="E1810" s="22" t="s">
        <v>4367</v>
      </c>
      <c r="F1810" s="22" t="s">
        <v>1937</v>
      </c>
      <c r="G1810" s="22" t="s">
        <v>3586</v>
      </c>
      <c r="H1810" s="83" t="s">
        <v>4368</v>
      </c>
      <c r="I1810" s="23" t="s">
        <v>24</v>
      </c>
      <c r="J1810" s="24">
        <v>90</v>
      </c>
      <c r="K1810" s="25">
        <v>0.25</v>
      </c>
      <c r="L1810" s="26">
        <f t="shared" si="271"/>
        <v>22.5</v>
      </c>
      <c r="M1810" s="27">
        <f t="shared" si="272"/>
        <v>67.5</v>
      </c>
      <c r="N1810" s="28">
        <v>0.16</v>
      </c>
      <c r="O1810" s="29">
        <f t="shared" si="273"/>
        <v>10.8</v>
      </c>
      <c r="P1810" s="30">
        <f t="shared" si="274"/>
        <v>78.3</v>
      </c>
      <c r="Q1810" s="23"/>
      <c r="R1810" s="52"/>
      <c r="S1810" s="53"/>
      <c r="T1810" s="54">
        <f t="shared" si="275"/>
        <v>0</v>
      </c>
      <c r="U1810" s="26">
        <f t="shared" si="276"/>
        <v>0</v>
      </c>
      <c r="V1810" s="55">
        <f t="shared" si="277"/>
        <v>0</v>
      </c>
      <c r="W1810" s="29">
        <f t="shared" si="278"/>
        <v>0</v>
      </c>
      <c r="X1810" s="30">
        <f t="shared" si="279"/>
        <v>0</v>
      </c>
      <c r="Y1810"/>
      <c r="Z1810"/>
      <c r="AA1810"/>
    </row>
    <row r="1811" spans="1:27" s="51" customFormat="1" ht="18.600000000000001" hidden="1" customHeight="1" x14ac:dyDescent="0.25">
      <c r="A1811" s="81" t="s">
        <v>2653</v>
      </c>
      <c r="B1811" s="31" t="s">
        <v>9303</v>
      </c>
      <c r="C1811" s="32" t="s">
        <v>9316</v>
      </c>
      <c r="D1811" s="31" t="s">
        <v>4369</v>
      </c>
      <c r="E1811" s="33" t="s">
        <v>4370</v>
      </c>
      <c r="F1811" s="33" t="s">
        <v>1937</v>
      </c>
      <c r="G1811" s="33" t="s">
        <v>3586</v>
      </c>
      <c r="H1811" s="84" t="s">
        <v>4371</v>
      </c>
      <c r="I1811" s="23" t="s">
        <v>24</v>
      </c>
      <c r="J1811" s="34">
        <v>90</v>
      </c>
      <c r="K1811" s="35">
        <v>0.25</v>
      </c>
      <c r="L1811" s="36">
        <f t="shared" si="271"/>
        <v>22.5</v>
      </c>
      <c r="M1811" s="37">
        <f t="shared" si="272"/>
        <v>67.5</v>
      </c>
      <c r="N1811" s="38">
        <v>0.16</v>
      </c>
      <c r="O1811" s="39">
        <f t="shared" si="273"/>
        <v>10.8</v>
      </c>
      <c r="P1811" s="40">
        <f t="shared" si="274"/>
        <v>78.3</v>
      </c>
      <c r="Q1811" s="23"/>
      <c r="R1811" s="56"/>
      <c r="S1811" s="57"/>
      <c r="T1811" s="58">
        <f t="shared" si="275"/>
        <v>0</v>
      </c>
      <c r="U1811" s="36">
        <f t="shared" si="276"/>
        <v>0</v>
      </c>
      <c r="V1811" s="59">
        <f t="shared" si="277"/>
        <v>0</v>
      </c>
      <c r="W1811" s="39">
        <f t="shared" si="278"/>
        <v>0</v>
      </c>
      <c r="X1811" s="40">
        <f t="shared" si="279"/>
        <v>0</v>
      </c>
      <c r="Y1811"/>
      <c r="Z1811"/>
      <c r="AA1811"/>
    </row>
    <row r="1812" spans="1:27" s="51" customFormat="1" ht="18.600000000000001" hidden="1" customHeight="1" x14ac:dyDescent="0.25">
      <c r="A1812" s="82" t="s">
        <v>2653</v>
      </c>
      <c r="B1812" s="41" t="s">
        <v>9303</v>
      </c>
      <c r="C1812" s="42" t="s">
        <v>9316</v>
      </c>
      <c r="D1812" s="41" t="s">
        <v>4372</v>
      </c>
      <c r="E1812" s="43" t="s">
        <v>4373</v>
      </c>
      <c r="F1812" s="43" t="s">
        <v>1937</v>
      </c>
      <c r="G1812" s="43" t="s">
        <v>3586</v>
      </c>
      <c r="H1812" s="85" t="s">
        <v>4374</v>
      </c>
      <c r="I1812" s="23" t="s">
        <v>24</v>
      </c>
      <c r="J1812" s="44">
        <v>90</v>
      </c>
      <c r="K1812" s="45">
        <v>0.25</v>
      </c>
      <c r="L1812" s="46">
        <f t="shared" si="271"/>
        <v>22.5</v>
      </c>
      <c r="M1812" s="47">
        <f t="shared" si="272"/>
        <v>67.5</v>
      </c>
      <c r="N1812" s="48">
        <v>0.16</v>
      </c>
      <c r="O1812" s="49">
        <f t="shared" si="273"/>
        <v>10.8</v>
      </c>
      <c r="P1812" s="50">
        <f t="shared" si="274"/>
        <v>78.3</v>
      </c>
      <c r="Q1812" s="23"/>
      <c r="R1812" s="60"/>
      <c r="S1812" s="61"/>
      <c r="T1812" s="62">
        <f t="shared" si="275"/>
        <v>0</v>
      </c>
      <c r="U1812" s="46">
        <f t="shared" si="276"/>
        <v>0</v>
      </c>
      <c r="V1812" s="63">
        <f t="shared" si="277"/>
        <v>0</v>
      </c>
      <c r="W1812" s="49">
        <f t="shared" si="278"/>
        <v>0</v>
      </c>
      <c r="X1812" s="50">
        <f t="shared" si="279"/>
        <v>0</v>
      </c>
      <c r="Y1812"/>
      <c r="Z1812"/>
      <c r="AA1812"/>
    </row>
    <row r="1813" spans="1:27" s="51" customFormat="1" ht="18.600000000000001" hidden="1" customHeight="1" x14ac:dyDescent="0.25">
      <c r="A1813" s="80" t="s">
        <v>2653</v>
      </c>
      <c r="B1813" s="20" t="s">
        <v>9303</v>
      </c>
      <c r="C1813" s="21" t="s">
        <v>9316</v>
      </c>
      <c r="D1813" s="20" t="s">
        <v>4375</v>
      </c>
      <c r="E1813" s="22" t="s">
        <v>4376</v>
      </c>
      <c r="F1813" s="22" t="s">
        <v>1937</v>
      </c>
      <c r="G1813" s="22" t="s">
        <v>3586</v>
      </c>
      <c r="H1813" s="83" t="s">
        <v>4377</v>
      </c>
      <c r="I1813" s="23" t="s">
        <v>24</v>
      </c>
      <c r="J1813" s="24">
        <v>90</v>
      </c>
      <c r="K1813" s="25">
        <v>0.25</v>
      </c>
      <c r="L1813" s="26">
        <f t="shared" si="271"/>
        <v>22.5</v>
      </c>
      <c r="M1813" s="27">
        <f t="shared" si="272"/>
        <v>67.5</v>
      </c>
      <c r="N1813" s="28">
        <v>0.16</v>
      </c>
      <c r="O1813" s="29">
        <f t="shared" si="273"/>
        <v>10.8</v>
      </c>
      <c r="P1813" s="30">
        <f t="shared" si="274"/>
        <v>78.3</v>
      </c>
      <c r="Q1813" s="23"/>
      <c r="R1813" s="52"/>
      <c r="S1813" s="53"/>
      <c r="T1813" s="54">
        <f t="shared" si="275"/>
        <v>0</v>
      </c>
      <c r="U1813" s="26">
        <f t="shared" si="276"/>
        <v>0</v>
      </c>
      <c r="V1813" s="55">
        <f t="shared" si="277"/>
        <v>0</v>
      </c>
      <c r="W1813" s="29">
        <f t="shared" si="278"/>
        <v>0</v>
      </c>
      <c r="X1813" s="30">
        <f t="shared" si="279"/>
        <v>0</v>
      </c>
      <c r="Y1813"/>
      <c r="Z1813"/>
      <c r="AA1813"/>
    </row>
    <row r="1814" spans="1:27" s="51" customFormat="1" ht="18.600000000000001" hidden="1" customHeight="1" x14ac:dyDescent="0.25">
      <c r="A1814" s="81" t="s">
        <v>2653</v>
      </c>
      <c r="B1814" s="31" t="s">
        <v>9303</v>
      </c>
      <c r="C1814" s="32" t="s">
        <v>9316</v>
      </c>
      <c r="D1814" s="31" t="s">
        <v>4378</v>
      </c>
      <c r="E1814" s="33" t="s">
        <v>4379</v>
      </c>
      <c r="F1814" s="33" t="s">
        <v>1937</v>
      </c>
      <c r="G1814" s="33" t="s">
        <v>3586</v>
      </c>
      <c r="H1814" s="84" t="s">
        <v>4380</v>
      </c>
      <c r="I1814" s="23" t="s">
        <v>24</v>
      </c>
      <c r="J1814" s="34">
        <v>90</v>
      </c>
      <c r="K1814" s="35">
        <v>0.25</v>
      </c>
      <c r="L1814" s="36">
        <f t="shared" si="271"/>
        <v>22.5</v>
      </c>
      <c r="M1814" s="37">
        <f t="shared" si="272"/>
        <v>67.5</v>
      </c>
      <c r="N1814" s="38">
        <v>0.16</v>
      </c>
      <c r="O1814" s="39">
        <f t="shared" si="273"/>
        <v>10.8</v>
      </c>
      <c r="P1814" s="40">
        <f t="shared" si="274"/>
        <v>78.3</v>
      </c>
      <c r="Q1814" s="23"/>
      <c r="R1814" s="56"/>
      <c r="S1814" s="57"/>
      <c r="T1814" s="58">
        <f t="shared" si="275"/>
        <v>0</v>
      </c>
      <c r="U1814" s="36">
        <f t="shared" si="276"/>
        <v>0</v>
      </c>
      <c r="V1814" s="59">
        <f t="shared" si="277"/>
        <v>0</v>
      </c>
      <c r="W1814" s="39">
        <f t="shared" si="278"/>
        <v>0</v>
      </c>
      <c r="X1814" s="40">
        <f t="shared" si="279"/>
        <v>0</v>
      </c>
      <c r="Y1814"/>
      <c r="Z1814"/>
      <c r="AA1814"/>
    </row>
    <row r="1815" spans="1:27" s="51" customFormat="1" ht="18.600000000000001" hidden="1" customHeight="1" x14ac:dyDescent="0.25">
      <c r="A1815" s="82" t="s">
        <v>2653</v>
      </c>
      <c r="B1815" s="41" t="s">
        <v>9303</v>
      </c>
      <c r="C1815" s="42" t="s">
        <v>9316</v>
      </c>
      <c r="D1815" s="41" t="s">
        <v>4381</v>
      </c>
      <c r="E1815" s="43" t="s">
        <v>4382</v>
      </c>
      <c r="F1815" s="43" t="s">
        <v>1937</v>
      </c>
      <c r="G1815" s="43" t="s">
        <v>3586</v>
      </c>
      <c r="H1815" s="85" t="s">
        <v>4383</v>
      </c>
      <c r="I1815" s="23" t="s">
        <v>24</v>
      </c>
      <c r="J1815" s="44">
        <v>90</v>
      </c>
      <c r="K1815" s="45">
        <v>0.25</v>
      </c>
      <c r="L1815" s="46">
        <f t="shared" ref="L1815:L1878" si="280">+J1815*K1815</f>
        <v>22.5</v>
      </c>
      <c r="M1815" s="47">
        <f t="shared" ref="M1815:M1878" si="281">+J1815-L1815</f>
        <v>67.5</v>
      </c>
      <c r="N1815" s="48">
        <v>0.16</v>
      </c>
      <c r="O1815" s="49">
        <f t="shared" ref="O1815:O1878" si="282">+M1815*N1815</f>
        <v>10.8</v>
      </c>
      <c r="P1815" s="50">
        <f t="shared" ref="P1815:P1878" si="283">+M1815+O1815</f>
        <v>78.3</v>
      </c>
      <c r="Q1815" s="23"/>
      <c r="R1815" s="60"/>
      <c r="S1815" s="61"/>
      <c r="T1815" s="62">
        <f t="shared" ref="T1815:T1878" si="284">+S1815*J1815</f>
        <v>0</v>
      </c>
      <c r="U1815" s="46">
        <f t="shared" ref="U1815:U1878" si="285">+T1815*K1815</f>
        <v>0</v>
      </c>
      <c r="V1815" s="63">
        <f t="shared" ref="V1815:V1878" si="286">+T1815-U1815</f>
        <v>0</v>
      </c>
      <c r="W1815" s="49">
        <f t="shared" ref="W1815:W1878" si="287">+V1815*N1815</f>
        <v>0</v>
      </c>
      <c r="X1815" s="50">
        <f t="shared" ref="X1815:X1878" si="288">+V1815+W1815</f>
        <v>0</v>
      </c>
      <c r="Y1815"/>
      <c r="Z1815"/>
      <c r="AA1815"/>
    </row>
    <row r="1816" spans="1:27" s="51" customFormat="1" ht="18.600000000000001" hidden="1" customHeight="1" x14ac:dyDescent="0.25">
      <c r="A1816" s="80" t="s">
        <v>2653</v>
      </c>
      <c r="B1816" s="20" t="s">
        <v>9303</v>
      </c>
      <c r="C1816" s="21" t="s">
        <v>9316</v>
      </c>
      <c r="D1816" s="20" t="s">
        <v>4384</v>
      </c>
      <c r="E1816" s="22" t="s">
        <v>4385</v>
      </c>
      <c r="F1816" s="22" t="s">
        <v>1937</v>
      </c>
      <c r="G1816" s="22" t="s">
        <v>3586</v>
      </c>
      <c r="H1816" s="83" t="s">
        <v>4386</v>
      </c>
      <c r="I1816" s="23" t="s">
        <v>24</v>
      </c>
      <c r="J1816" s="24">
        <v>90</v>
      </c>
      <c r="K1816" s="25">
        <v>0.25</v>
      </c>
      <c r="L1816" s="26">
        <f t="shared" si="280"/>
        <v>22.5</v>
      </c>
      <c r="M1816" s="27">
        <f t="shared" si="281"/>
        <v>67.5</v>
      </c>
      <c r="N1816" s="28">
        <v>0.16</v>
      </c>
      <c r="O1816" s="29">
        <f t="shared" si="282"/>
        <v>10.8</v>
      </c>
      <c r="P1816" s="30">
        <f t="shared" si="283"/>
        <v>78.3</v>
      </c>
      <c r="Q1816" s="23"/>
      <c r="R1816" s="52"/>
      <c r="S1816" s="53"/>
      <c r="T1816" s="54">
        <f t="shared" si="284"/>
        <v>0</v>
      </c>
      <c r="U1816" s="26">
        <f t="shared" si="285"/>
        <v>0</v>
      </c>
      <c r="V1816" s="55">
        <f t="shared" si="286"/>
        <v>0</v>
      </c>
      <c r="W1816" s="29">
        <f t="shared" si="287"/>
        <v>0</v>
      </c>
      <c r="X1816" s="30">
        <f t="shared" si="288"/>
        <v>0</v>
      </c>
      <c r="Y1816"/>
      <c r="Z1816"/>
      <c r="AA1816"/>
    </row>
    <row r="1817" spans="1:27" s="51" customFormat="1" ht="18.600000000000001" hidden="1" customHeight="1" x14ac:dyDescent="0.25">
      <c r="A1817" s="81" t="s">
        <v>2653</v>
      </c>
      <c r="B1817" s="31" t="s">
        <v>9303</v>
      </c>
      <c r="C1817" s="32" t="s">
        <v>9316</v>
      </c>
      <c r="D1817" s="31" t="s">
        <v>4387</v>
      </c>
      <c r="E1817" s="33" t="s">
        <v>4388</v>
      </c>
      <c r="F1817" s="33" t="s">
        <v>1937</v>
      </c>
      <c r="G1817" s="33" t="s">
        <v>3586</v>
      </c>
      <c r="H1817" s="84" t="s">
        <v>4389</v>
      </c>
      <c r="I1817" s="23" t="s">
        <v>24</v>
      </c>
      <c r="J1817" s="34">
        <v>90</v>
      </c>
      <c r="K1817" s="35">
        <v>0.25</v>
      </c>
      <c r="L1817" s="36">
        <f t="shared" si="280"/>
        <v>22.5</v>
      </c>
      <c r="M1817" s="37">
        <f t="shared" si="281"/>
        <v>67.5</v>
      </c>
      <c r="N1817" s="38">
        <v>0.16</v>
      </c>
      <c r="O1817" s="39">
        <f t="shared" si="282"/>
        <v>10.8</v>
      </c>
      <c r="P1817" s="40">
        <f t="shared" si="283"/>
        <v>78.3</v>
      </c>
      <c r="Q1817" s="23"/>
      <c r="R1817" s="56"/>
      <c r="S1817" s="57"/>
      <c r="T1817" s="58">
        <f t="shared" si="284"/>
        <v>0</v>
      </c>
      <c r="U1817" s="36">
        <f t="shared" si="285"/>
        <v>0</v>
      </c>
      <c r="V1817" s="59">
        <f t="shared" si="286"/>
        <v>0</v>
      </c>
      <c r="W1817" s="39">
        <f t="shared" si="287"/>
        <v>0</v>
      </c>
      <c r="X1817" s="40">
        <f t="shared" si="288"/>
        <v>0</v>
      </c>
      <c r="Y1817"/>
      <c r="Z1817"/>
      <c r="AA1817"/>
    </row>
    <row r="1818" spans="1:27" s="51" customFormat="1" ht="18.600000000000001" hidden="1" customHeight="1" x14ac:dyDescent="0.25">
      <c r="A1818" s="82" t="s">
        <v>2653</v>
      </c>
      <c r="B1818" s="41" t="s">
        <v>9303</v>
      </c>
      <c r="C1818" s="42" t="s">
        <v>9316</v>
      </c>
      <c r="D1818" s="41" t="s">
        <v>4390</v>
      </c>
      <c r="E1818" s="43" t="s">
        <v>4391</v>
      </c>
      <c r="F1818" s="43" t="s">
        <v>1937</v>
      </c>
      <c r="G1818" s="43" t="s">
        <v>3586</v>
      </c>
      <c r="H1818" s="85" t="s">
        <v>4392</v>
      </c>
      <c r="I1818" s="23" t="s">
        <v>24</v>
      </c>
      <c r="J1818" s="44">
        <v>90</v>
      </c>
      <c r="K1818" s="45">
        <v>0.25</v>
      </c>
      <c r="L1818" s="46">
        <f t="shared" si="280"/>
        <v>22.5</v>
      </c>
      <c r="M1818" s="47">
        <f t="shared" si="281"/>
        <v>67.5</v>
      </c>
      <c r="N1818" s="48">
        <v>0.16</v>
      </c>
      <c r="O1818" s="49">
        <f t="shared" si="282"/>
        <v>10.8</v>
      </c>
      <c r="P1818" s="50">
        <f t="shared" si="283"/>
        <v>78.3</v>
      </c>
      <c r="Q1818" s="23"/>
      <c r="R1818" s="60"/>
      <c r="S1818" s="61"/>
      <c r="T1818" s="62">
        <f t="shared" si="284"/>
        <v>0</v>
      </c>
      <c r="U1818" s="46">
        <f t="shared" si="285"/>
        <v>0</v>
      </c>
      <c r="V1818" s="63">
        <f t="shared" si="286"/>
        <v>0</v>
      </c>
      <c r="W1818" s="49">
        <f t="shared" si="287"/>
        <v>0</v>
      </c>
      <c r="X1818" s="50">
        <f t="shared" si="288"/>
        <v>0</v>
      </c>
      <c r="Y1818"/>
      <c r="Z1818"/>
      <c r="AA1818"/>
    </row>
    <row r="1819" spans="1:27" s="51" customFormat="1" ht="18.600000000000001" hidden="1" customHeight="1" x14ac:dyDescent="0.25">
      <c r="A1819" s="80" t="s">
        <v>2653</v>
      </c>
      <c r="B1819" s="20" t="s">
        <v>9303</v>
      </c>
      <c r="C1819" s="21" t="s">
        <v>9316</v>
      </c>
      <c r="D1819" s="20" t="s">
        <v>4393</v>
      </c>
      <c r="E1819" s="22" t="s">
        <v>4394</v>
      </c>
      <c r="F1819" s="22" t="s">
        <v>1937</v>
      </c>
      <c r="G1819" s="22" t="s">
        <v>3586</v>
      </c>
      <c r="H1819" s="83" t="s">
        <v>4395</v>
      </c>
      <c r="I1819" s="23" t="s">
        <v>24</v>
      </c>
      <c r="J1819" s="24">
        <v>90</v>
      </c>
      <c r="K1819" s="25">
        <v>0.25</v>
      </c>
      <c r="L1819" s="26">
        <f t="shared" si="280"/>
        <v>22.5</v>
      </c>
      <c r="M1819" s="27">
        <f t="shared" si="281"/>
        <v>67.5</v>
      </c>
      <c r="N1819" s="28">
        <v>0.16</v>
      </c>
      <c r="O1819" s="29">
        <f t="shared" si="282"/>
        <v>10.8</v>
      </c>
      <c r="P1819" s="30">
        <f t="shared" si="283"/>
        <v>78.3</v>
      </c>
      <c r="Q1819" s="23"/>
      <c r="R1819" s="52"/>
      <c r="S1819" s="53"/>
      <c r="T1819" s="54">
        <f t="shared" si="284"/>
        <v>0</v>
      </c>
      <c r="U1819" s="26">
        <f t="shared" si="285"/>
        <v>0</v>
      </c>
      <c r="V1819" s="55">
        <f t="shared" si="286"/>
        <v>0</v>
      </c>
      <c r="W1819" s="29">
        <f t="shared" si="287"/>
        <v>0</v>
      </c>
      <c r="X1819" s="30">
        <f t="shared" si="288"/>
        <v>0</v>
      </c>
      <c r="Y1819"/>
      <c r="Z1819"/>
      <c r="AA1819"/>
    </row>
    <row r="1820" spans="1:27" s="51" customFormat="1" ht="18.600000000000001" hidden="1" customHeight="1" x14ac:dyDescent="0.25">
      <c r="A1820" s="81" t="s">
        <v>2653</v>
      </c>
      <c r="B1820" s="31" t="s">
        <v>9303</v>
      </c>
      <c r="C1820" s="32" t="s">
        <v>9316</v>
      </c>
      <c r="D1820" s="31" t="s">
        <v>4396</v>
      </c>
      <c r="E1820" s="33" t="s">
        <v>4397</v>
      </c>
      <c r="F1820" s="33" t="s">
        <v>1937</v>
      </c>
      <c r="G1820" s="33" t="s">
        <v>3586</v>
      </c>
      <c r="H1820" s="84" t="s">
        <v>4398</v>
      </c>
      <c r="I1820" s="23" t="s">
        <v>24</v>
      </c>
      <c r="J1820" s="34">
        <v>90</v>
      </c>
      <c r="K1820" s="35">
        <v>0.25</v>
      </c>
      <c r="L1820" s="36">
        <f t="shared" si="280"/>
        <v>22.5</v>
      </c>
      <c r="M1820" s="37">
        <f t="shared" si="281"/>
        <v>67.5</v>
      </c>
      <c r="N1820" s="38">
        <v>0.16</v>
      </c>
      <c r="O1820" s="39">
        <f t="shared" si="282"/>
        <v>10.8</v>
      </c>
      <c r="P1820" s="40">
        <f t="shared" si="283"/>
        <v>78.3</v>
      </c>
      <c r="Q1820" s="23"/>
      <c r="R1820" s="56"/>
      <c r="S1820" s="57"/>
      <c r="T1820" s="58">
        <f t="shared" si="284"/>
        <v>0</v>
      </c>
      <c r="U1820" s="36">
        <f t="shared" si="285"/>
        <v>0</v>
      </c>
      <c r="V1820" s="59">
        <f t="shared" si="286"/>
        <v>0</v>
      </c>
      <c r="W1820" s="39">
        <f t="shared" si="287"/>
        <v>0</v>
      </c>
      <c r="X1820" s="40">
        <f t="shared" si="288"/>
        <v>0</v>
      </c>
      <c r="Y1820"/>
      <c r="Z1820"/>
      <c r="AA1820"/>
    </row>
    <row r="1821" spans="1:27" s="51" customFormat="1" ht="18.600000000000001" hidden="1" customHeight="1" x14ac:dyDescent="0.25">
      <c r="A1821" s="82" t="s">
        <v>2653</v>
      </c>
      <c r="B1821" s="41" t="s">
        <v>9303</v>
      </c>
      <c r="C1821" s="42" t="s">
        <v>9316</v>
      </c>
      <c r="D1821" s="41" t="s">
        <v>4399</v>
      </c>
      <c r="E1821" s="43" t="s">
        <v>4400</v>
      </c>
      <c r="F1821" s="43" t="s">
        <v>1937</v>
      </c>
      <c r="G1821" s="43" t="s">
        <v>3586</v>
      </c>
      <c r="H1821" s="85" t="s">
        <v>4401</v>
      </c>
      <c r="I1821" s="23" t="s">
        <v>24</v>
      </c>
      <c r="J1821" s="44">
        <v>90</v>
      </c>
      <c r="K1821" s="45">
        <v>0.25</v>
      </c>
      <c r="L1821" s="46">
        <f t="shared" si="280"/>
        <v>22.5</v>
      </c>
      <c r="M1821" s="47">
        <f t="shared" si="281"/>
        <v>67.5</v>
      </c>
      <c r="N1821" s="48">
        <v>0.16</v>
      </c>
      <c r="O1821" s="49">
        <f t="shared" si="282"/>
        <v>10.8</v>
      </c>
      <c r="P1821" s="50">
        <f t="shared" si="283"/>
        <v>78.3</v>
      </c>
      <c r="Q1821" s="23"/>
      <c r="R1821" s="60"/>
      <c r="S1821" s="61"/>
      <c r="T1821" s="62">
        <f t="shared" si="284"/>
        <v>0</v>
      </c>
      <c r="U1821" s="46">
        <f t="shared" si="285"/>
        <v>0</v>
      </c>
      <c r="V1821" s="63">
        <f t="shared" si="286"/>
        <v>0</v>
      </c>
      <c r="W1821" s="49">
        <f t="shared" si="287"/>
        <v>0</v>
      </c>
      <c r="X1821" s="50">
        <f t="shared" si="288"/>
        <v>0</v>
      </c>
      <c r="Y1821"/>
      <c r="Z1821"/>
      <c r="AA1821"/>
    </row>
    <row r="1822" spans="1:27" s="51" customFormat="1" ht="18.600000000000001" hidden="1" customHeight="1" x14ac:dyDescent="0.25">
      <c r="A1822" s="80" t="s">
        <v>2653</v>
      </c>
      <c r="B1822" s="20" t="s">
        <v>9303</v>
      </c>
      <c r="C1822" s="21" t="s">
        <v>9316</v>
      </c>
      <c r="D1822" s="20" t="s">
        <v>4402</v>
      </c>
      <c r="E1822" s="22" t="s">
        <v>4403</v>
      </c>
      <c r="F1822" s="22" t="s">
        <v>1937</v>
      </c>
      <c r="G1822" s="22" t="s">
        <v>3586</v>
      </c>
      <c r="H1822" s="83" t="s">
        <v>4404</v>
      </c>
      <c r="I1822" s="23" t="s">
        <v>24</v>
      </c>
      <c r="J1822" s="24">
        <v>90</v>
      </c>
      <c r="K1822" s="25">
        <v>0.25</v>
      </c>
      <c r="L1822" s="26">
        <f t="shared" si="280"/>
        <v>22.5</v>
      </c>
      <c r="M1822" s="27">
        <f t="shared" si="281"/>
        <v>67.5</v>
      </c>
      <c r="N1822" s="28">
        <v>0.16</v>
      </c>
      <c r="O1822" s="29">
        <f t="shared" si="282"/>
        <v>10.8</v>
      </c>
      <c r="P1822" s="30">
        <f t="shared" si="283"/>
        <v>78.3</v>
      </c>
      <c r="Q1822" s="23"/>
      <c r="R1822" s="52"/>
      <c r="S1822" s="53"/>
      <c r="T1822" s="54">
        <f t="shared" si="284"/>
        <v>0</v>
      </c>
      <c r="U1822" s="26">
        <f t="shared" si="285"/>
        <v>0</v>
      </c>
      <c r="V1822" s="55">
        <f t="shared" si="286"/>
        <v>0</v>
      </c>
      <c r="W1822" s="29">
        <f t="shared" si="287"/>
        <v>0</v>
      </c>
      <c r="X1822" s="30">
        <f t="shared" si="288"/>
        <v>0</v>
      </c>
      <c r="Y1822"/>
      <c r="Z1822"/>
      <c r="AA1822"/>
    </row>
    <row r="1823" spans="1:27" s="51" customFormat="1" ht="18.600000000000001" hidden="1" customHeight="1" x14ac:dyDescent="0.25">
      <c r="A1823" s="81" t="s">
        <v>2653</v>
      </c>
      <c r="B1823" s="31" t="s">
        <v>9303</v>
      </c>
      <c r="C1823" s="32" t="s">
        <v>9316</v>
      </c>
      <c r="D1823" s="31" t="s">
        <v>4405</v>
      </c>
      <c r="E1823" s="33" t="s">
        <v>4406</v>
      </c>
      <c r="F1823" s="33" t="s">
        <v>1937</v>
      </c>
      <c r="G1823" s="33" t="s">
        <v>3586</v>
      </c>
      <c r="H1823" s="84" t="s">
        <v>4407</v>
      </c>
      <c r="I1823" s="23" t="s">
        <v>24</v>
      </c>
      <c r="J1823" s="34">
        <v>90</v>
      </c>
      <c r="K1823" s="35">
        <v>0.25</v>
      </c>
      <c r="L1823" s="36">
        <f t="shared" si="280"/>
        <v>22.5</v>
      </c>
      <c r="M1823" s="37">
        <f t="shared" si="281"/>
        <v>67.5</v>
      </c>
      <c r="N1823" s="38">
        <v>0.16</v>
      </c>
      <c r="O1823" s="39">
        <f t="shared" si="282"/>
        <v>10.8</v>
      </c>
      <c r="P1823" s="40">
        <f t="shared" si="283"/>
        <v>78.3</v>
      </c>
      <c r="Q1823" s="23"/>
      <c r="R1823" s="56"/>
      <c r="S1823" s="57"/>
      <c r="T1823" s="58">
        <f t="shared" si="284"/>
        <v>0</v>
      </c>
      <c r="U1823" s="36">
        <f t="shared" si="285"/>
        <v>0</v>
      </c>
      <c r="V1823" s="59">
        <f t="shared" si="286"/>
        <v>0</v>
      </c>
      <c r="W1823" s="39">
        <f t="shared" si="287"/>
        <v>0</v>
      </c>
      <c r="X1823" s="40">
        <f t="shared" si="288"/>
        <v>0</v>
      </c>
      <c r="Y1823"/>
      <c r="Z1823"/>
      <c r="AA1823"/>
    </row>
    <row r="1824" spans="1:27" s="51" customFormat="1" ht="18.600000000000001" hidden="1" customHeight="1" x14ac:dyDescent="0.25">
      <c r="A1824" s="82" t="s">
        <v>2653</v>
      </c>
      <c r="B1824" s="41" t="s">
        <v>9303</v>
      </c>
      <c r="C1824" s="42" t="s">
        <v>9316</v>
      </c>
      <c r="D1824" s="41" t="s">
        <v>4408</v>
      </c>
      <c r="E1824" s="43" t="s">
        <v>4409</v>
      </c>
      <c r="F1824" s="43" t="s">
        <v>1937</v>
      </c>
      <c r="G1824" s="43" t="s">
        <v>3586</v>
      </c>
      <c r="H1824" s="85" t="s">
        <v>4410</v>
      </c>
      <c r="I1824" s="23" t="s">
        <v>24</v>
      </c>
      <c r="J1824" s="44">
        <v>90</v>
      </c>
      <c r="K1824" s="45">
        <v>0.25</v>
      </c>
      <c r="L1824" s="46">
        <f t="shared" si="280"/>
        <v>22.5</v>
      </c>
      <c r="M1824" s="47">
        <f t="shared" si="281"/>
        <v>67.5</v>
      </c>
      <c r="N1824" s="48">
        <v>0.16</v>
      </c>
      <c r="O1824" s="49">
        <f t="shared" si="282"/>
        <v>10.8</v>
      </c>
      <c r="P1824" s="50">
        <f t="shared" si="283"/>
        <v>78.3</v>
      </c>
      <c r="Q1824" s="23"/>
      <c r="R1824" s="60"/>
      <c r="S1824" s="61"/>
      <c r="T1824" s="62">
        <f t="shared" si="284"/>
        <v>0</v>
      </c>
      <c r="U1824" s="46">
        <f t="shared" si="285"/>
        <v>0</v>
      </c>
      <c r="V1824" s="63">
        <f t="shared" si="286"/>
        <v>0</v>
      </c>
      <c r="W1824" s="49">
        <f t="shared" si="287"/>
        <v>0</v>
      </c>
      <c r="X1824" s="50">
        <f t="shared" si="288"/>
        <v>0</v>
      </c>
      <c r="Y1824"/>
      <c r="Z1824"/>
      <c r="AA1824"/>
    </row>
    <row r="1825" spans="1:27" s="51" customFormat="1" ht="18.600000000000001" hidden="1" customHeight="1" x14ac:dyDescent="0.25">
      <c r="A1825" s="80" t="s">
        <v>2653</v>
      </c>
      <c r="B1825" s="20" t="s">
        <v>9303</v>
      </c>
      <c r="C1825" s="21" t="s">
        <v>9316</v>
      </c>
      <c r="D1825" s="20" t="s">
        <v>4411</v>
      </c>
      <c r="E1825" s="22" t="s">
        <v>4412</v>
      </c>
      <c r="F1825" s="22" t="s">
        <v>1937</v>
      </c>
      <c r="G1825" s="22" t="s">
        <v>3586</v>
      </c>
      <c r="H1825" s="83" t="s">
        <v>4413</v>
      </c>
      <c r="I1825" s="23" t="s">
        <v>24</v>
      </c>
      <c r="J1825" s="24">
        <v>90</v>
      </c>
      <c r="K1825" s="25">
        <v>0.25</v>
      </c>
      <c r="L1825" s="26">
        <f t="shared" si="280"/>
        <v>22.5</v>
      </c>
      <c r="M1825" s="27">
        <f t="shared" si="281"/>
        <v>67.5</v>
      </c>
      <c r="N1825" s="28">
        <v>0.16</v>
      </c>
      <c r="O1825" s="29">
        <f t="shared" si="282"/>
        <v>10.8</v>
      </c>
      <c r="P1825" s="30">
        <f t="shared" si="283"/>
        <v>78.3</v>
      </c>
      <c r="Q1825" s="23"/>
      <c r="R1825" s="52"/>
      <c r="S1825" s="53"/>
      <c r="T1825" s="54">
        <f t="shared" si="284"/>
        <v>0</v>
      </c>
      <c r="U1825" s="26">
        <f t="shared" si="285"/>
        <v>0</v>
      </c>
      <c r="V1825" s="55">
        <f t="shared" si="286"/>
        <v>0</v>
      </c>
      <c r="W1825" s="29">
        <f t="shared" si="287"/>
        <v>0</v>
      </c>
      <c r="X1825" s="30">
        <f t="shared" si="288"/>
        <v>0</v>
      </c>
      <c r="Y1825"/>
      <c r="Z1825"/>
      <c r="AA1825"/>
    </row>
    <row r="1826" spans="1:27" s="51" customFormat="1" ht="18.600000000000001" hidden="1" customHeight="1" x14ac:dyDescent="0.25">
      <c r="A1826" s="81" t="s">
        <v>2653</v>
      </c>
      <c r="B1826" s="31" t="s">
        <v>9303</v>
      </c>
      <c r="C1826" s="32" t="s">
        <v>9316</v>
      </c>
      <c r="D1826" s="31" t="s">
        <v>4414</v>
      </c>
      <c r="E1826" s="33" t="s">
        <v>4415</v>
      </c>
      <c r="F1826" s="33" t="s">
        <v>1937</v>
      </c>
      <c r="G1826" s="33" t="s">
        <v>3586</v>
      </c>
      <c r="H1826" s="84" t="s">
        <v>4416</v>
      </c>
      <c r="I1826" s="23" t="s">
        <v>24</v>
      </c>
      <c r="J1826" s="34">
        <v>90</v>
      </c>
      <c r="K1826" s="35">
        <v>0.25</v>
      </c>
      <c r="L1826" s="36">
        <f t="shared" si="280"/>
        <v>22.5</v>
      </c>
      <c r="M1826" s="37">
        <f t="shared" si="281"/>
        <v>67.5</v>
      </c>
      <c r="N1826" s="38">
        <v>0.16</v>
      </c>
      <c r="O1826" s="39">
        <f t="shared" si="282"/>
        <v>10.8</v>
      </c>
      <c r="P1826" s="40">
        <f t="shared" si="283"/>
        <v>78.3</v>
      </c>
      <c r="Q1826" s="23"/>
      <c r="R1826" s="56"/>
      <c r="S1826" s="57"/>
      <c r="T1826" s="58">
        <f t="shared" si="284"/>
        <v>0</v>
      </c>
      <c r="U1826" s="36">
        <f t="shared" si="285"/>
        <v>0</v>
      </c>
      <c r="V1826" s="59">
        <f t="shared" si="286"/>
        <v>0</v>
      </c>
      <c r="W1826" s="39">
        <f t="shared" si="287"/>
        <v>0</v>
      </c>
      <c r="X1826" s="40">
        <f t="shared" si="288"/>
        <v>0</v>
      </c>
      <c r="Y1826"/>
      <c r="Z1826"/>
      <c r="AA1826"/>
    </row>
    <row r="1827" spans="1:27" s="51" customFormat="1" ht="18.600000000000001" hidden="1" customHeight="1" x14ac:dyDescent="0.25">
      <c r="A1827" s="82" t="s">
        <v>2653</v>
      </c>
      <c r="B1827" s="41" t="s">
        <v>9303</v>
      </c>
      <c r="C1827" s="42" t="s">
        <v>9316</v>
      </c>
      <c r="D1827" s="41" t="s">
        <v>4417</v>
      </c>
      <c r="E1827" s="43" t="s">
        <v>4418</v>
      </c>
      <c r="F1827" s="43" t="s">
        <v>1937</v>
      </c>
      <c r="G1827" s="43" t="s">
        <v>3586</v>
      </c>
      <c r="H1827" s="85" t="s">
        <v>4419</v>
      </c>
      <c r="I1827" s="23" t="s">
        <v>24</v>
      </c>
      <c r="J1827" s="44">
        <v>90</v>
      </c>
      <c r="K1827" s="45">
        <v>0.25</v>
      </c>
      <c r="L1827" s="46">
        <f t="shared" si="280"/>
        <v>22.5</v>
      </c>
      <c r="M1827" s="47">
        <f t="shared" si="281"/>
        <v>67.5</v>
      </c>
      <c r="N1827" s="48">
        <v>0.16</v>
      </c>
      <c r="O1827" s="49">
        <f t="shared" si="282"/>
        <v>10.8</v>
      </c>
      <c r="P1827" s="50">
        <f t="shared" si="283"/>
        <v>78.3</v>
      </c>
      <c r="Q1827" s="23"/>
      <c r="R1827" s="60"/>
      <c r="S1827" s="61"/>
      <c r="T1827" s="62">
        <f t="shared" si="284"/>
        <v>0</v>
      </c>
      <c r="U1827" s="46">
        <f t="shared" si="285"/>
        <v>0</v>
      </c>
      <c r="V1827" s="63">
        <f t="shared" si="286"/>
        <v>0</v>
      </c>
      <c r="W1827" s="49">
        <f t="shared" si="287"/>
        <v>0</v>
      </c>
      <c r="X1827" s="50">
        <f t="shared" si="288"/>
        <v>0</v>
      </c>
      <c r="Y1827"/>
      <c r="Z1827"/>
      <c r="AA1827"/>
    </row>
    <row r="1828" spans="1:27" s="51" customFormat="1" ht="18.600000000000001" hidden="1" customHeight="1" x14ac:dyDescent="0.25">
      <c r="A1828" s="80" t="s">
        <v>2653</v>
      </c>
      <c r="B1828" s="20" t="s">
        <v>9303</v>
      </c>
      <c r="C1828" s="21" t="s">
        <v>9316</v>
      </c>
      <c r="D1828" s="20" t="s">
        <v>4420</v>
      </c>
      <c r="E1828" s="22" t="s">
        <v>4421</v>
      </c>
      <c r="F1828" s="22" t="s">
        <v>1937</v>
      </c>
      <c r="G1828" s="22" t="s">
        <v>3586</v>
      </c>
      <c r="H1828" s="83" t="s">
        <v>4422</v>
      </c>
      <c r="I1828" s="23" t="s">
        <v>24</v>
      </c>
      <c r="J1828" s="24">
        <v>90</v>
      </c>
      <c r="K1828" s="25">
        <v>0.25</v>
      </c>
      <c r="L1828" s="26">
        <f t="shared" si="280"/>
        <v>22.5</v>
      </c>
      <c r="M1828" s="27">
        <f t="shared" si="281"/>
        <v>67.5</v>
      </c>
      <c r="N1828" s="28">
        <v>0.16</v>
      </c>
      <c r="O1828" s="29">
        <f t="shared" si="282"/>
        <v>10.8</v>
      </c>
      <c r="P1828" s="30">
        <f t="shared" si="283"/>
        <v>78.3</v>
      </c>
      <c r="Q1828" s="23"/>
      <c r="R1828" s="52"/>
      <c r="S1828" s="53"/>
      <c r="T1828" s="54">
        <f t="shared" si="284"/>
        <v>0</v>
      </c>
      <c r="U1828" s="26">
        <f t="shared" si="285"/>
        <v>0</v>
      </c>
      <c r="V1828" s="55">
        <f t="shared" si="286"/>
        <v>0</v>
      </c>
      <c r="W1828" s="29">
        <f t="shared" si="287"/>
        <v>0</v>
      </c>
      <c r="X1828" s="30">
        <f t="shared" si="288"/>
        <v>0</v>
      </c>
      <c r="Y1828"/>
      <c r="Z1828"/>
      <c r="AA1828"/>
    </row>
    <row r="1829" spans="1:27" s="51" customFormat="1" ht="18.600000000000001" hidden="1" customHeight="1" x14ac:dyDescent="0.25">
      <c r="A1829" s="81" t="s">
        <v>2653</v>
      </c>
      <c r="B1829" s="31" t="s">
        <v>9303</v>
      </c>
      <c r="C1829" s="32" t="s">
        <v>9316</v>
      </c>
      <c r="D1829" s="31" t="s">
        <v>4423</v>
      </c>
      <c r="E1829" s="33" t="s">
        <v>4424</v>
      </c>
      <c r="F1829" s="33" t="s">
        <v>1937</v>
      </c>
      <c r="G1829" s="33" t="s">
        <v>3586</v>
      </c>
      <c r="H1829" s="84" t="s">
        <v>4425</v>
      </c>
      <c r="I1829" s="23" t="s">
        <v>24</v>
      </c>
      <c r="J1829" s="34">
        <v>90</v>
      </c>
      <c r="K1829" s="35">
        <v>0.25</v>
      </c>
      <c r="L1829" s="36">
        <f t="shared" si="280"/>
        <v>22.5</v>
      </c>
      <c r="M1829" s="37">
        <f t="shared" si="281"/>
        <v>67.5</v>
      </c>
      <c r="N1829" s="38">
        <v>0.16</v>
      </c>
      <c r="O1829" s="39">
        <f t="shared" si="282"/>
        <v>10.8</v>
      </c>
      <c r="P1829" s="40">
        <f t="shared" si="283"/>
        <v>78.3</v>
      </c>
      <c r="Q1829" s="23"/>
      <c r="R1829" s="56"/>
      <c r="S1829" s="57"/>
      <c r="T1829" s="58">
        <f t="shared" si="284"/>
        <v>0</v>
      </c>
      <c r="U1829" s="36">
        <f t="shared" si="285"/>
        <v>0</v>
      </c>
      <c r="V1829" s="59">
        <f t="shared" si="286"/>
        <v>0</v>
      </c>
      <c r="W1829" s="39">
        <f t="shared" si="287"/>
        <v>0</v>
      </c>
      <c r="X1829" s="40">
        <f t="shared" si="288"/>
        <v>0</v>
      </c>
      <c r="Y1829"/>
      <c r="Z1829"/>
      <c r="AA1829"/>
    </row>
    <row r="1830" spans="1:27" s="51" customFormat="1" ht="18.600000000000001" hidden="1" customHeight="1" x14ac:dyDescent="0.25">
      <c r="A1830" s="82" t="s">
        <v>2653</v>
      </c>
      <c r="B1830" s="41" t="s">
        <v>9303</v>
      </c>
      <c r="C1830" s="42" t="s">
        <v>9316</v>
      </c>
      <c r="D1830" s="41" t="s">
        <v>4426</v>
      </c>
      <c r="E1830" s="43" t="s">
        <v>4427</v>
      </c>
      <c r="F1830" s="43" t="s">
        <v>1937</v>
      </c>
      <c r="G1830" s="43" t="s">
        <v>3586</v>
      </c>
      <c r="H1830" s="85" t="s">
        <v>4428</v>
      </c>
      <c r="I1830" s="23" t="s">
        <v>24</v>
      </c>
      <c r="J1830" s="44">
        <v>90</v>
      </c>
      <c r="K1830" s="45">
        <v>0.25</v>
      </c>
      <c r="L1830" s="46">
        <f t="shared" si="280"/>
        <v>22.5</v>
      </c>
      <c r="M1830" s="47">
        <f t="shared" si="281"/>
        <v>67.5</v>
      </c>
      <c r="N1830" s="48">
        <v>0.16</v>
      </c>
      <c r="O1830" s="49">
        <f t="shared" si="282"/>
        <v>10.8</v>
      </c>
      <c r="P1830" s="50">
        <f t="shared" si="283"/>
        <v>78.3</v>
      </c>
      <c r="Q1830" s="23"/>
      <c r="R1830" s="60"/>
      <c r="S1830" s="61"/>
      <c r="T1830" s="62">
        <f t="shared" si="284"/>
        <v>0</v>
      </c>
      <c r="U1830" s="46">
        <f t="shared" si="285"/>
        <v>0</v>
      </c>
      <c r="V1830" s="63">
        <f t="shared" si="286"/>
        <v>0</v>
      </c>
      <c r="W1830" s="49">
        <f t="shared" si="287"/>
        <v>0</v>
      </c>
      <c r="X1830" s="50">
        <f t="shared" si="288"/>
        <v>0</v>
      </c>
      <c r="Y1830"/>
      <c r="Z1830"/>
      <c r="AA1830"/>
    </row>
    <row r="1831" spans="1:27" s="51" customFormat="1" ht="18.600000000000001" hidden="1" customHeight="1" x14ac:dyDescent="0.25">
      <c r="A1831" s="80" t="s">
        <v>2653</v>
      </c>
      <c r="B1831" s="20" t="s">
        <v>9303</v>
      </c>
      <c r="C1831" s="21" t="s">
        <v>9316</v>
      </c>
      <c r="D1831" s="20" t="s">
        <v>4429</v>
      </c>
      <c r="E1831" s="22" t="s">
        <v>4430</v>
      </c>
      <c r="F1831" s="22" t="s">
        <v>1937</v>
      </c>
      <c r="G1831" s="22" t="s">
        <v>3586</v>
      </c>
      <c r="H1831" s="83" t="s">
        <v>4431</v>
      </c>
      <c r="I1831" s="23" t="s">
        <v>24</v>
      </c>
      <c r="J1831" s="24">
        <v>90</v>
      </c>
      <c r="K1831" s="25">
        <v>0.25</v>
      </c>
      <c r="L1831" s="26">
        <f t="shared" si="280"/>
        <v>22.5</v>
      </c>
      <c r="M1831" s="27">
        <f t="shared" si="281"/>
        <v>67.5</v>
      </c>
      <c r="N1831" s="28">
        <v>0.16</v>
      </c>
      <c r="O1831" s="29">
        <f t="shared" si="282"/>
        <v>10.8</v>
      </c>
      <c r="P1831" s="30">
        <f t="shared" si="283"/>
        <v>78.3</v>
      </c>
      <c r="Q1831" s="23"/>
      <c r="R1831" s="52"/>
      <c r="S1831" s="53"/>
      <c r="T1831" s="54">
        <f t="shared" si="284"/>
        <v>0</v>
      </c>
      <c r="U1831" s="26">
        <f t="shared" si="285"/>
        <v>0</v>
      </c>
      <c r="V1831" s="55">
        <f t="shared" si="286"/>
        <v>0</v>
      </c>
      <c r="W1831" s="29">
        <f t="shared" si="287"/>
        <v>0</v>
      </c>
      <c r="X1831" s="30">
        <f t="shared" si="288"/>
        <v>0</v>
      </c>
      <c r="Y1831"/>
      <c r="Z1831"/>
      <c r="AA1831"/>
    </row>
    <row r="1832" spans="1:27" s="51" customFormat="1" ht="18.600000000000001" hidden="1" customHeight="1" x14ac:dyDescent="0.25">
      <c r="A1832" s="81" t="s">
        <v>2653</v>
      </c>
      <c r="B1832" s="31" t="s">
        <v>9303</v>
      </c>
      <c r="C1832" s="32" t="s">
        <v>9316</v>
      </c>
      <c r="D1832" s="31" t="s">
        <v>4432</v>
      </c>
      <c r="E1832" s="33" t="s">
        <v>4433</v>
      </c>
      <c r="F1832" s="33" t="s">
        <v>1937</v>
      </c>
      <c r="G1832" s="33" t="s">
        <v>3586</v>
      </c>
      <c r="H1832" s="84" t="s">
        <v>4434</v>
      </c>
      <c r="I1832" s="23" t="s">
        <v>24</v>
      </c>
      <c r="J1832" s="34">
        <v>90</v>
      </c>
      <c r="K1832" s="35">
        <v>0.25</v>
      </c>
      <c r="L1832" s="36">
        <f t="shared" si="280"/>
        <v>22.5</v>
      </c>
      <c r="M1832" s="37">
        <f t="shared" si="281"/>
        <v>67.5</v>
      </c>
      <c r="N1832" s="38">
        <v>0.16</v>
      </c>
      <c r="O1832" s="39">
        <f t="shared" si="282"/>
        <v>10.8</v>
      </c>
      <c r="P1832" s="40">
        <f t="shared" si="283"/>
        <v>78.3</v>
      </c>
      <c r="Q1832" s="23"/>
      <c r="R1832" s="56"/>
      <c r="S1832" s="57"/>
      <c r="T1832" s="58">
        <f t="shared" si="284"/>
        <v>0</v>
      </c>
      <c r="U1832" s="36">
        <f t="shared" si="285"/>
        <v>0</v>
      </c>
      <c r="V1832" s="59">
        <f t="shared" si="286"/>
        <v>0</v>
      </c>
      <c r="W1832" s="39">
        <f t="shared" si="287"/>
        <v>0</v>
      </c>
      <c r="X1832" s="40">
        <f t="shared" si="288"/>
        <v>0</v>
      </c>
      <c r="Y1832"/>
      <c r="Z1832"/>
      <c r="AA1832"/>
    </row>
    <row r="1833" spans="1:27" s="51" customFormat="1" ht="18.600000000000001" hidden="1" customHeight="1" x14ac:dyDescent="0.25">
      <c r="A1833" s="82" t="s">
        <v>2653</v>
      </c>
      <c r="B1833" s="41" t="s">
        <v>9303</v>
      </c>
      <c r="C1833" s="42" t="s">
        <v>9316</v>
      </c>
      <c r="D1833" s="41" t="s">
        <v>4435</v>
      </c>
      <c r="E1833" s="43" t="s">
        <v>4436</v>
      </c>
      <c r="F1833" s="43" t="s">
        <v>1937</v>
      </c>
      <c r="G1833" s="43" t="s">
        <v>3586</v>
      </c>
      <c r="H1833" s="85" t="s">
        <v>4437</v>
      </c>
      <c r="I1833" s="23" t="s">
        <v>24</v>
      </c>
      <c r="J1833" s="44">
        <v>90</v>
      </c>
      <c r="K1833" s="45">
        <v>0.25</v>
      </c>
      <c r="L1833" s="46">
        <f t="shared" si="280"/>
        <v>22.5</v>
      </c>
      <c r="M1833" s="47">
        <f t="shared" si="281"/>
        <v>67.5</v>
      </c>
      <c r="N1833" s="48">
        <v>0.16</v>
      </c>
      <c r="O1833" s="49">
        <f t="shared" si="282"/>
        <v>10.8</v>
      </c>
      <c r="P1833" s="50">
        <f t="shared" si="283"/>
        <v>78.3</v>
      </c>
      <c r="Q1833" s="23"/>
      <c r="R1833" s="60"/>
      <c r="S1833" s="61"/>
      <c r="T1833" s="62">
        <f t="shared" si="284"/>
        <v>0</v>
      </c>
      <c r="U1833" s="46">
        <f t="shared" si="285"/>
        <v>0</v>
      </c>
      <c r="V1833" s="63">
        <f t="shared" si="286"/>
        <v>0</v>
      </c>
      <c r="W1833" s="49">
        <f t="shared" si="287"/>
        <v>0</v>
      </c>
      <c r="X1833" s="50">
        <f t="shared" si="288"/>
        <v>0</v>
      </c>
      <c r="Y1833"/>
      <c r="Z1833"/>
      <c r="AA1833"/>
    </row>
    <row r="1834" spans="1:27" s="51" customFormat="1" ht="18.600000000000001" hidden="1" customHeight="1" x14ac:dyDescent="0.25">
      <c r="A1834" s="80" t="s">
        <v>2653</v>
      </c>
      <c r="B1834" s="20" t="s">
        <v>9303</v>
      </c>
      <c r="C1834" s="21" t="s">
        <v>9316</v>
      </c>
      <c r="D1834" s="20" t="s">
        <v>4438</v>
      </c>
      <c r="E1834" s="22" t="s">
        <v>4439</v>
      </c>
      <c r="F1834" s="22" t="s">
        <v>1937</v>
      </c>
      <c r="G1834" s="22" t="s">
        <v>3586</v>
      </c>
      <c r="H1834" s="83" t="s">
        <v>4440</v>
      </c>
      <c r="I1834" s="23" t="s">
        <v>24</v>
      </c>
      <c r="J1834" s="24">
        <v>90</v>
      </c>
      <c r="K1834" s="25">
        <v>0.25</v>
      </c>
      <c r="L1834" s="26">
        <f t="shared" si="280"/>
        <v>22.5</v>
      </c>
      <c r="M1834" s="27">
        <f t="shared" si="281"/>
        <v>67.5</v>
      </c>
      <c r="N1834" s="28">
        <v>0.16</v>
      </c>
      <c r="O1834" s="29">
        <f t="shared" si="282"/>
        <v>10.8</v>
      </c>
      <c r="P1834" s="30">
        <f t="shared" si="283"/>
        <v>78.3</v>
      </c>
      <c r="Q1834" s="23"/>
      <c r="R1834" s="52"/>
      <c r="S1834" s="53"/>
      <c r="T1834" s="54">
        <f t="shared" si="284"/>
        <v>0</v>
      </c>
      <c r="U1834" s="26">
        <f t="shared" si="285"/>
        <v>0</v>
      </c>
      <c r="V1834" s="55">
        <f t="shared" si="286"/>
        <v>0</v>
      </c>
      <c r="W1834" s="29">
        <f t="shared" si="287"/>
        <v>0</v>
      </c>
      <c r="X1834" s="30">
        <f t="shared" si="288"/>
        <v>0</v>
      </c>
      <c r="Y1834"/>
      <c r="Z1834"/>
      <c r="AA1834"/>
    </row>
    <row r="1835" spans="1:27" s="51" customFormat="1" ht="18.600000000000001" hidden="1" customHeight="1" x14ac:dyDescent="0.25">
      <c r="A1835" s="81" t="s">
        <v>2653</v>
      </c>
      <c r="B1835" s="31" t="s">
        <v>9303</v>
      </c>
      <c r="C1835" s="32" t="s">
        <v>9316</v>
      </c>
      <c r="D1835" s="31" t="s">
        <v>4441</v>
      </c>
      <c r="E1835" s="33" t="s">
        <v>4442</v>
      </c>
      <c r="F1835" s="33" t="s">
        <v>1937</v>
      </c>
      <c r="G1835" s="33" t="s">
        <v>3586</v>
      </c>
      <c r="H1835" s="84" t="s">
        <v>4443</v>
      </c>
      <c r="I1835" s="23" t="s">
        <v>24</v>
      </c>
      <c r="J1835" s="34">
        <v>90</v>
      </c>
      <c r="K1835" s="35">
        <v>0.25</v>
      </c>
      <c r="L1835" s="36">
        <f t="shared" si="280"/>
        <v>22.5</v>
      </c>
      <c r="M1835" s="37">
        <f t="shared" si="281"/>
        <v>67.5</v>
      </c>
      <c r="N1835" s="38">
        <v>0.16</v>
      </c>
      <c r="O1835" s="39">
        <f t="shared" si="282"/>
        <v>10.8</v>
      </c>
      <c r="P1835" s="40">
        <f t="shared" si="283"/>
        <v>78.3</v>
      </c>
      <c r="Q1835" s="23"/>
      <c r="R1835" s="56"/>
      <c r="S1835" s="57"/>
      <c r="T1835" s="58">
        <f t="shared" si="284"/>
        <v>0</v>
      </c>
      <c r="U1835" s="36">
        <f t="shared" si="285"/>
        <v>0</v>
      </c>
      <c r="V1835" s="59">
        <f t="shared" si="286"/>
        <v>0</v>
      </c>
      <c r="W1835" s="39">
        <f t="shared" si="287"/>
        <v>0</v>
      </c>
      <c r="X1835" s="40">
        <f t="shared" si="288"/>
        <v>0</v>
      </c>
      <c r="Y1835"/>
      <c r="Z1835"/>
      <c r="AA1835"/>
    </row>
    <row r="1836" spans="1:27" s="51" customFormat="1" ht="18.600000000000001" hidden="1" customHeight="1" x14ac:dyDescent="0.25">
      <c r="A1836" s="82" t="s">
        <v>2653</v>
      </c>
      <c r="B1836" s="41" t="s">
        <v>9303</v>
      </c>
      <c r="C1836" s="42" t="s">
        <v>9316</v>
      </c>
      <c r="D1836" s="41" t="s">
        <v>4444</v>
      </c>
      <c r="E1836" s="43" t="s">
        <v>4445</v>
      </c>
      <c r="F1836" s="43" t="s">
        <v>1937</v>
      </c>
      <c r="G1836" s="43" t="s">
        <v>3586</v>
      </c>
      <c r="H1836" s="85" t="s">
        <v>4446</v>
      </c>
      <c r="I1836" s="23" t="s">
        <v>24</v>
      </c>
      <c r="J1836" s="44">
        <v>90</v>
      </c>
      <c r="K1836" s="45">
        <v>0.25</v>
      </c>
      <c r="L1836" s="46">
        <f t="shared" si="280"/>
        <v>22.5</v>
      </c>
      <c r="M1836" s="47">
        <f t="shared" si="281"/>
        <v>67.5</v>
      </c>
      <c r="N1836" s="48">
        <v>0.16</v>
      </c>
      <c r="O1836" s="49">
        <f t="shared" si="282"/>
        <v>10.8</v>
      </c>
      <c r="P1836" s="50">
        <f t="shared" si="283"/>
        <v>78.3</v>
      </c>
      <c r="Q1836" s="23"/>
      <c r="R1836" s="60"/>
      <c r="S1836" s="61"/>
      <c r="T1836" s="62">
        <f t="shared" si="284"/>
        <v>0</v>
      </c>
      <c r="U1836" s="46">
        <f t="shared" si="285"/>
        <v>0</v>
      </c>
      <c r="V1836" s="63">
        <f t="shared" si="286"/>
        <v>0</v>
      </c>
      <c r="W1836" s="49">
        <f t="shared" si="287"/>
        <v>0</v>
      </c>
      <c r="X1836" s="50">
        <f t="shared" si="288"/>
        <v>0</v>
      </c>
      <c r="Y1836"/>
      <c r="Z1836"/>
      <c r="AA1836"/>
    </row>
    <row r="1837" spans="1:27" s="51" customFormat="1" ht="18.600000000000001" hidden="1" customHeight="1" x14ac:dyDescent="0.25">
      <c r="A1837" s="80" t="s">
        <v>2653</v>
      </c>
      <c r="B1837" s="20" t="s">
        <v>9303</v>
      </c>
      <c r="C1837" s="21" t="s">
        <v>9316</v>
      </c>
      <c r="D1837" s="20" t="s">
        <v>4447</v>
      </c>
      <c r="E1837" s="22" t="s">
        <v>4448</v>
      </c>
      <c r="F1837" s="22" t="s">
        <v>1937</v>
      </c>
      <c r="G1837" s="22" t="s">
        <v>3586</v>
      </c>
      <c r="H1837" s="83" t="s">
        <v>4449</v>
      </c>
      <c r="I1837" s="23" t="s">
        <v>24</v>
      </c>
      <c r="J1837" s="24">
        <v>90</v>
      </c>
      <c r="K1837" s="25">
        <v>0.25</v>
      </c>
      <c r="L1837" s="26">
        <f t="shared" si="280"/>
        <v>22.5</v>
      </c>
      <c r="M1837" s="27">
        <f t="shared" si="281"/>
        <v>67.5</v>
      </c>
      <c r="N1837" s="28">
        <v>0.16</v>
      </c>
      <c r="O1837" s="29">
        <f t="shared" si="282"/>
        <v>10.8</v>
      </c>
      <c r="P1837" s="30">
        <f t="shared" si="283"/>
        <v>78.3</v>
      </c>
      <c r="Q1837" s="23"/>
      <c r="R1837" s="52"/>
      <c r="S1837" s="53"/>
      <c r="T1837" s="54">
        <f t="shared" si="284"/>
        <v>0</v>
      </c>
      <c r="U1837" s="26">
        <f t="shared" si="285"/>
        <v>0</v>
      </c>
      <c r="V1837" s="55">
        <f t="shared" si="286"/>
        <v>0</v>
      </c>
      <c r="W1837" s="29">
        <f t="shared" si="287"/>
        <v>0</v>
      </c>
      <c r="X1837" s="30">
        <f t="shared" si="288"/>
        <v>0</v>
      </c>
      <c r="Y1837"/>
      <c r="Z1837"/>
      <c r="AA1837"/>
    </row>
    <row r="1838" spans="1:27" s="51" customFormat="1" ht="18.600000000000001" hidden="1" customHeight="1" x14ac:dyDescent="0.25">
      <c r="A1838" s="81" t="s">
        <v>2653</v>
      </c>
      <c r="B1838" s="31" t="s">
        <v>9303</v>
      </c>
      <c r="C1838" s="32" t="s">
        <v>9316</v>
      </c>
      <c r="D1838" s="31" t="s">
        <v>4450</v>
      </c>
      <c r="E1838" s="33" t="s">
        <v>4451</v>
      </c>
      <c r="F1838" s="33" t="s">
        <v>1937</v>
      </c>
      <c r="G1838" s="33" t="s">
        <v>3586</v>
      </c>
      <c r="H1838" s="84" t="s">
        <v>4452</v>
      </c>
      <c r="I1838" s="23" t="s">
        <v>24</v>
      </c>
      <c r="J1838" s="34">
        <v>90</v>
      </c>
      <c r="K1838" s="35">
        <v>0.25</v>
      </c>
      <c r="L1838" s="36">
        <f t="shared" si="280"/>
        <v>22.5</v>
      </c>
      <c r="M1838" s="37">
        <f t="shared" si="281"/>
        <v>67.5</v>
      </c>
      <c r="N1838" s="38">
        <v>0.16</v>
      </c>
      <c r="O1838" s="39">
        <f t="shared" si="282"/>
        <v>10.8</v>
      </c>
      <c r="P1838" s="40">
        <f t="shared" si="283"/>
        <v>78.3</v>
      </c>
      <c r="Q1838" s="23"/>
      <c r="R1838" s="56"/>
      <c r="S1838" s="57"/>
      <c r="T1838" s="58">
        <f t="shared" si="284"/>
        <v>0</v>
      </c>
      <c r="U1838" s="36">
        <f t="shared" si="285"/>
        <v>0</v>
      </c>
      <c r="V1838" s="59">
        <f t="shared" si="286"/>
        <v>0</v>
      </c>
      <c r="W1838" s="39">
        <f t="shared" si="287"/>
        <v>0</v>
      </c>
      <c r="X1838" s="40">
        <f t="shared" si="288"/>
        <v>0</v>
      </c>
      <c r="Y1838"/>
      <c r="Z1838"/>
      <c r="AA1838"/>
    </row>
    <row r="1839" spans="1:27" s="51" customFormat="1" ht="18.600000000000001" hidden="1" customHeight="1" x14ac:dyDescent="0.25">
      <c r="A1839" s="82" t="s">
        <v>2653</v>
      </c>
      <c r="B1839" s="41" t="s">
        <v>9303</v>
      </c>
      <c r="C1839" s="42" t="s">
        <v>9316</v>
      </c>
      <c r="D1839" s="41" t="s">
        <v>4453</v>
      </c>
      <c r="E1839" s="43" t="s">
        <v>4454</v>
      </c>
      <c r="F1839" s="43" t="s">
        <v>1937</v>
      </c>
      <c r="G1839" s="43" t="s">
        <v>3586</v>
      </c>
      <c r="H1839" s="85" t="s">
        <v>4455</v>
      </c>
      <c r="I1839" s="23" t="s">
        <v>24</v>
      </c>
      <c r="J1839" s="44">
        <v>90</v>
      </c>
      <c r="K1839" s="45">
        <v>0.25</v>
      </c>
      <c r="L1839" s="46">
        <f t="shared" si="280"/>
        <v>22.5</v>
      </c>
      <c r="M1839" s="47">
        <f t="shared" si="281"/>
        <v>67.5</v>
      </c>
      <c r="N1839" s="48">
        <v>0.16</v>
      </c>
      <c r="O1839" s="49">
        <f t="shared" si="282"/>
        <v>10.8</v>
      </c>
      <c r="P1839" s="50">
        <f t="shared" si="283"/>
        <v>78.3</v>
      </c>
      <c r="Q1839" s="23"/>
      <c r="R1839" s="60"/>
      <c r="S1839" s="61"/>
      <c r="T1839" s="62">
        <f t="shared" si="284"/>
        <v>0</v>
      </c>
      <c r="U1839" s="46">
        <f t="shared" si="285"/>
        <v>0</v>
      </c>
      <c r="V1839" s="63">
        <f t="shared" si="286"/>
        <v>0</v>
      </c>
      <c r="W1839" s="49">
        <f t="shared" si="287"/>
        <v>0</v>
      </c>
      <c r="X1839" s="50">
        <f t="shared" si="288"/>
        <v>0</v>
      </c>
      <c r="Y1839"/>
      <c r="Z1839"/>
      <c r="AA1839"/>
    </row>
    <row r="1840" spans="1:27" s="51" customFormat="1" ht="18.600000000000001" hidden="1" customHeight="1" x14ac:dyDescent="0.25">
      <c r="A1840" s="80" t="s">
        <v>2653</v>
      </c>
      <c r="B1840" s="20" t="s">
        <v>9303</v>
      </c>
      <c r="C1840" s="21" t="s">
        <v>9316</v>
      </c>
      <c r="D1840" s="20" t="s">
        <v>4456</v>
      </c>
      <c r="E1840" s="22" t="s">
        <v>4457</v>
      </c>
      <c r="F1840" s="22" t="s">
        <v>1937</v>
      </c>
      <c r="G1840" s="22" t="s">
        <v>3586</v>
      </c>
      <c r="H1840" s="83" t="s">
        <v>4458</v>
      </c>
      <c r="I1840" s="23" t="s">
        <v>24</v>
      </c>
      <c r="J1840" s="24">
        <v>90</v>
      </c>
      <c r="K1840" s="25">
        <v>0.25</v>
      </c>
      <c r="L1840" s="26">
        <f t="shared" si="280"/>
        <v>22.5</v>
      </c>
      <c r="M1840" s="27">
        <f t="shared" si="281"/>
        <v>67.5</v>
      </c>
      <c r="N1840" s="28">
        <v>0.16</v>
      </c>
      <c r="O1840" s="29">
        <f t="shared" si="282"/>
        <v>10.8</v>
      </c>
      <c r="P1840" s="30">
        <f t="shared" si="283"/>
        <v>78.3</v>
      </c>
      <c r="Q1840" s="23"/>
      <c r="R1840" s="52"/>
      <c r="S1840" s="53"/>
      <c r="T1840" s="54">
        <f t="shared" si="284"/>
        <v>0</v>
      </c>
      <c r="U1840" s="26">
        <f t="shared" si="285"/>
        <v>0</v>
      </c>
      <c r="V1840" s="55">
        <f t="shared" si="286"/>
        <v>0</v>
      </c>
      <c r="W1840" s="29">
        <f t="shared" si="287"/>
        <v>0</v>
      </c>
      <c r="X1840" s="30">
        <f t="shared" si="288"/>
        <v>0</v>
      </c>
      <c r="Y1840"/>
      <c r="Z1840"/>
      <c r="AA1840"/>
    </row>
    <row r="1841" spans="1:27" s="51" customFormat="1" ht="18.600000000000001" hidden="1" customHeight="1" x14ac:dyDescent="0.25">
      <c r="A1841" s="81" t="s">
        <v>2653</v>
      </c>
      <c r="B1841" s="31" t="s">
        <v>9303</v>
      </c>
      <c r="C1841" s="32" t="s">
        <v>9316</v>
      </c>
      <c r="D1841" s="31" t="s">
        <v>4459</v>
      </c>
      <c r="E1841" s="33" t="s">
        <v>4460</v>
      </c>
      <c r="F1841" s="33" t="s">
        <v>1937</v>
      </c>
      <c r="G1841" s="33" t="s">
        <v>3586</v>
      </c>
      <c r="H1841" s="84" t="s">
        <v>4461</v>
      </c>
      <c r="I1841" s="23" t="s">
        <v>24</v>
      </c>
      <c r="J1841" s="34">
        <v>90</v>
      </c>
      <c r="K1841" s="35">
        <v>0.25</v>
      </c>
      <c r="L1841" s="36">
        <f t="shared" si="280"/>
        <v>22.5</v>
      </c>
      <c r="M1841" s="37">
        <f t="shared" si="281"/>
        <v>67.5</v>
      </c>
      <c r="N1841" s="38">
        <v>0.16</v>
      </c>
      <c r="O1841" s="39">
        <f t="shared" si="282"/>
        <v>10.8</v>
      </c>
      <c r="P1841" s="40">
        <f t="shared" si="283"/>
        <v>78.3</v>
      </c>
      <c r="Q1841" s="23"/>
      <c r="R1841" s="56"/>
      <c r="S1841" s="57"/>
      <c r="T1841" s="58">
        <f t="shared" si="284"/>
        <v>0</v>
      </c>
      <c r="U1841" s="36">
        <f t="shared" si="285"/>
        <v>0</v>
      </c>
      <c r="V1841" s="59">
        <f t="shared" si="286"/>
        <v>0</v>
      </c>
      <c r="W1841" s="39">
        <f t="shared" si="287"/>
        <v>0</v>
      </c>
      <c r="X1841" s="40">
        <f t="shared" si="288"/>
        <v>0</v>
      </c>
      <c r="Y1841"/>
      <c r="Z1841"/>
      <c r="AA1841"/>
    </row>
    <row r="1842" spans="1:27" s="51" customFormat="1" ht="18.600000000000001" hidden="1" customHeight="1" x14ac:dyDescent="0.25">
      <c r="A1842" s="82" t="s">
        <v>2653</v>
      </c>
      <c r="B1842" s="41" t="s">
        <v>9303</v>
      </c>
      <c r="C1842" s="42" t="s">
        <v>9316</v>
      </c>
      <c r="D1842" s="41" t="s">
        <v>4462</v>
      </c>
      <c r="E1842" s="43" t="s">
        <v>4463</v>
      </c>
      <c r="F1842" s="43" t="s">
        <v>1937</v>
      </c>
      <c r="G1842" s="43" t="s">
        <v>3586</v>
      </c>
      <c r="H1842" s="85" t="s">
        <v>4464</v>
      </c>
      <c r="I1842" s="23" t="s">
        <v>24</v>
      </c>
      <c r="J1842" s="44">
        <v>90</v>
      </c>
      <c r="K1842" s="45">
        <v>0.25</v>
      </c>
      <c r="L1842" s="46">
        <f t="shared" si="280"/>
        <v>22.5</v>
      </c>
      <c r="M1842" s="47">
        <f t="shared" si="281"/>
        <v>67.5</v>
      </c>
      <c r="N1842" s="48">
        <v>0.16</v>
      </c>
      <c r="O1842" s="49">
        <f t="shared" si="282"/>
        <v>10.8</v>
      </c>
      <c r="P1842" s="50">
        <f t="shared" si="283"/>
        <v>78.3</v>
      </c>
      <c r="Q1842" s="23"/>
      <c r="R1842" s="60"/>
      <c r="S1842" s="61"/>
      <c r="T1842" s="62">
        <f t="shared" si="284"/>
        <v>0</v>
      </c>
      <c r="U1842" s="46">
        <f t="shared" si="285"/>
        <v>0</v>
      </c>
      <c r="V1842" s="63">
        <f t="shared" si="286"/>
        <v>0</v>
      </c>
      <c r="W1842" s="49">
        <f t="shared" si="287"/>
        <v>0</v>
      </c>
      <c r="X1842" s="50">
        <f t="shared" si="288"/>
        <v>0</v>
      </c>
      <c r="Y1842"/>
      <c r="Z1842"/>
      <c r="AA1842"/>
    </row>
    <row r="1843" spans="1:27" s="51" customFormat="1" ht="18.600000000000001" hidden="1" customHeight="1" x14ac:dyDescent="0.25">
      <c r="A1843" s="80" t="s">
        <v>2653</v>
      </c>
      <c r="B1843" s="20" t="s">
        <v>9303</v>
      </c>
      <c r="C1843" s="21" t="s">
        <v>9316</v>
      </c>
      <c r="D1843" s="20" t="s">
        <v>4465</v>
      </c>
      <c r="E1843" s="22" t="s">
        <v>4466</v>
      </c>
      <c r="F1843" s="22" t="s">
        <v>1937</v>
      </c>
      <c r="G1843" s="22" t="s">
        <v>3586</v>
      </c>
      <c r="H1843" s="83" t="s">
        <v>4467</v>
      </c>
      <c r="I1843" s="23" t="s">
        <v>24</v>
      </c>
      <c r="J1843" s="24">
        <v>90</v>
      </c>
      <c r="K1843" s="25">
        <v>0.25</v>
      </c>
      <c r="L1843" s="26">
        <f t="shared" si="280"/>
        <v>22.5</v>
      </c>
      <c r="M1843" s="27">
        <f t="shared" si="281"/>
        <v>67.5</v>
      </c>
      <c r="N1843" s="28">
        <v>0.16</v>
      </c>
      <c r="O1843" s="29">
        <f t="shared" si="282"/>
        <v>10.8</v>
      </c>
      <c r="P1843" s="30">
        <f t="shared" si="283"/>
        <v>78.3</v>
      </c>
      <c r="Q1843" s="23"/>
      <c r="R1843" s="52"/>
      <c r="S1843" s="53"/>
      <c r="T1843" s="54">
        <f t="shared" si="284"/>
        <v>0</v>
      </c>
      <c r="U1843" s="26">
        <f t="shared" si="285"/>
        <v>0</v>
      </c>
      <c r="V1843" s="55">
        <f t="shared" si="286"/>
        <v>0</v>
      </c>
      <c r="W1843" s="29">
        <f t="shared" si="287"/>
        <v>0</v>
      </c>
      <c r="X1843" s="30">
        <f t="shared" si="288"/>
        <v>0</v>
      </c>
      <c r="Y1843"/>
      <c r="Z1843"/>
      <c r="AA1843"/>
    </row>
    <row r="1844" spans="1:27" s="51" customFormat="1" ht="18.600000000000001" hidden="1" customHeight="1" x14ac:dyDescent="0.25">
      <c r="A1844" s="81" t="s">
        <v>2653</v>
      </c>
      <c r="B1844" s="31" t="s">
        <v>9303</v>
      </c>
      <c r="C1844" s="32" t="s">
        <v>9316</v>
      </c>
      <c r="D1844" s="31" t="s">
        <v>4468</v>
      </c>
      <c r="E1844" s="33" t="s">
        <v>4469</v>
      </c>
      <c r="F1844" s="33" t="s">
        <v>1937</v>
      </c>
      <c r="G1844" s="33" t="s">
        <v>3586</v>
      </c>
      <c r="H1844" s="84" t="s">
        <v>4470</v>
      </c>
      <c r="I1844" s="23" t="s">
        <v>24</v>
      </c>
      <c r="J1844" s="34">
        <v>90</v>
      </c>
      <c r="K1844" s="35">
        <v>0.25</v>
      </c>
      <c r="L1844" s="36">
        <f t="shared" si="280"/>
        <v>22.5</v>
      </c>
      <c r="M1844" s="37">
        <f t="shared" si="281"/>
        <v>67.5</v>
      </c>
      <c r="N1844" s="38">
        <v>0.16</v>
      </c>
      <c r="O1844" s="39">
        <f t="shared" si="282"/>
        <v>10.8</v>
      </c>
      <c r="P1844" s="40">
        <f t="shared" si="283"/>
        <v>78.3</v>
      </c>
      <c r="Q1844" s="23"/>
      <c r="R1844" s="56"/>
      <c r="S1844" s="57"/>
      <c r="T1844" s="58">
        <f t="shared" si="284"/>
        <v>0</v>
      </c>
      <c r="U1844" s="36">
        <f t="shared" si="285"/>
        <v>0</v>
      </c>
      <c r="V1844" s="59">
        <f t="shared" si="286"/>
        <v>0</v>
      </c>
      <c r="W1844" s="39">
        <f t="shared" si="287"/>
        <v>0</v>
      </c>
      <c r="X1844" s="40">
        <f t="shared" si="288"/>
        <v>0</v>
      </c>
      <c r="Y1844"/>
      <c r="Z1844"/>
      <c r="AA1844"/>
    </row>
    <row r="1845" spans="1:27" s="51" customFormat="1" ht="18.600000000000001" hidden="1" customHeight="1" x14ac:dyDescent="0.25">
      <c r="A1845" s="82" t="s">
        <v>2653</v>
      </c>
      <c r="B1845" s="41" t="s">
        <v>9303</v>
      </c>
      <c r="C1845" s="42" t="s">
        <v>9316</v>
      </c>
      <c r="D1845" s="41" t="s">
        <v>4471</v>
      </c>
      <c r="E1845" s="43" t="s">
        <v>4472</v>
      </c>
      <c r="F1845" s="43" t="s">
        <v>1937</v>
      </c>
      <c r="G1845" s="43" t="s">
        <v>3586</v>
      </c>
      <c r="H1845" s="85" t="s">
        <v>4473</v>
      </c>
      <c r="I1845" s="23" t="s">
        <v>24</v>
      </c>
      <c r="J1845" s="44">
        <v>90</v>
      </c>
      <c r="K1845" s="45">
        <v>0.25</v>
      </c>
      <c r="L1845" s="46">
        <f t="shared" si="280"/>
        <v>22.5</v>
      </c>
      <c r="M1845" s="47">
        <f t="shared" si="281"/>
        <v>67.5</v>
      </c>
      <c r="N1845" s="48">
        <v>0.16</v>
      </c>
      <c r="O1845" s="49">
        <f t="shared" si="282"/>
        <v>10.8</v>
      </c>
      <c r="P1845" s="50">
        <f t="shared" si="283"/>
        <v>78.3</v>
      </c>
      <c r="Q1845" s="23"/>
      <c r="R1845" s="60"/>
      <c r="S1845" s="61"/>
      <c r="T1845" s="62">
        <f t="shared" si="284"/>
        <v>0</v>
      </c>
      <c r="U1845" s="46">
        <f t="shared" si="285"/>
        <v>0</v>
      </c>
      <c r="V1845" s="63">
        <f t="shared" si="286"/>
        <v>0</v>
      </c>
      <c r="W1845" s="49">
        <f t="shared" si="287"/>
        <v>0</v>
      </c>
      <c r="X1845" s="50">
        <f t="shared" si="288"/>
        <v>0</v>
      </c>
      <c r="Y1845"/>
      <c r="Z1845"/>
      <c r="AA1845"/>
    </row>
    <row r="1846" spans="1:27" s="51" customFormat="1" ht="18.600000000000001" hidden="1" customHeight="1" x14ac:dyDescent="0.25">
      <c r="A1846" s="80" t="s">
        <v>2653</v>
      </c>
      <c r="B1846" s="20" t="s">
        <v>9303</v>
      </c>
      <c r="C1846" s="21" t="s">
        <v>9316</v>
      </c>
      <c r="D1846" s="20" t="s">
        <v>4474</v>
      </c>
      <c r="E1846" s="22" t="s">
        <v>4475</v>
      </c>
      <c r="F1846" s="22" t="s">
        <v>1937</v>
      </c>
      <c r="G1846" s="22" t="s">
        <v>3586</v>
      </c>
      <c r="H1846" s="83" t="s">
        <v>4476</v>
      </c>
      <c r="I1846" s="23" t="s">
        <v>24</v>
      </c>
      <c r="J1846" s="24">
        <v>90</v>
      </c>
      <c r="K1846" s="25">
        <v>0.25</v>
      </c>
      <c r="L1846" s="26">
        <f t="shared" si="280"/>
        <v>22.5</v>
      </c>
      <c r="M1846" s="27">
        <f t="shared" si="281"/>
        <v>67.5</v>
      </c>
      <c r="N1846" s="28">
        <v>0.16</v>
      </c>
      <c r="O1846" s="29">
        <f t="shared" si="282"/>
        <v>10.8</v>
      </c>
      <c r="P1846" s="30">
        <f t="shared" si="283"/>
        <v>78.3</v>
      </c>
      <c r="Q1846" s="23"/>
      <c r="R1846" s="52"/>
      <c r="S1846" s="53"/>
      <c r="T1846" s="54">
        <f t="shared" si="284"/>
        <v>0</v>
      </c>
      <c r="U1846" s="26">
        <f t="shared" si="285"/>
        <v>0</v>
      </c>
      <c r="V1846" s="55">
        <f t="shared" si="286"/>
        <v>0</v>
      </c>
      <c r="W1846" s="29">
        <f t="shared" si="287"/>
        <v>0</v>
      </c>
      <c r="X1846" s="30">
        <f t="shared" si="288"/>
        <v>0</v>
      </c>
      <c r="Y1846"/>
      <c r="Z1846"/>
      <c r="AA1846"/>
    </row>
    <row r="1847" spans="1:27" s="51" customFormat="1" ht="18.600000000000001" hidden="1" customHeight="1" x14ac:dyDescent="0.25">
      <c r="A1847" s="81" t="s">
        <v>2653</v>
      </c>
      <c r="B1847" s="31" t="s">
        <v>9303</v>
      </c>
      <c r="C1847" s="32" t="s">
        <v>9316</v>
      </c>
      <c r="D1847" s="31" t="s">
        <v>4477</v>
      </c>
      <c r="E1847" s="33" t="s">
        <v>4478</v>
      </c>
      <c r="F1847" s="33" t="s">
        <v>1937</v>
      </c>
      <c r="G1847" s="33" t="s">
        <v>3586</v>
      </c>
      <c r="H1847" s="84" t="s">
        <v>4479</v>
      </c>
      <c r="I1847" s="23" t="s">
        <v>24</v>
      </c>
      <c r="J1847" s="34">
        <v>90</v>
      </c>
      <c r="K1847" s="35">
        <v>0.25</v>
      </c>
      <c r="L1847" s="36">
        <f t="shared" si="280"/>
        <v>22.5</v>
      </c>
      <c r="M1847" s="37">
        <f t="shared" si="281"/>
        <v>67.5</v>
      </c>
      <c r="N1847" s="38">
        <v>0.16</v>
      </c>
      <c r="O1847" s="39">
        <f t="shared" si="282"/>
        <v>10.8</v>
      </c>
      <c r="P1847" s="40">
        <f t="shared" si="283"/>
        <v>78.3</v>
      </c>
      <c r="Q1847" s="23"/>
      <c r="R1847" s="56"/>
      <c r="S1847" s="57"/>
      <c r="T1847" s="58">
        <f t="shared" si="284"/>
        <v>0</v>
      </c>
      <c r="U1847" s="36">
        <f t="shared" si="285"/>
        <v>0</v>
      </c>
      <c r="V1847" s="59">
        <f t="shared" si="286"/>
        <v>0</v>
      </c>
      <c r="W1847" s="39">
        <f t="shared" si="287"/>
        <v>0</v>
      </c>
      <c r="X1847" s="40">
        <f t="shared" si="288"/>
        <v>0</v>
      </c>
      <c r="Y1847"/>
      <c r="Z1847"/>
      <c r="AA1847"/>
    </row>
    <row r="1848" spans="1:27" s="51" customFormat="1" ht="18.600000000000001" hidden="1" customHeight="1" x14ac:dyDescent="0.25">
      <c r="A1848" s="82" t="s">
        <v>2653</v>
      </c>
      <c r="B1848" s="41" t="s">
        <v>9303</v>
      </c>
      <c r="C1848" s="42" t="s">
        <v>9316</v>
      </c>
      <c r="D1848" s="41" t="s">
        <v>4480</v>
      </c>
      <c r="E1848" s="43" t="s">
        <v>4481</v>
      </c>
      <c r="F1848" s="43" t="s">
        <v>1937</v>
      </c>
      <c r="G1848" s="43" t="s">
        <v>3586</v>
      </c>
      <c r="H1848" s="85" t="s">
        <v>4482</v>
      </c>
      <c r="I1848" s="23" t="s">
        <v>24</v>
      </c>
      <c r="J1848" s="44">
        <v>90</v>
      </c>
      <c r="K1848" s="45">
        <v>0.25</v>
      </c>
      <c r="L1848" s="46">
        <f t="shared" si="280"/>
        <v>22.5</v>
      </c>
      <c r="M1848" s="47">
        <f t="shared" si="281"/>
        <v>67.5</v>
      </c>
      <c r="N1848" s="48">
        <v>0.16</v>
      </c>
      <c r="O1848" s="49">
        <f t="shared" si="282"/>
        <v>10.8</v>
      </c>
      <c r="P1848" s="50">
        <f t="shared" si="283"/>
        <v>78.3</v>
      </c>
      <c r="Q1848" s="23"/>
      <c r="R1848" s="60"/>
      <c r="S1848" s="61"/>
      <c r="T1848" s="62">
        <f t="shared" si="284"/>
        <v>0</v>
      </c>
      <c r="U1848" s="46">
        <f t="shared" si="285"/>
        <v>0</v>
      </c>
      <c r="V1848" s="63">
        <f t="shared" si="286"/>
        <v>0</v>
      </c>
      <c r="W1848" s="49">
        <f t="shared" si="287"/>
        <v>0</v>
      </c>
      <c r="X1848" s="50">
        <f t="shared" si="288"/>
        <v>0</v>
      </c>
      <c r="Y1848"/>
      <c r="Z1848"/>
      <c r="AA1848"/>
    </row>
    <row r="1849" spans="1:27" s="51" customFormat="1" ht="18.600000000000001" hidden="1" customHeight="1" x14ac:dyDescent="0.25">
      <c r="A1849" s="80" t="s">
        <v>2653</v>
      </c>
      <c r="B1849" s="20" t="s">
        <v>9303</v>
      </c>
      <c r="C1849" s="21" t="s">
        <v>9316</v>
      </c>
      <c r="D1849" s="20" t="s">
        <v>4483</v>
      </c>
      <c r="E1849" s="22" t="s">
        <v>4484</v>
      </c>
      <c r="F1849" s="22" t="s">
        <v>1937</v>
      </c>
      <c r="G1849" s="22" t="s">
        <v>3586</v>
      </c>
      <c r="H1849" s="83" t="s">
        <v>4485</v>
      </c>
      <c r="I1849" s="23" t="s">
        <v>24</v>
      </c>
      <c r="J1849" s="24">
        <v>90</v>
      </c>
      <c r="K1849" s="25">
        <v>0.25</v>
      </c>
      <c r="L1849" s="26">
        <f t="shared" si="280"/>
        <v>22.5</v>
      </c>
      <c r="M1849" s="27">
        <f t="shared" si="281"/>
        <v>67.5</v>
      </c>
      <c r="N1849" s="28">
        <v>0.16</v>
      </c>
      <c r="O1849" s="29">
        <f t="shared" si="282"/>
        <v>10.8</v>
      </c>
      <c r="P1849" s="30">
        <f t="shared" si="283"/>
        <v>78.3</v>
      </c>
      <c r="Q1849" s="23"/>
      <c r="R1849" s="52"/>
      <c r="S1849" s="53"/>
      <c r="T1849" s="54">
        <f t="shared" si="284"/>
        <v>0</v>
      </c>
      <c r="U1849" s="26">
        <f t="shared" si="285"/>
        <v>0</v>
      </c>
      <c r="V1849" s="55">
        <f t="shared" si="286"/>
        <v>0</v>
      </c>
      <c r="W1849" s="29">
        <f t="shared" si="287"/>
        <v>0</v>
      </c>
      <c r="X1849" s="30">
        <f t="shared" si="288"/>
        <v>0</v>
      </c>
      <c r="Y1849"/>
      <c r="Z1849"/>
      <c r="AA1849"/>
    </row>
    <row r="1850" spans="1:27" s="51" customFormat="1" ht="18.600000000000001" hidden="1" customHeight="1" x14ac:dyDescent="0.25">
      <c r="A1850" s="81" t="s">
        <v>2653</v>
      </c>
      <c r="B1850" s="31" t="s">
        <v>9303</v>
      </c>
      <c r="C1850" s="32" t="s">
        <v>9316</v>
      </c>
      <c r="D1850" s="31" t="s">
        <v>4486</v>
      </c>
      <c r="E1850" s="33" t="s">
        <v>4487</v>
      </c>
      <c r="F1850" s="33" t="s">
        <v>1937</v>
      </c>
      <c r="G1850" s="33" t="s">
        <v>3586</v>
      </c>
      <c r="H1850" s="84" t="s">
        <v>4488</v>
      </c>
      <c r="I1850" s="23" t="s">
        <v>24</v>
      </c>
      <c r="J1850" s="34">
        <v>90</v>
      </c>
      <c r="K1850" s="35">
        <v>0.25</v>
      </c>
      <c r="L1850" s="36">
        <f t="shared" si="280"/>
        <v>22.5</v>
      </c>
      <c r="M1850" s="37">
        <f t="shared" si="281"/>
        <v>67.5</v>
      </c>
      <c r="N1850" s="38">
        <v>0.16</v>
      </c>
      <c r="O1850" s="39">
        <f t="shared" si="282"/>
        <v>10.8</v>
      </c>
      <c r="P1850" s="40">
        <f t="shared" si="283"/>
        <v>78.3</v>
      </c>
      <c r="Q1850" s="23"/>
      <c r="R1850" s="56"/>
      <c r="S1850" s="57"/>
      <c r="T1850" s="58">
        <f t="shared" si="284"/>
        <v>0</v>
      </c>
      <c r="U1850" s="36">
        <f t="shared" si="285"/>
        <v>0</v>
      </c>
      <c r="V1850" s="59">
        <f t="shared" si="286"/>
        <v>0</v>
      </c>
      <c r="W1850" s="39">
        <f t="shared" si="287"/>
        <v>0</v>
      </c>
      <c r="X1850" s="40">
        <f t="shared" si="288"/>
        <v>0</v>
      </c>
      <c r="Y1850"/>
      <c r="Z1850"/>
      <c r="AA1850"/>
    </row>
    <row r="1851" spans="1:27" s="51" customFormat="1" ht="18.600000000000001" hidden="1" customHeight="1" x14ac:dyDescent="0.25">
      <c r="A1851" s="82" t="s">
        <v>2653</v>
      </c>
      <c r="B1851" s="41" t="s">
        <v>9303</v>
      </c>
      <c r="C1851" s="42" t="s">
        <v>9316</v>
      </c>
      <c r="D1851" s="41" t="s">
        <v>4489</v>
      </c>
      <c r="E1851" s="43" t="s">
        <v>4490</v>
      </c>
      <c r="F1851" s="43" t="s">
        <v>1937</v>
      </c>
      <c r="G1851" s="43" t="s">
        <v>3586</v>
      </c>
      <c r="H1851" s="85" t="s">
        <v>4491</v>
      </c>
      <c r="I1851" s="23" t="s">
        <v>24</v>
      </c>
      <c r="J1851" s="44">
        <v>90</v>
      </c>
      <c r="K1851" s="45">
        <v>0.25</v>
      </c>
      <c r="L1851" s="46">
        <f t="shared" si="280"/>
        <v>22.5</v>
      </c>
      <c r="M1851" s="47">
        <f t="shared" si="281"/>
        <v>67.5</v>
      </c>
      <c r="N1851" s="48">
        <v>0.16</v>
      </c>
      <c r="O1851" s="49">
        <f t="shared" si="282"/>
        <v>10.8</v>
      </c>
      <c r="P1851" s="50">
        <f t="shared" si="283"/>
        <v>78.3</v>
      </c>
      <c r="Q1851" s="23"/>
      <c r="R1851" s="60"/>
      <c r="S1851" s="61"/>
      <c r="T1851" s="62">
        <f t="shared" si="284"/>
        <v>0</v>
      </c>
      <c r="U1851" s="46">
        <f t="shared" si="285"/>
        <v>0</v>
      </c>
      <c r="V1851" s="63">
        <f t="shared" si="286"/>
        <v>0</v>
      </c>
      <c r="W1851" s="49">
        <f t="shared" si="287"/>
        <v>0</v>
      </c>
      <c r="X1851" s="50">
        <f t="shared" si="288"/>
        <v>0</v>
      </c>
      <c r="Y1851"/>
      <c r="Z1851"/>
      <c r="AA1851"/>
    </row>
    <row r="1852" spans="1:27" s="51" customFormat="1" ht="18.600000000000001" hidden="1" customHeight="1" x14ac:dyDescent="0.25">
      <c r="A1852" s="80" t="s">
        <v>2653</v>
      </c>
      <c r="B1852" s="20" t="s">
        <v>9303</v>
      </c>
      <c r="C1852" s="21" t="s">
        <v>9316</v>
      </c>
      <c r="D1852" s="20" t="s">
        <v>4492</v>
      </c>
      <c r="E1852" s="22" t="s">
        <v>4493</v>
      </c>
      <c r="F1852" s="22" t="s">
        <v>1937</v>
      </c>
      <c r="G1852" s="22" t="s">
        <v>3586</v>
      </c>
      <c r="H1852" s="83" t="s">
        <v>4494</v>
      </c>
      <c r="I1852" s="23" t="s">
        <v>24</v>
      </c>
      <c r="J1852" s="24">
        <v>90</v>
      </c>
      <c r="K1852" s="25">
        <v>0.25</v>
      </c>
      <c r="L1852" s="26">
        <f t="shared" si="280"/>
        <v>22.5</v>
      </c>
      <c r="M1852" s="27">
        <f t="shared" si="281"/>
        <v>67.5</v>
      </c>
      <c r="N1852" s="28">
        <v>0.16</v>
      </c>
      <c r="O1852" s="29">
        <f t="shared" si="282"/>
        <v>10.8</v>
      </c>
      <c r="P1852" s="30">
        <f t="shared" si="283"/>
        <v>78.3</v>
      </c>
      <c r="Q1852" s="23"/>
      <c r="R1852" s="52"/>
      <c r="S1852" s="53"/>
      <c r="T1852" s="54">
        <f t="shared" si="284"/>
        <v>0</v>
      </c>
      <c r="U1852" s="26">
        <f t="shared" si="285"/>
        <v>0</v>
      </c>
      <c r="V1852" s="55">
        <f t="shared" si="286"/>
        <v>0</v>
      </c>
      <c r="W1852" s="29">
        <f t="shared" si="287"/>
        <v>0</v>
      </c>
      <c r="X1852" s="30">
        <f t="shared" si="288"/>
        <v>0</v>
      </c>
      <c r="Y1852"/>
      <c r="Z1852"/>
      <c r="AA1852"/>
    </row>
    <row r="1853" spans="1:27" s="51" customFormat="1" ht="18.600000000000001" hidden="1" customHeight="1" x14ac:dyDescent="0.25">
      <c r="A1853" s="81" t="s">
        <v>2653</v>
      </c>
      <c r="B1853" s="31" t="s">
        <v>9303</v>
      </c>
      <c r="C1853" s="32" t="s">
        <v>9316</v>
      </c>
      <c r="D1853" s="31" t="s">
        <v>4495</v>
      </c>
      <c r="E1853" s="33" t="s">
        <v>4496</v>
      </c>
      <c r="F1853" s="33" t="s">
        <v>1937</v>
      </c>
      <c r="G1853" s="33" t="s">
        <v>3586</v>
      </c>
      <c r="H1853" s="84" t="s">
        <v>4497</v>
      </c>
      <c r="I1853" s="23" t="s">
        <v>24</v>
      </c>
      <c r="J1853" s="34">
        <v>90</v>
      </c>
      <c r="K1853" s="35">
        <v>0.25</v>
      </c>
      <c r="L1853" s="36">
        <f t="shared" si="280"/>
        <v>22.5</v>
      </c>
      <c r="M1853" s="37">
        <f t="shared" si="281"/>
        <v>67.5</v>
      </c>
      <c r="N1853" s="38">
        <v>0.16</v>
      </c>
      <c r="O1853" s="39">
        <f t="shared" si="282"/>
        <v>10.8</v>
      </c>
      <c r="P1853" s="40">
        <f t="shared" si="283"/>
        <v>78.3</v>
      </c>
      <c r="Q1853" s="23"/>
      <c r="R1853" s="56"/>
      <c r="S1853" s="57"/>
      <c r="T1853" s="58">
        <f t="shared" si="284"/>
        <v>0</v>
      </c>
      <c r="U1853" s="36">
        <f t="shared" si="285"/>
        <v>0</v>
      </c>
      <c r="V1853" s="59">
        <f t="shared" si="286"/>
        <v>0</v>
      </c>
      <c r="W1853" s="39">
        <f t="shared" si="287"/>
        <v>0</v>
      </c>
      <c r="X1853" s="40">
        <f t="shared" si="288"/>
        <v>0</v>
      </c>
      <c r="Y1853"/>
      <c r="Z1853"/>
      <c r="AA1853"/>
    </row>
    <row r="1854" spans="1:27" s="51" customFormat="1" ht="18.600000000000001" hidden="1" customHeight="1" x14ac:dyDescent="0.25">
      <c r="A1854" s="82" t="s">
        <v>2653</v>
      </c>
      <c r="B1854" s="41" t="s">
        <v>9303</v>
      </c>
      <c r="C1854" s="42" t="s">
        <v>9316</v>
      </c>
      <c r="D1854" s="41" t="s">
        <v>4498</v>
      </c>
      <c r="E1854" s="43" t="s">
        <v>4499</v>
      </c>
      <c r="F1854" s="43" t="s">
        <v>1937</v>
      </c>
      <c r="G1854" s="43" t="s">
        <v>3586</v>
      </c>
      <c r="H1854" s="85" t="s">
        <v>4500</v>
      </c>
      <c r="I1854" s="23" t="s">
        <v>24</v>
      </c>
      <c r="J1854" s="44">
        <v>90</v>
      </c>
      <c r="K1854" s="45">
        <v>0.25</v>
      </c>
      <c r="L1854" s="46">
        <f t="shared" si="280"/>
        <v>22.5</v>
      </c>
      <c r="M1854" s="47">
        <f t="shared" si="281"/>
        <v>67.5</v>
      </c>
      <c r="N1854" s="48">
        <v>0.16</v>
      </c>
      <c r="O1854" s="49">
        <f t="shared" si="282"/>
        <v>10.8</v>
      </c>
      <c r="P1854" s="50">
        <f t="shared" si="283"/>
        <v>78.3</v>
      </c>
      <c r="Q1854" s="23"/>
      <c r="R1854" s="60"/>
      <c r="S1854" s="61"/>
      <c r="T1854" s="62">
        <f t="shared" si="284"/>
        <v>0</v>
      </c>
      <c r="U1854" s="46">
        <f t="shared" si="285"/>
        <v>0</v>
      </c>
      <c r="V1854" s="63">
        <f t="shared" si="286"/>
        <v>0</v>
      </c>
      <c r="W1854" s="49">
        <f t="shared" si="287"/>
        <v>0</v>
      </c>
      <c r="X1854" s="50">
        <f t="shared" si="288"/>
        <v>0</v>
      </c>
      <c r="Y1854"/>
      <c r="Z1854"/>
      <c r="AA1854"/>
    </row>
    <row r="1855" spans="1:27" s="51" customFormat="1" ht="18.600000000000001" hidden="1" customHeight="1" x14ac:dyDescent="0.25">
      <c r="A1855" s="80" t="s">
        <v>2653</v>
      </c>
      <c r="B1855" s="20" t="s">
        <v>9303</v>
      </c>
      <c r="C1855" s="21" t="s">
        <v>9316</v>
      </c>
      <c r="D1855" s="20" t="s">
        <v>4501</v>
      </c>
      <c r="E1855" s="22" t="s">
        <v>4502</v>
      </c>
      <c r="F1855" s="22" t="s">
        <v>1937</v>
      </c>
      <c r="G1855" s="22" t="s">
        <v>3586</v>
      </c>
      <c r="H1855" s="83" t="s">
        <v>4503</v>
      </c>
      <c r="I1855" s="23" t="s">
        <v>24</v>
      </c>
      <c r="J1855" s="24">
        <v>90</v>
      </c>
      <c r="K1855" s="25">
        <v>0.25</v>
      </c>
      <c r="L1855" s="26">
        <f t="shared" si="280"/>
        <v>22.5</v>
      </c>
      <c r="M1855" s="27">
        <f t="shared" si="281"/>
        <v>67.5</v>
      </c>
      <c r="N1855" s="28">
        <v>0.16</v>
      </c>
      <c r="O1855" s="29">
        <f t="shared" si="282"/>
        <v>10.8</v>
      </c>
      <c r="P1855" s="30">
        <f t="shared" si="283"/>
        <v>78.3</v>
      </c>
      <c r="Q1855" s="23"/>
      <c r="R1855" s="52"/>
      <c r="S1855" s="53"/>
      <c r="T1855" s="54">
        <f t="shared" si="284"/>
        <v>0</v>
      </c>
      <c r="U1855" s="26">
        <f t="shared" si="285"/>
        <v>0</v>
      </c>
      <c r="V1855" s="55">
        <f t="shared" si="286"/>
        <v>0</v>
      </c>
      <c r="W1855" s="29">
        <f t="shared" si="287"/>
        <v>0</v>
      </c>
      <c r="X1855" s="30">
        <f t="shared" si="288"/>
        <v>0</v>
      </c>
      <c r="Y1855"/>
      <c r="Z1855"/>
      <c r="AA1855"/>
    </row>
    <row r="1856" spans="1:27" s="51" customFormat="1" ht="18.600000000000001" hidden="1" customHeight="1" x14ac:dyDescent="0.25">
      <c r="A1856" s="81" t="s">
        <v>2653</v>
      </c>
      <c r="B1856" s="31" t="s">
        <v>9303</v>
      </c>
      <c r="C1856" s="32" t="s">
        <v>9316</v>
      </c>
      <c r="D1856" s="31" t="s">
        <v>4504</v>
      </c>
      <c r="E1856" s="33" t="s">
        <v>4505</v>
      </c>
      <c r="F1856" s="33" t="s">
        <v>1937</v>
      </c>
      <c r="G1856" s="33" t="s">
        <v>3586</v>
      </c>
      <c r="H1856" s="84" t="s">
        <v>4506</v>
      </c>
      <c r="I1856" s="23" t="s">
        <v>24</v>
      </c>
      <c r="J1856" s="34">
        <v>90</v>
      </c>
      <c r="K1856" s="35">
        <v>0.25</v>
      </c>
      <c r="L1856" s="36">
        <f t="shared" si="280"/>
        <v>22.5</v>
      </c>
      <c r="M1856" s="37">
        <f t="shared" si="281"/>
        <v>67.5</v>
      </c>
      <c r="N1856" s="38">
        <v>0.16</v>
      </c>
      <c r="O1856" s="39">
        <f t="shared" si="282"/>
        <v>10.8</v>
      </c>
      <c r="P1856" s="40">
        <f t="shared" si="283"/>
        <v>78.3</v>
      </c>
      <c r="Q1856" s="23"/>
      <c r="R1856" s="56"/>
      <c r="S1856" s="57"/>
      <c r="T1856" s="58">
        <f t="shared" si="284"/>
        <v>0</v>
      </c>
      <c r="U1856" s="36">
        <f t="shared" si="285"/>
        <v>0</v>
      </c>
      <c r="V1856" s="59">
        <f t="shared" si="286"/>
        <v>0</v>
      </c>
      <c r="W1856" s="39">
        <f t="shared" si="287"/>
        <v>0</v>
      </c>
      <c r="X1856" s="40">
        <f t="shared" si="288"/>
        <v>0</v>
      </c>
      <c r="Y1856"/>
      <c r="Z1856"/>
      <c r="AA1856"/>
    </row>
    <row r="1857" spans="1:27" s="51" customFormat="1" ht="18.600000000000001" hidden="1" customHeight="1" x14ac:dyDescent="0.25">
      <c r="A1857" s="82" t="s">
        <v>2653</v>
      </c>
      <c r="B1857" s="41" t="s">
        <v>9303</v>
      </c>
      <c r="C1857" s="42" t="s">
        <v>9316</v>
      </c>
      <c r="D1857" s="41" t="s">
        <v>4507</v>
      </c>
      <c r="E1857" s="43" t="s">
        <v>4508</v>
      </c>
      <c r="F1857" s="43" t="s">
        <v>1937</v>
      </c>
      <c r="G1857" s="43" t="s">
        <v>3586</v>
      </c>
      <c r="H1857" s="85" t="s">
        <v>4509</v>
      </c>
      <c r="I1857" s="23" t="s">
        <v>24</v>
      </c>
      <c r="J1857" s="44">
        <v>90</v>
      </c>
      <c r="K1857" s="45">
        <v>0.25</v>
      </c>
      <c r="L1857" s="46">
        <f t="shared" si="280"/>
        <v>22.5</v>
      </c>
      <c r="M1857" s="47">
        <f t="shared" si="281"/>
        <v>67.5</v>
      </c>
      <c r="N1857" s="48">
        <v>0.16</v>
      </c>
      <c r="O1857" s="49">
        <f t="shared" si="282"/>
        <v>10.8</v>
      </c>
      <c r="P1857" s="50">
        <f t="shared" si="283"/>
        <v>78.3</v>
      </c>
      <c r="Q1857" s="23"/>
      <c r="R1857" s="60"/>
      <c r="S1857" s="61"/>
      <c r="T1857" s="62">
        <f t="shared" si="284"/>
        <v>0</v>
      </c>
      <c r="U1857" s="46">
        <f t="shared" si="285"/>
        <v>0</v>
      </c>
      <c r="V1857" s="63">
        <f t="shared" si="286"/>
        <v>0</v>
      </c>
      <c r="W1857" s="49">
        <f t="shared" si="287"/>
        <v>0</v>
      </c>
      <c r="X1857" s="50">
        <f t="shared" si="288"/>
        <v>0</v>
      </c>
      <c r="Y1857"/>
      <c r="Z1857"/>
      <c r="AA1857"/>
    </row>
    <row r="1858" spans="1:27" s="51" customFormat="1" ht="18.600000000000001" hidden="1" customHeight="1" x14ac:dyDescent="0.25">
      <c r="A1858" s="80" t="s">
        <v>2653</v>
      </c>
      <c r="B1858" s="20" t="s">
        <v>9303</v>
      </c>
      <c r="C1858" s="21" t="s">
        <v>9316</v>
      </c>
      <c r="D1858" s="20" t="s">
        <v>4510</v>
      </c>
      <c r="E1858" s="22" t="s">
        <v>4511</v>
      </c>
      <c r="F1858" s="22" t="s">
        <v>1937</v>
      </c>
      <c r="G1858" s="22" t="s">
        <v>3586</v>
      </c>
      <c r="H1858" s="83" t="s">
        <v>4512</v>
      </c>
      <c r="I1858" s="23" t="s">
        <v>24</v>
      </c>
      <c r="J1858" s="24">
        <v>90</v>
      </c>
      <c r="K1858" s="25">
        <v>0.25</v>
      </c>
      <c r="L1858" s="26">
        <f t="shared" si="280"/>
        <v>22.5</v>
      </c>
      <c r="M1858" s="27">
        <f t="shared" si="281"/>
        <v>67.5</v>
      </c>
      <c r="N1858" s="28">
        <v>0.16</v>
      </c>
      <c r="O1858" s="29">
        <f t="shared" si="282"/>
        <v>10.8</v>
      </c>
      <c r="P1858" s="30">
        <f t="shared" si="283"/>
        <v>78.3</v>
      </c>
      <c r="Q1858" s="23"/>
      <c r="R1858" s="52"/>
      <c r="S1858" s="53"/>
      <c r="T1858" s="54">
        <f t="shared" si="284"/>
        <v>0</v>
      </c>
      <c r="U1858" s="26">
        <f t="shared" si="285"/>
        <v>0</v>
      </c>
      <c r="V1858" s="55">
        <f t="shared" si="286"/>
        <v>0</v>
      </c>
      <c r="W1858" s="29">
        <f t="shared" si="287"/>
        <v>0</v>
      </c>
      <c r="X1858" s="30">
        <f t="shared" si="288"/>
        <v>0</v>
      </c>
      <c r="Y1858"/>
      <c r="Z1858"/>
      <c r="AA1858"/>
    </row>
    <row r="1859" spans="1:27" s="51" customFormat="1" ht="18.600000000000001" hidden="1" customHeight="1" x14ac:dyDescent="0.25">
      <c r="A1859" s="81" t="s">
        <v>2653</v>
      </c>
      <c r="B1859" s="31" t="s">
        <v>9303</v>
      </c>
      <c r="C1859" s="32" t="s">
        <v>9316</v>
      </c>
      <c r="D1859" s="31" t="s">
        <v>4513</v>
      </c>
      <c r="E1859" s="33" t="s">
        <v>4514</v>
      </c>
      <c r="F1859" s="33" t="s">
        <v>1937</v>
      </c>
      <c r="G1859" s="33" t="s">
        <v>3586</v>
      </c>
      <c r="H1859" s="84" t="s">
        <v>4515</v>
      </c>
      <c r="I1859" s="23" t="s">
        <v>24</v>
      </c>
      <c r="J1859" s="34">
        <v>90</v>
      </c>
      <c r="K1859" s="35">
        <v>0.25</v>
      </c>
      <c r="L1859" s="36">
        <f t="shared" si="280"/>
        <v>22.5</v>
      </c>
      <c r="M1859" s="37">
        <f t="shared" si="281"/>
        <v>67.5</v>
      </c>
      <c r="N1859" s="38">
        <v>0.16</v>
      </c>
      <c r="O1859" s="39">
        <f t="shared" si="282"/>
        <v>10.8</v>
      </c>
      <c r="P1859" s="40">
        <f t="shared" si="283"/>
        <v>78.3</v>
      </c>
      <c r="Q1859" s="23"/>
      <c r="R1859" s="56"/>
      <c r="S1859" s="57"/>
      <c r="T1859" s="58">
        <f t="shared" si="284"/>
        <v>0</v>
      </c>
      <c r="U1859" s="36">
        <f t="shared" si="285"/>
        <v>0</v>
      </c>
      <c r="V1859" s="59">
        <f t="shared" si="286"/>
        <v>0</v>
      </c>
      <c r="W1859" s="39">
        <f t="shared" si="287"/>
        <v>0</v>
      </c>
      <c r="X1859" s="40">
        <f t="shared" si="288"/>
        <v>0</v>
      </c>
      <c r="Y1859"/>
      <c r="Z1859"/>
      <c r="AA1859"/>
    </row>
    <row r="1860" spans="1:27" s="51" customFormat="1" ht="18.600000000000001" hidden="1" customHeight="1" x14ac:dyDescent="0.25">
      <c r="A1860" s="82" t="s">
        <v>2653</v>
      </c>
      <c r="B1860" s="41" t="s">
        <v>9303</v>
      </c>
      <c r="C1860" s="42" t="s">
        <v>9316</v>
      </c>
      <c r="D1860" s="41" t="s">
        <v>4516</v>
      </c>
      <c r="E1860" s="43" t="s">
        <v>4517</v>
      </c>
      <c r="F1860" s="43" t="s">
        <v>1937</v>
      </c>
      <c r="G1860" s="43" t="s">
        <v>3586</v>
      </c>
      <c r="H1860" s="85" t="s">
        <v>4518</v>
      </c>
      <c r="I1860" s="23" t="s">
        <v>24</v>
      </c>
      <c r="J1860" s="44">
        <v>90</v>
      </c>
      <c r="K1860" s="45">
        <v>0.25</v>
      </c>
      <c r="L1860" s="46">
        <f t="shared" si="280"/>
        <v>22.5</v>
      </c>
      <c r="M1860" s="47">
        <f t="shared" si="281"/>
        <v>67.5</v>
      </c>
      <c r="N1860" s="48">
        <v>0.16</v>
      </c>
      <c r="O1860" s="49">
        <f t="shared" si="282"/>
        <v>10.8</v>
      </c>
      <c r="P1860" s="50">
        <f t="shared" si="283"/>
        <v>78.3</v>
      </c>
      <c r="Q1860" s="23"/>
      <c r="R1860" s="60"/>
      <c r="S1860" s="61"/>
      <c r="T1860" s="62">
        <f t="shared" si="284"/>
        <v>0</v>
      </c>
      <c r="U1860" s="46">
        <f t="shared" si="285"/>
        <v>0</v>
      </c>
      <c r="V1860" s="63">
        <f t="shared" si="286"/>
        <v>0</v>
      </c>
      <c r="W1860" s="49">
        <f t="shared" si="287"/>
        <v>0</v>
      </c>
      <c r="X1860" s="50">
        <f t="shared" si="288"/>
        <v>0</v>
      </c>
      <c r="Y1860"/>
      <c r="Z1860"/>
      <c r="AA1860"/>
    </row>
    <row r="1861" spans="1:27" s="51" customFormat="1" ht="18.600000000000001" hidden="1" customHeight="1" x14ac:dyDescent="0.25">
      <c r="A1861" s="80" t="s">
        <v>2653</v>
      </c>
      <c r="B1861" s="20" t="s">
        <v>9303</v>
      </c>
      <c r="C1861" s="21" t="s">
        <v>9316</v>
      </c>
      <c r="D1861" s="20" t="s">
        <v>4519</v>
      </c>
      <c r="E1861" s="22" t="s">
        <v>4520</v>
      </c>
      <c r="F1861" s="22" t="s">
        <v>1937</v>
      </c>
      <c r="G1861" s="22" t="s">
        <v>3586</v>
      </c>
      <c r="H1861" s="83" t="s">
        <v>4521</v>
      </c>
      <c r="I1861" s="23" t="s">
        <v>24</v>
      </c>
      <c r="J1861" s="24">
        <v>90</v>
      </c>
      <c r="K1861" s="25">
        <v>0.25</v>
      </c>
      <c r="L1861" s="26">
        <f t="shared" si="280"/>
        <v>22.5</v>
      </c>
      <c r="M1861" s="27">
        <f t="shared" si="281"/>
        <v>67.5</v>
      </c>
      <c r="N1861" s="28">
        <v>0.16</v>
      </c>
      <c r="O1861" s="29">
        <f t="shared" si="282"/>
        <v>10.8</v>
      </c>
      <c r="P1861" s="30">
        <f t="shared" si="283"/>
        <v>78.3</v>
      </c>
      <c r="Q1861" s="23"/>
      <c r="R1861" s="52"/>
      <c r="S1861" s="53"/>
      <c r="T1861" s="54">
        <f t="shared" si="284"/>
        <v>0</v>
      </c>
      <c r="U1861" s="26">
        <f t="shared" si="285"/>
        <v>0</v>
      </c>
      <c r="V1861" s="55">
        <f t="shared" si="286"/>
        <v>0</v>
      </c>
      <c r="W1861" s="29">
        <f t="shared" si="287"/>
        <v>0</v>
      </c>
      <c r="X1861" s="30">
        <f t="shared" si="288"/>
        <v>0</v>
      </c>
      <c r="Y1861"/>
      <c r="Z1861"/>
      <c r="AA1861"/>
    </row>
    <row r="1862" spans="1:27" s="51" customFormat="1" ht="18.600000000000001" hidden="1" customHeight="1" x14ac:dyDescent="0.25">
      <c r="A1862" s="81" t="s">
        <v>2653</v>
      </c>
      <c r="B1862" s="31" t="s">
        <v>9303</v>
      </c>
      <c r="C1862" s="32" t="s">
        <v>9316</v>
      </c>
      <c r="D1862" s="31" t="s">
        <v>4522</v>
      </c>
      <c r="E1862" s="33" t="s">
        <v>4523</v>
      </c>
      <c r="F1862" s="33" t="s">
        <v>1937</v>
      </c>
      <c r="G1862" s="33" t="s">
        <v>3586</v>
      </c>
      <c r="H1862" s="84" t="s">
        <v>4524</v>
      </c>
      <c r="I1862" s="23" t="s">
        <v>24</v>
      </c>
      <c r="J1862" s="34">
        <v>90</v>
      </c>
      <c r="K1862" s="35">
        <v>0.25</v>
      </c>
      <c r="L1862" s="36">
        <f t="shared" si="280"/>
        <v>22.5</v>
      </c>
      <c r="M1862" s="37">
        <f t="shared" si="281"/>
        <v>67.5</v>
      </c>
      <c r="N1862" s="38">
        <v>0.16</v>
      </c>
      <c r="O1862" s="39">
        <f t="shared" si="282"/>
        <v>10.8</v>
      </c>
      <c r="P1862" s="40">
        <f t="shared" si="283"/>
        <v>78.3</v>
      </c>
      <c r="Q1862" s="23"/>
      <c r="R1862" s="56"/>
      <c r="S1862" s="57"/>
      <c r="T1862" s="58">
        <f t="shared" si="284"/>
        <v>0</v>
      </c>
      <c r="U1862" s="36">
        <f t="shared" si="285"/>
        <v>0</v>
      </c>
      <c r="V1862" s="59">
        <f t="shared" si="286"/>
        <v>0</v>
      </c>
      <c r="W1862" s="39">
        <f t="shared" si="287"/>
        <v>0</v>
      </c>
      <c r="X1862" s="40">
        <f t="shared" si="288"/>
        <v>0</v>
      </c>
      <c r="Y1862"/>
      <c r="Z1862"/>
      <c r="AA1862"/>
    </row>
    <row r="1863" spans="1:27" s="51" customFormat="1" ht="18.600000000000001" hidden="1" customHeight="1" x14ac:dyDescent="0.25">
      <c r="A1863" s="82" t="s">
        <v>2653</v>
      </c>
      <c r="B1863" s="41" t="s">
        <v>9303</v>
      </c>
      <c r="C1863" s="42" t="s">
        <v>9316</v>
      </c>
      <c r="D1863" s="41" t="s">
        <v>4525</v>
      </c>
      <c r="E1863" s="43" t="s">
        <v>4526</v>
      </c>
      <c r="F1863" s="43" t="s">
        <v>1937</v>
      </c>
      <c r="G1863" s="43" t="s">
        <v>3586</v>
      </c>
      <c r="H1863" s="85" t="s">
        <v>4527</v>
      </c>
      <c r="I1863" s="23" t="s">
        <v>24</v>
      </c>
      <c r="J1863" s="44">
        <v>90</v>
      </c>
      <c r="K1863" s="45">
        <v>0.25</v>
      </c>
      <c r="L1863" s="46">
        <f t="shared" si="280"/>
        <v>22.5</v>
      </c>
      <c r="M1863" s="47">
        <f t="shared" si="281"/>
        <v>67.5</v>
      </c>
      <c r="N1863" s="48">
        <v>0.16</v>
      </c>
      <c r="O1863" s="49">
        <f t="shared" si="282"/>
        <v>10.8</v>
      </c>
      <c r="P1863" s="50">
        <f t="shared" si="283"/>
        <v>78.3</v>
      </c>
      <c r="Q1863" s="23"/>
      <c r="R1863" s="60"/>
      <c r="S1863" s="61"/>
      <c r="T1863" s="62">
        <f t="shared" si="284"/>
        <v>0</v>
      </c>
      <c r="U1863" s="46">
        <f t="shared" si="285"/>
        <v>0</v>
      </c>
      <c r="V1863" s="63">
        <f t="shared" si="286"/>
        <v>0</v>
      </c>
      <c r="W1863" s="49">
        <f t="shared" si="287"/>
        <v>0</v>
      </c>
      <c r="X1863" s="50">
        <f t="shared" si="288"/>
        <v>0</v>
      </c>
      <c r="Y1863"/>
      <c r="Z1863"/>
      <c r="AA1863"/>
    </row>
    <row r="1864" spans="1:27" s="51" customFormat="1" ht="18.600000000000001" hidden="1" customHeight="1" x14ac:dyDescent="0.25">
      <c r="A1864" s="80" t="s">
        <v>2653</v>
      </c>
      <c r="B1864" s="20" t="s">
        <v>9303</v>
      </c>
      <c r="C1864" s="21" t="s">
        <v>9316</v>
      </c>
      <c r="D1864" s="20" t="s">
        <v>4528</v>
      </c>
      <c r="E1864" s="22" t="s">
        <v>4529</v>
      </c>
      <c r="F1864" s="22" t="s">
        <v>1937</v>
      </c>
      <c r="G1864" s="22" t="s">
        <v>3586</v>
      </c>
      <c r="H1864" s="83" t="s">
        <v>4530</v>
      </c>
      <c r="I1864" s="23" t="s">
        <v>24</v>
      </c>
      <c r="J1864" s="24">
        <v>90</v>
      </c>
      <c r="K1864" s="25">
        <v>0.25</v>
      </c>
      <c r="L1864" s="26">
        <f t="shared" si="280"/>
        <v>22.5</v>
      </c>
      <c r="M1864" s="27">
        <f t="shared" si="281"/>
        <v>67.5</v>
      </c>
      <c r="N1864" s="28">
        <v>0.16</v>
      </c>
      <c r="O1864" s="29">
        <f t="shared" si="282"/>
        <v>10.8</v>
      </c>
      <c r="P1864" s="30">
        <f t="shared" si="283"/>
        <v>78.3</v>
      </c>
      <c r="Q1864" s="23"/>
      <c r="R1864" s="52"/>
      <c r="S1864" s="53"/>
      <c r="T1864" s="54">
        <f t="shared" si="284"/>
        <v>0</v>
      </c>
      <c r="U1864" s="26">
        <f t="shared" si="285"/>
        <v>0</v>
      </c>
      <c r="V1864" s="55">
        <f t="shared" si="286"/>
        <v>0</v>
      </c>
      <c r="W1864" s="29">
        <f t="shared" si="287"/>
        <v>0</v>
      </c>
      <c r="X1864" s="30">
        <f t="shared" si="288"/>
        <v>0</v>
      </c>
      <c r="Y1864"/>
      <c r="Z1864"/>
      <c r="AA1864"/>
    </row>
    <row r="1865" spans="1:27" s="51" customFormat="1" ht="18.600000000000001" hidden="1" customHeight="1" x14ac:dyDescent="0.25">
      <c r="A1865" s="81" t="s">
        <v>2653</v>
      </c>
      <c r="B1865" s="31" t="s">
        <v>9303</v>
      </c>
      <c r="C1865" s="32" t="s">
        <v>9316</v>
      </c>
      <c r="D1865" s="31" t="s">
        <v>4531</v>
      </c>
      <c r="E1865" s="33" t="s">
        <v>4532</v>
      </c>
      <c r="F1865" s="33" t="s">
        <v>1937</v>
      </c>
      <c r="G1865" s="33" t="s">
        <v>3586</v>
      </c>
      <c r="H1865" s="84" t="s">
        <v>4533</v>
      </c>
      <c r="I1865" s="23" t="s">
        <v>24</v>
      </c>
      <c r="J1865" s="34">
        <v>90</v>
      </c>
      <c r="K1865" s="35">
        <v>0.25</v>
      </c>
      <c r="L1865" s="36">
        <f t="shared" si="280"/>
        <v>22.5</v>
      </c>
      <c r="M1865" s="37">
        <f t="shared" si="281"/>
        <v>67.5</v>
      </c>
      <c r="N1865" s="38">
        <v>0.16</v>
      </c>
      <c r="O1865" s="39">
        <f t="shared" si="282"/>
        <v>10.8</v>
      </c>
      <c r="P1865" s="40">
        <f t="shared" si="283"/>
        <v>78.3</v>
      </c>
      <c r="Q1865" s="23"/>
      <c r="R1865" s="56"/>
      <c r="S1865" s="57"/>
      <c r="T1865" s="58">
        <f t="shared" si="284"/>
        <v>0</v>
      </c>
      <c r="U1865" s="36">
        <f t="shared" si="285"/>
        <v>0</v>
      </c>
      <c r="V1865" s="59">
        <f t="shared" si="286"/>
        <v>0</v>
      </c>
      <c r="W1865" s="39">
        <f t="shared" si="287"/>
        <v>0</v>
      </c>
      <c r="X1865" s="40">
        <f t="shared" si="288"/>
        <v>0</v>
      </c>
      <c r="Y1865"/>
      <c r="Z1865"/>
      <c r="AA1865"/>
    </row>
    <row r="1866" spans="1:27" s="51" customFormat="1" ht="18.600000000000001" hidden="1" customHeight="1" x14ac:dyDescent="0.25">
      <c r="A1866" s="82" t="s">
        <v>2653</v>
      </c>
      <c r="B1866" s="41" t="s">
        <v>9303</v>
      </c>
      <c r="C1866" s="42" t="s">
        <v>9316</v>
      </c>
      <c r="D1866" s="41" t="s">
        <v>4534</v>
      </c>
      <c r="E1866" s="43" t="s">
        <v>4535</v>
      </c>
      <c r="F1866" s="43" t="s">
        <v>1937</v>
      </c>
      <c r="G1866" s="43" t="s">
        <v>3586</v>
      </c>
      <c r="H1866" s="85" t="s">
        <v>4536</v>
      </c>
      <c r="I1866" s="23" t="s">
        <v>24</v>
      </c>
      <c r="J1866" s="44">
        <v>90</v>
      </c>
      <c r="K1866" s="45">
        <v>0.25</v>
      </c>
      <c r="L1866" s="46">
        <f t="shared" si="280"/>
        <v>22.5</v>
      </c>
      <c r="M1866" s="47">
        <f t="shared" si="281"/>
        <v>67.5</v>
      </c>
      <c r="N1866" s="48">
        <v>0.16</v>
      </c>
      <c r="O1866" s="49">
        <f t="shared" si="282"/>
        <v>10.8</v>
      </c>
      <c r="P1866" s="50">
        <f t="shared" si="283"/>
        <v>78.3</v>
      </c>
      <c r="Q1866" s="23"/>
      <c r="R1866" s="60"/>
      <c r="S1866" s="61"/>
      <c r="T1866" s="62">
        <f t="shared" si="284"/>
        <v>0</v>
      </c>
      <c r="U1866" s="46">
        <f t="shared" si="285"/>
        <v>0</v>
      </c>
      <c r="V1866" s="63">
        <f t="shared" si="286"/>
        <v>0</v>
      </c>
      <c r="W1866" s="49">
        <f t="shared" si="287"/>
        <v>0</v>
      </c>
      <c r="X1866" s="50">
        <f t="shared" si="288"/>
        <v>0</v>
      </c>
      <c r="Y1866"/>
      <c r="Z1866"/>
      <c r="AA1866"/>
    </row>
    <row r="1867" spans="1:27" s="51" customFormat="1" ht="18.600000000000001" hidden="1" customHeight="1" x14ac:dyDescent="0.25">
      <c r="A1867" s="80" t="s">
        <v>2653</v>
      </c>
      <c r="B1867" s="20" t="s">
        <v>9303</v>
      </c>
      <c r="C1867" s="21" t="s">
        <v>9316</v>
      </c>
      <c r="D1867" s="20" t="s">
        <v>4537</v>
      </c>
      <c r="E1867" s="22" t="s">
        <v>4538</v>
      </c>
      <c r="F1867" s="22" t="s">
        <v>1937</v>
      </c>
      <c r="G1867" s="22" t="s">
        <v>3586</v>
      </c>
      <c r="H1867" s="83" t="s">
        <v>4539</v>
      </c>
      <c r="I1867" s="23" t="s">
        <v>24</v>
      </c>
      <c r="J1867" s="24">
        <v>90</v>
      </c>
      <c r="K1867" s="25">
        <v>0.25</v>
      </c>
      <c r="L1867" s="26">
        <f t="shared" si="280"/>
        <v>22.5</v>
      </c>
      <c r="M1867" s="27">
        <f t="shared" si="281"/>
        <v>67.5</v>
      </c>
      <c r="N1867" s="28">
        <v>0.16</v>
      </c>
      <c r="O1867" s="29">
        <f t="shared" si="282"/>
        <v>10.8</v>
      </c>
      <c r="P1867" s="30">
        <f t="shared" si="283"/>
        <v>78.3</v>
      </c>
      <c r="Q1867" s="23"/>
      <c r="R1867" s="52"/>
      <c r="S1867" s="53"/>
      <c r="T1867" s="54">
        <f t="shared" si="284"/>
        <v>0</v>
      </c>
      <c r="U1867" s="26">
        <f t="shared" si="285"/>
        <v>0</v>
      </c>
      <c r="V1867" s="55">
        <f t="shared" si="286"/>
        <v>0</v>
      </c>
      <c r="W1867" s="29">
        <f t="shared" si="287"/>
        <v>0</v>
      </c>
      <c r="X1867" s="30">
        <f t="shared" si="288"/>
        <v>0</v>
      </c>
      <c r="Y1867"/>
      <c r="Z1867"/>
      <c r="AA1867"/>
    </row>
    <row r="1868" spans="1:27" s="51" customFormat="1" ht="18.600000000000001" hidden="1" customHeight="1" x14ac:dyDescent="0.25">
      <c r="A1868" s="81" t="s">
        <v>2653</v>
      </c>
      <c r="B1868" s="31" t="s">
        <v>9303</v>
      </c>
      <c r="C1868" s="32" t="s">
        <v>9316</v>
      </c>
      <c r="D1868" s="31" t="s">
        <v>4540</v>
      </c>
      <c r="E1868" s="33" t="s">
        <v>4541</v>
      </c>
      <c r="F1868" s="33" t="s">
        <v>1937</v>
      </c>
      <c r="G1868" s="33" t="s">
        <v>3586</v>
      </c>
      <c r="H1868" s="84" t="s">
        <v>4542</v>
      </c>
      <c r="I1868" s="23" t="s">
        <v>24</v>
      </c>
      <c r="J1868" s="34">
        <v>90</v>
      </c>
      <c r="K1868" s="35">
        <v>0.25</v>
      </c>
      <c r="L1868" s="36">
        <f t="shared" si="280"/>
        <v>22.5</v>
      </c>
      <c r="M1868" s="37">
        <f t="shared" si="281"/>
        <v>67.5</v>
      </c>
      <c r="N1868" s="38">
        <v>0.16</v>
      </c>
      <c r="O1868" s="39">
        <f t="shared" si="282"/>
        <v>10.8</v>
      </c>
      <c r="P1868" s="40">
        <f t="shared" si="283"/>
        <v>78.3</v>
      </c>
      <c r="Q1868" s="23"/>
      <c r="R1868" s="56"/>
      <c r="S1868" s="57"/>
      <c r="T1868" s="58">
        <f t="shared" si="284"/>
        <v>0</v>
      </c>
      <c r="U1868" s="36">
        <f t="shared" si="285"/>
        <v>0</v>
      </c>
      <c r="V1868" s="59">
        <f t="shared" si="286"/>
        <v>0</v>
      </c>
      <c r="W1868" s="39">
        <f t="shared" si="287"/>
        <v>0</v>
      </c>
      <c r="X1868" s="40">
        <f t="shared" si="288"/>
        <v>0</v>
      </c>
      <c r="Y1868"/>
      <c r="Z1868"/>
      <c r="AA1868"/>
    </row>
    <row r="1869" spans="1:27" s="51" customFormat="1" ht="18.600000000000001" hidden="1" customHeight="1" x14ac:dyDescent="0.25">
      <c r="A1869" s="82" t="s">
        <v>2653</v>
      </c>
      <c r="B1869" s="41" t="s">
        <v>9303</v>
      </c>
      <c r="C1869" s="42" t="s">
        <v>9316</v>
      </c>
      <c r="D1869" s="41" t="s">
        <v>4543</v>
      </c>
      <c r="E1869" s="43" t="s">
        <v>4544</v>
      </c>
      <c r="F1869" s="43" t="s">
        <v>1937</v>
      </c>
      <c r="G1869" s="43" t="s">
        <v>3586</v>
      </c>
      <c r="H1869" s="85" t="s">
        <v>4545</v>
      </c>
      <c r="I1869" s="23" t="s">
        <v>24</v>
      </c>
      <c r="J1869" s="44">
        <v>90</v>
      </c>
      <c r="K1869" s="45">
        <v>0.25</v>
      </c>
      <c r="L1869" s="46">
        <f t="shared" si="280"/>
        <v>22.5</v>
      </c>
      <c r="M1869" s="47">
        <f t="shared" si="281"/>
        <v>67.5</v>
      </c>
      <c r="N1869" s="48">
        <v>0.16</v>
      </c>
      <c r="O1869" s="49">
        <f t="shared" si="282"/>
        <v>10.8</v>
      </c>
      <c r="P1869" s="50">
        <f t="shared" si="283"/>
        <v>78.3</v>
      </c>
      <c r="Q1869" s="23"/>
      <c r="R1869" s="60"/>
      <c r="S1869" s="61"/>
      <c r="T1869" s="62">
        <f t="shared" si="284"/>
        <v>0</v>
      </c>
      <c r="U1869" s="46">
        <f t="shared" si="285"/>
        <v>0</v>
      </c>
      <c r="V1869" s="63">
        <f t="shared" si="286"/>
        <v>0</v>
      </c>
      <c r="W1869" s="49">
        <f t="shared" si="287"/>
        <v>0</v>
      </c>
      <c r="X1869" s="50">
        <f t="shared" si="288"/>
        <v>0</v>
      </c>
      <c r="Y1869"/>
      <c r="Z1869"/>
      <c r="AA1869"/>
    </row>
    <row r="1870" spans="1:27" s="51" customFormat="1" ht="18.600000000000001" hidden="1" customHeight="1" x14ac:dyDescent="0.25">
      <c r="A1870" s="80" t="s">
        <v>2653</v>
      </c>
      <c r="B1870" s="20" t="s">
        <v>9303</v>
      </c>
      <c r="C1870" s="21" t="s">
        <v>9317</v>
      </c>
      <c r="D1870" s="20" t="s">
        <v>4546</v>
      </c>
      <c r="E1870" s="22" t="s">
        <v>4547</v>
      </c>
      <c r="F1870" s="22" t="s">
        <v>1937</v>
      </c>
      <c r="G1870" s="22" t="s">
        <v>3586</v>
      </c>
      <c r="H1870" s="83" t="s">
        <v>4548</v>
      </c>
      <c r="I1870" s="23" t="s">
        <v>24</v>
      </c>
      <c r="J1870" s="24">
        <v>90</v>
      </c>
      <c r="K1870" s="25">
        <v>0.25</v>
      </c>
      <c r="L1870" s="26">
        <f t="shared" si="280"/>
        <v>22.5</v>
      </c>
      <c r="M1870" s="27">
        <f t="shared" si="281"/>
        <v>67.5</v>
      </c>
      <c r="N1870" s="28">
        <v>0.16</v>
      </c>
      <c r="O1870" s="29">
        <f t="shared" si="282"/>
        <v>10.8</v>
      </c>
      <c r="P1870" s="30">
        <f t="shared" si="283"/>
        <v>78.3</v>
      </c>
      <c r="Q1870" s="23"/>
      <c r="R1870" s="52"/>
      <c r="S1870" s="53"/>
      <c r="T1870" s="54">
        <f t="shared" si="284"/>
        <v>0</v>
      </c>
      <c r="U1870" s="26">
        <f t="shared" si="285"/>
        <v>0</v>
      </c>
      <c r="V1870" s="55">
        <f t="shared" si="286"/>
        <v>0</v>
      </c>
      <c r="W1870" s="29">
        <f t="shared" si="287"/>
        <v>0</v>
      </c>
      <c r="X1870" s="30">
        <f t="shared" si="288"/>
        <v>0</v>
      </c>
      <c r="Y1870"/>
      <c r="Z1870"/>
      <c r="AA1870"/>
    </row>
    <row r="1871" spans="1:27" s="51" customFormat="1" ht="18.600000000000001" hidden="1" customHeight="1" x14ac:dyDescent="0.25">
      <c r="A1871" s="81" t="s">
        <v>2653</v>
      </c>
      <c r="B1871" s="31" t="s">
        <v>9303</v>
      </c>
      <c r="C1871" s="32" t="s">
        <v>9317</v>
      </c>
      <c r="D1871" s="31" t="s">
        <v>4549</v>
      </c>
      <c r="E1871" s="33" t="s">
        <v>4550</v>
      </c>
      <c r="F1871" s="33" t="s">
        <v>1937</v>
      </c>
      <c r="G1871" s="33" t="s">
        <v>3586</v>
      </c>
      <c r="H1871" s="84" t="s">
        <v>4551</v>
      </c>
      <c r="I1871" s="23" t="s">
        <v>24</v>
      </c>
      <c r="J1871" s="34">
        <v>90</v>
      </c>
      <c r="K1871" s="35">
        <v>0.25</v>
      </c>
      <c r="L1871" s="36">
        <f t="shared" si="280"/>
        <v>22.5</v>
      </c>
      <c r="M1871" s="37">
        <f t="shared" si="281"/>
        <v>67.5</v>
      </c>
      <c r="N1871" s="38">
        <v>0.16</v>
      </c>
      <c r="O1871" s="39">
        <f t="shared" si="282"/>
        <v>10.8</v>
      </c>
      <c r="P1871" s="40">
        <f t="shared" si="283"/>
        <v>78.3</v>
      </c>
      <c r="Q1871" s="23"/>
      <c r="R1871" s="56"/>
      <c r="S1871" s="57"/>
      <c r="T1871" s="58">
        <f t="shared" si="284"/>
        <v>0</v>
      </c>
      <c r="U1871" s="36">
        <f t="shared" si="285"/>
        <v>0</v>
      </c>
      <c r="V1871" s="59">
        <f t="shared" si="286"/>
        <v>0</v>
      </c>
      <c r="W1871" s="39">
        <f t="shared" si="287"/>
        <v>0</v>
      </c>
      <c r="X1871" s="40">
        <f t="shared" si="288"/>
        <v>0</v>
      </c>
      <c r="Y1871"/>
      <c r="Z1871"/>
      <c r="AA1871"/>
    </row>
    <row r="1872" spans="1:27" s="51" customFormat="1" ht="18.600000000000001" hidden="1" customHeight="1" x14ac:dyDescent="0.25">
      <c r="A1872" s="82" t="s">
        <v>2653</v>
      </c>
      <c r="B1872" s="41" t="s">
        <v>9303</v>
      </c>
      <c r="C1872" s="42" t="s">
        <v>9317</v>
      </c>
      <c r="D1872" s="41" t="s">
        <v>4552</v>
      </c>
      <c r="E1872" s="43" t="s">
        <v>4553</v>
      </c>
      <c r="F1872" s="43" t="s">
        <v>1937</v>
      </c>
      <c r="G1872" s="43" t="s">
        <v>3586</v>
      </c>
      <c r="H1872" s="85" t="s">
        <v>4554</v>
      </c>
      <c r="I1872" s="23" t="s">
        <v>24</v>
      </c>
      <c r="J1872" s="44">
        <v>90</v>
      </c>
      <c r="K1872" s="45">
        <v>0.25</v>
      </c>
      <c r="L1872" s="46">
        <f t="shared" si="280"/>
        <v>22.5</v>
      </c>
      <c r="M1872" s="47">
        <f t="shared" si="281"/>
        <v>67.5</v>
      </c>
      <c r="N1872" s="48">
        <v>0.16</v>
      </c>
      <c r="O1872" s="49">
        <f t="shared" si="282"/>
        <v>10.8</v>
      </c>
      <c r="P1872" s="50">
        <f t="shared" si="283"/>
        <v>78.3</v>
      </c>
      <c r="Q1872" s="23"/>
      <c r="R1872" s="60"/>
      <c r="S1872" s="61"/>
      <c r="T1872" s="62">
        <f t="shared" si="284"/>
        <v>0</v>
      </c>
      <c r="U1872" s="46">
        <f t="shared" si="285"/>
        <v>0</v>
      </c>
      <c r="V1872" s="63">
        <f t="shared" si="286"/>
        <v>0</v>
      </c>
      <c r="W1872" s="49">
        <f t="shared" si="287"/>
        <v>0</v>
      </c>
      <c r="X1872" s="50">
        <f t="shared" si="288"/>
        <v>0</v>
      </c>
      <c r="Y1872"/>
      <c r="Z1872"/>
      <c r="AA1872"/>
    </row>
    <row r="1873" spans="1:27" s="51" customFormat="1" ht="18.600000000000001" hidden="1" customHeight="1" x14ac:dyDescent="0.25">
      <c r="A1873" s="80" t="s">
        <v>2653</v>
      </c>
      <c r="B1873" s="20" t="s">
        <v>9303</v>
      </c>
      <c r="C1873" s="21" t="s">
        <v>9317</v>
      </c>
      <c r="D1873" s="20" t="s">
        <v>4555</v>
      </c>
      <c r="E1873" s="22" t="s">
        <v>4556</v>
      </c>
      <c r="F1873" s="22" t="s">
        <v>1937</v>
      </c>
      <c r="G1873" s="22" t="s">
        <v>3586</v>
      </c>
      <c r="H1873" s="83" t="s">
        <v>4557</v>
      </c>
      <c r="I1873" s="23" t="s">
        <v>24</v>
      </c>
      <c r="J1873" s="24">
        <v>90</v>
      </c>
      <c r="K1873" s="25">
        <v>0.25</v>
      </c>
      <c r="L1873" s="26">
        <f t="shared" si="280"/>
        <v>22.5</v>
      </c>
      <c r="M1873" s="27">
        <f t="shared" si="281"/>
        <v>67.5</v>
      </c>
      <c r="N1873" s="28">
        <v>0.16</v>
      </c>
      <c r="O1873" s="29">
        <f t="shared" si="282"/>
        <v>10.8</v>
      </c>
      <c r="P1873" s="30">
        <f t="shared" si="283"/>
        <v>78.3</v>
      </c>
      <c r="Q1873" s="23"/>
      <c r="R1873" s="52"/>
      <c r="S1873" s="53"/>
      <c r="T1873" s="54">
        <f t="shared" si="284"/>
        <v>0</v>
      </c>
      <c r="U1873" s="26">
        <f t="shared" si="285"/>
        <v>0</v>
      </c>
      <c r="V1873" s="55">
        <f t="shared" si="286"/>
        <v>0</v>
      </c>
      <c r="W1873" s="29">
        <f t="shared" si="287"/>
        <v>0</v>
      </c>
      <c r="X1873" s="30">
        <f t="shared" si="288"/>
        <v>0</v>
      </c>
      <c r="Y1873"/>
      <c r="Z1873"/>
      <c r="AA1873"/>
    </row>
    <row r="1874" spans="1:27" s="51" customFormat="1" ht="18.600000000000001" hidden="1" customHeight="1" x14ac:dyDescent="0.25">
      <c r="A1874" s="81" t="s">
        <v>2653</v>
      </c>
      <c r="B1874" s="31" t="s">
        <v>9303</v>
      </c>
      <c r="C1874" s="32" t="s">
        <v>9317</v>
      </c>
      <c r="D1874" s="31" t="s">
        <v>4558</v>
      </c>
      <c r="E1874" s="33" t="s">
        <v>4559</v>
      </c>
      <c r="F1874" s="33" t="s">
        <v>1937</v>
      </c>
      <c r="G1874" s="33" t="s">
        <v>3586</v>
      </c>
      <c r="H1874" s="84" t="s">
        <v>4560</v>
      </c>
      <c r="I1874" s="23" t="s">
        <v>24</v>
      </c>
      <c r="J1874" s="34">
        <v>90</v>
      </c>
      <c r="K1874" s="35">
        <v>0.25</v>
      </c>
      <c r="L1874" s="36">
        <f t="shared" si="280"/>
        <v>22.5</v>
      </c>
      <c r="M1874" s="37">
        <f t="shared" si="281"/>
        <v>67.5</v>
      </c>
      <c r="N1874" s="38">
        <v>0.16</v>
      </c>
      <c r="O1874" s="39">
        <f t="shared" si="282"/>
        <v>10.8</v>
      </c>
      <c r="P1874" s="40">
        <f t="shared" si="283"/>
        <v>78.3</v>
      </c>
      <c r="Q1874" s="23"/>
      <c r="R1874" s="56"/>
      <c r="S1874" s="57"/>
      <c r="T1874" s="58">
        <f t="shared" si="284"/>
        <v>0</v>
      </c>
      <c r="U1874" s="36">
        <f t="shared" si="285"/>
        <v>0</v>
      </c>
      <c r="V1874" s="59">
        <f t="shared" si="286"/>
        <v>0</v>
      </c>
      <c r="W1874" s="39">
        <f t="shared" si="287"/>
        <v>0</v>
      </c>
      <c r="X1874" s="40">
        <f t="shared" si="288"/>
        <v>0</v>
      </c>
      <c r="Y1874"/>
      <c r="Z1874"/>
      <c r="AA1874"/>
    </row>
    <row r="1875" spans="1:27" s="51" customFormat="1" ht="18.600000000000001" hidden="1" customHeight="1" x14ac:dyDescent="0.25">
      <c r="A1875" s="82" t="s">
        <v>2653</v>
      </c>
      <c r="B1875" s="41" t="s">
        <v>9303</v>
      </c>
      <c r="C1875" s="42" t="s">
        <v>9317</v>
      </c>
      <c r="D1875" s="41" t="s">
        <v>4561</v>
      </c>
      <c r="E1875" s="43" t="s">
        <v>4562</v>
      </c>
      <c r="F1875" s="43" t="s">
        <v>1937</v>
      </c>
      <c r="G1875" s="43" t="s">
        <v>3586</v>
      </c>
      <c r="H1875" s="85" t="s">
        <v>4563</v>
      </c>
      <c r="I1875" s="23" t="s">
        <v>24</v>
      </c>
      <c r="J1875" s="44">
        <v>90</v>
      </c>
      <c r="K1875" s="45">
        <v>0.25</v>
      </c>
      <c r="L1875" s="46">
        <f t="shared" si="280"/>
        <v>22.5</v>
      </c>
      <c r="M1875" s="47">
        <f t="shared" si="281"/>
        <v>67.5</v>
      </c>
      <c r="N1875" s="48">
        <v>0.16</v>
      </c>
      <c r="O1875" s="49">
        <f t="shared" si="282"/>
        <v>10.8</v>
      </c>
      <c r="P1875" s="50">
        <f t="shared" si="283"/>
        <v>78.3</v>
      </c>
      <c r="Q1875" s="23"/>
      <c r="R1875" s="60"/>
      <c r="S1875" s="61"/>
      <c r="T1875" s="62">
        <f t="shared" si="284"/>
        <v>0</v>
      </c>
      <c r="U1875" s="46">
        <f t="shared" si="285"/>
        <v>0</v>
      </c>
      <c r="V1875" s="63">
        <f t="shared" si="286"/>
        <v>0</v>
      </c>
      <c r="W1875" s="49">
        <f t="shared" si="287"/>
        <v>0</v>
      </c>
      <c r="X1875" s="50">
        <f t="shared" si="288"/>
        <v>0</v>
      </c>
      <c r="Y1875"/>
      <c r="Z1875"/>
      <c r="AA1875"/>
    </row>
    <row r="1876" spans="1:27" s="51" customFormat="1" ht="18.600000000000001" hidden="1" customHeight="1" x14ac:dyDescent="0.25">
      <c r="A1876" s="80" t="s">
        <v>2653</v>
      </c>
      <c r="B1876" s="20" t="s">
        <v>9303</v>
      </c>
      <c r="C1876" s="21" t="s">
        <v>9317</v>
      </c>
      <c r="D1876" s="20" t="s">
        <v>4564</v>
      </c>
      <c r="E1876" s="22" t="s">
        <v>4565</v>
      </c>
      <c r="F1876" s="22" t="s">
        <v>1937</v>
      </c>
      <c r="G1876" s="22" t="s">
        <v>3586</v>
      </c>
      <c r="H1876" s="83" t="s">
        <v>4566</v>
      </c>
      <c r="I1876" s="23" t="s">
        <v>24</v>
      </c>
      <c r="J1876" s="24">
        <v>90</v>
      </c>
      <c r="K1876" s="25">
        <v>0.25</v>
      </c>
      <c r="L1876" s="26">
        <f t="shared" si="280"/>
        <v>22.5</v>
      </c>
      <c r="M1876" s="27">
        <f t="shared" si="281"/>
        <v>67.5</v>
      </c>
      <c r="N1876" s="28">
        <v>0.16</v>
      </c>
      <c r="O1876" s="29">
        <f t="shared" si="282"/>
        <v>10.8</v>
      </c>
      <c r="P1876" s="30">
        <f t="shared" si="283"/>
        <v>78.3</v>
      </c>
      <c r="Q1876" s="23"/>
      <c r="R1876" s="52"/>
      <c r="S1876" s="53"/>
      <c r="T1876" s="54">
        <f t="shared" si="284"/>
        <v>0</v>
      </c>
      <c r="U1876" s="26">
        <f t="shared" si="285"/>
        <v>0</v>
      </c>
      <c r="V1876" s="55">
        <f t="shared" si="286"/>
        <v>0</v>
      </c>
      <c r="W1876" s="29">
        <f t="shared" si="287"/>
        <v>0</v>
      </c>
      <c r="X1876" s="30">
        <f t="shared" si="288"/>
        <v>0</v>
      </c>
      <c r="Y1876"/>
      <c r="Z1876"/>
      <c r="AA1876"/>
    </row>
    <row r="1877" spans="1:27" s="51" customFormat="1" ht="18.600000000000001" hidden="1" customHeight="1" x14ac:dyDescent="0.25">
      <c r="A1877" s="81" t="s">
        <v>2653</v>
      </c>
      <c r="B1877" s="31" t="s">
        <v>9303</v>
      </c>
      <c r="C1877" s="32" t="s">
        <v>9317</v>
      </c>
      <c r="D1877" s="31" t="s">
        <v>4567</v>
      </c>
      <c r="E1877" s="33" t="s">
        <v>4568</v>
      </c>
      <c r="F1877" s="33" t="s">
        <v>1937</v>
      </c>
      <c r="G1877" s="33" t="s">
        <v>3586</v>
      </c>
      <c r="H1877" s="84" t="s">
        <v>4569</v>
      </c>
      <c r="I1877" s="23" t="s">
        <v>24</v>
      </c>
      <c r="J1877" s="34">
        <v>90</v>
      </c>
      <c r="K1877" s="35">
        <v>0.25</v>
      </c>
      <c r="L1877" s="36">
        <f t="shared" si="280"/>
        <v>22.5</v>
      </c>
      <c r="M1877" s="37">
        <f t="shared" si="281"/>
        <v>67.5</v>
      </c>
      <c r="N1877" s="38">
        <v>0.16</v>
      </c>
      <c r="O1877" s="39">
        <f t="shared" si="282"/>
        <v>10.8</v>
      </c>
      <c r="P1877" s="40">
        <f t="shared" si="283"/>
        <v>78.3</v>
      </c>
      <c r="Q1877" s="23"/>
      <c r="R1877" s="56"/>
      <c r="S1877" s="57"/>
      <c r="T1877" s="58">
        <f t="shared" si="284"/>
        <v>0</v>
      </c>
      <c r="U1877" s="36">
        <f t="shared" si="285"/>
        <v>0</v>
      </c>
      <c r="V1877" s="59">
        <f t="shared" si="286"/>
        <v>0</v>
      </c>
      <c r="W1877" s="39">
        <f t="shared" si="287"/>
        <v>0</v>
      </c>
      <c r="X1877" s="40">
        <f t="shared" si="288"/>
        <v>0</v>
      </c>
      <c r="Y1877"/>
      <c r="Z1877"/>
      <c r="AA1877"/>
    </row>
    <row r="1878" spans="1:27" s="51" customFormat="1" ht="18.600000000000001" hidden="1" customHeight="1" x14ac:dyDescent="0.25">
      <c r="A1878" s="82" t="s">
        <v>2653</v>
      </c>
      <c r="B1878" s="41" t="s">
        <v>9303</v>
      </c>
      <c r="C1878" s="42" t="s">
        <v>9317</v>
      </c>
      <c r="D1878" s="41" t="s">
        <v>4570</v>
      </c>
      <c r="E1878" s="43" t="s">
        <v>4571</v>
      </c>
      <c r="F1878" s="43" t="s">
        <v>1937</v>
      </c>
      <c r="G1878" s="43" t="s">
        <v>3586</v>
      </c>
      <c r="H1878" s="85" t="s">
        <v>4572</v>
      </c>
      <c r="I1878" s="23" t="s">
        <v>24</v>
      </c>
      <c r="J1878" s="44">
        <v>90</v>
      </c>
      <c r="K1878" s="45">
        <v>0.25</v>
      </c>
      <c r="L1878" s="46">
        <f t="shared" si="280"/>
        <v>22.5</v>
      </c>
      <c r="M1878" s="47">
        <f t="shared" si="281"/>
        <v>67.5</v>
      </c>
      <c r="N1878" s="48">
        <v>0.16</v>
      </c>
      <c r="O1878" s="49">
        <f t="shared" si="282"/>
        <v>10.8</v>
      </c>
      <c r="P1878" s="50">
        <f t="shared" si="283"/>
        <v>78.3</v>
      </c>
      <c r="Q1878" s="23"/>
      <c r="R1878" s="60"/>
      <c r="S1878" s="61"/>
      <c r="T1878" s="62">
        <f t="shared" si="284"/>
        <v>0</v>
      </c>
      <c r="U1878" s="46">
        <f t="shared" si="285"/>
        <v>0</v>
      </c>
      <c r="V1878" s="63">
        <f t="shared" si="286"/>
        <v>0</v>
      </c>
      <c r="W1878" s="49">
        <f t="shared" si="287"/>
        <v>0</v>
      </c>
      <c r="X1878" s="50">
        <f t="shared" si="288"/>
        <v>0</v>
      </c>
      <c r="Y1878"/>
      <c r="Z1878"/>
      <c r="AA1878"/>
    </row>
    <row r="1879" spans="1:27" s="51" customFormat="1" ht="18.600000000000001" hidden="1" customHeight="1" x14ac:dyDescent="0.25">
      <c r="A1879" s="80" t="s">
        <v>2653</v>
      </c>
      <c r="B1879" s="20" t="s">
        <v>9303</v>
      </c>
      <c r="C1879" s="21" t="s">
        <v>9317</v>
      </c>
      <c r="D1879" s="20" t="s">
        <v>4573</v>
      </c>
      <c r="E1879" s="22" t="s">
        <v>4574</v>
      </c>
      <c r="F1879" s="22" t="s">
        <v>1937</v>
      </c>
      <c r="G1879" s="22" t="s">
        <v>3586</v>
      </c>
      <c r="H1879" s="83" t="s">
        <v>4575</v>
      </c>
      <c r="I1879" s="23" t="s">
        <v>24</v>
      </c>
      <c r="J1879" s="24">
        <v>90</v>
      </c>
      <c r="K1879" s="25">
        <v>0.25</v>
      </c>
      <c r="L1879" s="26">
        <f t="shared" ref="L1879:L1942" si="289">+J1879*K1879</f>
        <v>22.5</v>
      </c>
      <c r="M1879" s="27">
        <f t="shared" ref="M1879:M1942" si="290">+J1879-L1879</f>
        <v>67.5</v>
      </c>
      <c r="N1879" s="28">
        <v>0.16</v>
      </c>
      <c r="O1879" s="29">
        <f t="shared" ref="O1879:O1942" si="291">+M1879*N1879</f>
        <v>10.8</v>
      </c>
      <c r="P1879" s="30">
        <f t="shared" ref="P1879:P1942" si="292">+M1879+O1879</f>
        <v>78.3</v>
      </c>
      <c r="Q1879" s="23"/>
      <c r="R1879" s="52"/>
      <c r="S1879" s="53"/>
      <c r="T1879" s="54">
        <f t="shared" ref="T1879:T1942" si="293">+S1879*J1879</f>
        <v>0</v>
      </c>
      <c r="U1879" s="26">
        <f t="shared" ref="U1879:U1942" si="294">+T1879*K1879</f>
        <v>0</v>
      </c>
      <c r="V1879" s="55">
        <f t="shared" ref="V1879:V1942" si="295">+T1879-U1879</f>
        <v>0</v>
      </c>
      <c r="W1879" s="29">
        <f t="shared" ref="W1879:W1942" si="296">+V1879*N1879</f>
        <v>0</v>
      </c>
      <c r="X1879" s="30">
        <f t="shared" ref="X1879:X1942" si="297">+V1879+W1879</f>
        <v>0</v>
      </c>
      <c r="Y1879"/>
      <c r="Z1879"/>
      <c r="AA1879"/>
    </row>
    <row r="1880" spans="1:27" s="51" customFormat="1" ht="18.600000000000001" hidden="1" customHeight="1" x14ac:dyDescent="0.25">
      <c r="A1880" s="81" t="s">
        <v>2653</v>
      </c>
      <c r="B1880" s="31" t="s">
        <v>9303</v>
      </c>
      <c r="C1880" s="32" t="s">
        <v>9317</v>
      </c>
      <c r="D1880" s="31" t="s">
        <v>4576</v>
      </c>
      <c r="E1880" s="33" t="s">
        <v>4577</v>
      </c>
      <c r="F1880" s="33" t="s">
        <v>1937</v>
      </c>
      <c r="G1880" s="33" t="s">
        <v>3586</v>
      </c>
      <c r="H1880" s="84" t="s">
        <v>4578</v>
      </c>
      <c r="I1880" s="23" t="s">
        <v>24</v>
      </c>
      <c r="J1880" s="34">
        <v>90</v>
      </c>
      <c r="K1880" s="35">
        <v>0.25</v>
      </c>
      <c r="L1880" s="36">
        <f t="shared" si="289"/>
        <v>22.5</v>
      </c>
      <c r="M1880" s="37">
        <f t="shared" si="290"/>
        <v>67.5</v>
      </c>
      <c r="N1880" s="38">
        <v>0.16</v>
      </c>
      <c r="O1880" s="39">
        <f t="shared" si="291"/>
        <v>10.8</v>
      </c>
      <c r="P1880" s="40">
        <f t="shared" si="292"/>
        <v>78.3</v>
      </c>
      <c r="Q1880" s="23"/>
      <c r="R1880" s="56"/>
      <c r="S1880" s="57"/>
      <c r="T1880" s="58">
        <f t="shared" si="293"/>
        <v>0</v>
      </c>
      <c r="U1880" s="36">
        <f t="shared" si="294"/>
        <v>0</v>
      </c>
      <c r="V1880" s="59">
        <f t="shared" si="295"/>
        <v>0</v>
      </c>
      <c r="W1880" s="39">
        <f t="shared" si="296"/>
        <v>0</v>
      </c>
      <c r="X1880" s="40">
        <f t="shared" si="297"/>
        <v>0</v>
      </c>
      <c r="Y1880"/>
      <c r="Z1880"/>
      <c r="AA1880"/>
    </row>
    <row r="1881" spans="1:27" s="51" customFormat="1" ht="18.600000000000001" hidden="1" customHeight="1" x14ac:dyDescent="0.25">
      <c r="A1881" s="82" t="s">
        <v>2653</v>
      </c>
      <c r="B1881" s="41" t="s">
        <v>9303</v>
      </c>
      <c r="C1881" s="42" t="s">
        <v>9317</v>
      </c>
      <c r="D1881" s="41" t="s">
        <v>4579</v>
      </c>
      <c r="E1881" s="43" t="s">
        <v>4580</v>
      </c>
      <c r="F1881" s="43" t="s">
        <v>1937</v>
      </c>
      <c r="G1881" s="43" t="s">
        <v>3586</v>
      </c>
      <c r="H1881" s="85" t="s">
        <v>4581</v>
      </c>
      <c r="I1881" s="23" t="s">
        <v>24</v>
      </c>
      <c r="J1881" s="44">
        <v>90</v>
      </c>
      <c r="K1881" s="45">
        <v>0.25</v>
      </c>
      <c r="L1881" s="46">
        <f t="shared" si="289"/>
        <v>22.5</v>
      </c>
      <c r="M1881" s="47">
        <f t="shared" si="290"/>
        <v>67.5</v>
      </c>
      <c r="N1881" s="48">
        <v>0.16</v>
      </c>
      <c r="O1881" s="49">
        <f t="shared" si="291"/>
        <v>10.8</v>
      </c>
      <c r="P1881" s="50">
        <f t="shared" si="292"/>
        <v>78.3</v>
      </c>
      <c r="Q1881" s="23"/>
      <c r="R1881" s="60"/>
      <c r="S1881" s="61"/>
      <c r="T1881" s="62">
        <f t="shared" si="293"/>
        <v>0</v>
      </c>
      <c r="U1881" s="46">
        <f t="shared" si="294"/>
        <v>0</v>
      </c>
      <c r="V1881" s="63">
        <f t="shared" si="295"/>
        <v>0</v>
      </c>
      <c r="W1881" s="49">
        <f t="shared" si="296"/>
        <v>0</v>
      </c>
      <c r="X1881" s="50">
        <f t="shared" si="297"/>
        <v>0</v>
      </c>
      <c r="Y1881"/>
      <c r="Z1881"/>
      <c r="AA1881"/>
    </row>
    <row r="1882" spans="1:27" s="51" customFormat="1" ht="18.600000000000001" hidden="1" customHeight="1" x14ac:dyDescent="0.25">
      <c r="A1882" s="80" t="s">
        <v>2653</v>
      </c>
      <c r="B1882" s="20" t="s">
        <v>9303</v>
      </c>
      <c r="C1882" s="21" t="s">
        <v>9317</v>
      </c>
      <c r="D1882" s="20" t="s">
        <v>4582</v>
      </c>
      <c r="E1882" s="22" t="s">
        <v>4583</v>
      </c>
      <c r="F1882" s="22" t="s">
        <v>1937</v>
      </c>
      <c r="G1882" s="22" t="s">
        <v>3586</v>
      </c>
      <c r="H1882" s="83" t="s">
        <v>4584</v>
      </c>
      <c r="I1882" s="23" t="s">
        <v>24</v>
      </c>
      <c r="J1882" s="24">
        <v>90</v>
      </c>
      <c r="K1882" s="25">
        <v>0.25</v>
      </c>
      <c r="L1882" s="26">
        <f t="shared" si="289"/>
        <v>22.5</v>
      </c>
      <c r="M1882" s="27">
        <f t="shared" si="290"/>
        <v>67.5</v>
      </c>
      <c r="N1882" s="28">
        <v>0.16</v>
      </c>
      <c r="O1882" s="29">
        <f t="shared" si="291"/>
        <v>10.8</v>
      </c>
      <c r="P1882" s="30">
        <f t="shared" si="292"/>
        <v>78.3</v>
      </c>
      <c r="Q1882" s="23"/>
      <c r="R1882" s="52"/>
      <c r="S1882" s="53"/>
      <c r="T1882" s="54">
        <f t="shared" si="293"/>
        <v>0</v>
      </c>
      <c r="U1882" s="26">
        <f t="shared" si="294"/>
        <v>0</v>
      </c>
      <c r="V1882" s="55">
        <f t="shared" si="295"/>
        <v>0</v>
      </c>
      <c r="W1882" s="29">
        <f t="shared" si="296"/>
        <v>0</v>
      </c>
      <c r="X1882" s="30">
        <f t="shared" si="297"/>
        <v>0</v>
      </c>
      <c r="Y1882"/>
      <c r="Z1882"/>
      <c r="AA1882"/>
    </row>
    <row r="1883" spans="1:27" s="51" customFormat="1" ht="18.600000000000001" hidden="1" customHeight="1" x14ac:dyDescent="0.25">
      <c r="A1883" s="81" t="s">
        <v>2653</v>
      </c>
      <c r="B1883" s="31" t="s">
        <v>9303</v>
      </c>
      <c r="C1883" s="32" t="s">
        <v>9317</v>
      </c>
      <c r="D1883" s="31" t="s">
        <v>4585</v>
      </c>
      <c r="E1883" s="33" t="s">
        <v>4586</v>
      </c>
      <c r="F1883" s="33" t="s">
        <v>1937</v>
      </c>
      <c r="G1883" s="33" t="s">
        <v>3586</v>
      </c>
      <c r="H1883" s="84" t="s">
        <v>4587</v>
      </c>
      <c r="I1883" s="23" t="s">
        <v>24</v>
      </c>
      <c r="J1883" s="34">
        <v>90</v>
      </c>
      <c r="K1883" s="35">
        <v>0.25</v>
      </c>
      <c r="L1883" s="36">
        <f t="shared" si="289"/>
        <v>22.5</v>
      </c>
      <c r="M1883" s="37">
        <f t="shared" si="290"/>
        <v>67.5</v>
      </c>
      <c r="N1883" s="38">
        <v>0.16</v>
      </c>
      <c r="O1883" s="39">
        <f t="shared" si="291"/>
        <v>10.8</v>
      </c>
      <c r="P1883" s="40">
        <f t="shared" si="292"/>
        <v>78.3</v>
      </c>
      <c r="Q1883" s="23"/>
      <c r="R1883" s="56"/>
      <c r="S1883" s="57"/>
      <c r="T1883" s="58">
        <f t="shared" si="293"/>
        <v>0</v>
      </c>
      <c r="U1883" s="36">
        <f t="shared" si="294"/>
        <v>0</v>
      </c>
      <c r="V1883" s="59">
        <f t="shared" si="295"/>
        <v>0</v>
      </c>
      <c r="W1883" s="39">
        <f t="shared" si="296"/>
        <v>0</v>
      </c>
      <c r="X1883" s="40">
        <f t="shared" si="297"/>
        <v>0</v>
      </c>
      <c r="Y1883"/>
      <c r="Z1883"/>
      <c r="AA1883"/>
    </row>
    <row r="1884" spans="1:27" s="51" customFormat="1" ht="18.600000000000001" hidden="1" customHeight="1" x14ac:dyDescent="0.25">
      <c r="A1884" s="82" t="s">
        <v>2653</v>
      </c>
      <c r="B1884" s="41" t="s">
        <v>9303</v>
      </c>
      <c r="C1884" s="42" t="s">
        <v>9317</v>
      </c>
      <c r="D1884" s="41" t="s">
        <v>4588</v>
      </c>
      <c r="E1884" s="43" t="s">
        <v>4589</v>
      </c>
      <c r="F1884" s="43" t="s">
        <v>1937</v>
      </c>
      <c r="G1884" s="43" t="s">
        <v>3586</v>
      </c>
      <c r="H1884" s="85" t="s">
        <v>4590</v>
      </c>
      <c r="I1884" s="23" t="s">
        <v>24</v>
      </c>
      <c r="J1884" s="44">
        <v>90</v>
      </c>
      <c r="K1884" s="45">
        <v>0.25</v>
      </c>
      <c r="L1884" s="46">
        <f t="shared" si="289"/>
        <v>22.5</v>
      </c>
      <c r="M1884" s="47">
        <f t="shared" si="290"/>
        <v>67.5</v>
      </c>
      <c r="N1884" s="48">
        <v>0.16</v>
      </c>
      <c r="O1884" s="49">
        <f t="shared" si="291"/>
        <v>10.8</v>
      </c>
      <c r="P1884" s="50">
        <f t="shared" si="292"/>
        <v>78.3</v>
      </c>
      <c r="Q1884" s="23"/>
      <c r="R1884" s="60"/>
      <c r="S1884" s="61"/>
      <c r="T1884" s="62">
        <f t="shared" si="293"/>
        <v>0</v>
      </c>
      <c r="U1884" s="46">
        <f t="shared" si="294"/>
        <v>0</v>
      </c>
      <c r="V1884" s="63">
        <f t="shared" si="295"/>
        <v>0</v>
      </c>
      <c r="W1884" s="49">
        <f t="shared" si="296"/>
        <v>0</v>
      </c>
      <c r="X1884" s="50">
        <f t="shared" si="297"/>
        <v>0</v>
      </c>
      <c r="Y1884"/>
      <c r="Z1884"/>
      <c r="AA1884"/>
    </row>
    <row r="1885" spans="1:27" s="51" customFormat="1" ht="18.600000000000001" hidden="1" customHeight="1" x14ac:dyDescent="0.25">
      <c r="A1885" s="80" t="s">
        <v>2653</v>
      </c>
      <c r="B1885" s="20" t="s">
        <v>9303</v>
      </c>
      <c r="C1885" s="21" t="s">
        <v>9317</v>
      </c>
      <c r="D1885" s="20" t="s">
        <v>4591</v>
      </c>
      <c r="E1885" s="22" t="s">
        <v>4592</v>
      </c>
      <c r="F1885" s="22" t="s">
        <v>1937</v>
      </c>
      <c r="G1885" s="22" t="s">
        <v>3586</v>
      </c>
      <c r="H1885" s="83" t="s">
        <v>4593</v>
      </c>
      <c r="I1885" s="23" t="s">
        <v>24</v>
      </c>
      <c r="J1885" s="24">
        <v>90</v>
      </c>
      <c r="K1885" s="25">
        <v>0.25</v>
      </c>
      <c r="L1885" s="26">
        <f t="shared" si="289"/>
        <v>22.5</v>
      </c>
      <c r="M1885" s="27">
        <f t="shared" si="290"/>
        <v>67.5</v>
      </c>
      <c r="N1885" s="28">
        <v>0.16</v>
      </c>
      <c r="O1885" s="29">
        <f t="shared" si="291"/>
        <v>10.8</v>
      </c>
      <c r="P1885" s="30">
        <f t="shared" si="292"/>
        <v>78.3</v>
      </c>
      <c r="Q1885" s="23"/>
      <c r="R1885" s="52"/>
      <c r="S1885" s="53"/>
      <c r="T1885" s="54">
        <f t="shared" si="293"/>
        <v>0</v>
      </c>
      <c r="U1885" s="26">
        <f t="shared" si="294"/>
        <v>0</v>
      </c>
      <c r="V1885" s="55">
        <f t="shared" si="295"/>
        <v>0</v>
      </c>
      <c r="W1885" s="29">
        <f t="shared" si="296"/>
        <v>0</v>
      </c>
      <c r="X1885" s="30">
        <f t="shared" si="297"/>
        <v>0</v>
      </c>
      <c r="Y1885"/>
      <c r="Z1885"/>
      <c r="AA1885"/>
    </row>
    <row r="1886" spans="1:27" s="51" customFormat="1" ht="18.600000000000001" hidden="1" customHeight="1" x14ac:dyDescent="0.25">
      <c r="A1886" s="81" t="s">
        <v>2653</v>
      </c>
      <c r="B1886" s="31" t="s">
        <v>9303</v>
      </c>
      <c r="C1886" s="32" t="s">
        <v>9317</v>
      </c>
      <c r="D1886" s="31" t="s">
        <v>4594</v>
      </c>
      <c r="E1886" s="33" t="s">
        <v>4595</v>
      </c>
      <c r="F1886" s="33" t="s">
        <v>1937</v>
      </c>
      <c r="G1886" s="33" t="s">
        <v>3586</v>
      </c>
      <c r="H1886" s="84" t="s">
        <v>4596</v>
      </c>
      <c r="I1886" s="23" t="s">
        <v>24</v>
      </c>
      <c r="J1886" s="34">
        <v>90</v>
      </c>
      <c r="K1886" s="35">
        <v>0.25</v>
      </c>
      <c r="L1886" s="36">
        <f t="shared" si="289"/>
        <v>22.5</v>
      </c>
      <c r="M1886" s="37">
        <f t="shared" si="290"/>
        <v>67.5</v>
      </c>
      <c r="N1886" s="38">
        <v>0.16</v>
      </c>
      <c r="O1886" s="39">
        <f t="shared" si="291"/>
        <v>10.8</v>
      </c>
      <c r="P1886" s="40">
        <f t="shared" si="292"/>
        <v>78.3</v>
      </c>
      <c r="Q1886" s="23"/>
      <c r="R1886" s="56"/>
      <c r="S1886" s="57"/>
      <c r="T1886" s="58">
        <f t="shared" si="293"/>
        <v>0</v>
      </c>
      <c r="U1886" s="36">
        <f t="shared" si="294"/>
        <v>0</v>
      </c>
      <c r="V1886" s="59">
        <f t="shared" si="295"/>
        <v>0</v>
      </c>
      <c r="W1886" s="39">
        <f t="shared" si="296"/>
        <v>0</v>
      </c>
      <c r="X1886" s="40">
        <f t="shared" si="297"/>
        <v>0</v>
      </c>
      <c r="Y1886"/>
      <c r="Z1886"/>
      <c r="AA1886"/>
    </row>
    <row r="1887" spans="1:27" s="51" customFormat="1" ht="18.600000000000001" hidden="1" customHeight="1" x14ac:dyDescent="0.25">
      <c r="A1887" s="82" t="s">
        <v>2653</v>
      </c>
      <c r="B1887" s="41" t="s">
        <v>9303</v>
      </c>
      <c r="C1887" s="42" t="s">
        <v>9317</v>
      </c>
      <c r="D1887" s="41" t="s">
        <v>4597</v>
      </c>
      <c r="E1887" s="43" t="s">
        <v>4598</v>
      </c>
      <c r="F1887" s="43" t="s">
        <v>1937</v>
      </c>
      <c r="G1887" s="43" t="s">
        <v>3586</v>
      </c>
      <c r="H1887" s="85" t="s">
        <v>4599</v>
      </c>
      <c r="I1887" s="23" t="s">
        <v>24</v>
      </c>
      <c r="J1887" s="44">
        <v>90</v>
      </c>
      <c r="K1887" s="45">
        <v>0.25</v>
      </c>
      <c r="L1887" s="46">
        <f t="shared" si="289"/>
        <v>22.5</v>
      </c>
      <c r="M1887" s="47">
        <f t="shared" si="290"/>
        <v>67.5</v>
      </c>
      <c r="N1887" s="48">
        <v>0.16</v>
      </c>
      <c r="O1887" s="49">
        <f t="shared" si="291"/>
        <v>10.8</v>
      </c>
      <c r="P1887" s="50">
        <f t="shared" si="292"/>
        <v>78.3</v>
      </c>
      <c r="Q1887" s="23"/>
      <c r="R1887" s="60"/>
      <c r="S1887" s="61"/>
      <c r="T1887" s="62">
        <f t="shared" si="293"/>
        <v>0</v>
      </c>
      <c r="U1887" s="46">
        <f t="shared" si="294"/>
        <v>0</v>
      </c>
      <c r="V1887" s="63">
        <f t="shared" si="295"/>
        <v>0</v>
      </c>
      <c r="W1887" s="49">
        <f t="shared" si="296"/>
        <v>0</v>
      </c>
      <c r="X1887" s="50">
        <f t="shared" si="297"/>
        <v>0</v>
      </c>
      <c r="Y1887"/>
      <c r="Z1887"/>
      <c r="AA1887"/>
    </row>
    <row r="1888" spans="1:27" s="51" customFormat="1" ht="18.600000000000001" hidden="1" customHeight="1" x14ac:dyDescent="0.25">
      <c r="A1888" s="80" t="s">
        <v>2653</v>
      </c>
      <c r="B1888" s="20" t="s">
        <v>9303</v>
      </c>
      <c r="C1888" s="21" t="s">
        <v>9317</v>
      </c>
      <c r="D1888" s="20" t="s">
        <v>4600</v>
      </c>
      <c r="E1888" s="22" t="s">
        <v>4601</v>
      </c>
      <c r="F1888" s="22" t="s">
        <v>1937</v>
      </c>
      <c r="G1888" s="22" t="s">
        <v>3586</v>
      </c>
      <c r="H1888" s="83" t="s">
        <v>4602</v>
      </c>
      <c r="I1888" s="23" t="s">
        <v>24</v>
      </c>
      <c r="J1888" s="24">
        <v>90</v>
      </c>
      <c r="K1888" s="25">
        <v>0.25</v>
      </c>
      <c r="L1888" s="26">
        <f t="shared" si="289"/>
        <v>22.5</v>
      </c>
      <c r="M1888" s="27">
        <f t="shared" si="290"/>
        <v>67.5</v>
      </c>
      <c r="N1888" s="28">
        <v>0.16</v>
      </c>
      <c r="O1888" s="29">
        <f t="shared" si="291"/>
        <v>10.8</v>
      </c>
      <c r="P1888" s="30">
        <f t="shared" si="292"/>
        <v>78.3</v>
      </c>
      <c r="Q1888" s="23"/>
      <c r="R1888" s="52"/>
      <c r="S1888" s="53"/>
      <c r="T1888" s="54">
        <f t="shared" si="293"/>
        <v>0</v>
      </c>
      <c r="U1888" s="26">
        <f t="shared" si="294"/>
        <v>0</v>
      </c>
      <c r="V1888" s="55">
        <f t="shared" si="295"/>
        <v>0</v>
      </c>
      <c r="W1888" s="29">
        <f t="shared" si="296"/>
        <v>0</v>
      </c>
      <c r="X1888" s="30">
        <f t="shared" si="297"/>
        <v>0</v>
      </c>
      <c r="Y1888"/>
      <c r="Z1888"/>
      <c r="AA1888"/>
    </row>
    <row r="1889" spans="1:27" s="51" customFormat="1" ht="18.600000000000001" hidden="1" customHeight="1" x14ac:dyDescent="0.25">
      <c r="A1889" s="81" t="s">
        <v>2653</v>
      </c>
      <c r="B1889" s="31" t="s">
        <v>9303</v>
      </c>
      <c r="C1889" s="32" t="s">
        <v>9317</v>
      </c>
      <c r="D1889" s="31" t="s">
        <v>4603</v>
      </c>
      <c r="E1889" s="33" t="s">
        <v>4604</v>
      </c>
      <c r="F1889" s="33" t="s">
        <v>1937</v>
      </c>
      <c r="G1889" s="33" t="s">
        <v>3586</v>
      </c>
      <c r="H1889" s="84" t="s">
        <v>4605</v>
      </c>
      <c r="I1889" s="23" t="s">
        <v>24</v>
      </c>
      <c r="J1889" s="34">
        <v>90</v>
      </c>
      <c r="K1889" s="35">
        <v>0.25</v>
      </c>
      <c r="L1889" s="36">
        <f t="shared" si="289"/>
        <v>22.5</v>
      </c>
      <c r="M1889" s="37">
        <f t="shared" si="290"/>
        <v>67.5</v>
      </c>
      <c r="N1889" s="38">
        <v>0.16</v>
      </c>
      <c r="O1889" s="39">
        <f t="shared" si="291"/>
        <v>10.8</v>
      </c>
      <c r="P1889" s="40">
        <f t="shared" si="292"/>
        <v>78.3</v>
      </c>
      <c r="Q1889" s="23"/>
      <c r="R1889" s="56"/>
      <c r="S1889" s="57"/>
      <c r="T1889" s="58">
        <f t="shared" si="293"/>
        <v>0</v>
      </c>
      <c r="U1889" s="36">
        <f t="shared" si="294"/>
        <v>0</v>
      </c>
      <c r="V1889" s="59">
        <f t="shared" si="295"/>
        <v>0</v>
      </c>
      <c r="W1889" s="39">
        <f t="shared" si="296"/>
        <v>0</v>
      </c>
      <c r="X1889" s="40">
        <f t="shared" si="297"/>
        <v>0</v>
      </c>
      <c r="Y1889"/>
      <c r="Z1889"/>
      <c r="AA1889"/>
    </row>
    <row r="1890" spans="1:27" s="51" customFormat="1" ht="18.600000000000001" hidden="1" customHeight="1" x14ac:dyDescent="0.25">
      <c r="A1890" s="82" t="s">
        <v>2653</v>
      </c>
      <c r="B1890" s="41" t="s">
        <v>9303</v>
      </c>
      <c r="C1890" s="42" t="s">
        <v>9317</v>
      </c>
      <c r="D1890" s="41" t="s">
        <v>4606</v>
      </c>
      <c r="E1890" s="43" t="s">
        <v>4607</v>
      </c>
      <c r="F1890" s="43" t="s">
        <v>1937</v>
      </c>
      <c r="G1890" s="43" t="s">
        <v>3586</v>
      </c>
      <c r="H1890" s="85" t="s">
        <v>4608</v>
      </c>
      <c r="I1890" s="23" t="s">
        <v>24</v>
      </c>
      <c r="J1890" s="44">
        <v>90</v>
      </c>
      <c r="K1890" s="45">
        <v>0.25</v>
      </c>
      <c r="L1890" s="46">
        <f t="shared" si="289"/>
        <v>22.5</v>
      </c>
      <c r="M1890" s="47">
        <f t="shared" si="290"/>
        <v>67.5</v>
      </c>
      <c r="N1890" s="48">
        <v>0.16</v>
      </c>
      <c r="O1890" s="49">
        <f t="shared" si="291"/>
        <v>10.8</v>
      </c>
      <c r="P1890" s="50">
        <f t="shared" si="292"/>
        <v>78.3</v>
      </c>
      <c r="Q1890" s="23"/>
      <c r="R1890" s="60"/>
      <c r="S1890" s="61"/>
      <c r="T1890" s="62">
        <f t="shared" si="293"/>
        <v>0</v>
      </c>
      <c r="U1890" s="46">
        <f t="shared" si="294"/>
        <v>0</v>
      </c>
      <c r="V1890" s="63">
        <f t="shared" si="295"/>
        <v>0</v>
      </c>
      <c r="W1890" s="49">
        <f t="shared" si="296"/>
        <v>0</v>
      </c>
      <c r="X1890" s="50">
        <f t="shared" si="297"/>
        <v>0</v>
      </c>
      <c r="Y1890"/>
      <c r="Z1890"/>
      <c r="AA1890"/>
    </row>
    <row r="1891" spans="1:27" s="51" customFormat="1" ht="18.600000000000001" hidden="1" customHeight="1" x14ac:dyDescent="0.25">
      <c r="A1891" s="80" t="s">
        <v>2653</v>
      </c>
      <c r="B1891" s="20" t="s">
        <v>9303</v>
      </c>
      <c r="C1891" s="21" t="s">
        <v>9317</v>
      </c>
      <c r="D1891" s="20" t="s">
        <v>4609</v>
      </c>
      <c r="E1891" s="22" t="s">
        <v>4610</v>
      </c>
      <c r="F1891" s="22" t="s">
        <v>1937</v>
      </c>
      <c r="G1891" s="22" t="s">
        <v>3586</v>
      </c>
      <c r="H1891" s="83" t="s">
        <v>4611</v>
      </c>
      <c r="I1891" s="23" t="s">
        <v>24</v>
      </c>
      <c r="J1891" s="24">
        <v>90</v>
      </c>
      <c r="K1891" s="25">
        <v>0.25</v>
      </c>
      <c r="L1891" s="26">
        <f t="shared" si="289"/>
        <v>22.5</v>
      </c>
      <c r="M1891" s="27">
        <f t="shared" si="290"/>
        <v>67.5</v>
      </c>
      <c r="N1891" s="28">
        <v>0.16</v>
      </c>
      <c r="O1891" s="29">
        <f t="shared" si="291"/>
        <v>10.8</v>
      </c>
      <c r="P1891" s="30">
        <f t="shared" si="292"/>
        <v>78.3</v>
      </c>
      <c r="Q1891" s="23"/>
      <c r="R1891" s="52"/>
      <c r="S1891" s="53"/>
      <c r="T1891" s="54">
        <f t="shared" si="293"/>
        <v>0</v>
      </c>
      <c r="U1891" s="26">
        <f t="shared" si="294"/>
        <v>0</v>
      </c>
      <c r="V1891" s="55">
        <f t="shared" si="295"/>
        <v>0</v>
      </c>
      <c r="W1891" s="29">
        <f t="shared" si="296"/>
        <v>0</v>
      </c>
      <c r="X1891" s="30">
        <f t="shared" si="297"/>
        <v>0</v>
      </c>
      <c r="Y1891"/>
      <c r="Z1891"/>
      <c r="AA1891"/>
    </row>
    <row r="1892" spans="1:27" s="51" customFormat="1" ht="18.600000000000001" hidden="1" customHeight="1" x14ac:dyDescent="0.25">
      <c r="A1892" s="81" t="s">
        <v>2653</v>
      </c>
      <c r="B1892" s="31" t="s">
        <v>9303</v>
      </c>
      <c r="C1892" s="32" t="s">
        <v>9317</v>
      </c>
      <c r="D1892" s="31" t="s">
        <v>4612</v>
      </c>
      <c r="E1892" s="33" t="s">
        <v>4613</v>
      </c>
      <c r="F1892" s="33" t="s">
        <v>1937</v>
      </c>
      <c r="G1892" s="33" t="s">
        <v>3586</v>
      </c>
      <c r="H1892" s="84" t="s">
        <v>4614</v>
      </c>
      <c r="I1892" s="23" t="s">
        <v>24</v>
      </c>
      <c r="J1892" s="34">
        <v>90</v>
      </c>
      <c r="K1892" s="35">
        <v>0.25</v>
      </c>
      <c r="L1892" s="36">
        <f t="shared" si="289"/>
        <v>22.5</v>
      </c>
      <c r="M1892" s="37">
        <f t="shared" si="290"/>
        <v>67.5</v>
      </c>
      <c r="N1892" s="38">
        <v>0.16</v>
      </c>
      <c r="O1892" s="39">
        <f t="shared" si="291"/>
        <v>10.8</v>
      </c>
      <c r="P1892" s="40">
        <f t="shared" si="292"/>
        <v>78.3</v>
      </c>
      <c r="Q1892" s="23"/>
      <c r="R1892" s="56"/>
      <c r="S1892" s="57"/>
      <c r="T1892" s="58">
        <f t="shared" si="293"/>
        <v>0</v>
      </c>
      <c r="U1892" s="36">
        <f t="shared" si="294"/>
        <v>0</v>
      </c>
      <c r="V1892" s="59">
        <f t="shared" si="295"/>
        <v>0</v>
      </c>
      <c r="W1892" s="39">
        <f t="shared" si="296"/>
        <v>0</v>
      </c>
      <c r="X1892" s="40">
        <f t="shared" si="297"/>
        <v>0</v>
      </c>
      <c r="Y1892"/>
      <c r="Z1892"/>
      <c r="AA1892"/>
    </row>
    <row r="1893" spans="1:27" s="51" customFormat="1" ht="18.600000000000001" hidden="1" customHeight="1" x14ac:dyDescent="0.25">
      <c r="A1893" s="82" t="s">
        <v>2653</v>
      </c>
      <c r="B1893" s="41" t="s">
        <v>9303</v>
      </c>
      <c r="C1893" s="42" t="s">
        <v>9317</v>
      </c>
      <c r="D1893" s="41" t="s">
        <v>4615</v>
      </c>
      <c r="E1893" s="43" t="s">
        <v>4616</v>
      </c>
      <c r="F1893" s="43" t="s">
        <v>1937</v>
      </c>
      <c r="G1893" s="43" t="s">
        <v>3586</v>
      </c>
      <c r="H1893" s="85" t="s">
        <v>4617</v>
      </c>
      <c r="I1893" s="23" t="s">
        <v>24</v>
      </c>
      <c r="J1893" s="44">
        <v>90</v>
      </c>
      <c r="K1893" s="45">
        <v>0.25</v>
      </c>
      <c r="L1893" s="46">
        <f t="shared" si="289"/>
        <v>22.5</v>
      </c>
      <c r="M1893" s="47">
        <f t="shared" si="290"/>
        <v>67.5</v>
      </c>
      <c r="N1893" s="48">
        <v>0.16</v>
      </c>
      <c r="O1893" s="49">
        <f t="shared" si="291"/>
        <v>10.8</v>
      </c>
      <c r="P1893" s="50">
        <f t="shared" si="292"/>
        <v>78.3</v>
      </c>
      <c r="Q1893" s="23"/>
      <c r="R1893" s="60"/>
      <c r="S1893" s="61"/>
      <c r="T1893" s="62">
        <f t="shared" si="293"/>
        <v>0</v>
      </c>
      <c r="U1893" s="46">
        <f t="shared" si="294"/>
        <v>0</v>
      </c>
      <c r="V1893" s="63">
        <f t="shared" si="295"/>
        <v>0</v>
      </c>
      <c r="W1893" s="49">
        <f t="shared" si="296"/>
        <v>0</v>
      </c>
      <c r="X1893" s="50">
        <f t="shared" si="297"/>
        <v>0</v>
      </c>
      <c r="Y1893"/>
      <c r="Z1893"/>
      <c r="AA1893"/>
    </row>
    <row r="1894" spans="1:27" s="51" customFormat="1" ht="18.600000000000001" hidden="1" customHeight="1" x14ac:dyDescent="0.25">
      <c r="A1894" s="80" t="s">
        <v>2653</v>
      </c>
      <c r="B1894" s="20" t="s">
        <v>9303</v>
      </c>
      <c r="C1894" s="21" t="s">
        <v>9317</v>
      </c>
      <c r="D1894" s="20" t="s">
        <v>4618</v>
      </c>
      <c r="E1894" s="22" t="s">
        <v>4619</v>
      </c>
      <c r="F1894" s="22" t="s">
        <v>1937</v>
      </c>
      <c r="G1894" s="22" t="s">
        <v>3586</v>
      </c>
      <c r="H1894" s="83" t="s">
        <v>4620</v>
      </c>
      <c r="I1894" s="23" t="s">
        <v>24</v>
      </c>
      <c r="J1894" s="24">
        <v>90</v>
      </c>
      <c r="K1894" s="25">
        <v>0.25</v>
      </c>
      <c r="L1894" s="26">
        <f t="shared" si="289"/>
        <v>22.5</v>
      </c>
      <c r="M1894" s="27">
        <f t="shared" si="290"/>
        <v>67.5</v>
      </c>
      <c r="N1894" s="28">
        <v>0.16</v>
      </c>
      <c r="O1894" s="29">
        <f t="shared" si="291"/>
        <v>10.8</v>
      </c>
      <c r="P1894" s="30">
        <f t="shared" si="292"/>
        <v>78.3</v>
      </c>
      <c r="Q1894" s="23"/>
      <c r="R1894" s="52"/>
      <c r="S1894" s="53"/>
      <c r="T1894" s="54">
        <f t="shared" si="293"/>
        <v>0</v>
      </c>
      <c r="U1894" s="26">
        <f t="shared" si="294"/>
        <v>0</v>
      </c>
      <c r="V1894" s="55">
        <f t="shared" si="295"/>
        <v>0</v>
      </c>
      <c r="W1894" s="29">
        <f t="shared" si="296"/>
        <v>0</v>
      </c>
      <c r="X1894" s="30">
        <f t="shared" si="297"/>
        <v>0</v>
      </c>
      <c r="Y1894"/>
      <c r="Z1894"/>
      <c r="AA1894"/>
    </row>
    <row r="1895" spans="1:27" s="51" customFormat="1" ht="18.600000000000001" hidden="1" customHeight="1" x14ac:dyDescent="0.25">
      <c r="A1895" s="81" t="s">
        <v>2653</v>
      </c>
      <c r="B1895" s="31" t="s">
        <v>9303</v>
      </c>
      <c r="C1895" s="32" t="s">
        <v>9317</v>
      </c>
      <c r="D1895" s="31" t="s">
        <v>4621</v>
      </c>
      <c r="E1895" s="33" t="s">
        <v>4622</v>
      </c>
      <c r="F1895" s="33" t="s">
        <v>1937</v>
      </c>
      <c r="G1895" s="33" t="s">
        <v>3586</v>
      </c>
      <c r="H1895" s="84" t="s">
        <v>4623</v>
      </c>
      <c r="I1895" s="23" t="s">
        <v>24</v>
      </c>
      <c r="J1895" s="34">
        <v>90</v>
      </c>
      <c r="K1895" s="35">
        <v>0.25</v>
      </c>
      <c r="L1895" s="36">
        <f t="shared" si="289"/>
        <v>22.5</v>
      </c>
      <c r="M1895" s="37">
        <f t="shared" si="290"/>
        <v>67.5</v>
      </c>
      <c r="N1895" s="38">
        <v>0.16</v>
      </c>
      <c r="O1895" s="39">
        <f t="shared" si="291"/>
        <v>10.8</v>
      </c>
      <c r="P1895" s="40">
        <f t="shared" si="292"/>
        <v>78.3</v>
      </c>
      <c r="Q1895" s="23"/>
      <c r="R1895" s="56"/>
      <c r="S1895" s="57"/>
      <c r="T1895" s="58">
        <f t="shared" si="293"/>
        <v>0</v>
      </c>
      <c r="U1895" s="36">
        <f t="shared" si="294"/>
        <v>0</v>
      </c>
      <c r="V1895" s="59">
        <f t="shared" si="295"/>
        <v>0</v>
      </c>
      <c r="W1895" s="39">
        <f t="shared" si="296"/>
        <v>0</v>
      </c>
      <c r="X1895" s="40">
        <f t="shared" si="297"/>
        <v>0</v>
      </c>
      <c r="Y1895"/>
      <c r="Z1895"/>
      <c r="AA1895"/>
    </row>
    <row r="1896" spans="1:27" s="51" customFormat="1" ht="18.600000000000001" hidden="1" customHeight="1" x14ac:dyDescent="0.25">
      <c r="A1896" s="82" t="s">
        <v>2653</v>
      </c>
      <c r="B1896" s="41" t="s">
        <v>9303</v>
      </c>
      <c r="C1896" s="42" t="s">
        <v>9317</v>
      </c>
      <c r="D1896" s="41" t="s">
        <v>4624</v>
      </c>
      <c r="E1896" s="43" t="s">
        <v>4625</v>
      </c>
      <c r="F1896" s="43" t="s">
        <v>1937</v>
      </c>
      <c r="G1896" s="43" t="s">
        <v>3586</v>
      </c>
      <c r="H1896" s="85" t="s">
        <v>4626</v>
      </c>
      <c r="I1896" s="23" t="s">
        <v>24</v>
      </c>
      <c r="J1896" s="44">
        <v>90</v>
      </c>
      <c r="K1896" s="45">
        <v>0.25</v>
      </c>
      <c r="L1896" s="46">
        <f t="shared" si="289"/>
        <v>22.5</v>
      </c>
      <c r="M1896" s="47">
        <f t="shared" si="290"/>
        <v>67.5</v>
      </c>
      <c r="N1896" s="48">
        <v>0.16</v>
      </c>
      <c r="O1896" s="49">
        <f t="shared" si="291"/>
        <v>10.8</v>
      </c>
      <c r="P1896" s="50">
        <f t="shared" si="292"/>
        <v>78.3</v>
      </c>
      <c r="Q1896" s="23"/>
      <c r="R1896" s="60"/>
      <c r="S1896" s="61"/>
      <c r="T1896" s="62">
        <f t="shared" si="293"/>
        <v>0</v>
      </c>
      <c r="U1896" s="46">
        <f t="shared" si="294"/>
        <v>0</v>
      </c>
      <c r="V1896" s="63">
        <f t="shared" si="295"/>
        <v>0</v>
      </c>
      <c r="W1896" s="49">
        <f t="shared" si="296"/>
        <v>0</v>
      </c>
      <c r="X1896" s="50">
        <f t="shared" si="297"/>
        <v>0</v>
      </c>
      <c r="Y1896"/>
      <c r="Z1896"/>
      <c r="AA1896"/>
    </row>
    <row r="1897" spans="1:27" s="51" customFormat="1" ht="18.600000000000001" hidden="1" customHeight="1" x14ac:dyDescent="0.25">
      <c r="A1897" s="80" t="s">
        <v>2653</v>
      </c>
      <c r="B1897" s="20" t="s">
        <v>9303</v>
      </c>
      <c r="C1897" s="21" t="s">
        <v>9317</v>
      </c>
      <c r="D1897" s="20" t="s">
        <v>4627</v>
      </c>
      <c r="E1897" s="22" t="s">
        <v>4628</v>
      </c>
      <c r="F1897" s="22" t="s">
        <v>1937</v>
      </c>
      <c r="G1897" s="22" t="s">
        <v>3586</v>
      </c>
      <c r="H1897" s="83" t="s">
        <v>4629</v>
      </c>
      <c r="I1897" s="23" t="s">
        <v>24</v>
      </c>
      <c r="J1897" s="24">
        <v>90</v>
      </c>
      <c r="K1897" s="25">
        <v>0.25</v>
      </c>
      <c r="L1897" s="26">
        <f t="shared" si="289"/>
        <v>22.5</v>
      </c>
      <c r="M1897" s="27">
        <f t="shared" si="290"/>
        <v>67.5</v>
      </c>
      <c r="N1897" s="28">
        <v>0.16</v>
      </c>
      <c r="O1897" s="29">
        <f t="shared" si="291"/>
        <v>10.8</v>
      </c>
      <c r="P1897" s="30">
        <f t="shared" si="292"/>
        <v>78.3</v>
      </c>
      <c r="Q1897" s="23"/>
      <c r="R1897" s="52"/>
      <c r="S1897" s="53"/>
      <c r="T1897" s="54">
        <f t="shared" si="293"/>
        <v>0</v>
      </c>
      <c r="U1897" s="26">
        <f t="shared" si="294"/>
        <v>0</v>
      </c>
      <c r="V1897" s="55">
        <f t="shared" si="295"/>
        <v>0</v>
      </c>
      <c r="W1897" s="29">
        <f t="shared" si="296"/>
        <v>0</v>
      </c>
      <c r="X1897" s="30">
        <f t="shared" si="297"/>
        <v>0</v>
      </c>
      <c r="Y1897"/>
      <c r="Z1897"/>
      <c r="AA1897"/>
    </row>
    <row r="1898" spans="1:27" s="51" customFormat="1" ht="18.600000000000001" hidden="1" customHeight="1" x14ac:dyDescent="0.25">
      <c r="A1898" s="81" t="s">
        <v>2653</v>
      </c>
      <c r="B1898" s="31" t="s">
        <v>9303</v>
      </c>
      <c r="C1898" s="32" t="s">
        <v>9317</v>
      </c>
      <c r="D1898" s="31" t="s">
        <v>4630</v>
      </c>
      <c r="E1898" s="33" t="s">
        <v>4631</v>
      </c>
      <c r="F1898" s="33" t="s">
        <v>1937</v>
      </c>
      <c r="G1898" s="33" t="s">
        <v>3586</v>
      </c>
      <c r="H1898" s="84" t="s">
        <v>4632</v>
      </c>
      <c r="I1898" s="23" t="s">
        <v>24</v>
      </c>
      <c r="J1898" s="34">
        <v>90</v>
      </c>
      <c r="K1898" s="35">
        <v>0.25</v>
      </c>
      <c r="L1898" s="36">
        <f t="shared" si="289"/>
        <v>22.5</v>
      </c>
      <c r="M1898" s="37">
        <f t="shared" si="290"/>
        <v>67.5</v>
      </c>
      <c r="N1898" s="38">
        <v>0.16</v>
      </c>
      <c r="O1898" s="39">
        <f t="shared" si="291"/>
        <v>10.8</v>
      </c>
      <c r="P1898" s="40">
        <f t="shared" si="292"/>
        <v>78.3</v>
      </c>
      <c r="Q1898" s="23"/>
      <c r="R1898" s="56"/>
      <c r="S1898" s="57"/>
      <c r="T1898" s="58">
        <f t="shared" si="293"/>
        <v>0</v>
      </c>
      <c r="U1898" s="36">
        <f t="shared" si="294"/>
        <v>0</v>
      </c>
      <c r="V1898" s="59">
        <f t="shared" si="295"/>
        <v>0</v>
      </c>
      <c r="W1898" s="39">
        <f t="shared" si="296"/>
        <v>0</v>
      </c>
      <c r="X1898" s="40">
        <f t="shared" si="297"/>
        <v>0</v>
      </c>
      <c r="Y1898"/>
      <c r="Z1898"/>
      <c r="AA1898"/>
    </row>
    <row r="1899" spans="1:27" s="51" customFormat="1" ht="18.600000000000001" hidden="1" customHeight="1" x14ac:dyDescent="0.25">
      <c r="A1899" s="82" t="s">
        <v>2653</v>
      </c>
      <c r="B1899" s="41" t="s">
        <v>9303</v>
      </c>
      <c r="C1899" s="42" t="s">
        <v>9317</v>
      </c>
      <c r="D1899" s="41" t="s">
        <v>4633</v>
      </c>
      <c r="E1899" s="43" t="s">
        <v>4634</v>
      </c>
      <c r="F1899" s="43" t="s">
        <v>1937</v>
      </c>
      <c r="G1899" s="43" t="s">
        <v>3586</v>
      </c>
      <c r="H1899" s="85" t="s">
        <v>4635</v>
      </c>
      <c r="I1899" s="23" t="s">
        <v>24</v>
      </c>
      <c r="J1899" s="44">
        <v>90</v>
      </c>
      <c r="K1899" s="45">
        <v>0.25</v>
      </c>
      <c r="L1899" s="46">
        <f t="shared" si="289"/>
        <v>22.5</v>
      </c>
      <c r="M1899" s="47">
        <f t="shared" si="290"/>
        <v>67.5</v>
      </c>
      <c r="N1899" s="48">
        <v>0.16</v>
      </c>
      <c r="O1899" s="49">
        <f t="shared" si="291"/>
        <v>10.8</v>
      </c>
      <c r="P1899" s="50">
        <f t="shared" si="292"/>
        <v>78.3</v>
      </c>
      <c r="Q1899" s="23"/>
      <c r="R1899" s="60"/>
      <c r="S1899" s="61"/>
      <c r="T1899" s="62">
        <f t="shared" si="293"/>
        <v>0</v>
      </c>
      <c r="U1899" s="46">
        <f t="shared" si="294"/>
        <v>0</v>
      </c>
      <c r="V1899" s="63">
        <f t="shared" si="295"/>
        <v>0</v>
      </c>
      <c r="W1899" s="49">
        <f t="shared" si="296"/>
        <v>0</v>
      </c>
      <c r="X1899" s="50">
        <f t="shared" si="297"/>
        <v>0</v>
      </c>
      <c r="Y1899"/>
      <c r="Z1899"/>
      <c r="AA1899"/>
    </row>
    <row r="1900" spans="1:27" s="51" customFormat="1" ht="18.600000000000001" hidden="1" customHeight="1" x14ac:dyDescent="0.25">
      <c r="A1900" s="80" t="s">
        <v>2653</v>
      </c>
      <c r="B1900" s="20" t="s">
        <v>9303</v>
      </c>
      <c r="C1900" s="21" t="s">
        <v>9317</v>
      </c>
      <c r="D1900" s="20" t="s">
        <v>4636</v>
      </c>
      <c r="E1900" s="22" t="s">
        <v>4637</v>
      </c>
      <c r="F1900" s="22" t="s">
        <v>1937</v>
      </c>
      <c r="G1900" s="22" t="s">
        <v>3586</v>
      </c>
      <c r="H1900" s="83" t="s">
        <v>4638</v>
      </c>
      <c r="I1900" s="23" t="s">
        <v>24</v>
      </c>
      <c r="J1900" s="24">
        <v>90</v>
      </c>
      <c r="K1900" s="25">
        <v>0.25</v>
      </c>
      <c r="L1900" s="26">
        <f t="shared" si="289"/>
        <v>22.5</v>
      </c>
      <c r="M1900" s="27">
        <f t="shared" si="290"/>
        <v>67.5</v>
      </c>
      <c r="N1900" s="28">
        <v>0.16</v>
      </c>
      <c r="O1900" s="29">
        <f t="shared" si="291"/>
        <v>10.8</v>
      </c>
      <c r="P1900" s="30">
        <f t="shared" si="292"/>
        <v>78.3</v>
      </c>
      <c r="Q1900" s="23"/>
      <c r="R1900" s="52"/>
      <c r="S1900" s="53"/>
      <c r="T1900" s="54">
        <f t="shared" si="293"/>
        <v>0</v>
      </c>
      <c r="U1900" s="26">
        <f t="shared" si="294"/>
        <v>0</v>
      </c>
      <c r="V1900" s="55">
        <f t="shared" si="295"/>
        <v>0</v>
      </c>
      <c r="W1900" s="29">
        <f t="shared" si="296"/>
        <v>0</v>
      </c>
      <c r="X1900" s="30">
        <f t="shared" si="297"/>
        <v>0</v>
      </c>
      <c r="Y1900"/>
      <c r="Z1900"/>
      <c r="AA1900"/>
    </row>
    <row r="1901" spans="1:27" s="51" customFormat="1" ht="18.600000000000001" hidden="1" customHeight="1" x14ac:dyDescent="0.25">
      <c r="A1901" s="81" t="s">
        <v>2653</v>
      </c>
      <c r="B1901" s="31" t="s">
        <v>9303</v>
      </c>
      <c r="C1901" s="32" t="s">
        <v>9317</v>
      </c>
      <c r="D1901" s="31" t="s">
        <v>4639</v>
      </c>
      <c r="E1901" s="33" t="s">
        <v>4640</v>
      </c>
      <c r="F1901" s="33" t="s">
        <v>1937</v>
      </c>
      <c r="G1901" s="33" t="s">
        <v>3586</v>
      </c>
      <c r="H1901" s="84" t="s">
        <v>4641</v>
      </c>
      <c r="I1901" s="23" t="s">
        <v>24</v>
      </c>
      <c r="J1901" s="34">
        <v>90</v>
      </c>
      <c r="K1901" s="35">
        <v>0.25</v>
      </c>
      <c r="L1901" s="36">
        <f t="shared" si="289"/>
        <v>22.5</v>
      </c>
      <c r="M1901" s="37">
        <f t="shared" si="290"/>
        <v>67.5</v>
      </c>
      <c r="N1901" s="38">
        <v>0.16</v>
      </c>
      <c r="O1901" s="39">
        <f t="shared" si="291"/>
        <v>10.8</v>
      </c>
      <c r="P1901" s="40">
        <f t="shared" si="292"/>
        <v>78.3</v>
      </c>
      <c r="Q1901" s="23"/>
      <c r="R1901" s="56"/>
      <c r="S1901" s="57"/>
      <c r="T1901" s="58">
        <f t="shared" si="293"/>
        <v>0</v>
      </c>
      <c r="U1901" s="36">
        <f t="shared" si="294"/>
        <v>0</v>
      </c>
      <c r="V1901" s="59">
        <f t="shared" si="295"/>
        <v>0</v>
      </c>
      <c r="W1901" s="39">
        <f t="shared" si="296"/>
        <v>0</v>
      </c>
      <c r="X1901" s="40">
        <f t="shared" si="297"/>
        <v>0</v>
      </c>
      <c r="Y1901"/>
      <c r="Z1901"/>
      <c r="AA1901"/>
    </row>
    <row r="1902" spans="1:27" s="51" customFormat="1" ht="18.600000000000001" hidden="1" customHeight="1" x14ac:dyDescent="0.25">
      <c r="A1902" s="82" t="s">
        <v>2653</v>
      </c>
      <c r="B1902" s="41" t="s">
        <v>9303</v>
      </c>
      <c r="C1902" s="42" t="s">
        <v>9317</v>
      </c>
      <c r="D1902" s="41" t="s">
        <v>4642</v>
      </c>
      <c r="E1902" s="43" t="s">
        <v>4643</v>
      </c>
      <c r="F1902" s="43" t="s">
        <v>1937</v>
      </c>
      <c r="G1902" s="43" t="s">
        <v>3586</v>
      </c>
      <c r="H1902" s="85" t="s">
        <v>4644</v>
      </c>
      <c r="I1902" s="23" t="s">
        <v>24</v>
      </c>
      <c r="J1902" s="44">
        <v>90</v>
      </c>
      <c r="K1902" s="45">
        <v>0.25</v>
      </c>
      <c r="L1902" s="46">
        <f t="shared" si="289"/>
        <v>22.5</v>
      </c>
      <c r="M1902" s="47">
        <f t="shared" si="290"/>
        <v>67.5</v>
      </c>
      <c r="N1902" s="48">
        <v>0.16</v>
      </c>
      <c r="O1902" s="49">
        <f t="shared" si="291"/>
        <v>10.8</v>
      </c>
      <c r="P1902" s="50">
        <f t="shared" si="292"/>
        <v>78.3</v>
      </c>
      <c r="Q1902" s="23"/>
      <c r="R1902" s="60"/>
      <c r="S1902" s="61"/>
      <c r="T1902" s="62">
        <f t="shared" si="293"/>
        <v>0</v>
      </c>
      <c r="U1902" s="46">
        <f t="shared" si="294"/>
        <v>0</v>
      </c>
      <c r="V1902" s="63">
        <f t="shared" si="295"/>
        <v>0</v>
      </c>
      <c r="W1902" s="49">
        <f t="shared" si="296"/>
        <v>0</v>
      </c>
      <c r="X1902" s="50">
        <f t="shared" si="297"/>
        <v>0</v>
      </c>
      <c r="Y1902"/>
      <c r="Z1902"/>
      <c r="AA1902"/>
    </row>
    <row r="1903" spans="1:27" s="51" customFormat="1" ht="18.600000000000001" hidden="1" customHeight="1" x14ac:dyDescent="0.25">
      <c r="A1903" s="80" t="s">
        <v>2653</v>
      </c>
      <c r="B1903" s="20" t="s">
        <v>9303</v>
      </c>
      <c r="C1903" s="21" t="s">
        <v>9317</v>
      </c>
      <c r="D1903" s="20" t="s">
        <v>4645</v>
      </c>
      <c r="E1903" s="22" t="s">
        <v>4646</v>
      </c>
      <c r="F1903" s="22" t="s">
        <v>1937</v>
      </c>
      <c r="G1903" s="22" t="s">
        <v>3586</v>
      </c>
      <c r="H1903" s="83" t="s">
        <v>4647</v>
      </c>
      <c r="I1903" s="23" t="s">
        <v>24</v>
      </c>
      <c r="J1903" s="24">
        <v>90</v>
      </c>
      <c r="K1903" s="25">
        <v>0.25</v>
      </c>
      <c r="L1903" s="26">
        <f t="shared" si="289"/>
        <v>22.5</v>
      </c>
      <c r="M1903" s="27">
        <f t="shared" si="290"/>
        <v>67.5</v>
      </c>
      <c r="N1903" s="28">
        <v>0.16</v>
      </c>
      <c r="O1903" s="29">
        <f t="shared" si="291"/>
        <v>10.8</v>
      </c>
      <c r="P1903" s="30">
        <f t="shared" si="292"/>
        <v>78.3</v>
      </c>
      <c r="Q1903" s="23"/>
      <c r="R1903" s="52"/>
      <c r="S1903" s="53"/>
      <c r="T1903" s="54">
        <f t="shared" si="293"/>
        <v>0</v>
      </c>
      <c r="U1903" s="26">
        <f t="shared" si="294"/>
        <v>0</v>
      </c>
      <c r="V1903" s="55">
        <f t="shared" si="295"/>
        <v>0</v>
      </c>
      <c r="W1903" s="29">
        <f t="shared" si="296"/>
        <v>0</v>
      </c>
      <c r="X1903" s="30">
        <f t="shared" si="297"/>
        <v>0</v>
      </c>
      <c r="Y1903"/>
      <c r="Z1903"/>
      <c r="AA1903"/>
    </row>
    <row r="1904" spans="1:27" s="51" customFormat="1" ht="18.600000000000001" hidden="1" customHeight="1" x14ac:dyDescent="0.25">
      <c r="A1904" s="81" t="s">
        <v>2653</v>
      </c>
      <c r="B1904" s="31" t="s">
        <v>9303</v>
      </c>
      <c r="C1904" s="32" t="s">
        <v>9317</v>
      </c>
      <c r="D1904" s="31" t="s">
        <v>4648</v>
      </c>
      <c r="E1904" s="33" t="s">
        <v>4649</v>
      </c>
      <c r="F1904" s="33" t="s">
        <v>1937</v>
      </c>
      <c r="G1904" s="33" t="s">
        <v>3586</v>
      </c>
      <c r="H1904" s="84" t="s">
        <v>4650</v>
      </c>
      <c r="I1904" s="23" t="s">
        <v>24</v>
      </c>
      <c r="J1904" s="34">
        <v>90</v>
      </c>
      <c r="K1904" s="35">
        <v>0.25</v>
      </c>
      <c r="L1904" s="36">
        <f t="shared" si="289"/>
        <v>22.5</v>
      </c>
      <c r="M1904" s="37">
        <f t="shared" si="290"/>
        <v>67.5</v>
      </c>
      <c r="N1904" s="38">
        <v>0.16</v>
      </c>
      <c r="O1904" s="39">
        <f t="shared" si="291"/>
        <v>10.8</v>
      </c>
      <c r="P1904" s="40">
        <f t="shared" si="292"/>
        <v>78.3</v>
      </c>
      <c r="Q1904" s="23"/>
      <c r="R1904" s="56"/>
      <c r="S1904" s="57"/>
      <c r="T1904" s="58">
        <f t="shared" si="293"/>
        <v>0</v>
      </c>
      <c r="U1904" s="36">
        <f t="shared" si="294"/>
        <v>0</v>
      </c>
      <c r="V1904" s="59">
        <f t="shared" si="295"/>
        <v>0</v>
      </c>
      <c r="W1904" s="39">
        <f t="shared" si="296"/>
        <v>0</v>
      </c>
      <c r="X1904" s="40">
        <f t="shared" si="297"/>
        <v>0</v>
      </c>
      <c r="Y1904"/>
      <c r="Z1904"/>
      <c r="AA1904"/>
    </row>
    <row r="1905" spans="1:27" s="51" customFormat="1" ht="18.600000000000001" hidden="1" customHeight="1" x14ac:dyDescent="0.25">
      <c r="A1905" s="82" t="s">
        <v>2653</v>
      </c>
      <c r="B1905" s="41" t="s">
        <v>9303</v>
      </c>
      <c r="C1905" s="42" t="s">
        <v>9317</v>
      </c>
      <c r="D1905" s="41" t="s">
        <v>4651</v>
      </c>
      <c r="E1905" s="43" t="s">
        <v>4652</v>
      </c>
      <c r="F1905" s="43" t="s">
        <v>1937</v>
      </c>
      <c r="G1905" s="43" t="s">
        <v>3586</v>
      </c>
      <c r="H1905" s="85" t="s">
        <v>4653</v>
      </c>
      <c r="I1905" s="23" t="s">
        <v>24</v>
      </c>
      <c r="J1905" s="44">
        <v>90</v>
      </c>
      <c r="K1905" s="45">
        <v>0.25</v>
      </c>
      <c r="L1905" s="46">
        <f t="shared" si="289"/>
        <v>22.5</v>
      </c>
      <c r="M1905" s="47">
        <f t="shared" si="290"/>
        <v>67.5</v>
      </c>
      <c r="N1905" s="48">
        <v>0.16</v>
      </c>
      <c r="O1905" s="49">
        <f t="shared" si="291"/>
        <v>10.8</v>
      </c>
      <c r="P1905" s="50">
        <f t="shared" si="292"/>
        <v>78.3</v>
      </c>
      <c r="Q1905" s="23"/>
      <c r="R1905" s="60"/>
      <c r="S1905" s="61"/>
      <c r="T1905" s="62">
        <f t="shared" si="293"/>
        <v>0</v>
      </c>
      <c r="U1905" s="46">
        <f t="shared" si="294"/>
        <v>0</v>
      </c>
      <c r="V1905" s="63">
        <f t="shared" si="295"/>
        <v>0</v>
      </c>
      <c r="W1905" s="49">
        <f t="shared" si="296"/>
        <v>0</v>
      </c>
      <c r="X1905" s="50">
        <f t="shared" si="297"/>
        <v>0</v>
      </c>
      <c r="Y1905"/>
      <c r="Z1905"/>
      <c r="AA1905"/>
    </row>
    <row r="1906" spans="1:27" s="51" customFormat="1" ht="18.600000000000001" hidden="1" customHeight="1" x14ac:dyDescent="0.25">
      <c r="A1906" s="80" t="s">
        <v>2653</v>
      </c>
      <c r="B1906" s="20" t="s">
        <v>9303</v>
      </c>
      <c r="C1906" s="21" t="s">
        <v>9317</v>
      </c>
      <c r="D1906" s="20" t="s">
        <v>4654</v>
      </c>
      <c r="E1906" s="22" t="s">
        <v>4655</v>
      </c>
      <c r="F1906" s="22" t="s">
        <v>1937</v>
      </c>
      <c r="G1906" s="22" t="s">
        <v>3586</v>
      </c>
      <c r="H1906" s="83" t="s">
        <v>4656</v>
      </c>
      <c r="I1906" s="23" t="s">
        <v>24</v>
      </c>
      <c r="J1906" s="24">
        <v>90</v>
      </c>
      <c r="K1906" s="25">
        <v>0.25</v>
      </c>
      <c r="L1906" s="26">
        <f t="shared" si="289"/>
        <v>22.5</v>
      </c>
      <c r="M1906" s="27">
        <f t="shared" si="290"/>
        <v>67.5</v>
      </c>
      <c r="N1906" s="28">
        <v>0.16</v>
      </c>
      <c r="O1906" s="29">
        <f t="shared" si="291"/>
        <v>10.8</v>
      </c>
      <c r="P1906" s="30">
        <f t="shared" si="292"/>
        <v>78.3</v>
      </c>
      <c r="Q1906" s="23"/>
      <c r="R1906" s="52"/>
      <c r="S1906" s="53"/>
      <c r="T1906" s="54">
        <f t="shared" si="293"/>
        <v>0</v>
      </c>
      <c r="U1906" s="26">
        <f t="shared" si="294"/>
        <v>0</v>
      </c>
      <c r="V1906" s="55">
        <f t="shared" si="295"/>
        <v>0</v>
      </c>
      <c r="W1906" s="29">
        <f t="shared" si="296"/>
        <v>0</v>
      </c>
      <c r="X1906" s="30">
        <f t="shared" si="297"/>
        <v>0</v>
      </c>
      <c r="Y1906"/>
      <c r="Z1906"/>
      <c r="AA1906"/>
    </row>
    <row r="1907" spans="1:27" s="51" customFormat="1" ht="18.600000000000001" hidden="1" customHeight="1" x14ac:dyDescent="0.25">
      <c r="A1907" s="81" t="s">
        <v>2653</v>
      </c>
      <c r="B1907" s="31" t="s">
        <v>9303</v>
      </c>
      <c r="C1907" s="32" t="s">
        <v>9317</v>
      </c>
      <c r="D1907" s="31" t="s">
        <v>4657</v>
      </c>
      <c r="E1907" s="33" t="s">
        <v>4658</v>
      </c>
      <c r="F1907" s="33" t="s">
        <v>1937</v>
      </c>
      <c r="G1907" s="33" t="s">
        <v>3586</v>
      </c>
      <c r="H1907" s="84" t="s">
        <v>4659</v>
      </c>
      <c r="I1907" s="23" t="s">
        <v>24</v>
      </c>
      <c r="J1907" s="34">
        <v>90</v>
      </c>
      <c r="K1907" s="35">
        <v>0.25</v>
      </c>
      <c r="L1907" s="36">
        <f t="shared" si="289"/>
        <v>22.5</v>
      </c>
      <c r="M1907" s="37">
        <f t="shared" si="290"/>
        <v>67.5</v>
      </c>
      <c r="N1907" s="38">
        <v>0.16</v>
      </c>
      <c r="O1907" s="39">
        <f t="shared" si="291"/>
        <v>10.8</v>
      </c>
      <c r="P1907" s="40">
        <f t="shared" si="292"/>
        <v>78.3</v>
      </c>
      <c r="Q1907" s="23"/>
      <c r="R1907" s="56"/>
      <c r="S1907" s="57"/>
      <c r="T1907" s="58">
        <f t="shared" si="293"/>
        <v>0</v>
      </c>
      <c r="U1907" s="36">
        <f t="shared" si="294"/>
        <v>0</v>
      </c>
      <c r="V1907" s="59">
        <f t="shared" si="295"/>
        <v>0</v>
      </c>
      <c r="W1907" s="39">
        <f t="shared" si="296"/>
        <v>0</v>
      </c>
      <c r="X1907" s="40">
        <f t="shared" si="297"/>
        <v>0</v>
      </c>
      <c r="Y1907"/>
      <c r="Z1907"/>
      <c r="AA1907"/>
    </row>
    <row r="1908" spans="1:27" s="51" customFormat="1" ht="18.600000000000001" hidden="1" customHeight="1" x14ac:dyDescent="0.25">
      <c r="A1908" s="82" t="s">
        <v>2653</v>
      </c>
      <c r="B1908" s="41" t="s">
        <v>9303</v>
      </c>
      <c r="C1908" s="42" t="s">
        <v>9317</v>
      </c>
      <c r="D1908" s="41" t="s">
        <v>4660</v>
      </c>
      <c r="E1908" s="43" t="s">
        <v>4661</v>
      </c>
      <c r="F1908" s="43" t="s">
        <v>1937</v>
      </c>
      <c r="G1908" s="43" t="s">
        <v>3586</v>
      </c>
      <c r="H1908" s="85" t="s">
        <v>4662</v>
      </c>
      <c r="I1908" s="23" t="s">
        <v>24</v>
      </c>
      <c r="J1908" s="44">
        <v>90</v>
      </c>
      <c r="K1908" s="45">
        <v>0.25</v>
      </c>
      <c r="L1908" s="46">
        <f t="shared" si="289"/>
        <v>22.5</v>
      </c>
      <c r="M1908" s="47">
        <f t="shared" si="290"/>
        <v>67.5</v>
      </c>
      <c r="N1908" s="48">
        <v>0.16</v>
      </c>
      <c r="O1908" s="49">
        <f t="shared" si="291"/>
        <v>10.8</v>
      </c>
      <c r="P1908" s="50">
        <f t="shared" si="292"/>
        <v>78.3</v>
      </c>
      <c r="Q1908" s="23"/>
      <c r="R1908" s="60"/>
      <c r="S1908" s="61"/>
      <c r="T1908" s="62">
        <f t="shared" si="293"/>
        <v>0</v>
      </c>
      <c r="U1908" s="46">
        <f t="shared" si="294"/>
        <v>0</v>
      </c>
      <c r="V1908" s="63">
        <f t="shared" si="295"/>
        <v>0</v>
      </c>
      <c r="W1908" s="49">
        <f t="shared" si="296"/>
        <v>0</v>
      </c>
      <c r="X1908" s="50">
        <f t="shared" si="297"/>
        <v>0</v>
      </c>
      <c r="Y1908"/>
      <c r="Z1908"/>
      <c r="AA1908"/>
    </row>
    <row r="1909" spans="1:27" s="51" customFormat="1" ht="18.600000000000001" hidden="1" customHeight="1" x14ac:dyDescent="0.25">
      <c r="A1909" s="80" t="s">
        <v>2653</v>
      </c>
      <c r="B1909" s="20" t="s">
        <v>9303</v>
      </c>
      <c r="C1909" s="21" t="s">
        <v>9317</v>
      </c>
      <c r="D1909" s="20" t="s">
        <v>4663</v>
      </c>
      <c r="E1909" s="22" t="s">
        <v>4664</v>
      </c>
      <c r="F1909" s="22" t="s">
        <v>1937</v>
      </c>
      <c r="G1909" s="22" t="s">
        <v>3586</v>
      </c>
      <c r="H1909" s="83" t="s">
        <v>4665</v>
      </c>
      <c r="I1909" s="23" t="s">
        <v>24</v>
      </c>
      <c r="J1909" s="24">
        <v>90</v>
      </c>
      <c r="K1909" s="25">
        <v>0.25</v>
      </c>
      <c r="L1909" s="26">
        <f t="shared" si="289"/>
        <v>22.5</v>
      </c>
      <c r="M1909" s="27">
        <f t="shared" si="290"/>
        <v>67.5</v>
      </c>
      <c r="N1909" s="28">
        <v>0.16</v>
      </c>
      <c r="O1909" s="29">
        <f t="shared" si="291"/>
        <v>10.8</v>
      </c>
      <c r="P1909" s="30">
        <f t="shared" si="292"/>
        <v>78.3</v>
      </c>
      <c r="Q1909" s="23"/>
      <c r="R1909" s="52"/>
      <c r="S1909" s="53"/>
      <c r="T1909" s="54">
        <f t="shared" si="293"/>
        <v>0</v>
      </c>
      <c r="U1909" s="26">
        <f t="shared" si="294"/>
        <v>0</v>
      </c>
      <c r="V1909" s="55">
        <f t="shared" si="295"/>
        <v>0</v>
      </c>
      <c r="W1909" s="29">
        <f t="shared" si="296"/>
        <v>0</v>
      </c>
      <c r="X1909" s="30">
        <f t="shared" si="297"/>
        <v>0</v>
      </c>
      <c r="Y1909"/>
      <c r="Z1909"/>
      <c r="AA1909"/>
    </row>
    <row r="1910" spans="1:27" s="51" customFormat="1" ht="18.600000000000001" hidden="1" customHeight="1" x14ac:dyDescent="0.25">
      <c r="A1910" s="81" t="s">
        <v>2653</v>
      </c>
      <c r="B1910" s="31" t="s">
        <v>9303</v>
      </c>
      <c r="C1910" s="32" t="s">
        <v>9318</v>
      </c>
      <c r="D1910" s="31" t="s">
        <v>4666</v>
      </c>
      <c r="E1910" s="33" t="s">
        <v>4667</v>
      </c>
      <c r="F1910" s="33" t="s">
        <v>1937</v>
      </c>
      <c r="G1910" s="33" t="s">
        <v>3586</v>
      </c>
      <c r="H1910" s="84" t="s">
        <v>4668</v>
      </c>
      <c r="I1910" s="23" t="s">
        <v>24</v>
      </c>
      <c r="J1910" s="34">
        <v>90</v>
      </c>
      <c r="K1910" s="35">
        <v>0.25</v>
      </c>
      <c r="L1910" s="36">
        <f t="shared" si="289"/>
        <v>22.5</v>
      </c>
      <c r="M1910" s="37">
        <f t="shared" si="290"/>
        <v>67.5</v>
      </c>
      <c r="N1910" s="38">
        <v>0.16</v>
      </c>
      <c r="O1910" s="39">
        <f t="shared" si="291"/>
        <v>10.8</v>
      </c>
      <c r="P1910" s="40">
        <f t="shared" si="292"/>
        <v>78.3</v>
      </c>
      <c r="Q1910" s="23"/>
      <c r="R1910" s="56"/>
      <c r="S1910" s="57"/>
      <c r="T1910" s="58">
        <f t="shared" si="293"/>
        <v>0</v>
      </c>
      <c r="U1910" s="36">
        <f t="shared" si="294"/>
        <v>0</v>
      </c>
      <c r="V1910" s="59">
        <f t="shared" si="295"/>
        <v>0</v>
      </c>
      <c r="W1910" s="39">
        <f t="shared" si="296"/>
        <v>0</v>
      </c>
      <c r="X1910" s="40">
        <f t="shared" si="297"/>
        <v>0</v>
      </c>
      <c r="Y1910"/>
      <c r="Z1910"/>
      <c r="AA1910"/>
    </row>
    <row r="1911" spans="1:27" s="51" customFormat="1" ht="18.600000000000001" hidden="1" customHeight="1" x14ac:dyDescent="0.25">
      <c r="A1911" s="82" t="s">
        <v>2653</v>
      </c>
      <c r="B1911" s="41" t="s">
        <v>9303</v>
      </c>
      <c r="C1911" s="42" t="s">
        <v>9318</v>
      </c>
      <c r="D1911" s="41" t="s">
        <v>4669</v>
      </c>
      <c r="E1911" s="43" t="s">
        <v>4670</v>
      </c>
      <c r="F1911" s="43" t="s">
        <v>1937</v>
      </c>
      <c r="G1911" s="43" t="s">
        <v>3586</v>
      </c>
      <c r="H1911" s="85" t="s">
        <v>4671</v>
      </c>
      <c r="I1911" s="23" t="s">
        <v>24</v>
      </c>
      <c r="J1911" s="44">
        <v>90</v>
      </c>
      <c r="K1911" s="45">
        <v>0.25</v>
      </c>
      <c r="L1911" s="46">
        <f t="shared" si="289"/>
        <v>22.5</v>
      </c>
      <c r="M1911" s="47">
        <f t="shared" si="290"/>
        <v>67.5</v>
      </c>
      <c r="N1911" s="48">
        <v>0.16</v>
      </c>
      <c r="O1911" s="49">
        <f t="shared" si="291"/>
        <v>10.8</v>
      </c>
      <c r="P1911" s="50">
        <f t="shared" si="292"/>
        <v>78.3</v>
      </c>
      <c r="Q1911" s="23"/>
      <c r="R1911" s="60"/>
      <c r="S1911" s="61"/>
      <c r="T1911" s="62">
        <f t="shared" si="293"/>
        <v>0</v>
      </c>
      <c r="U1911" s="46">
        <f t="shared" si="294"/>
        <v>0</v>
      </c>
      <c r="V1911" s="63">
        <f t="shared" si="295"/>
        <v>0</v>
      </c>
      <c r="W1911" s="49">
        <f t="shared" si="296"/>
        <v>0</v>
      </c>
      <c r="X1911" s="50">
        <f t="shared" si="297"/>
        <v>0</v>
      </c>
      <c r="Y1911"/>
      <c r="Z1911"/>
      <c r="AA1911"/>
    </row>
    <row r="1912" spans="1:27" s="51" customFormat="1" ht="18.600000000000001" hidden="1" customHeight="1" x14ac:dyDescent="0.25">
      <c r="A1912" s="80" t="s">
        <v>2653</v>
      </c>
      <c r="B1912" s="20" t="s">
        <v>9303</v>
      </c>
      <c r="C1912" s="21" t="s">
        <v>9318</v>
      </c>
      <c r="D1912" s="20" t="s">
        <v>4672</v>
      </c>
      <c r="E1912" s="22" t="s">
        <v>4673</v>
      </c>
      <c r="F1912" s="22" t="s">
        <v>1937</v>
      </c>
      <c r="G1912" s="22" t="s">
        <v>3586</v>
      </c>
      <c r="H1912" s="83" t="s">
        <v>4674</v>
      </c>
      <c r="I1912" s="23" t="s">
        <v>24</v>
      </c>
      <c r="J1912" s="24">
        <v>90</v>
      </c>
      <c r="K1912" s="25">
        <v>0.25</v>
      </c>
      <c r="L1912" s="26">
        <f t="shared" si="289"/>
        <v>22.5</v>
      </c>
      <c r="M1912" s="27">
        <f t="shared" si="290"/>
        <v>67.5</v>
      </c>
      <c r="N1912" s="28">
        <v>0.16</v>
      </c>
      <c r="O1912" s="29">
        <f t="shared" si="291"/>
        <v>10.8</v>
      </c>
      <c r="P1912" s="30">
        <f t="shared" si="292"/>
        <v>78.3</v>
      </c>
      <c r="Q1912" s="23"/>
      <c r="R1912" s="52"/>
      <c r="S1912" s="53"/>
      <c r="T1912" s="54">
        <f t="shared" si="293"/>
        <v>0</v>
      </c>
      <c r="U1912" s="26">
        <f t="shared" si="294"/>
        <v>0</v>
      </c>
      <c r="V1912" s="55">
        <f t="shared" si="295"/>
        <v>0</v>
      </c>
      <c r="W1912" s="29">
        <f t="shared" si="296"/>
        <v>0</v>
      </c>
      <c r="X1912" s="30">
        <f t="shared" si="297"/>
        <v>0</v>
      </c>
      <c r="Y1912"/>
      <c r="Z1912"/>
      <c r="AA1912"/>
    </row>
    <row r="1913" spans="1:27" s="51" customFormat="1" ht="18.600000000000001" hidden="1" customHeight="1" x14ac:dyDescent="0.25">
      <c r="A1913" s="81" t="s">
        <v>2653</v>
      </c>
      <c r="B1913" s="31" t="s">
        <v>9303</v>
      </c>
      <c r="C1913" s="32" t="s">
        <v>9318</v>
      </c>
      <c r="D1913" s="31" t="s">
        <v>4675</v>
      </c>
      <c r="E1913" s="33" t="s">
        <v>4676</v>
      </c>
      <c r="F1913" s="33" t="s">
        <v>1937</v>
      </c>
      <c r="G1913" s="33" t="s">
        <v>3586</v>
      </c>
      <c r="H1913" s="84" t="s">
        <v>4677</v>
      </c>
      <c r="I1913" s="23" t="s">
        <v>24</v>
      </c>
      <c r="J1913" s="34">
        <v>90</v>
      </c>
      <c r="K1913" s="35">
        <v>0.25</v>
      </c>
      <c r="L1913" s="36">
        <f t="shared" si="289"/>
        <v>22.5</v>
      </c>
      <c r="M1913" s="37">
        <f t="shared" si="290"/>
        <v>67.5</v>
      </c>
      <c r="N1913" s="38">
        <v>0.16</v>
      </c>
      <c r="O1913" s="39">
        <f t="shared" si="291"/>
        <v>10.8</v>
      </c>
      <c r="P1913" s="40">
        <f t="shared" si="292"/>
        <v>78.3</v>
      </c>
      <c r="Q1913" s="23"/>
      <c r="R1913" s="56"/>
      <c r="S1913" s="57"/>
      <c r="T1913" s="58">
        <f t="shared" si="293"/>
        <v>0</v>
      </c>
      <c r="U1913" s="36">
        <f t="shared" si="294"/>
        <v>0</v>
      </c>
      <c r="V1913" s="59">
        <f t="shared" si="295"/>
        <v>0</v>
      </c>
      <c r="W1913" s="39">
        <f t="shared" si="296"/>
        <v>0</v>
      </c>
      <c r="X1913" s="40">
        <f t="shared" si="297"/>
        <v>0</v>
      </c>
      <c r="Y1913"/>
      <c r="Z1913"/>
      <c r="AA1913"/>
    </row>
    <row r="1914" spans="1:27" s="51" customFormat="1" ht="18.600000000000001" hidden="1" customHeight="1" x14ac:dyDescent="0.25">
      <c r="A1914" s="82" t="s">
        <v>2653</v>
      </c>
      <c r="B1914" s="41" t="s">
        <v>9303</v>
      </c>
      <c r="C1914" s="42" t="s">
        <v>9318</v>
      </c>
      <c r="D1914" s="41" t="s">
        <v>4678</v>
      </c>
      <c r="E1914" s="43" t="s">
        <v>4679</v>
      </c>
      <c r="F1914" s="43" t="s">
        <v>1937</v>
      </c>
      <c r="G1914" s="43" t="s">
        <v>3586</v>
      </c>
      <c r="H1914" s="85" t="s">
        <v>4680</v>
      </c>
      <c r="I1914" s="23" t="s">
        <v>24</v>
      </c>
      <c r="J1914" s="44">
        <v>90</v>
      </c>
      <c r="K1914" s="45">
        <v>0.25</v>
      </c>
      <c r="L1914" s="46">
        <f t="shared" si="289"/>
        <v>22.5</v>
      </c>
      <c r="M1914" s="47">
        <f t="shared" si="290"/>
        <v>67.5</v>
      </c>
      <c r="N1914" s="48">
        <v>0.16</v>
      </c>
      <c r="O1914" s="49">
        <f t="shared" si="291"/>
        <v>10.8</v>
      </c>
      <c r="P1914" s="50">
        <f t="shared" si="292"/>
        <v>78.3</v>
      </c>
      <c r="Q1914" s="23"/>
      <c r="R1914" s="60"/>
      <c r="S1914" s="61"/>
      <c r="T1914" s="62">
        <f t="shared" si="293"/>
        <v>0</v>
      </c>
      <c r="U1914" s="46">
        <f t="shared" si="294"/>
        <v>0</v>
      </c>
      <c r="V1914" s="63">
        <f t="shared" si="295"/>
        <v>0</v>
      </c>
      <c r="W1914" s="49">
        <f t="shared" si="296"/>
        <v>0</v>
      </c>
      <c r="X1914" s="50">
        <f t="shared" si="297"/>
        <v>0</v>
      </c>
      <c r="Y1914"/>
      <c r="Z1914"/>
      <c r="AA1914"/>
    </row>
    <row r="1915" spans="1:27" s="51" customFormat="1" ht="18.600000000000001" hidden="1" customHeight="1" x14ac:dyDescent="0.25">
      <c r="A1915" s="80" t="s">
        <v>2653</v>
      </c>
      <c r="B1915" s="20" t="s">
        <v>9303</v>
      </c>
      <c r="C1915" s="21" t="s">
        <v>9318</v>
      </c>
      <c r="D1915" s="20" t="s">
        <v>4681</v>
      </c>
      <c r="E1915" s="22" t="s">
        <v>4682</v>
      </c>
      <c r="F1915" s="22" t="s">
        <v>1937</v>
      </c>
      <c r="G1915" s="22" t="s">
        <v>3586</v>
      </c>
      <c r="H1915" s="83" t="s">
        <v>4683</v>
      </c>
      <c r="I1915" s="23" t="s">
        <v>24</v>
      </c>
      <c r="J1915" s="24">
        <v>90</v>
      </c>
      <c r="K1915" s="25">
        <v>0.25</v>
      </c>
      <c r="L1915" s="26">
        <f t="shared" si="289"/>
        <v>22.5</v>
      </c>
      <c r="M1915" s="27">
        <f t="shared" si="290"/>
        <v>67.5</v>
      </c>
      <c r="N1915" s="28">
        <v>0.16</v>
      </c>
      <c r="O1915" s="29">
        <f t="shared" si="291"/>
        <v>10.8</v>
      </c>
      <c r="P1915" s="30">
        <f t="shared" si="292"/>
        <v>78.3</v>
      </c>
      <c r="Q1915" s="23"/>
      <c r="R1915" s="52"/>
      <c r="S1915" s="53"/>
      <c r="T1915" s="54">
        <f t="shared" si="293"/>
        <v>0</v>
      </c>
      <c r="U1915" s="26">
        <f t="shared" si="294"/>
        <v>0</v>
      </c>
      <c r="V1915" s="55">
        <f t="shared" si="295"/>
        <v>0</v>
      </c>
      <c r="W1915" s="29">
        <f t="shared" si="296"/>
        <v>0</v>
      </c>
      <c r="X1915" s="30">
        <f t="shared" si="297"/>
        <v>0</v>
      </c>
      <c r="Y1915"/>
      <c r="Z1915"/>
      <c r="AA1915"/>
    </row>
    <row r="1916" spans="1:27" s="51" customFormat="1" ht="18.600000000000001" hidden="1" customHeight="1" x14ac:dyDescent="0.25">
      <c r="A1916" s="81" t="s">
        <v>2653</v>
      </c>
      <c r="B1916" s="31" t="s">
        <v>9303</v>
      </c>
      <c r="C1916" s="32" t="s">
        <v>9318</v>
      </c>
      <c r="D1916" s="31" t="s">
        <v>4684</v>
      </c>
      <c r="E1916" s="33" t="s">
        <v>4685</v>
      </c>
      <c r="F1916" s="33" t="s">
        <v>1937</v>
      </c>
      <c r="G1916" s="33" t="s">
        <v>3586</v>
      </c>
      <c r="H1916" s="84" t="s">
        <v>4686</v>
      </c>
      <c r="I1916" s="23" t="s">
        <v>24</v>
      </c>
      <c r="J1916" s="34">
        <v>90</v>
      </c>
      <c r="K1916" s="35">
        <v>0.25</v>
      </c>
      <c r="L1916" s="36">
        <f t="shared" si="289"/>
        <v>22.5</v>
      </c>
      <c r="M1916" s="37">
        <f t="shared" si="290"/>
        <v>67.5</v>
      </c>
      <c r="N1916" s="38">
        <v>0.16</v>
      </c>
      <c r="O1916" s="39">
        <f t="shared" si="291"/>
        <v>10.8</v>
      </c>
      <c r="P1916" s="40">
        <f t="shared" si="292"/>
        <v>78.3</v>
      </c>
      <c r="Q1916" s="23"/>
      <c r="R1916" s="56"/>
      <c r="S1916" s="57"/>
      <c r="T1916" s="58">
        <f t="shared" si="293"/>
        <v>0</v>
      </c>
      <c r="U1916" s="36">
        <f t="shared" si="294"/>
        <v>0</v>
      </c>
      <c r="V1916" s="59">
        <f t="shared" si="295"/>
        <v>0</v>
      </c>
      <c r="W1916" s="39">
        <f t="shared" si="296"/>
        <v>0</v>
      </c>
      <c r="X1916" s="40">
        <f t="shared" si="297"/>
        <v>0</v>
      </c>
      <c r="Y1916"/>
      <c r="Z1916"/>
      <c r="AA1916"/>
    </row>
    <row r="1917" spans="1:27" s="51" customFormat="1" ht="18.600000000000001" hidden="1" customHeight="1" x14ac:dyDescent="0.25">
      <c r="A1917" s="82" t="s">
        <v>2653</v>
      </c>
      <c r="B1917" s="41" t="s">
        <v>9303</v>
      </c>
      <c r="C1917" s="42" t="s">
        <v>9318</v>
      </c>
      <c r="D1917" s="41" t="s">
        <v>4687</v>
      </c>
      <c r="E1917" s="43" t="s">
        <v>4688</v>
      </c>
      <c r="F1917" s="43" t="s">
        <v>1937</v>
      </c>
      <c r="G1917" s="43" t="s">
        <v>3586</v>
      </c>
      <c r="H1917" s="85" t="s">
        <v>4689</v>
      </c>
      <c r="I1917" s="23" t="s">
        <v>24</v>
      </c>
      <c r="J1917" s="44">
        <v>90</v>
      </c>
      <c r="K1917" s="45">
        <v>0.25</v>
      </c>
      <c r="L1917" s="46">
        <f t="shared" si="289"/>
        <v>22.5</v>
      </c>
      <c r="M1917" s="47">
        <f t="shared" si="290"/>
        <v>67.5</v>
      </c>
      <c r="N1917" s="48">
        <v>0.16</v>
      </c>
      <c r="O1917" s="49">
        <f t="shared" si="291"/>
        <v>10.8</v>
      </c>
      <c r="P1917" s="50">
        <f t="shared" si="292"/>
        <v>78.3</v>
      </c>
      <c r="Q1917" s="23"/>
      <c r="R1917" s="60"/>
      <c r="S1917" s="61"/>
      <c r="T1917" s="62">
        <f t="shared" si="293"/>
        <v>0</v>
      </c>
      <c r="U1917" s="46">
        <f t="shared" si="294"/>
        <v>0</v>
      </c>
      <c r="V1917" s="63">
        <f t="shared" si="295"/>
        <v>0</v>
      </c>
      <c r="W1917" s="49">
        <f t="shared" si="296"/>
        <v>0</v>
      </c>
      <c r="X1917" s="50">
        <f t="shared" si="297"/>
        <v>0</v>
      </c>
      <c r="Y1917"/>
      <c r="Z1917"/>
      <c r="AA1917"/>
    </row>
    <row r="1918" spans="1:27" s="51" customFormat="1" ht="18.600000000000001" hidden="1" customHeight="1" x14ac:dyDescent="0.25">
      <c r="A1918" s="80" t="s">
        <v>2653</v>
      </c>
      <c r="B1918" s="20" t="s">
        <v>9303</v>
      </c>
      <c r="C1918" s="21" t="s">
        <v>9318</v>
      </c>
      <c r="D1918" s="20" t="s">
        <v>4690</v>
      </c>
      <c r="E1918" s="22" t="s">
        <v>4691</v>
      </c>
      <c r="F1918" s="22" t="s">
        <v>1937</v>
      </c>
      <c r="G1918" s="22" t="s">
        <v>3586</v>
      </c>
      <c r="H1918" s="83" t="s">
        <v>4692</v>
      </c>
      <c r="I1918" s="23" t="s">
        <v>24</v>
      </c>
      <c r="J1918" s="24">
        <v>90</v>
      </c>
      <c r="K1918" s="25">
        <v>0.25</v>
      </c>
      <c r="L1918" s="26">
        <f t="shared" si="289"/>
        <v>22.5</v>
      </c>
      <c r="M1918" s="27">
        <f t="shared" si="290"/>
        <v>67.5</v>
      </c>
      <c r="N1918" s="28">
        <v>0.16</v>
      </c>
      <c r="O1918" s="29">
        <f t="shared" si="291"/>
        <v>10.8</v>
      </c>
      <c r="P1918" s="30">
        <f t="shared" si="292"/>
        <v>78.3</v>
      </c>
      <c r="Q1918" s="23"/>
      <c r="R1918" s="52"/>
      <c r="S1918" s="53"/>
      <c r="T1918" s="54">
        <f t="shared" si="293"/>
        <v>0</v>
      </c>
      <c r="U1918" s="26">
        <f t="shared" si="294"/>
        <v>0</v>
      </c>
      <c r="V1918" s="55">
        <f t="shared" si="295"/>
        <v>0</v>
      </c>
      <c r="W1918" s="29">
        <f t="shared" si="296"/>
        <v>0</v>
      </c>
      <c r="X1918" s="30">
        <f t="shared" si="297"/>
        <v>0</v>
      </c>
      <c r="Y1918"/>
      <c r="Z1918"/>
      <c r="AA1918"/>
    </row>
    <row r="1919" spans="1:27" s="51" customFormat="1" ht="18.600000000000001" hidden="1" customHeight="1" x14ac:dyDescent="0.25">
      <c r="A1919" s="81" t="s">
        <v>2653</v>
      </c>
      <c r="B1919" s="31" t="s">
        <v>9303</v>
      </c>
      <c r="C1919" s="32" t="s">
        <v>9318</v>
      </c>
      <c r="D1919" s="31" t="s">
        <v>4693</v>
      </c>
      <c r="E1919" s="33" t="s">
        <v>4694</v>
      </c>
      <c r="F1919" s="33" t="s">
        <v>1937</v>
      </c>
      <c r="G1919" s="33" t="s">
        <v>3586</v>
      </c>
      <c r="H1919" s="84" t="s">
        <v>4695</v>
      </c>
      <c r="I1919" s="23" t="s">
        <v>24</v>
      </c>
      <c r="J1919" s="34">
        <v>90</v>
      </c>
      <c r="K1919" s="35">
        <v>0.25</v>
      </c>
      <c r="L1919" s="36">
        <f t="shared" si="289"/>
        <v>22.5</v>
      </c>
      <c r="M1919" s="37">
        <f t="shared" si="290"/>
        <v>67.5</v>
      </c>
      <c r="N1919" s="38">
        <v>0.16</v>
      </c>
      <c r="O1919" s="39">
        <f t="shared" si="291"/>
        <v>10.8</v>
      </c>
      <c r="P1919" s="40">
        <f t="shared" si="292"/>
        <v>78.3</v>
      </c>
      <c r="Q1919" s="23"/>
      <c r="R1919" s="56"/>
      <c r="S1919" s="57"/>
      <c r="T1919" s="58">
        <f t="shared" si="293"/>
        <v>0</v>
      </c>
      <c r="U1919" s="36">
        <f t="shared" si="294"/>
        <v>0</v>
      </c>
      <c r="V1919" s="59">
        <f t="shared" si="295"/>
        <v>0</v>
      </c>
      <c r="W1919" s="39">
        <f t="shared" si="296"/>
        <v>0</v>
      </c>
      <c r="X1919" s="40">
        <f t="shared" si="297"/>
        <v>0</v>
      </c>
      <c r="Y1919"/>
      <c r="Z1919"/>
      <c r="AA1919"/>
    </row>
    <row r="1920" spans="1:27" s="51" customFormat="1" ht="18.600000000000001" hidden="1" customHeight="1" x14ac:dyDescent="0.25">
      <c r="A1920" s="82" t="s">
        <v>2653</v>
      </c>
      <c r="B1920" s="41" t="s">
        <v>9303</v>
      </c>
      <c r="C1920" s="42" t="s">
        <v>9318</v>
      </c>
      <c r="D1920" s="41" t="s">
        <v>4696</v>
      </c>
      <c r="E1920" s="43" t="s">
        <v>4697</v>
      </c>
      <c r="F1920" s="43" t="s">
        <v>1937</v>
      </c>
      <c r="G1920" s="43" t="s">
        <v>3586</v>
      </c>
      <c r="H1920" s="85" t="s">
        <v>4698</v>
      </c>
      <c r="I1920" s="23" t="s">
        <v>24</v>
      </c>
      <c r="J1920" s="44">
        <v>90</v>
      </c>
      <c r="K1920" s="45">
        <v>0.25</v>
      </c>
      <c r="L1920" s="46">
        <f t="shared" si="289"/>
        <v>22.5</v>
      </c>
      <c r="M1920" s="47">
        <f t="shared" si="290"/>
        <v>67.5</v>
      </c>
      <c r="N1920" s="48">
        <v>0.16</v>
      </c>
      <c r="O1920" s="49">
        <f t="shared" si="291"/>
        <v>10.8</v>
      </c>
      <c r="P1920" s="50">
        <f t="shared" si="292"/>
        <v>78.3</v>
      </c>
      <c r="Q1920" s="23"/>
      <c r="R1920" s="60"/>
      <c r="S1920" s="61"/>
      <c r="T1920" s="62">
        <f t="shared" si="293"/>
        <v>0</v>
      </c>
      <c r="U1920" s="46">
        <f t="shared" si="294"/>
        <v>0</v>
      </c>
      <c r="V1920" s="63">
        <f t="shared" si="295"/>
        <v>0</v>
      </c>
      <c r="W1920" s="49">
        <f t="shared" si="296"/>
        <v>0</v>
      </c>
      <c r="X1920" s="50">
        <f t="shared" si="297"/>
        <v>0</v>
      </c>
      <c r="Y1920"/>
      <c r="Z1920"/>
      <c r="AA1920"/>
    </row>
    <row r="1921" spans="1:27" s="51" customFormat="1" ht="18.600000000000001" hidden="1" customHeight="1" x14ac:dyDescent="0.25">
      <c r="A1921" s="80" t="s">
        <v>2653</v>
      </c>
      <c r="B1921" s="20" t="s">
        <v>9303</v>
      </c>
      <c r="C1921" s="21" t="s">
        <v>9318</v>
      </c>
      <c r="D1921" s="20" t="s">
        <v>4699</v>
      </c>
      <c r="E1921" s="22" t="s">
        <v>4700</v>
      </c>
      <c r="F1921" s="22" t="s">
        <v>1937</v>
      </c>
      <c r="G1921" s="22" t="s">
        <v>3586</v>
      </c>
      <c r="H1921" s="83" t="s">
        <v>4701</v>
      </c>
      <c r="I1921" s="23" t="s">
        <v>24</v>
      </c>
      <c r="J1921" s="24">
        <v>90</v>
      </c>
      <c r="K1921" s="25">
        <v>0.25</v>
      </c>
      <c r="L1921" s="26">
        <f t="shared" si="289"/>
        <v>22.5</v>
      </c>
      <c r="M1921" s="27">
        <f t="shared" si="290"/>
        <v>67.5</v>
      </c>
      <c r="N1921" s="28">
        <v>0.16</v>
      </c>
      <c r="O1921" s="29">
        <f t="shared" si="291"/>
        <v>10.8</v>
      </c>
      <c r="P1921" s="30">
        <f t="shared" si="292"/>
        <v>78.3</v>
      </c>
      <c r="Q1921" s="23"/>
      <c r="R1921" s="52"/>
      <c r="S1921" s="53"/>
      <c r="T1921" s="54">
        <f t="shared" si="293"/>
        <v>0</v>
      </c>
      <c r="U1921" s="26">
        <f t="shared" si="294"/>
        <v>0</v>
      </c>
      <c r="V1921" s="55">
        <f t="shared" si="295"/>
        <v>0</v>
      </c>
      <c r="W1921" s="29">
        <f t="shared" si="296"/>
        <v>0</v>
      </c>
      <c r="X1921" s="30">
        <f t="shared" si="297"/>
        <v>0</v>
      </c>
      <c r="Y1921"/>
      <c r="Z1921"/>
      <c r="AA1921"/>
    </row>
    <row r="1922" spans="1:27" s="51" customFormat="1" ht="18.600000000000001" hidden="1" customHeight="1" x14ac:dyDescent="0.25">
      <c r="A1922" s="81" t="s">
        <v>2653</v>
      </c>
      <c r="B1922" s="31" t="s">
        <v>9303</v>
      </c>
      <c r="C1922" s="32" t="s">
        <v>9318</v>
      </c>
      <c r="D1922" s="31" t="s">
        <v>4702</v>
      </c>
      <c r="E1922" s="33" t="s">
        <v>4703</v>
      </c>
      <c r="F1922" s="33" t="s">
        <v>1937</v>
      </c>
      <c r="G1922" s="33" t="s">
        <v>3586</v>
      </c>
      <c r="H1922" s="84" t="s">
        <v>4704</v>
      </c>
      <c r="I1922" s="23" t="s">
        <v>24</v>
      </c>
      <c r="J1922" s="34">
        <v>90</v>
      </c>
      <c r="K1922" s="35">
        <v>0.25</v>
      </c>
      <c r="L1922" s="36">
        <f t="shared" si="289"/>
        <v>22.5</v>
      </c>
      <c r="M1922" s="37">
        <f t="shared" si="290"/>
        <v>67.5</v>
      </c>
      <c r="N1922" s="38">
        <v>0.16</v>
      </c>
      <c r="O1922" s="39">
        <f t="shared" si="291"/>
        <v>10.8</v>
      </c>
      <c r="P1922" s="40">
        <f t="shared" si="292"/>
        <v>78.3</v>
      </c>
      <c r="Q1922" s="23"/>
      <c r="R1922" s="56"/>
      <c r="S1922" s="57"/>
      <c r="T1922" s="58">
        <f t="shared" si="293"/>
        <v>0</v>
      </c>
      <c r="U1922" s="36">
        <f t="shared" si="294"/>
        <v>0</v>
      </c>
      <c r="V1922" s="59">
        <f t="shared" si="295"/>
        <v>0</v>
      </c>
      <c r="W1922" s="39">
        <f t="shared" si="296"/>
        <v>0</v>
      </c>
      <c r="X1922" s="40">
        <f t="shared" si="297"/>
        <v>0</v>
      </c>
      <c r="Y1922"/>
      <c r="Z1922"/>
      <c r="AA1922"/>
    </row>
    <row r="1923" spans="1:27" s="51" customFormat="1" ht="18.600000000000001" hidden="1" customHeight="1" x14ac:dyDescent="0.25">
      <c r="A1923" s="82" t="s">
        <v>2653</v>
      </c>
      <c r="B1923" s="41" t="s">
        <v>9303</v>
      </c>
      <c r="C1923" s="42" t="s">
        <v>9318</v>
      </c>
      <c r="D1923" s="41" t="s">
        <v>4705</v>
      </c>
      <c r="E1923" s="43" t="s">
        <v>4706</v>
      </c>
      <c r="F1923" s="43" t="s">
        <v>1937</v>
      </c>
      <c r="G1923" s="43" t="s">
        <v>3586</v>
      </c>
      <c r="H1923" s="85" t="s">
        <v>4707</v>
      </c>
      <c r="I1923" s="23" t="s">
        <v>24</v>
      </c>
      <c r="J1923" s="44">
        <v>90</v>
      </c>
      <c r="K1923" s="45">
        <v>0.25</v>
      </c>
      <c r="L1923" s="46">
        <f t="shared" si="289"/>
        <v>22.5</v>
      </c>
      <c r="M1923" s="47">
        <f t="shared" si="290"/>
        <v>67.5</v>
      </c>
      <c r="N1923" s="48">
        <v>0.16</v>
      </c>
      <c r="O1923" s="49">
        <f t="shared" si="291"/>
        <v>10.8</v>
      </c>
      <c r="P1923" s="50">
        <f t="shared" si="292"/>
        <v>78.3</v>
      </c>
      <c r="Q1923" s="23"/>
      <c r="R1923" s="60"/>
      <c r="S1923" s="61"/>
      <c r="T1923" s="62">
        <f t="shared" si="293"/>
        <v>0</v>
      </c>
      <c r="U1923" s="46">
        <f t="shared" si="294"/>
        <v>0</v>
      </c>
      <c r="V1923" s="63">
        <f t="shared" si="295"/>
        <v>0</v>
      </c>
      <c r="W1923" s="49">
        <f t="shared" si="296"/>
        <v>0</v>
      </c>
      <c r="X1923" s="50">
        <f t="shared" si="297"/>
        <v>0</v>
      </c>
      <c r="Y1923"/>
      <c r="Z1923"/>
      <c r="AA1923"/>
    </row>
    <row r="1924" spans="1:27" s="51" customFormat="1" ht="18.600000000000001" hidden="1" customHeight="1" x14ac:dyDescent="0.25">
      <c r="A1924" s="80" t="s">
        <v>2653</v>
      </c>
      <c r="B1924" s="20" t="s">
        <v>9303</v>
      </c>
      <c r="C1924" s="21" t="s">
        <v>9318</v>
      </c>
      <c r="D1924" s="20" t="s">
        <v>4708</v>
      </c>
      <c r="E1924" s="22" t="s">
        <v>4709</v>
      </c>
      <c r="F1924" s="22" t="s">
        <v>1937</v>
      </c>
      <c r="G1924" s="22" t="s">
        <v>3586</v>
      </c>
      <c r="H1924" s="83" t="s">
        <v>4710</v>
      </c>
      <c r="I1924" s="23" t="s">
        <v>24</v>
      </c>
      <c r="J1924" s="24">
        <v>90</v>
      </c>
      <c r="K1924" s="25">
        <v>0.25</v>
      </c>
      <c r="L1924" s="26">
        <f t="shared" si="289"/>
        <v>22.5</v>
      </c>
      <c r="M1924" s="27">
        <f t="shared" si="290"/>
        <v>67.5</v>
      </c>
      <c r="N1924" s="28">
        <v>0.16</v>
      </c>
      <c r="O1924" s="29">
        <f t="shared" si="291"/>
        <v>10.8</v>
      </c>
      <c r="P1924" s="30">
        <f t="shared" si="292"/>
        <v>78.3</v>
      </c>
      <c r="Q1924" s="23"/>
      <c r="R1924" s="52"/>
      <c r="S1924" s="53"/>
      <c r="T1924" s="54">
        <f t="shared" si="293"/>
        <v>0</v>
      </c>
      <c r="U1924" s="26">
        <f t="shared" si="294"/>
        <v>0</v>
      </c>
      <c r="V1924" s="55">
        <f t="shared" si="295"/>
        <v>0</v>
      </c>
      <c r="W1924" s="29">
        <f t="shared" si="296"/>
        <v>0</v>
      </c>
      <c r="X1924" s="30">
        <f t="shared" si="297"/>
        <v>0</v>
      </c>
      <c r="Y1924"/>
      <c r="Z1924"/>
      <c r="AA1924"/>
    </row>
    <row r="1925" spans="1:27" s="51" customFormat="1" ht="18.600000000000001" hidden="1" customHeight="1" x14ac:dyDescent="0.25">
      <c r="A1925" s="81" t="s">
        <v>2653</v>
      </c>
      <c r="B1925" s="31" t="s">
        <v>9303</v>
      </c>
      <c r="C1925" s="32" t="s">
        <v>9318</v>
      </c>
      <c r="D1925" s="31" t="s">
        <v>4711</v>
      </c>
      <c r="E1925" s="33" t="s">
        <v>4712</v>
      </c>
      <c r="F1925" s="33" t="s">
        <v>1937</v>
      </c>
      <c r="G1925" s="33" t="s">
        <v>3586</v>
      </c>
      <c r="H1925" s="84" t="s">
        <v>4713</v>
      </c>
      <c r="I1925" s="23" t="s">
        <v>24</v>
      </c>
      <c r="J1925" s="34">
        <v>90</v>
      </c>
      <c r="K1925" s="35">
        <v>0.25</v>
      </c>
      <c r="L1925" s="36">
        <f t="shared" si="289"/>
        <v>22.5</v>
      </c>
      <c r="M1925" s="37">
        <f t="shared" si="290"/>
        <v>67.5</v>
      </c>
      <c r="N1925" s="38">
        <v>0.16</v>
      </c>
      <c r="O1925" s="39">
        <f t="shared" si="291"/>
        <v>10.8</v>
      </c>
      <c r="P1925" s="40">
        <f t="shared" si="292"/>
        <v>78.3</v>
      </c>
      <c r="Q1925" s="23"/>
      <c r="R1925" s="56"/>
      <c r="S1925" s="57"/>
      <c r="T1925" s="58">
        <f t="shared" si="293"/>
        <v>0</v>
      </c>
      <c r="U1925" s="36">
        <f t="shared" si="294"/>
        <v>0</v>
      </c>
      <c r="V1925" s="59">
        <f t="shared" si="295"/>
        <v>0</v>
      </c>
      <c r="W1925" s="39">
        <f t="shared" si="296"/>
        <v>0</v>
      </c>
      <c r="X1925" s="40">
        <f t="shared" si="297"/>
        <v>0</v>
      </c>
      <c r="Y1925"/>
      <c r="Z1925"/>
      <c r="AA1925"/>
    </row>
    <row r="1926" spans="1:27" s="51" customFormat="1" ht="18.600000000000001" hidden="1" customHeight="1" x14ac:dyDescent="0.25">
      <c r="A1926" s="82" t="s">
        <v>2653</v>
      </c>
      <c r="B1926" s="41" t="s">
        <v>9303</v>
      </c>
      <c r="C1926" s="42" t="s">
        <v>9318</v>
      </c>
      <c r="D1926" s="41" t="s">
        <v>4714</v>
      </c>
      <c r="E1926" s="43" t="s">
        <v>4715</v>
      </c>
      <c r="F1926" s="43" t="s">
        <v>1937</v>
      </c>
      <c r="G1926" s="43" t="s">
        <v>3586</v>
      </c>
      <c r="H1926" s="85" t="s">
        <v>4716</v>
      </c>
      <c r="I1926" s="23" t="s">
        <v>24</v>
      </c>
      <c r="J1926" s="44">
        <v>90</v>
      </c>
      <c r="K1926" s="45">
        <v>0.25</v>
      </c>
      <c r="L1926" s="46">
        <f t="shared" si="289"/>
        <v>22.5</v>
      </c>
      <c r="M1926" s="47">
        <f t="shared" si="290"/>
        <v>67.5</v>
      </c>
      <c r="N1926" s="48">
        <v>0.16</v>
      </c>
      <c r="O1926" s="49">
        <f t="shared" si="291"/>
        <v>10.8</v>
      </c>
      <c r="P1926" s="50">
        <f t="shared" si="292"/>
        <v>78.3</v>
      </c>
      <c r="Q1926" s="23"/>
      <c r="R1926" s="60"/>
      <c r="S1926" s="61"/>
      <c r="T1926" s="62">
        <f t="shared" si="293"/>
        <v>0</v>
      </c>
      <c r="U1926" s="46">
        <f t="shared" si="294"/>
        <v>0</v>
      </c>
      <c r="V1926" s="63">
        <f t="shared" si="295"/>
        <v>0</v>
      </c>
      <c r="W1926" s="49">
        <f t="shared" si="296"/>
        <v>0</v>
      </c>
      <c r="X1926" s="50">
        <f t="shared" si="297"/>
        <v>0</v>
      </c>
      <c r="Y1926"/>
      <c r="Z1926"/>
      <c r="AA1926"/>
    </row>
    <row r="1927" spans="1:27" s="51" customFormat="1" ht="18.600000000000001" hidden="1" customHeight="1" x14ac:dyDescent="0.25">
      <c r="A1927" s="80" t="s">
        <v>2653</v>
      </c>
      <c r="B1927" s="20" t="s">
        <v>9303</v>
      </c>
      <c r="C1927" s="21" t="s">
        <v>9318</v>
      </c>
      <c r="D1927" s="20" t="s">
        <v>4717</v>
      </c>
      <c r="E1927" s="22" t="s">
        <v>4718</v>
      </c>
      <c r="F1927" s="22" t="s">
        <v>1937</v>
      </c>
      <c r="G1927" s="22" t="s">
        <v>3586</v>
      </c>
      <c r="H1927" s="83" t="s">
        <v>4719</v>
      </c>
      <c r="I1927" s="23" t="s">
        <v>24</v>
      </c>
      <c r="J1927" s="24">
        <v>90</v>
      </c>
      <c r="K1927" s="25">
        <v>0.25</v>
      </c>
      <c r="L1927" s="26">
        <f t="shared" si="289"/>
        <v>22.5</v>
      </c>
      <c r="M1927" s="27">
        <f t="shared" si="290"/>
        <v>67.5</v>
      </c>
      <c r="N1927" s="28">
        <v>0.16</v>
      </c>
      <c r="O1927" s="29">
        <f t="shared" si="291"/>
        <v>10.8</v>
      </c>
      <c r="P1927" s="30">
        <f t="shared" si="292"/>
        <v>78.3</v>
      </c>
      <c r="Q1927" s="23"/>
      <c r="R1927" s="52"/>
      <c r="S1927" s="53"/>
      <c r="T1927" s="54">
        <f t="shared" si="293"/>
        <v>0</v>
      </c>
      <c r="U1927" s="26">
        <f t="shared" si="294"/>
        <v>0</v>
      </c>
      <c r="V1927" s="55">
        <f t="shared" si="295"/>
        <v>0</v>
      </c>
      <c r="W1927" s="29">
        <f t="shared" si="296"/>
        <v>0</v>
      </c>
      <c r="X1927" s="30">
        <f t="shared" si="297"/>
        <v>0</v>
      </c>
      <c r="Y1927"/>
      <c r="Z1927"/>
      <c r="AA1927"/>
    </row>
    <row r="1928" spans="1:27" s="51" customFormat="1" ht="18.600000000000001" hidden="1" customHeight="1" x14ac:dyDescent="0.25">
      <c r="A1928" s="81" t="s">
        <v>2653</v>
      </c>
      <c r="B1928" s="31" t="s">
        <v>9303</v>
      </c>
      <c r="C1928" s="32" t="s">
        <v>9318</v>
      </c>
      <c r="D1928" s="31" t="s">
        <v>4720</v>
      </c>
      <c r="E1928" s="33" t="s">
        <v>4721</v>
      </c>
      <c r="F1928" s="33" t="s">
        <v>1937</v>
      </c>
      <c r="G1928" s="33" t="s">
        <v>3586</v>
      </c>
      <c r="H1928" s="84" t="s">
        <v>4722</v>
      </c>
      <c r="I1928" s="23" t="s">
        <v>24</v>
      </c>
      <c r="J1928" s="34">
        <v>90</v>
      </c>
      <c r="K1928" s="35">
        <v>0.25</v>
      </c>
      <c r="L1928" s="36">
        <f t="shared" si="289"/>
        <v>22.5</v>
      </c>
      <c r="M1928" s="37">
        <f t="shared" si="290"/>
        <v>67.5</v>
      </c>
      <c r="N1928" s="38">
        <v>0.16</v>
      </c>
      <c r="O1928" s="39">
        <f t="shared" si="291"/>
        <v>10.8</v>
      </c>
      <c r="P1928" s="40">
        <f t="shared" si="292"/>
        <v>78.3</v>
      </c>
      <c r="Q1928" s="23"/>
      <c r="R1928" s="56"/>
      <c r="S1928" s="57"/>
      <c r="T1928" s="58">
        <f t="shared" si="293"/>
        <v>0</v>
      </c>
      <c r="U1928" s="36">
        <f t="shared" si="294"/>
        <v>0</v>
      </c>
      <c r="V1928" s="59">
        <f t="shared" si="295"/>
        <v>0</v>
      </c>
      <c r="W1928" s="39">
        <f t="shared" si="296"/>
        <v>0</v>
      </c>
      <c r="X1928" s="40">
        <f t="shared" si="297"/>
        <v>0</v>
      </c>
      <c r="Y1928"/>
      <c r="Z1928"/>
      <c r="AA1928"/>
    </row>
    <row r="1929" spans="1:27" s="51" customFormat="1" ht="18.600000000000001" hidden="1" customHeight="1" x14ac:dyDescent="0.25">
      <c r="A1929" s="82" t="s">
        <v>2653</v>
      </c>
      <c r="B1929" s="41" t="s">
        <v>9303</v>
      </c>
      <c r="C1929" s="42" t="s">
        <v>9318</v>
      </c>
      <c r="D1929" s="41" t="s">
        <v>4723</v>
      </c>
      <c r="E1929" s="43" t="s">
        <v>4724</v>
      </c>
      <c r="F1929" s="43" t="s">
        <v>1937</v>
      </c>
      <c r="G1929" s="43" t="s">
        <v>3586</v>
      </c>
      <c r="H1929" s="85" t="s">
        <v>4725</v>
      </c>
      <c r="I1929" s="23" t="s">
        <v>24</v>
      </c>
      <c r="J1929" s="44">
        <v>90</v>
      </c>
      <c r="K1929" s="45">
        <v>0.25</v>
      </c>
      <c r="L1929" s="46">
        <f t="shared" si="289"/>
        <v>22.5</v>
      </c>
      <c r="M1929" s="47">
        <f t="shared" si="290"/>
        <v>67.5</v>
      </c>
      <c r="N1929" s="48">
        <v>0.16</v>
      </c>
      <c r="O1929" s="49">
        <f t="shared" si="291"/>
        <v>10.8</v>
      </c>
      <c r="P1929" s="50">
        <f t="shared" si="292"/>
        <v>78.3</v>
      </c>
      <c r="Q1929" s="23"/>
      <c r="R1929" s="60"/>
      <c r="S1929" s="61"/>
      <c r="T1929" s="62">
        <f t="shared" si="293"/>
        <v>0</v>
      </c>
      <c r="U1929" s="46">
        <f t="shared" si="294"/>
        <v>0</v>
      </c>
      <c r="V1929" s="63">
        <f t="shared" si="295"/>
        <v>0</v>
      </c>
      <c r="W1929" s="49">
        <f t="shared" si="296"/>
        <v>0</v>
      </c>
      <c r="X1929" s="50">
        <f t="shared" si="297"/>
        <v>0</v>
      </c>
      <c r="Y1929"/>
      <c r="Z1929"/>
      <c r="AA1929"/>
    </row>
    <row r="1930" spans="1:27" s="51" customFormat="1" ht="18.600000000000001" hidden="1" customHeight="1" x14ac:dyDescent="0.25">
      <c r="A1930" s="80" t="s">
        <v>2653</v>
      </c>
      <c r="B1930" s="20" t="s">
        <v>9303</v>
      </c>
      <c r="C1930" s="21" t="s">
        <v>9318</v>
      </c>
      <c r="D1930" s="20" t="s">
        <v>4726</v>
      </c>
      <c r="E1930" s="22" t="s">
        <v>4727</v>
      </c>
      <c r="F1930" s="22" t="s">
        <v>1937</v>
      </c>
      <c r="G1930" s="22" t="s">
        <v>3586</v>
      </c>
      <c r="H1930" s="83" t="s">
        <v>4728</v>
      </c>
      <c r="I1930" s="23" t="s">
        <v>24</v>
      </c>
      <c r="J1930" s="24">
        <v>90</v>
      </c>
      <c r="K1930" s="25">
        <v>0.25</v>
      </c>
      <c r="L1930" s="26">
        <f t="shared" si="289"/>
        <v>22.5</v>
      </c>
      <c r="M1930" s="27">
        <f t="shared" si="290"/>
        <v>67.5</v>
      </c>
      <c r="N1930" s="28">
        <v>0.16</v>
      </c>
      <c r="O1930" s="29">
        <f t="shared" si="291"/>
        <v>10.8</v>
      </c>
      <c r="P1930" s="30">
        <f t="shared" si="292"/>
        <v>78.3</v>
      </c>
      <c r="Q1930" s="23"/>
      <c r="R1930" s="52"/>
      <c r="S1930" s="53"/>
      <c r="T1930" s="54">
        <f t="shared" si="293"/>
        <v>0</v>
      </c>
      <c r="U1930" s="26">
        <f t="shared" si="294"/>
        <v>0</v>
      </c>
      <c r="V1930" s="55">
        <f t="shared" si="295"/>
        <v>0</v>
      </c>
      <c r="W1930" s="29">
        <f t="shared" si="296"/>
        <v>0</v>
      </c>
      <c r="X1930" s="30">
        <f t="shared" si="297"/>
        <v>0</v>
      </c>
      <c r="Y1930"/>
      <c r="Z1930"/>
      <c r="AA1930"/>
    </row>
    <row r="1931" spans="1:27" s="51" customFormat="1" ht="18.600000000000001" hidden="1" customHeight="1" x14ac:dyDescent="0.25">
      <c r="A1931" s="81" t="s">
        <v>2653</v>
      </c>
      <c r="B1931" s="31" t="s">
        <v>9303</v>
      </c>
      <c r="C1931" s="32" t="s">
        <v>9318</v>
      </c>
      <c r="D1931" s="31" t="s">
        <v>4729</v>
      </c>
      <c r="E1931" s="33" t="s">
        <v>4730</v>
      </c>
      <c r="F1931" s="33" t="s">
        <v>1937</v>
      </c>
      <c r="G1931" s="33" t="s">
        <v>3586</v>
      </c>
      <c r="H1931" s="84" t="s">
        <v>4731</v>
      </c>
      <c r="I1931" s="23" t="s">
        <v>24</v>
      </c>
      <c r="J1931" s="34">
        <v>90</v>
      </c>
      <c r="K1931" s="35">
        <v>0.25</v>
      </c>
      <c r="L1931" s="36">
        <f t="shared" si="289"/>
        <v>22.5</v>
      </c>
      <c r="M1931" s="37">
        <f t="shared" si="290"/>
        <v>67.5</v>
      </c>
      <c r="N1931" s="38">
        <v>0.16</v>
      </c>
      <c r="O1931" s="39">
        <f t="shared" si="291"/>
        <v>10.8</v>
      </c>
      <c r="P1931" s="40">
        <f t="shared" si="292"/>
        <v>78.3</v>
      </c>
      <c r="Q1931" s="23"/>
      <c r="R1931" s="56"/>
      <c r="S1931" s="57"/>
      <c r="T1931" s="58">
        <f t="shared" si="293"/>
        <v>0</v>
      </c>
      <c r="U1931" s="36">
        <f t="shared" si="294"/>
        <v>0</v>
      </c>
      <c r="V1931" s="59">
        <f t="shared" si="295"/>
        <v>0</v>
      </c>
      <c r="W1931" s="39">
        <f t="shared" si="296"/>
        <v>0</v>
      </c>
      <c r="X1931" s="40">
        <f t="shared" si="297"/>
        <v>0</v>
      </c>
      <c r="Y1931"/>
      <c r="Z1931"/>
      <c r="AA1931"/>
    </row>
    <row r="1932" spans="1:27" s="51" customFormat="1" ht="18.600000000000001" hidden="1" customHeight="1" x14ac:dyDescent="0.25">
      <c r="A1932" s="82" t="s">
        <v>2653</v>
      </c>
      <c r="B1932" s="41" t="s">
        <v>9303</v>
      </c>
      <c r="C1932" s="42" t="s">
        <v>9318</v>
      </c>
      <c r="D1932" s="41" t="s">
        <v>4732</v>
      </c>
      <c r="E1932" s="43" t="s">
        <v>4733</v>
      </c>
      <c r="F1932" s="43" t="s">
        <v>1937</v>
      </c>
      <c r="G1932" s="43" t="s">
        <v>3586</v>
      </c>
      <c r="H1932" s="85" t="s">
        <v>4734</v>
      </c>
      <c r="I1932" s="23" t="s">
        <v>24</v>
      </c>
      <c r="J1932" s="44">
        <v>90</v>
      </c>
      <c r="K1932" s="45">
        <v>0.25</v>
      </c>
      <c r="L1932" s="46">
        <f t="shared" si="289"/>
        <v>22.5</v>
      </c>
      <c r="M1932" s="47">
        <f t="shared" si="290"/>
        <v>67.5</v>
      </c>
      <c r="N1932" s="48">
        <v>0.16</v>
      </c>
      <c r="O1932" s="49">
        <f t="shared" si="291"/>
        <v>10.8</v>
      </c>
      <c r="P1932" s="50">
        <f t="shared" si="292"/>
        <v>78.3</v>
      </c>
      <c r="Q1932" s="23"/>
      <c r="R1932" s="60"/>
      <c r="S1932" s="61"/>
      <c r="T1932" s="62">
        <f t="shared" si="293"/>
        <v>0</v>
      </c>
      <c r="U1932" s="46">
        <f t="shared" si="294"/>
        <v>0</v>
      </c>
      <c r="V1932" s="63">
        <f t="shared" si="295"/>
        <v>0</v>
      </c>
      <c r="W1932" s="49">
        <f t="shared" si="296"/>
        <v>0</v>
      </c>
      <c r="X1932" s="50">
        <f t="shared" si="297"/>
        <v>0</v>
      </c>
      <c r="Y1932"/>
      <c r="Z1932"/>
      <c r="AA1932"/>
    </row>
    <row r="1933" spans="1:27" s="51" customFormat="1" ht="18.600000000000001" hidden="1" customHeight="1" x14ac:dyDescent="0.25">
      <c r="A1933" s="80" t="s">
        <v>2653</v>
      </c>
      <c r="B1933" s="20" t="s">
        <v>9303</v>
      </c>
      <c r="C1933" s="21" t="s">
        <v>9318</v>
      </c>
      <c r="D1933" s="20" t="s">
        <v>4735</v>
      </c>
      <c r="E1933" s="22" t="s">
        <v>4736</v>
      </c>
      <c r="F1933" s="22" t="s">
        <v>1937</v>
      </c>
      <c r="G1933" s="22" t="s">
        <v>3586</v>
      </c>
      <c r="H1933" s="83" t="s">
        <v>4737</v>
      </c>
      <c r="I1933" s="23" t="s">
        <v>24</v>
      </c>
      <c r="J1933" s="24">
        <v>90</v>
      </c>
      <c r="K1933" s="25">
        <v>0.25</v>
      </c>
      <c r="L1933" s="26">
        <f t="shared" si="289"/>
        <v>22.5</v>
      </c>
      <c r="M1933" s="27">
        <f t="shared" si="290"/>
        <v>67.5</v>
      </c>
      <c r="N1933" s="28">
        <v>0.16</v>
      </c>
      <c r="O1933" s="29">
        <f t="shared" si="291"/>
        <v>10.8</v>
      </c>
      <c r="P1933" s="30">
        <f t="shared" si="292"/>
        <v>78.3</v>
      </c>
      <c r="Q1933" s="23"/>
      <c r="R1933" s="52"/>
      <c r="S1933" s="53"/>
      <c r="T1933" s="54">
        <f t="shared" si="293"/>
        <v>0</v>
      </c>
      <c r="U1933" s="26">
        <f t="shared" si="294"/>
        <v>0</v>
      </c>
      <c r="V1933" s="55">
        <f t="shared" si="295"/>
        <v>0</v>
      </c>
      <c r="W1933" s="29">
        <f t="shared" si="296"/>
        <v>0</v>
      </c>
      <c r="X1933" s="30">
        <f t="shared" si="297"/>
        <v>0</v>
      </c>
      <c r="Y1933"/>
      <c r="Z1933"/>
      <c r="AA1933"/>
    </row>
    <row r="1934" spans="1:27" s="51" customFormat="1" ht="18.600000000000001" hidden="1" customHeight="1" x14ac:dyDescent="0.25">
      <c r="A1934" s="81" t="s">
        <v>2653</v>
      </c>
      <c r="B1934" s="31" t="s">
        <v>9303</v>
      </c>
      <c r="C1934" s="32" t="s">
        <v>9318</v>
      </c>
      <c r="D1934" s="31" t="s">
        <v>4738</v>
      </c>
      <c r="E1934" s="33" t="s">
        <v>4739</v>
      </c>
      <c r="F1934" s="33" t="s">
        <v>1937</v>
      </c>
      <c r="G1934" s="33" t="s">
        <v>3586</v>
      </c>
      <c r="H1934" s="84" t="s">
        <v>4740</v>
      </c>
      <c r="I1934" s="23" t="s">
        <v>24</v>
      </c>
      <c r="J1934" s="34">
        <v>90</v>
      </c>
      <c r="K1934" s="35">
        <v>0.25</v>
      </c>
      <c r="L1934" s="36">
        <f t="shared" si="289"/>
        <v>22.5</v>
      </c>
      <c r="M1934" s="37">
        <f t="shared" si="290"/>
        <v>67.5</v>
      </c>
      <c r="N1934" s="38">
        <v>0.16</v>
      </c>
      <c r="O1934" s="39">
        <f t="shared" si="291"/>
        <v>10.8</v>
      </c>
      <c r="P1934" s="40">
        <f t="shared" si="292"/>
        <v>78.3</v>
      </c>
      <c r="Q1934" s="23"/>
      <c r="R1934" s="56"/>
      <c r="S1934" s="57"/>
      <c r="T1934" s="58">
        <f t="shared" si="293"/>
        <v>0</v>
      </c>
      <c r="U1934" s="36">
        <f t="shared" si="294"/>
        <v>0</v>
      </c>
      <c r="V1934" s="59">
        <f t="shared" si="295"/>
        <v>0</v>
      </c>
      <c r="W1934" s="39">
        <f t="shared" si="296"/>
        <v>0</v>
      </c>
      <c r="X1934" s="40">
        <f t="shared" si="297"/>
        <v>0</v>
      </c>
      <c r="Y1934"/>
      <c r="Z1934"/>
      <c r="AA1934"/>
    </row>
    <row r="1935" spans="1:27" s="51" customFormat="1" ht="18.600000000000001" hidden="1" customHeight="1" x14ac:dyDescent="0.25">
      <c r="A1935" s="82" t="s">
        <v>2653</v>
      </c>
      <c r="B1935" s="41" t="s">
        <v>9303</v>
      </c>
      <c r="C1935" s="42" t="s">
        <v>9318</v>
      </c>
      <c r="D1935" s="41" t="s">
        <v>4741</v>
      </c>
      <c r="E1935" s="43" t="s">
        <v>4742</v>
      </c>
      <c r="F1935" s="43" t="s">
        <v>1937</v>
      </c>
      <c r="G1935" s="43" t="s">
        <v>3586</v>
      </c>
      <c r="H1935" s="85" t="s">
        <v>4743</v>
      </c>
      <c r="I1935" s="23" t="s">
        <v>24</v>
      </c>
      <c r="J1935" s="44">
        <v>90</v>
      </c>
      <c r="K1935" s="45">
        <v>0.25</v>
      </c>
      <c r="L1935" s="46">
        <f t="shared" si="289"/>
        <v>22.5</v>
      </c>
      <c r="M1935" s="47">
        <f t="shared" si="290"/>
        <v>67.5</v>
      </c>
      <c r="N1935" s="48">
        <v>0.16</v>
      </c>
      <c r="O1935" s="49">
        <f t="shared" si="291"/>
        <v>10.8</v>
      </c>
      <c r="P1935" s="50">
        <f t="shared" si="292"/>
        <v>78.3</v>
      </c>
      <c r="Q1935" s="23"/>
      <c r="R1935" s="60"/>
      <c r="S1935" s="61"/>
      <c r="T1935" s="62">
        <f t="shared" si="293"/>
        <v>0</v>
      </c>
      <c r="U1935" s="46">
        <f t="shared" si="294"/>
        <v>0</v>
      </c>
      <c r="V1935" s="63">
        <f t="shared" si="295"/>
        <v>0</v>
      </c>
      <c r="W1935" s="49">
        <f t="shared" si="296"/>
        <v>0</v>
      </c>
      <c r="X1935" s="50">
        <f t="shared" si="297"/>
        <v>0</v>
      </c>
      <c r="Y1935"/>
      <c r="Z1935"/>
      <c r="AA1935"/>
    </row>
    <row r="1936" spans="1:27" s="51" customFormat="1" ht="18.600000000000001" hidden="1" customHeight="1" x14ac:dyDescent="0.25">
      <c r="A1936" s="80" t="s">
        <v>2653</v>
      </c>
      <c r="B1936" s="20" t="s">
        <v>9303</v>
      </c>
      <c r="C1936" s="21" t="s">
        <v>9318</v>
      </c>
      <c r="D1936" s="20" t="s">
        <v>4744</v>
      </c>
      <c r="E1936" s="22" t="s">
        <v>4745</v>
      </c>
      <c r="F1936" s="22" t="s">
        <v>1937</v>
      </c>
      <c r="G1936" s="22" t="s">
        <v>3586</v>
      </c>
      <c r="H1936" s="83" t="s">
        <v>4746</v>
      </c>
      <c r="I1936" s="23" t="s">
        <v>24</v>
      </c>
      <c r="J1936" s="24">
        <v>90</v>
      </c>
      <c r="K1936" s="25">
        <v>0.25</v>
      </c>
      <c r="L1936" s="26">
        <f t="shared" si="289"/>
        <v>22.5</v>
      </c>
      <c r="M1936" s="27">
        <f t="shared" si="290"/>
        <v>67.5</v>
      </c>
      <c r="N1936" s="28">
        <v>0.16</v>
      </c>
      <c r="O1936" s="29">
        <f t="shared" si="291"/>
        <v>10.8</v>
      </c>
      <c r="P1936" s="30">
        <f t="shared" si="292"/>
        <v>78.3</v>
      </c>
      <c r="Q1936" s="23"/>
      <c r="R1936" s="52"/>
      <c r="S1936" s="53"/>
      <c r="T1936" s="54">
        <f t="shared" si="293"/>
        <v>0</v>
      </c>
      <c r="U1936" s="26">
        <f t="shared" si="294"/>
        <v>0</v>
      </c>
      <c r="V1936" s="55">
        <f t="shared" si="295"/>
        <v>0</v>
      </c>
      <c r="W1936" s="29">
        <f t="shared" si="296"/>
        <v>0</v>
      </c>
      <c r="X1936" s="30">
        <f t="shared" si="297"/>
        <v>0</v>
      </c>
      <c r="Y1936"/>
      <c r="Z1936"/>
      <c r="AA1936"/>
    </row>
    <row r="1937" spans="1:27" s="51" customFormat="1" ht="18.600000000000001" hidden="1" customHeight="1" x14ac:dyDescent="0.25">
      <c r="A1937" s="81" t="s">
        <v>2653</v>
      </c>
      <c r="B1937" s="31" t="s">
        <v>9303</v>
      </c>
      <c r="C1937" s="32" t="s">
        <v>9318</v>
      </c>
      <c r="D1937" s="31" t="s">
        <v>4747</v>
      </c>
      <c r="E1937" s="33" t="s">
        <v>4748</v>
      </c>
      <c r="F1937" s="33" t="s">
        <v>1937</v>
      </c>
      <c r="G1937" s="33" t="s">
        <v>3586</v>
      </c>
      <c r="H1937" s="84" t="s">
        <v>4749</v>
      </c>
      <c r="I1937" s="23" t="s">
        <v>24</v>
      </c>
      <c r="J1937" s="34">
        <v>90</v>
      </c>
      <c r="K1937" s="35">
        <v>0.25</v>
      </c>
      <c r="L1937" s="36">
        <f t="shared" si="289"/>
        <v>22.5</v>
      </c>
      <c r="M1937" s="37">
        <f t="shared" si="290"/>
        <v>67.5</v>
      </c>
      <c r="N1937" s="38">
        <v>0.16</v>
      </c>
      <c r="O1937" s="39">
        <f t="shared" si="291"/>
        <v>10.8</v>
      </c>
      <c r="P1937" s="40">
        <f t="shared" si="292"/>
        <v>78.3</v>
      </c>
      <c r="Q1937" s="23"/>
      <c r="R1937" s="56"/>
      <c r="S1937" s="57"/>
      <c r="T1937" s="58">
        <f t="shared" si="293"/>
        <v>0</v>
      </c>
      <c r="U1937" s="36">
        <f t="shared" si="294"/>
        <v>0</v>
      </c>
      <c r="V1937" s="59">
        <f t="shared" si="295"/>
        <v>0</v>
      </c>
      <c r="W1937" s="39">
        <f t="shared" si="296"/>
        <v>0</v>
      </c>
      <c r="X1937" s="40">
        <f t="shared" si="297"/>
        <v>0</v>
      </c>
      <c r="Y1937"/>
      <c r="Z1937"/>
      <c r="AA1937"/>
    </row>
    <row r="1938" spans="1:27" s="51" customFormat="1" ht="18.600000000000001" hidden="1" customHeight="1" x14ac:dyDescent="0.25">
      <c r="A1938" s="82" t="s">
        <v>2653</v>
      </c>
      <c r="B1938" s="41" t="s">
        <v>9303</v>
      </c>
      <c r="C1938" s="42" t="s">
        <v>9318</v>
      </c>
      <c r="D1938" s="41" t="s">
        <v>4750</v>
      </c>
      <c r="E1938" s="43" t="s">
        <v>4751</v>
      </c>
      <c r="F1938" s="43" t="s">
        <v>1937</v>
      </c>
      <c r="G1938" s="43" t="s">
        <v>3586</v>
      </c>
      <c r="H1938" s="85" t="s">
        <v>4752</v>
      </c>
      <c r="I1938" s="23" t="s">
        <v>24</v>
      </c>
      <c r="J1938" s="44">
        <v>90</v>
      </c>
      <c r="K1938" s="45">
        <v>0.25</v>
      </c>
      <c r="L1938" s="46">
        <f t="shared" si="289"/>
        <v>22.5</v>
      </c>
      <c r="M1938" s="47">
        <f t="shared" si="290"/>
        <v>67.5</v>
      </c>
      <c r="N1938" s="48">
        <v>0.16</v>
      </c>
      <c r="O1938" s="49">
        <f t="shared" si="291"/>
        <v>10.8</v>
      </c>
      <c r="P1938" s="50">
        <f t="shared" si="292"/>
        <v>78.3</v>
      </c>
      <c r="Q1938" s="23"/>
      <c r="R1938" s="60"/>
      <c r="S1938" s="61"/>
      <c r="T1938" s="62">
        <f t="shared" si="293"/>
        <v>0</v>
      </c>
      <c r="U1938" s="46">
        <f t="shared" si="294"/>
        <v>0</v>
      </c>
      <c r="V1938" s="63">
        <f t="shared" si="295"/>
        <v>0</v>
      </c>
      <c r="W1938" s="49">
        <f t="shared" si="296"/>
        <v>0</v>
      </c>
      <c r="X1938" s="50">
        <f t="shared" si="297"/>
        <v>0</v>
      </c>
      <c r="Y1938"/>
      <c r="Z1938"/>
      <c r="AA1938"/>
    </row>
    <row r="1939" spans="1:27" s="51" customFormat="1" ht="18.600000000000001" hidden="1" customHeight="1" x14ac:dyDescent="0.25">
      <c r="A1939" s="80" t="s">
        <v>2653</v>
      </c>
      <c r="B1939" s="20" t="s">
        <v>9303</v>
      </c>
      <c r="C1939" s="21" t="s">
        <v>9318</v>
      </c>
      <c r="D1939" s="20">
        <v>8435568314948</v>
      </c>
      <c r="E1939" s="22" t="s">
        <v>4753</v>
      </c>
      <c r="F1939" s="22" t="s">
        <v>1937</v>
      </c>
      <c r="G1939" s="22" t="s">
        <v>3586</v>
      </c>
      <c r="H1939" s="83" t="s">
        <v>4754</v>
      </c>
      <c r="I1939" s="23" t="s">
        <v>24</v>
      </c>
      <c r="J1939" s="24">
        <v>90</v>
      </c>
      <c r="K1939" s="25">
        <v>0.25</v>
      </c>
      <c r="L1939" s="26">
        <f t="shared" si="289"/>
        <v>22.5</v>
      </c>
      <c r="M1939" s="27">
        <f t="shared" si="290"/>
        <v>67.5</v>
      </c>
      <c r="N1939" s="28">
        <v>0.16</v>
      </c>
      <c r="O1939" s="29">
        <f t="shared" si="291"/>
        <v>10.8</v>
      </c>
      <c r="P1939" s="30">
        <f t="shared" si="292"/>
        <v>78.3</v>
      </c>
      <c r="Q1939" s="23"/>
      <c r="R1939" s="52"/>
      <c r="S1939" s="53"/>
      <c r="T1939" s="54">
        <f t="shared" si="293"/>
        <v>0</v>
      </c>
      <c r="U1939" s="26">
        <f t="shared" si="294"/>
        <v>0</v>
      </c>
      <c r="V1939" s="55">
        <f t="shared" si="295"/>
        <v>0</v>
      </c>
      <c r="W1939" s="29">
        <f t="shared" si="296"/>
        <v>0</v>
      </c>
      <c r="X1939" s="30">
        <f t="shared" si="297"/>
        <v>0</v>
      </c>
      <c r="Y1939"/>
      <c r="Z1939"/>
      <c r="AA1939"/>
    </row>
    <row r="1940" spans="1:27" s="51" customFormat="1" ht="18.600000000000001" hidden="1" customHeight="1" x14ac:dyDescent="0.25">
      <c r="A1940" s="81" t="s">
        <v>2653</v>
      </c>
      <c r="B1940" s="31" t="s">
        <v>9303</v>
      </c>
      <c r="C1940" s="32" t="s">
        <v>9318</v>
      </c>
      <c r="D1940" s="31" t="s">
        <v>4755</v>
      </c>
      <c r="E1940" s="33" t="s">
        <v>4756</v>
      </c>
      <c r="F1940" s="33" t="s">
        <v>1937</v>
      </c>
      <c r="G1940" s="33" t="s">
        <v>3586</v>
      </c>
      <c r="H1940" s="84" t="s">
        <v>4757</v>
      </c>
      <c r="I1940" s="23" t="s">
        <v>24</v>
      </c>
      <c r="J1940" s="34">
        <v>90</v>
      </c>
      <c r="K1940" s="35">
        <v>0.25</v>
      </c>
      <c r="L1940" s="36">
        <f t="shared" si="289"/>
        <v>22.5</v>
      </c>
      <c r="M1940" s="37">
        <f t="shared" si="290"/>
        <v>67.5</v>
      </c>
      <c r="N1940" s="38">
        <v>0.16</v>
      </c>
      <c r="O1940" s="39">
        <f t="shared" si="291"/>
        <v>10.8</v>
      </c>
      <c r="P1940" s="40">
        <f t="shared" si="292"/>
        <v>78.3</v>
      </c>
      <c r="Q1940" s="23"/>
      <c r="R1940" s="56"/>
      <c r="S1940" s="57"/>
      <c r="T1940" s="58">
        <f t="shared" si="293"/>
        <v>0</v>
      </c>
      <c r="U1940" s="36">
        <f t="shared" si="294"/>
        <v>0</v>
      </c>
      <c r="V1940" s="59">
        <f t="shared" si="295"/>
        <v>0</v>
      </c>
      <c r="W1940" s="39">
        <f t="shared" si="296"/>
        <v>0</v>
      </c>
      <c r="X1940" s="40">
        <f t="shared" si="297"/>
        <v>0</v>
      </c>
      <c r="Y1940"/>
      <c r="Z1940"/>
      <c r="AA1940"/>
    </row>
    <row r="1941" spans="1:27" s="51" customFormat="1" ht="18.600000000000001" hidden="1" customHeight="1" x14ac:dyDescent="0.25">
      <c r="A1941" s="82" t="s">
        <v>2653</v>
      </c>
      <c r="B1941" s="41" t="s">
        <v>9303</v>
      </c>
      <c r="C1941" s="42" t="s">
        <v>9318</v>
      </c>
      <c r="D1941" s="41" t="s">
        <v>4758</v>
      </c>
      <c r="E1941" s="43" t="s">
        <v>4759</v>
      </c>
      <c r="F1941" s="43" t="s">
        <v>1937</v>
      </c>
      <c r="G1941" s="43" t="s">
        <v>3586</v>
      </c>
      <c r="H1941" s="85" t="s">
        <v>4760</v>
      </c>
      <c r="I1941" s="23" t="s">
        <v>24</v>
      </c>
      <c r="J1941" s="44">
        <v>90</v>
      </c>
      <c r="K1941" s="45">
        <v>0.25</v>
      </c>
      <c r="L1941" s="46">
        <f t="shared" si="289"/>
        <v>22.5</v>
      </c>
      <c r="M1941" s="47">
        <f t="shared" si="290"/>
        <v>67.5</v>
      </c>
      <c r="N1941" s="48">
        <v>0.16</v>
      </c>
      <c r="O1941" s="49">
        <f t="shared" si="291"/>
        <v>10.8</v>
      </c>
      <c r="P1941" s="50">
        <f t="shared" si="292"/>
        <v>78.3</v>
      </c>
      <c r="Q1941" s="23"/>
      <c r="R1941" s="60"/>
      <c r="S1941" s="61"/>
      <c r="T1941" s="62">
        <f t="shared" si="293"/>
        <v>0</v>
      </c>
      <c r="U1941" s="46">
        <f t="shared" si="294"/>
        <v>0</v>
      </c>
      <c r="V1941" s="63">
        <f t="shared" si="295"/>
        <v>0</v>
      </c>
      <c r="W1941" s="49">
        <f t="shared" si="296"/>
        <v>0</v>
      </c>
      <c r="X1941" s="50">
        <f t="shared" si="297"/>
        <v>0</v>
      </c>
      <c r="Y1941"/>
      <c r="Z1941"/>
      <c r="AA1941"/>
    </row>
    <row r="1942" spans="1:27" s="51" customFormat="1" ht="18.600000000000001" hidden="1" customHeight="1" x14ac:dyDescent="0.25">
      <c r="A1942" s="80" t="s">
        <v>2653</v>
      </c>
      <c r="B1942" s="20" t="s">
        <v>9303</v>
      </c>
      <c r="C1942" s="21" t="s">
        <v>9318</v>
      </c>
      <c r="D1942" s="20" t="s">
        <v>4761</v>
      </c>
      <c r="E1942" s="22" t="s">
        <v>4762</v>
      </c>
      <c r="F1942" s="22" t="s">
        <v>1937</v>
      </c>
      <c r="G1942" s="22" t="s">
        <v>3586</v>
      </c>
      <c r="H1942" s="83" t="s">
        <v>4763</v>
      </c>
      <c r="I1942" s="23" t="s">
        <v>24</v>
      </c>
      <c r="J1942" s="24">
        <v>90</v>
      </c>
      <c r="K1942" s="25">
        <v>0.25</v>
      </c>
      <c r="L1942" s="26">
        <f t="shared" si="289"/>
        <v>22.5</v>
      </c>
      <c r="M1942" s="27">
        <f t="shared" si="290"/>
        <v>67.5</v>
      </c>
      <c r="N1942" s="28">
        <v>0.16</v>
      </c>
      <c r="O1942" s="29">
        <f t="shared" si="291"/>
        <v>10.8</v>
      </c>
      <c r="P1942" s="30">
        <f t="shared" si="292"/>
        <v>78.3</v>
      </c>
      <c r="Q1942" s="23"/>
      <c r="R1942" s="52"/>
      <c r="S1942" s="53"/>
      <c r="T1942" s="54">
        <f t="shared" si="293"/>
        <v>0</v>
      </c>
      <c r="U1942" s="26">
        <f t="shared" si="294"/>
        <v>0</v>
      </c>
      <c r="V1942" s="55">
        <f t="shared" si="295"/>
        <v>0</v>
      </c>
      <c r="W1942" s="29">
        <f t="shared" si="296"/>
        <v>0</v>
      </c>
      <c r="X1942" s="30">
        <f t="shared" si="297"/>
        <v>0</v>
      </c>
      <c r="Y1942"/>
      <c r="Z1942"/>
      <c r="AA1942"/>
    </row>
    <row r="1943" spans="1:27" s="51" customFormat="1" ht="18.600000000000001" hidden="1" customHeight="1" x14ac:dyDescent="0.25">
      <c r="A1943" s="81" t="s">
        <v>2653</v>
      </c>
      <c r="B1943" s="31" t="s">
        <v>9303</v>
      </c>
      <c r="C1943" s="32" t="s">
        <v>9318</v>
      </c>
      <c r="D1943" s="31" t="s">
        <v>4764</v>
      </c>
      <c r="E1943" s="33" t="s">
        <v>4765</v>
      </c>
      <c r="F1943" s="33" t="s">
        <v>1937</v>
      </c>
      <c r="G1943" s="33" t="s">
        <v>3586</v>
      </c>
      <c r="H1943" s="84" t="s">
        <v>4766</v>
      </c>
      <c r="I1943" s="23" t="s">
        <v>24</v>
      </c>
      <c r="J1943" s="34">
        <v>90</v>
      </c>
      <c r="K1943" s="35">
        <v>0.25</v>
      </c>
      <c r="L1943" s="36">
        <f t="shared" ref="L1943:L2006" si="298">+J1943*K1943</f>
        <v>22.5</v>
      </c>
      <c r="M1943" s="37">
        <f t="shared" ref="M1943:M2006" si="299">+J1943-L1943</f>
        <v>67.5</v>
      </c>
      <c r="N1943" s="38">
        <v>0.16</v>
      </c>
      <c r="O1943" s="39">
        <f t="shared" ref="O1943:O2006" si="300">+M1943*N1943</f>
        <v>10.8</v>
      </c>
      <c r="P1943" s="40">
        <f t="shared" ref="P1943:P2006" si="301">+M1943+O1943</f>
        <v>78.3</v>
      </c>
      <c r="Q1943" s="23"/>
      <c r="R1943" s="56"/>
      <c r="S1943" s="57"/>
      <c r="T1943" s="58">
        <f t="shared" ref="T1943:T2006" si="302">+S1943*J1943</f>
        <v>0</v>
      </c>
      <c r="U1943" s="36">
        <f t="shared" ref="U1943:U2006" si="303">+T1943*K1943</f>
        <v>0</v>
      </c>
      <c r="V1943" s="59">
        <f t="shared" ref="V1943:V2006" si="304">+T1943-U1943</f>
        <v>0</v>
      </c>
      <c r="W1943" s="39">
        <f t="shared" ref="W1943:W2006" si="305">+V1943*N1943</f>
        <v>0</v>
      </c>
      <c r="X1943" s="40">
        <f t="shared" ref="X1943:X2006" si="306">+V1943+W1943</f>
        <v>0</v>
      </c>
      <c r="Y1943"/>
      <c r="Z1943"/>
      <c r="AA1943"/>
    </row>
    <row r="1944" spans="1:27" s="51" customFormat="1" ht="18.600000000000001" hidden="1" customHeight="1" x14ac:dyDescent="0.25">
      <c r="A1944" s="82" t="s">
        <v>2653</v>
      </c>
      <c r="B1944" s="41" t="s">
        <v>9303</v>
      </c>
      <c r="C1944" s="42" t="s">
        <v>9318</v>
      </c>
      <c r="D1944" s="41" t="s">
        <v>4767</v>
      </c>
      <c r="E1944" s="43" t="s">
        <v>4768</v>
      </c>
      <c r="F1944" s="43" t="s">
        <v>1937</v>
      </c>
      <c r="G1944" s="43" t="s">
        <v>3586</v>
      </c>
      <c r="H1944" s="85" t="s">
        <v>4769</v>
      </c>
      <c r="I1944" s="23" t="s">
        <v>24</v>
      </c>
      <c r="J1944" s="44">
        <v>90</v>
      </c>
      <c r="K1944" s="45">
        <v>0.25</v>
      </c>
      <c r="L1944" s="46">
        <f t="shared" si="298"/>
        <v>22.5</v>
      </c>
      <c r="M1944" s="47">
        <f t="shared" si="299"/>
        <v>67.5</v>
      </c>
      <c r="N1944" s="48">
        <v>0.16</v>
      </c>
      <c r="O1944" s="49">
        <f t="shared" si="300"/>
        <v>10.8</v>
      </c>
      <c r="P1944" s="50">
        <f t="shared" si="301"/>
        <v>78.3</v>
      </c>
      <c r="Q1944" s="23"/>
      <c r="R1944" s="60"/>
      <c r="S1944" s="61"/>
      <c r="T1944" s="62">
        <f t="shared" si="302"/>
        <v>0</v>
      </c>
      <c r="U1944" s="46">
        <f t="shared" si="303"/>
        <v>0</v>
      </c>
      <c r="V1944" s="63">
        <f t="shared" si="304"/>
        <v>0</v>
      </c>
      <c r="W1944" s="49">
        <f t="shared" si="305"/>
        <v>0</v>
      </c>
      <c r="X1944" s="50">
        <f t="shared" si="306"/>
        <v>0</v>
      </c>
      <c r="Y1944"/>
      <c r="Z1944"/>
      <c r="AA1944"/>
    </row>
    <row r="1945" spans="1:27" s="51" customFormat="1" ht="18.600000000000001" hidden="1" customHeight="1" x14ac:dyDescent="0.25">
      <c r="A1945" s="80" t="s">
        <v>2653</v>
      </c>
      <c r="B1945" s="20" t="s">
        <v>9303</v>
      </c>
      <c r="C1945" s="21" t="s">
        <v>9318</v>
      </c>
      <c r="D1945" s="20" t="s">
        <v>4770</v>
      </c>
      <c r="E1945" s="22" t="s">
        <v>4771</v>
      </c>
      <c r="F1945" s="22" t="s">
        <v>1937</v>
      </c>
      <c r="G1945" s="22" t="s">
        <v>3586</v>
      </c>
      <c r="H1945" s="83" t="s">
        <v>4772</v>
      </c>
      <c r="I1945" s="23" t="s">
        <v>24</v>
      </c>
      <c r="J1945" s="24">
        <v>90</v>
      </c>
      <c r="K1945" s="25">
        <v>0.25</v>
      </c>
      <c r="L1945" s="26">
        <f t="shared" si="298"/>
        <v>22.5</v>
      </c>
      <c r="M1945" s="27">
        <f t="shared" si="299"/>
        <v>67.5</v>
      </c>
      <c r="N1945" s="28">
        <v>0.16</v>
      </c>
      <c r="O1945" s="29">
        <f t="shared" si="300"/>
        <v>10.8</v>
      </c>
      <c r="P1945" s="30">
        <f t="shared" si="301"/>
        <v>78.3</v>
      </c>
      <c r="Q1945" s="23"/>
      <c r="R1945" s="52"/>
      <c r="S1945" s="53"/>
      <c r="T1945" s="54">
        <f t="shared" si="302"/>
        <v>0</v>
      </c>
      <c r="U1945" s="26">
        <f t="shared" si="303"/>
        <v>0</v>
      </c>
      <c r="V1945" s="55">
        <f t="shared" si="304"/>
        <v>0</v>
      </c>
      <c r="W1945" s="29">
        <f t="shared" si="305"/>
        <v>0</v>
      </c>
      <c r="X1945" s="30">
        <f t="shared" si="306"/>
        <v>0</v>
      </c>
      <c r="Y1945"/>
      <c r="Z1945"/>
      <c r="AA1945"/>
    </row>
    <row r="1946" spans="1:27" s="51" customFormat="1" ht="18.600000000000001" hidden="1" customHeight="1" x14ac:dyDescent="0.25">
      <c r="A1946" s="81" t="s">
        <v>2653</v>
      </c>
      <c r="B1946" s="31" t="s">
        <v>9303</v>
      </c>
      <c r="C1946" s="32" t="s">
        <v>9318</v>
      </c>
      <c r="D1946" s="31" t="s">
        <v>4773</v>
      </c>
      <c r="E1946" s="33" t="s">
        <v>4774</v>
      </c>
      <c r="F1946" s="33" t="s">
        <v>1937</v>
      </c>
      <c r="G1946" s="33" t="s">
        <v>3586</v>
      </c>
      <c r="H1946" s="84" t="s">
        <v>4775</v>
      </c>
      <c r="I1946" s="23" t="s">
        <v>24</v>
      </c>
      <c r="J1946" s="34">
        <v>90</v>
      </c>
      <c r="K1946" s="35">
        <v>0.25</v>
      </c>
      <c r="L1946" s="36">
        <f t="shared" si="298"/>
        <v>22.5</v>
      </c>
      <c r="M1946" s="37">
        <f t="shared" si="299"/>
        <v>67.5</v>
      </c>
      <c r="N1946" s="38">
        <v>0.16</v>
      </c>
      <c r="O1946" s="39">
        <f t="shared" si="300"/>
        <v>10.8</v>
      </c>
      <c r="P1946" s="40">
        <f t="shared" si="301"/>
        <v>78.3</v>
      </c>
      <c r="Q1946" s="23"/>
      <c r="R1946" s="56"/>
      <c r="S1946" s="57"/>
      <c r="T1946" s="58">
        <f t="shared" si="302"/>
        <v>0</v>
      </c>
      <c r="U1946" s="36">
        <f t="shared" si="303"/>
        <v>0</v>
      </c>
      <c r="V1946" s="59">
        <f t="shared" si="304"/>
        <v>0</v>
      </c>
      <c r="W1946" s="39">
        <f t="shared" si="305"/>
        <v>0</v>
      </c>
      <c r="X1946" s="40">
        <f t="shared" si="306"/>
        <v>0</v>
      </c>
      <c r="Y1946"/>
      <c r="Z1946"/>
      <c r="AA1946"/>
    </row>
    <row r="1947" spans="1:27" s="51" customFormat="1" ht="18.600000000000001" hidden="1" customHeight="1" x14ac:dyDescent="0.25">
      <c r="A1947" s="82" t="s">
        <v>2653</v>
      </c>
      <c r="B1947" s="41" t="s">
        <v>9303</v>
      </c>
      <c r="C1947" s="42" t="s">
        <v>9318</v>
      </c>
      <c r="D1947" s="41" t="s">
        <v>4776</v>
      </c>
      <c r="E1947" s="43" t="s">
        <v>4777</v>
      </c>
      <c r="F1947" s="43" t="s">
        <v>1937</v>
      </c>
      <c r="G1947" s="43" t="s">
        <v>3586</v>
      </c>
      <c r="H1947" s="85" t="s">
        <v>4778</v>
      </c>
      <c r="I1947" s="23" t="s">
        <v>24</v>
      </c>
      <c r="J1947" s="44">
        <v>90</v>
      </c>
      <c r="K1947" s="45">
        <v>0.25</v>
      </c>
      <c r="L1947" s="46">
        <f t="shared" si="298"/>
        <v>22.5</v>
      </c>
      <c r="M1947" s="47">
        <f t="shared" si="299"/>
        <v>67.5</v>
      </c>
      <c r="N1947" s="48">
        <v>0.16</v>
      </c>
      <c r="O1947" s="49">
        <f t="shared" si="300"/>
        <v>10.8</v>
      </c>
      <c r="P1947" s="50">
        <f t="shared" si="301"/>
        <v>78.3</v>
      </c>
      <c r="Q1947" s="23"/>
      <c r="R1947" s="60"/>
      <c r="S1947" s="61"/>
      <c r="T1947" s="62">
        <f t="shared" si="302"/>
        <v>0</v>
      </c>
      <c r="U1947" s="46">
        <f t="shared" si="303"/>
        <v>0</v>
      </c>
      <c r="V1947" s="63">
        <f t="shared" si="304"/>
        <v>0</v>
      </c>
      <c r="W1947" s="49">
        <f t="shared" si="305"/>
        <v>0</v>
      </c>
      <c r="X1947" s="50">
        <f t="shared" si="306"/>
        <v>0</v>
      </c>
      <c r="Y1947"/>
      <c r="Z1947"/>
      <c r="AA1947"/>
    </row>
    <row r="1948" spans="1:27" s="51" customFormat="1" ht="18.600000000000001" hidden="1" customHeight="1" x14ac:dyDescent="0.25">
      <c r="A1948" s="80" t="s">
        <v>2653</v>
      </c>
      <c r="B1948" s="20" t="s">
        <v>9303</v>
      </c>
      <c r="C1948" s="21" t="s">
        <v>9318</v>
      </c>
      <c r="D1948" s="20" t="s">
        <v>4779</v>
      </c>
      <c r="E1948" s="22" t="s">
        <v>4780</v>
      </c>
      <c r="F1948" s="22" t="s">
        <v>1937</v>
      </c>
      <c r="G1948" s="22" t="s">
        <v>3586</v>
      </c>
      <c r="H1948" s="83" t="s">
        <v>4781</v>
      </c>
      <c r="I1948" s="23" t="s">
        <v>24</v>
      </c>
      <c r="J1948" s="24">
        <v>90</v>
      </c>
      <c r="K1948" s="25">
        <v>0.25</v>
      </c>
      <c r="L1948" s="26">
        <f t="shared" si="298"/>
        <v>22.5</v>
      </c>
      <c r="M1948" s="27">
        <f t="shared" si="299"/>
        <v>67.5</v>
      </c>
      <c r="N1948" s="28">
        <v>0.16</v>
      </c>
      <c r="O1948" s="29">
        <f t="shared" si="300"/>
        <v>10.8</v>
      </c>
      <c r="P1948" s="30">
        <f t="shared" si="301"/>
        <v>78.3</v>
      </c>
      <c r="Q1948" s="23"/>
      <c r="R1948" s="52"/>
      <c r="S1948" s="53"/>
      <c r="T1948" s="54">
        <f t="shared" si="302"/>
        <v>0</v>
      </c>
      <c r="U1948" s="26">
        <f t="shared" si="303"/>
        <v>0</v>
      </c>
      <c r="V1948" s="55">
        <f t="shared" si="304"/>
        <v>0</v>
      </c>
      <c r="W1948" s="29">
        <f t="shared" si="305"/>
        <v>0</v>
      </c>
      <c r="X1948" s="30">
        <f t="shared" si="306"/>
        <v>0</v>
      </c>
      <c r="Y1948"/>
      <c r="Z1948"/>
      <c r="AA1948"/>
    </row>
    <row r="1949" spans="1:27" s="51" customFormat="1" ht="18.600000000000001" hidden="1" customHeight="1" x14ac:dyDescent="0.25">
      <c r="A1949" s="81" t="s">
        <v>2653</v>
      </c>
      <c r="B1949" s="31" t="s">
        <v>9303</v>
      </c>
      <c r="C1949" s="32" t="s">
        <v>9318</v>
      </c>
      <c r="D1949" s="31" t="s">
        <v>4782</v>
      </c>
      <c r="E1949" s="33" t="s">
        <v>4783</v>
      </c>
      <c r="F1949" s="33" t="s">
        <v>1937</v>
      </c>
      <c r="G1949" s="33" t="s">
        <v>3586</v>
      </c>
      <c r="H1949" s="84" t="s">
        <v>4784</v>
      </c>
      <c r="I1949" s="23" t="s">
        <v>24</v>
      </c>
      <c r="J1949" s="34">
        <v>90</v>
      </c>
      <c r="K1949" s="35">
        <v>0.25</v>
      </c>
      <c r="L1949" s="36">
        <f t="shared" si="298"/>
        <v>22.5</v>
      </c>
      <c r="M1949" s="37">
        <f t="shared" si="299"/>
        <v>67.5</v>
      </c>
      <c r="N1949" s="38">
        <v>0.16</v>
      </c>
      <c r="O1949" s="39">
        <f t="shared" si="300"/>
        <v>10.8</v>
      </c>
      <c r="P1949" s="40">
        <f t="shared" si="301"/>
        <v>78.3</v>
      </c>
      <c r="Q1949" s="23"/>
      <c r="R1949" s="56"/>
      <c r="S1949" s="57"/>
      <c r="T1949" s="58">
        <f t="shared" si="302"/>
        <v>0</v>
      </c>
      <c r="U1949" s="36">
        <f t="shared" si="303"/>
        <v>0</v>
      </c>
      <c r="V1949" s="59">
        <f t="shared" si="304"/>
        <v>0</v>
      </c>
      <c r="W1949" s="39">
        <f t="shared" si="305"/>
        <v>0</v>
      </c>
      <c r="X1949" s="40">
        <f t="shared" si="306"/>
        <v>0</v>
      </c>
      <c r="Y1949"/>
      <c r="Z1949"/>
      <c r="AA1949"/>
    </row>
    <row r="1950" spans="1:27" s="51" customFormat="1" ht="18.600000000000001" hidden="1" customHeight="1" x14ac:dyDescent="0.25">
      <c r="A1950" s="82" t="s">
        <v>2653</v>
      </c>
      <c r="B1950" s="41" t="s">
        <v>9303</v>
      </c>
      <c r="C1950" s="42" t="s">
        <v>9318</v>
      </c>
      <c r="D1950" s="41" t="s">
        <v>4785</v>
      </c>
      <c r="E1950" s="43" t="s">
        <v>4786</v>
      </c>
      <c r="F1950" s="43" t="s">
        <v>1937</v>
      </c>
      <c r="G1950" s="43" t="s">
        <v>3586</v>
      </c>
      <c r="H1950" s="85" t="s">
        <v>4787</v>
      </c>
      <c r="I1950" s="23" t="s">
        <v>24</v>
      </c>
      <c r="J1950" s="44">
        <v>90</v>
      </c>
      <c r="K1950" s="45">
        <v>0.25</v>
      </c>
      <c r="L1950" s="46">
        <f t="shared" si="298"/>
        <v>22.5</v>
      </c>
      <c r="M1950" s="47">
        <f t="shared" si="299"/>
        <v>67.5</v>
      </c>
      <c r="N1950" s="48">
        <v>0.16</v>
      </c>
      <c r="O1950" s="49">
        <f t="shared" si="300"/>
        <v>10.8</v>
      </c>
      <c r="P1950" s="50">
        <f t="shared" si="301"/>
        <v>78.3</v>
      </c>
      <c r="Q1950" s="23"/>
      <c r="R1950" s="60"/>
      <c r="S1950" s="61"/>
      <c r="T1950" s="62">
        <f t="shared" si="302"/>
        <v>0</v>
      </c>
      <c r="U1950" s="46">
        <f t="shared" si="303"/>
        <v>0</v>
      </c>
      <c r="V1950" s="63">
        <f t="shared" si="304"/>
        <v>0</v>
      </c>
      <c r="W1950" s="49">
        <f t="shared" si="305"/>
        <v>0</v>
      </c>
      <c r="X1950" s="50">
        <f t="shared" si="306"/>
        <v>0</v>
      </c>
      <c r="Y1950"/>
      <c r="Z1950"/>
      <c r="AA1950"/>
    </row>
    <row r="1951" spans="1:27" s="51" customFormat="1" ht="18.600000000000001" hidden="1" customHeight="1" x14ac:dyDescent="0.25">
      <c r="A1951" s="80" t="s">
        <v>2653</v>
      </c>
      <c r="B1951" s="20" t="s">
        <v>9303</v>
      </c>
      <c r="C1951" s="21" t="s">
        <v>9318</v>
      </c>
      <c r="D1951" s="20" t="s">
        <v>4788</v>
      </c>
      <c r="E1951" s="22" t="s">
        <v>4789</v>
      </c>
      <c r="F1951" s="22" t="s">
        <v>1937</v>
      </c>
      <c r="G1951" s="22" t="s">
        <v>3586</v>
      </c>
      <c r="H1951" s="83" t="s">
        <v>4790</v>
      </c>
      <c r="I1951" s="23" t="s">
        <v>24</v>
      </c>
      <c r="J1951" s="24">
        <v>90</v>
      </c>
      <c r="K1951" s="25">
        <v>0.25</v>
      </c>
      <c r="L1951" s="26">
        <f t="shared" si="298"/>
        <v>22.5</v>
      </c>
      <c r="M1951" s="27">
        <f t="shared" si="299"/>
        <v>67.5</v>
      </c>
      <c r="N1951" s="28">
        <v>0.16</v>
      </c>
      <c r="O1951" s="29">
        <f t="shared" si="300"/>
        <v>10.8</v>
      </c>
      <c r="P1951" s="30">
        <f t="shared" si="301"/>
        <v>78.3</v>
      </c>
      <c r="Q1951" s="23"/>
      <c r="R1951" s="52"/>
      <c r="S1951" s="53"/>
      <c r="T1951" s="54">
        <f t="shared" si="302"/>
        <v>0</v>
      </c>
      <c r="U1951" s="26">
        <f t="shared" si="303"/>
        <v>0</v>
      </c>
      <c r="V1951" s="55">
        <f t="shared" si="304"/>
        <v>0</v>
      </c>
      <c r="W1951" s="29">
        <f t="shared" si="305"/>
        <v>0</v>
      </c>
      <c r="X1951" s="30">
        <f t="shared" si="306"/>
        <v>0</v>
      </c>
      <c r="Y1951"/>
      <c r="Z1951"/>
      <c r="AA1951"/>
    </row>
    <row r="1952" spans="1:27" s="51" customFormat="1" ht="18.600000000000001" hidden="1" customHeight="1" x14ac:dyDescent="0.25">
      <c r="A1952" s="81" t="s">
        <v>2653</v>
      </c>
      <c r="B1952" s="31" t="s">
        <v>9303</v>
      </c>
      <c r="C1952" s="32" t="s">
        <v>9318</v>
      </c>
      <c r="D1952" s="31" t="s">
        <v>4791</v>
      </c>
      <c r="E1952" s="33" t="s">
        <v>4792</v>
      </c>
      <c r="F1952" s="33" t="s">
        <v>1937</v>
      </c>
      <c r="G1952" s="33" t="s">
        <v>3586</v>
      </c>
      <c r="H1952" s="84" t="s">
        <v>4793</v>
      </c>
      <c r="I1952" s="23" t="s">
        <v>24</v>
      </c>
      <c r="J1952" s="34">
        <v>90</v>
      </c>
      <c r="K1952" s="35">
        <v>0.25</v>
      </c>
      <c r="L1952" s="36">
        <f t="shared" si="298"/>
        <v>22.5</v>
      </c>
      <c r="M1952" s="37">
        <f t="shared" si="299"/>
        <v>67.5</v>
      </c>
      <c r="N1952" s="38">
        <v>0.16</v>
      </c>
      <c r="O1952" s="39">
        <f t="shared" si="300"/>
        <v>10.8</v>
      </c>
      <c r="P1952" s="40">
        <f t="shared" si="301"/>
        <v>78.3</v>
      </c>
      <c r="Q1952" s="23"/>
      <c r="R1952" s="56"/>
      <c r="S1952" s="57"/>
      <c r="T1952" s="58">
        <f t="shared" si="302"/>
        <v>0</v>
      </c>
      <c r="U1952" s="36">
        <f t="shared" si="303"/>
        <v>0</v>
      </c>
      <c r="V1952" s="59">
        <f t="shared" si="304"/>
        <v>0</v>
      </c>
      <c r="W1952" s="39">
        <f t="shared" si="305"/>
        <v>0</v>
      </c>
      <c r="X1952" s="40">
        <f t="shared" si="306"/>
        <v>0</v>
      </c>
      <c r="Y1952"/>
      <c r="Z1952"/>
      <c r="AA1952"/>
    </row>
    <row r="1953" spans="1:27" s="51" customFormat="1" ht="18.600000000000001" hidden="1" customHeight="1" x14ac:dyDescent="0.25">
      <c r="A1953" s="82" t="s">
        <v>2653</v>
      </c>
      <c r="B1953" s="41" t="s">
        <v>9303</v>
      </c>
      <c r="C1953" s="42" t="s">
        <v>9318</v>
      </c>
      <c r="D1953" s="41" t="s">
        <v>4794</v>
      </c>
      <c r="E1953" s="43" t="s">
        <v>4795</v>
      </c>
      <c r="F1953" s="43" t="s">
        <v>1937</v>
      </c>
      <c r="G1953" s="43" t="s">
        <v>3586</v>
      </c>
      <c r="H1953" s="85" t="s">
        <v>4796</v>
      </c>
      <c r="I1953" s="23" t="s">
        <v>24</v>
      </c>
      <c r="J1953" s="44">
        <v>90</v>
      </c>
      <c r="K1953" s="45">
        <v>0.25</v>
      </c>
      <c r="L1953" s="46">
        <f t="shared" si="298"/>
        <v>22.5</v>
      </c>
      <c r="M1953" s="47">
        <f t="shared" si="299"/>
        <v>67.5</v>
      </c>
      <c r="N1953" s="48">
        <v>0.16</v>
      </c>
      <c r="O1953" s="49">
        <f t="shared" si="300"/>
        <v>10.8</v>
      </c>
      <c r="P1953" s="50">
        <f t="shared" si="301"/>
        <v>78.3</v>
      </c>
      <c r="Q1953" s="23"/>
      <c r="R1953" s="60"/>
      <c r="S1953" s="61"/>
      <c r="T1953" s="62">
        <f t="shared" si="302"/>
        <v>0</v>
      </c>
      <c r="U1953" s="46">
        <f t="shared" si="303"/>
        <v>0</v>
      </c>
      <c r="V1953" s="63">
        <f t="shared" si="304"/>
        <v>0</v>
      </c>
      <c r="W1953" s="49">
        <f t="shared" si="305"/>
        <v>0</v>
      </c>
      <c r="X1953" s="50">
        <f t="shared" si="306"/>
        <v>0</v>
      </c>
      <c r="Y1953"/>
      <c r="Z1953"/>
      <c r="AA1953"/>
    </row>
    <row r="1954" spans="1:27" s="51" customFormat="1" ht="18.600000000000001" hidden="1" customHeight="1" x14ac:dyDescent="0.25">
      <c r="A1954" s="80" t="s">
        <v>2653</v>
      </c>
      <c r="B1954" s="20" t="s">
        <v>9303</v>
      </c>
      <c r="C1954" s="21" t="s">
        <v>9318</v>
      </c>
      <c r="D1954" s="20" t="s">
        <v>4797</v>
      </c>
      <c r="E1954" s="22" t="s">
        <v>4798</v>
      </c>
      <c r="F1954" s="22" t="s">
        <v>1937</v>
      </c>
      <c r="G1954" s="22" t="s">
        <v>3586</v>
      </c>
      <c r="H1954" s="83" t="s">
        <v>4799</v>
      </c>
      <c r="I1954" s="23" t="s">
        <v>24</v>
      </c>
      <c r="J1954" s="24">
        <v>90</v>
      </c>
      <c r="K1954" s="25">
        <v>0.25</v>
      </c>
      <c r="L1954" s="26">
        <f t="shared" si="298"/>
        <v>22.5</v>
      </c>
      <c r="M1954" s="27">
        <f t="shared" si="299"/>
        <v>67.5</v>
      </c>
      <c r="N1954" s="28">
        <v>0.16</v>
      </c>
      <c r="O1954" s="29">
        <f t="shared" si="300"/>
        <v>10.8</v>
      </c>
      <c r="P1954" s="30">
        <f t="shared" si="301"/>
        <v>78.3</v>
      </c>
      <c r="Q1954" s="23"/>
      <c r="R1954" s="52"/>
      <c r="S1954" s="53"/>
      <c r="T1954" s="54">
        <f t="shared" si="302"/>
        <v>0</v>
      </c>
      <c r="U1954" s="26">
        <f t="shared" si="303"/>
        <v>0</v>
      </c>
      <c r="V1954" s="55">
        <f t="shared" si="304"/>
        <v>0</v>
      </c>
      <c r="W1954" s="29">
        <f t="shared" si="305"/>
        <v>0</v>
      </c>
      <c r="X1954" s="30">
        <f t="shared" si="306"/>
        <v>0</v>
      </c>
      <c r="Y1954"/>
      <c r="Z1954"/>
      <c r="AA1954"/>
    </row>
    <row r="1955" spans="1:27" s="51" customFormat="1" ht="18.600000000000001" hidden="1" customHeight="1" x14ac:dyDescent="0.25">
      <c r="A1955" s="81" t="s">
        <v>2653</v>
      </c>
      <c r="B1955" s="31" t="s">
        <v>9303</v>
      </c>
      <c r="C1955" s="32" t="s">
        <v>9318</v>
      </c>
      <c r="D1955" s="31" t="s">
        <v>4800</v>
      </c>
      <c r="E1955" s="33" t="s">
        <v>4801</v>
      </c>
      <c r="F1955" s="33" t="s">
        <v>1937</v>
      </c>
      <c r="G1955" s="33" t="s">
        <v>3586</v>
      </c>
      <c r="H1955" s="84" t="s">
        <v>4802</v>
      </c>
      <c r="I1955" s="23" t="s">
        <v>24</v>
      </c>
      <c r="J1955" s="34">
        <v>90</v>
      </c>
      <c r="K1955" s="35">
        <v>0.25</v>
      </c>
      <c r="L1955" s="36">
        <f t="shared" si="298"/>
        <v>22.5</v>
      </c>
      <c r="M1955" s="37">
        <f t="shared" si="299"/>
        <v>67.5</v>
      </c>
      <c r="N1955" s="38">
        <v>0.16</v>
      </c>
      <c r="O1955" s="39">
        <f t="shared" si="300"/>
        <v>10.8</v>
      </c>
      <c r="P1955" s="40">
        <f t="shared" si="301"/>
        <v>78.3</v>
      </c>
      <c r="Q1955" s="23"/>
      <c r="R1955" s="56"/>
      <c r="S1955" s="57"/>
      <c r="T1955" s="58">
        <f t="shared" si="302"/>
        <v>0</v>
      </c>
      <c r="U1955" s="36">
        <f t="shared" si="303"/>
        <v>0</v>
      </c>
      <c r="V1955" s="59">
        <f t="shared" si="304"/>
        <v>0</v>
      </c>
      <c r="W1955" s="39">
        <f t="shared" si="305"/>
        <v>0</v>
      </c>
      <c r="X1955" s="40">
        <f t="shared" si="306"/>
        <v>0</v>
      </c>
      <c r="Y1955"/>
      <c r="Z1955"/>
      <c r="AA1955"/>
    </row>
    <row r="1956" spans="1:27" s="51" customFormat="1" ht="18.600000000000001" hidden="1" customHeight="1" x14ac:dyDescent="0.25">
      <c r="A1956" s="82" t="s">
        <v>2653</v>
      </c>
      <c r="B1956" s="41" t="s">
        <v>9303</v>
      </c>
      <c r="C1956" s="42" t="s">
        <v>9318</v>
      </c>
      <c r="D1956" s="41" t="s">
        <v>4803</v>
      </c>
      <c r="E1956" s="43" t="s">
        <v>4804</v>
      </c>
      <c r="F1956" s="43" t="s">
        <v>1937</v>
      </c>
      <c r="G1956" s="43" t="s">
        <v>3586</v>
      </c>
      <c r="H1956" s="85" t="s">
        <v>4805</v>
      </c>
      <c r="I1956" s="23" t="s">
        <v>24</v>
      </c>
      <c r="J1956" s="44">
        <v>90</v>
      </c>
      <c r="K1956" s="45">
        <v>0.25</v>
      </c>
      <c r="L1956" s="46">
        <f t="shared" si="298"/>
        <v>22.5</v>
      </c>
      <c r="M1956" s="47">
        <f t="shared" si="299"/>
        <v>67.5</v>
      </c>
      <c r="N1956" s="48">
        <v>0.16</v>
      </c>
      <c r="O1956" s="49">
        <f t="shared" si="300"/>
        <v>10.8</v>
      </c>
      <c r="P1956" s="50">
        <f t="shared" si="301"/>
        <v>78.3</v>
      </c>
      <c r="Q1956" s="23"/>
      <c r="R1956" s="60"/>
      <c r="S1956" s="61"/>
      <c r="T1956" s="62">
        <f t="shared" si="302"/>
        <v>0</v>
      </c>
      <c r="U1956" s="46">
        <f t="shared" si="303"/>
        <v>0</v>
      </c>
      <c r="V1956" s="63">
        <f t="shared" si="304"/>
        <v>0</v>
      </c>
      <c r="W1956" s="49">
        <f t="shared" si="305"/>
        <v>0</v>
      </c>
      <c r="X1956" s="50">
        <f t="shared" si="306"/>
        <v>0</v>
      </c>
      <c r="Y1956"/>
      <c r="Z1956"/>
      <c r="AA1956"/>
    </row>
    <row r="1957" spans="1:27" s="51" customFormat="1" ht="18.600000000000001" hidden="1" customHeight="1" x14ac:dyDescent="0.25">
      <c r="A1957" s="80" t="s">
        <v>2653</v>
      </c>
      <c r="B1957" s="20" t="s">
        <v>9303</v>
      </c>
      <c r="C1957" s="21" t="s">
        <v>9318</v>
      </c>
      <c r="D1957" s="20" t="s">
        <v>4806</v>
      </c>
      <c r="E1957" s="22" t="s">
        <v>4807</v>
      </c>
      <c r="F1957" s="22" t="s">
        <v>1937</v>
      </c>
      <c r="G1957" s="22" t="s">
        <v>3586</v>
      </c>
      <c r="H1957" s="83" t="s">
        <v>4808</v>
      </c>
      <c r="I1957" s="23" t="s">
        <v>24</v>
      </c>
      <c r="J1957" s="24">
        <v>90</v>
      </c>
      <c r="K1957" s="25">
        <v>0.25</v>
      </c>
      <c r="L1957" s="26">
        <f t="shared" si="298"/>
        <v>22.5</v>
      </c>
      <c r="M1957" s="27">
        <f t="shared" si="299"/>
        <v>67.5</v>
      </c>
      <c r="N1957" s="28">
        <v>0.16</v>
      </c>
      <c r="O1957" s="29">
        <f t="shared" si="300"/>
        <v>10.8</v>
      </c>
      <c r="P1957" s="30">
        <f t="shared" si="301"/>
        <v>78.3</v>
      </c>
      <c r="Q1957" s="23"/>
      <c r="R1957" s="52"/>
      <c r="S1957" s="53"/>
      <c r="T1957" s="54">
        <f t="shared" si="302"/>
        <v>0</v>
      </c>
      <c r="U1957" s="26">
        <f t="shared" si="303"/>
        <v>0</v>
      </c>
      <c r="V1957" s="55">
        <f t="shared" si="304"/>
        <v>0</v>
      </c>
      <c r="W1957" s="29">
        <f t="shared" si="305"/>
        <v>0</v>
      </c>
      <c r="X1957" s="30">
        <f t="shared" si="306"/>
        <v>0</v>
      </c>
      <c r="Y1957"/>
      <c r="Z1957"/>
      <c r="AA1957"/>
    </row>
    <row r="1958" spans="1:27" s="51" customFormat="1" ht="18.600000000000001" hidden="1" customHeight="1" x14ac:dyDescent="0.25">
      <c r="A1958" s="81" t="s">
        <v>2653</v>
      </c>
      <c r="B1958" s="31" t="s">
        <v>9303</v>
      </c>
      <c r="C1958" s="32" t="s">
        <v>9318</v>
      </c>
      <c r="D1958" s="31" t="s">
        <v>4809</v>
      </c>
      <c r="E1958" s="33" t="s">
        <v>4810</v>
      </c>
      <c r="F1958" s="33" t="s">
        <v>1937</v>
      </c>
      <c r="G1958" s="33" t="s">
        <v>3586</v>
      </c>
      <c r="H1958" s="84" t="s">
        <v>4811</v>
      </c>
      <c r="I1958" s="23" t="s">
        <v>24</v>
      </c>
      <c r="J1958" s="34">
        <v>90</v>
      </c>
      <c r="K1958" s="35">
        <v>0.25</v>
      </c>
      <c r="L1958" s="36">
        <f t="shared" si="298"/>
        <v>22.5</v>
      </c>
      <c r="M1958" s="37">
        <f t="shared" si="299"/>
        <v>67.5</v>
      </c>
      <c r="N1958" s="38">
        <v>0.16</v>
      </c>
      <c r="O1958" s="39">
        <f t="shared" si="300"/>
        <v>10.8</v>
      </c>
      <c r="P1958" s="40">
        <f t="shared" si="301"/>
        <v>78.3</v>
      </c>
      <c r="Q1958" s="23"/>
      <c r="R1958" s="56"/>
      <c r="S1958" s="57"/>
      <c r="T1958" s="58">
        <f t="shared" si="302"/>
        <v>0</v>
      </c>
      <c r="U1958" s="36">
        <f t="shared" si="303"/>
        <v>0</v>
      </c>
      <c r="V1958" s="59">
        <f t="shared" si="304"/>
        <v>0</v>
      </c>
      <c r="W1958" s="39">
        <f t="shared" si="305"/>
        <v>0</v>
      </c>
      <c r="X1958" s="40">
        <f t="shared" si="306"/>
        <v>0</v>
      </c>
      <c r="Y1958"/>
      <c r="Z1958"/>
      <c r="AA1958"/>
    </row>
    <row r="1959" spans="1:27" s="51" customFormat="1" ht="18.600000000000001" hidden="1" customHeight="1" x14ac:dyDescent="0.25">
      <c r="A1959" s="82" t="s">
        <v>2653</v>
      </c>
      <c r="B1959" s="41" t="s">
        <v>9303</v>
      </c>
      <c r="C1959" s="42" t="s">
        <v>9318</v>
      </c>
      <c r="D1959" s="41" t="s">
        <v>4812</v>
      </c>
      <c r="E1959" s="43" t="s">
        <v>4813</v>
      </c>
      <c r="F1959" s="43" t="s">
        <v>1937</v>
      </c>
      <c r="G1959" s="43" t="s">
        <v>3586</v>
      </c>
      <c r="H1959" s="85" t="s">
        <v>4814</v>
      </c>
      <c r="I1959" s="23" t="s">
        <v>24</v>
      </c>
      <c r="J1959" s="44">
        <v>90</v>
      </c>
      <c r="K1959" s="45">
        <v>0.25</v>
      </c>
      <c r="L1959" s="46">
        <f t="shared" si="298"/>
        <v>22.5</v>
      </c>
      <c r="M1959" s="47">
        <f t="shared" si="299"/>
        <v>67.5</v>
      </c>
      <c r="N1959" s="48">
        <v>0.16</v>
      </c>
      <c r="O1959" s="49">
        <f t="shared" si="300"/>
        <v>10.8</v>
      </c>
      <c r="P1959" s="50">
        <f t="shared" si="301"/>
        <v>78.3</v>
      </c>
      <c r="Q1959" s="23"/>
      <c r="R1959" s="60"/>
      <c r="S1959" s="61"/>
      <c r="T1959" s="62">
        <f t="shared" si="302"/>
        <v>0</v>
      </c>
      <c r="U1959" s="46">
        <f t="shared" si="303"/>
        <v>0</v>
      </c>
      <c r="V1959" s="63">
        <f t="shared" si="304"/>
        <v>0</v>
      </c>
      <c r="W1959" s="49">
        <f t="shared" si="305"/>
        <v>0</v>
      </c>
      <c r="X1959" s="50">
        <f t="shared" si="306"/>
        <v>0</v>
      </c>
      <c r="Y1959"/>
      <c r="Z1959"/>
      <c r="AA1959"/>
    </row>
    <row r="1960" spans="1:27" s="51" customFormat="1" ht="18.600000000000001" hidden="1" customHeight="1" x14ac:dyDescent="0.25">
      <c r="A1960" s="80" t="s">
        <v>2653</v>
      </c>
      <c r="B1960" s="20" t="s">
        <v>9303</v>
      </c>
      <c r="C1960" s="21" t="s">
        <v>9318</v>
      </c>
      <c r="D1960" s="20" t="s">
        <v>4815</v>
      </c>
      <c r="E1960" s="22" t="s">
        <v>4816</v>
      </c>
      <c r="F1960" s="22" t="s">
        <v>1937</v>
      </c>
      <c r="G1960" s="22" t="s">
        <v>3586</v>
      </c>
      <c r="H1960" s="83" t="s">
        <v>4817</v>
      </c>
      <c r="I1960" s="23" t="s">
        <v>24</v>
      </c>
      <c r="J1960" s="24">
        <v>90</v>
      </c>
      <c r="K1960" s="25">
        <v>0.25</v>
      </c>
      <c r="L1960" s="26">
        <f t="shared" si="298"/>
        <v>22.5</v>
      </c>
      <c r="M1960" s="27">
        <f t="shared" si="299"/>
        <v>67.5</v>
      </c>
      <c r="N1960" s="28">
        <v>0.16</v>
      </c>
      <c r="O1960" s="29">
        <f t="shared" si="300"/>
        <v>10.8</v>
      </c>
      <c r="P1960" s="30">
        <f t="shared" si="301"/>
        <v>78.3</v>
      </c>
      <c r="Q1960" s="23"/>
      <c r="R1960" s="52"/>
      <c r="S1960" s="53"/>
      <c r="T1960" s="54">
        <f t="shared" si="302"/>
        <v>0</v>
      </c>
      <c r="U1960" s="26">
        <f t="shared" si="303"/>
        <v>0</v>
      </c>
      <c r="V1960" s="55">
        <f t="shared" si="304"/>
        <v>0</v>
      </c>
      <c r="W1960" s="29">
        <f t="shared" si="305"/>
        <v>0</v>
      </c>
      <c r="X1960" s="30">
        <f t="shared" si="306"/>
        <v>0</v>
      </c>
      <c r="Y1960"/>
      <c r="Z1960"/>
      <c r="AA1960"/>
    </row>
    <row r="1961" spans="1:27" s="51" customFormat="1" ht="18.600000000000001" hidden="1" customHeight="1" x14ac:dyDescent="0.25">
      <c r="A1961" s="81" t="s">
        <v>2653</v>
      </c>
      <c r="B1961" s="31" t="s">
        <v>9303</v>
      </c>
      <c r="C1961" s="32" t="s">
        <v>9318</v>
      </c>
      <c r="D1961" s="31" t="s">
        <v>4818</v>
      </c>
      <c r="E1961" s="33" t="s">
        <v>4819</v>
      </c>
      <c r="F1961" s="33" t="s">
        <v>1937</v>
      </c>
      <c r="G1961" s="33" t="s">
        <v>3586</v>
      </c>
      <c r="H1961" s="84" t="s">
        <v>4820</v>
      </c>
      <c r="I1961" s="23" t="s">
        <v>24</v>
      </c>
      <c r="J1961" s="34">
        <v>90</v>
      </c>
      <c r="K1961" s="35">
        <v>0.25</v>
      </c>
      <c r="L1961" s="36">
        <f t="shared" si="298"/>
        <v>22.5</v>
      </c>
      <c r="M1961" s="37">
        <f t="shared" si="299"/>
        <v>67.5</v>
      </c>
      <c r="N1961" s="38">
        <v>0.16</v>
      </c>
      <c r="O1961" s="39">
        <f t="shared" si="300"/>
        <v>10.8</v>
      </c>
      <c r="P1961" s="40">
        <f t="shared" si="301"/>
        <v>78.3</v>
      </c>
      <c r="Q1961" s="23"/>
      <c r="R1961" s="56"/>
      <c r="S1961" s="57"/>
      <c r="T1961" s="58">
        <f t="shared" si="302"/>
        <v>0</v>
      </c>
      <c r="U1961" s="36">
        <f t="shared" si="303"/>
        <v>0</v>
      </c>
      <c r="V1961" s="59">
        <f t="shared" si="304"/>
        <v>0</v>
      </c>
      <c r="W1961" s="39">
        <f t="shared" si="305"/>
        <v>0</v>
      </c>
      <c r="X1961" s="40">
        <f t="shared" si="306"/>
        <v>0</v>
      </c>
      <c r="Y1961"/>
      <c r="Z1961"/>
      <c r="AA1961"/>
    </row>
    <row r="1962" spans="1:27" s="51" customFormat="1" ht="18.600000000000001" hidden="1" customHeight="1" x14ac:dyDescent="0.25">
      <c r="A1962" s="82" t="s">
        <v>2653</v>
      </c>
      <c r="B1962" s="41" t="s">
        <v>9303</v>
      </c>
      <c r="C1962" s="42" t="s">
        <v>9318</v>
      </c>
      <c r="D1962" s="41" t="s">
        <v>4821</v>
      </c>
      <c r="E1962" s="43" t="s">
        <v>4822</v>
      </c>
      <c r="F1962" s="43" t="s">
        <v>1937</v>
      </c>
      <c r="G1962" s="43" t="s">
        <v>3586</v>
      </c>
      <c r="H1962" s="85" t="s">
        <v>4823</v>
      </c>
      <c r="I1962" s="23" t="s">
        <v>24</v>
      </c>
      <c r="J1962" s="44">
        <v>90</v>
      </c>
      <c r="K1962" s="45">
        <v>0.25</v>
      </c>
      <c r="L1962" s="46">
        <f t="shared" si="298"/>
        <v>22.5</v>
      </c>
      <c r="M1962" s="47">
        <f t="shared" si="299"/>
        <v>67.5</v>
      </c>
      <c r="N1962" s="48">
        <v>0.16</v>
      </c>
      <c r="O1962" s="49">
        <f t="shared" si="300"/>
        <v>10.8</v>
      </c>
      <c r="P1962" s="50">
        <f t="shared" si="301"/>
        <v>78.3</v>
      </c>
      <c r="Q1962" s="23"/>
      <c r="R1962" s="60"/>
      <c r="S1962" s="61"/>
      <c r="T1962" s="62">
        <f t="shared" si="302"/>
        <v>0</v>
      </c>
      <c r="U1962" s="46">
        <f t="shared" si="303"/>
        <v>0</v>
      </c>
      <c r="V1962" s="63">
        <f t="shared" si="304"/>
        <v>0</v>
      </c>
      <c r="W1962" s="49">
        <f t="shared" si="305"/>
        <v>0</v>
      </c>
      <c r="X1962" s="50">
        <f t="shared" si="306"/>
        <v>0</v>
      </c>
      <c r="Y1962"/>
      <c r="Z1962"/>
      <c r="AA1962"/>
    </row>
    <row r="1963" spans="1:27" s="51" customFormat="1" ht="18.600000000000001" hidden="1" customHeight="1" x14ac:dyDescent="0.25">
      <c r="A1963" s="80" t="s">
        <v>2653</v>
      </c>
      <c r="B1963" s="20" t="s">
        <v>9303</v>
      </c>
      <c r="C1963" s="21" t="s">
        <v>9318</v>
      </c>
      <c r="D1963" s="20" t="s">
        <v>4824</v>
      </c>
      <c r="E1963" s="22" t="s">
        <v>4825</v>
      </c>
      <c r="F1963" s="22" t="s">
        <v>1937</v>
      </c>
      <c r="G1963" s="22" t="s">
        <v>3586</v>
      </c>
      <c r="H1963" s="83" t="s">
        <v>4826</v>
      </c>
      <c r="I1963" s="23" t="s">
        <v>24</v>
      </c>
      <c r="J1963" s="24">
        <v>90</v>
      </c>
      <c r="K1963" s="25">
        <v>0.25</v>
      </c>
      <c r="L1963" s="26">
        <f t="shared" si="298"/>
        <v>22.5</v>
      </c>
      <c r="M1963" s="27">
        <f t="shared" si="299"/>
        <v>67.5</v>
      </c>
      <c r="N1963" s="28">
        <v>0.16</v>
      </c>
      <c r="O1963" s="29">
        <f t="shared" si="300"/>
        <v>10.8</v>
      </c>
      <c r="P1963" s="30">
        <f t="shared" si="301"/>
        <v>78.3</v>
      </c>
      <c r="Q1963" s="23"/>
      <c r="R1963" s="52"/>
      <c r="S1963" s="53"/>
      <c r="T1963" s="54">
        <f t="shared" si="302"/>
        <v>0</v>
      </c>
      <c r="U1963" s="26">
        <f t="shared" si="303"/>
        <v>0</v>
      </c>
      <c r="V1963" s="55">
        <f t="shared" si="304"/>
        <v>0</v>
      </c>
      <c r="W1963" s="29">
        <f t="shared" si="305"/>
        <v>0</v>
      </c>
      <c r="X1963" s="30">
        <f t="shared" si="306"/>
        <v>0</v>
      </c>
      <c r="Y1963"/>
      <c r="Z1963"/>
      <c r="AA1963"/>
    </row>
    <row r="1964" spans="1:27" s="51" customFormat="1" ht="18.600000000000001" hidden="1" customHeight="1" x14ac:dyDescent="0.25">
      <c r="A1964" s="81" t="s">
        <v>2653</v>
      </c>
      <c r="B1964" s="31" t="s">
        <v>9303</v>
      </c>
      <c r="C1964" s="32" t="s">
        <v>9318</v>
      </c>
      <c r="D1964" s="31" t="s">
        <v>4827</v>
      </c>
      <c r="E1964" s="33" t="s">
        <v>4828</v>
      </c>
      <c r="F1964" s="33" t="s">
        <v>1937</v>
      </c>
      <c r="G1964" s="33" t="s">
        <v>3586</v>
      </c>
      <c r="H1964" s="84" t="s">
        <v>4829</v>
      </c>
      <c r="I1964" s="23" t="s">
        <v>24</v>
      </c>
      <c r="J1964" s="34">
        <v>90</v>
      </c>
      <c r="K1964" s="35">
        <v>0.25</v>
      </c>
      <c r="L1964" s="36">
        <f t="shared" si="298"/>
        <v>22.5</v>
      </c>
      <c r="M1964" s="37">
        <f t="shared" si="299"/>
        <v>67.5</v>
      </c>
      <c r="N1964" s="38">
        <v>0.16</v>
      </c>
      <c r="O1964" s="39">
        <f t="shared" si="300"/>
        <v>10.8</v>
      </c>
      <c r="P1964" s="40">
        <f t="shared" si="301"/>
        <v>78.3</v>
      </c>
      <c r="Q1964" s="23"/>
      <c r="R1964" s="56"/>
      <c r="S1964" s="57"/>
      <c r="T1964" s="58">
        <f t="shared" si="302"/>
        <v>0</v>
      </c>
      <c r="U1964" s="36">
        <f t="shared" si="303"/>
        <v>0</v>
      </c>
      <c r="V1964" s="59">
        <f t="shared" si="304"/>
        <v>0</v>
      </c>
      <c r="W1964" s="39">
        <f t="shared" si="305"/>
        <v>0</v>
      </c>
      <c r="X1964" s="40">
        <f t="shared" si="306"/>
        <v>0</v>
      </c>
      <c r="Y1964"/>
      <c r="Z1964"/>
      <c r="AA1964"/>
    </row>
    <row r="1965" spans="1:27" s="51" customFormat="1" ht="18.600000000000001" hidden="1" customHeight="1" x14ac:dyDescent="0.25">
      <c r="A1965" s="82" t="s">
        <v>2653</v>
      </c>
      <c r="B1965" s="41" t="s">
        <v>9303</v>
      </c>
      <c r="C1965" s="42" t="s">
        <v>9318</v>
      </c>
      <c r="D1965" s="41" t="s">
        <v>4830</v>
      </c>
      <c r="E1965" s="43" t="s">
        <v>4831</v>
      </c>
      <c r="F1965" s="43" t="s">
        <v>1937</v>
      </c>
      <c r="G1965" s="43" t="s">
        <v>3586</v>
      </c>
      <c r="H1965" s="85" t="s">
        <v>4832</v>
      </c>
      <c r="I1965" s="23" t="s">
        <v>24</v>
      </c>
      <c r="J1965" s="44">
        <v>90</v>
      </c>
      <c r="K1965" s="45">
        <v>0.25</v>
      </c>
      <c r="L1965" s="46">
        <f t="shared" si="298"/>
        <v>22.5</v>
      </c>
      <c r="M1965" s="47">
        <f t="shared" si="299"/>
        <v>67.5</v>
      </c>
      <c r="N1965" s="48">
        <v>0.16</v>
      </c>
      <c r="O1965" s="49">
        <f t="shared" si="300"/>
        <v>10.8</v>
      </c>
      <c r="P1965" s="50">
        <f t="shared" si="301"/>
        <v>78.3</v>
      </c>
      <c r="Q1965" s="23"/>
      <c r="R1965" s="60"/>
      <c r="S1965" s="61"/>
      <c r="T1965" s="62">
        <f t="shared" si="302"/>
        <v>0</v>
      </c>
      <c r="U1965" s="46">
        <f t="shared" si="303"/>
        <v>0</v>
      </c>
      <c r="V1965" s="63">
        <f t="shared" si="304"/>
        <v>0</v>
      </c>
      <c r="W1965" s="49">
        <f t="shared" si="305"/>
        <v>0</v>
      </c>
      <c r="X1965" s="50">
        <f t="shared" si="306"/>
        <v>0</v>
      </c>
      <c r="Y1965"/>
      <c r="Z1965"/>
      <c r="AA1965"/>
    </row>
    <row r="1966" spans="1:27" s="51" customFormat="1" ht="18.600000000000001" hidden="1" customHeight="1" x14ac:dyDescent="0.25">
      <c r="A1966" s="80" t="s">
        <v>2653</v>
      </c>
      <c r="B1966" s="20" t="s">
        <v>9303</v>
      </c>
      <c r="C1966" s="21" t="s">
        <v>9318</v>
      </c>
      <c r="D1966" s="20" t="s">
        <v>4833</v>
      </c>
      <c r="E1966" s="22" t="s">
        <v>4834</v>
      </c>
      <c r="F1966" s="22" t="s">
        <v>1937</v>
      </c>
      <c r="G1966" s="22" t="s">
        <v>3586</v>
      </c>
      <c r="H1966" s="83" t="s">
        <v>4835</v>
      </c>
      <c r="I1966" s="23" t="s">
        <v>24</v>
      </c>
      <c r="J1966" s="24">
        <v>90</v>
      </c>
      <c r="K1966" s="25">
        <v>0.25</v>
      </c>
      <c r="L1966" s="26">
        <f t="shared" si="298"/>
        <v>22.5</v>
      </c>
      <c r="M1966" s="27">
        <f t="shared" si="299"/>
        <v>67.5</v>
      </c>
      <c r="N1966" s="28">
        <v>0.16</v>
      </c>
      <c r="O1966" s="29">
        <f t="shared" si="300"/>
        <v>10.8</v>
      </c>
      <c r="P1966" s="30">
        <f t="shared" si="301"/>
        <v>78.3</v>
      </c>
      <c r="Q1966" s="23"/>
      <c r="R1966" s="52"/>
      <c r="S1966" s="53"/>
      <c r="T1966" s="54">
        <f t="shared" si="302"/>
        <v>0</v>
      </c>
      <c r="U1966" s="26">
        <f t="shared" si="303"/>
        <v>0</v>
      </c>
      <c r="V1966" s="55">
        <f t="shared" si="304"/>
        <v>0</v>
      </c>
      <c r="W1966" s="29">
        <f t="shared" si="305"/>
        <v>0</v>
      </c>
      <c r="X1966" s="30">
        <f t="shared" si="306"/>
        <v>0</v>
      </c>
      <c r="Y1966"/>
      <c r="Z1966"/>
      <c r="AA1966"/>
    </row>
    <row r="1967" spans="1:27" s="51" customFormat="1" ht="18.600000000000001" hidden="1" customHeight="1" x14ac:dyDescent="0.25">
      <c r="A1967" s="81" t="s">
        <v>2653</v>
      </c>
      <c r="B1967" s="31" t="s">
        <v>9303</v>
      </c>
      <c r="C1967" s="32" t="s">
        <v>9318</v>
      </c>
      <c r="D1967" s="31" t="s">
        <v>4836</v>
      </c>
      <c r="E1967" s="33" t="s">
        <v>4837</v>
      </c>
      <c r="F1967" s="33" t="s">
        <v>1937</v>
      </c>
      <c r="G1967" s="33" t="s">
        <v>3586</v>
      </c>
      <c r="H1967" s="84" t="s">
        <v>4838</v>
      </c>
      <c r="I1967" s="23" t="s">
        <v>24</v>
      </c>
      <c r="J1967" s="34">
        <v>90</v>
      </c>
      <c r="K1967" s="35">
        <v>0.25</v>
      </c>
      <c r="L1967" s="36">
        <f t="shared" si="298"/>
        <v>22.5</v>
      </c>
      <c r="M1967" s="37">
        <f t="shared" si="299"/>
        <v>67.5</v>
      </c>
      <c r="N1967" s="38">
        <v>0.16</v>
      </c>
      <c r="O1967" s="39">
        <f t="shared" si="300"/>
        <v>10.8</v>
      </c>
      <c r="P1967" s="40">
        <f t="shared" si="301"/>
        <v>78.3</v>
      </c>
      <c r="Q1967" s="23"/>
      <c r="R1967" s="56"/>
      <c r="S1967" s="57"/>
      <c r="T1967" s="58">
        <f t="shared" si="302"/>
        <v>0</v>
      </c>
      <c r="U1967" s="36">
        <f t="shared" si="303"/>
        <v>0</v>
      </c>
      <c r="V1967" s="59">
        <f t="shared" si="304"/>
        <v>0</v>
      </c>
      <c r="W1967" s="39">
        <f t="shared" si="305"/>
        <v>0</v>
      </c>
      <c r="X1967" s="40">
        <f t="shared" si="306"/>
        <v>0</v>
      </c>
      <c r="Y1967"/>
      <c r="Z1967"/>
      <c r="AA1967"/>
    </row>
    <row r="1968" spans="1:27" s="51" customFormat="1" ht="18.600000000000001" hidden="1" customHeight="1" x14ac:dyDescent="0.25">
      <c r="A1968" s="82" t="s">
        <v>2653</v>
      </c>
      <c r="B1968" s="41" t="s">
        <v>9303</v>
      </c>
      <c r="C1968" s="42" t="s">
        <v>9318</v>
      </c>
      <c r="D1968" s="41" t="s">
        <v>4839</v>
      </c>
      <c r="E1968" s="43" t="s">
        <v>4840</v>
      </c>
      <c r="F1968" s="43" t="s">
        <v>1937</v>
      </c>
      <c r="G1968" s="43" t="s">
        <v>3586</v>
      </c>
      <c r="H1968" s="85" t="s">
        <v>4841</v>
      </c>
      <c r="I1968" s="23" t="s">
        <v>24</v>
      </c>
      <c r="J1968" s="44">
        <v>90</v>
      </c>
      <c r="K1968" s="45">
        <v>0.25</v>
      </c>
      <c r="L1968" s="46">
        <f t="shared" si="298"/>
        <v>22.5</v>
      </c>
      <c r="M1968" s="47">
        <f t="shared" si="299"/>
        <v>67.5</v>
      </c>
      <c r="N1968" s="48">
        <v>0.16</v>
      </c>
      <c r="O1968" s="49">
        <f t="shared" si="300"/>
        <v>10.8</v>
      </c>
      <c r="P1968" s="50">
        <f t="shared" si="301"/>
        <v>78.3</v>
      </c>
      <c r="Q1968" s="23"/>
      <c r="R1968" s="60"/>
      <c r="S1968" s="61"/>
      <c r="T1968" s="62">
        <f t="shared" si="302"/>
        <v>0</v>
      </c>
      <c r="U1968" s="46">
        <f t="shared" si="303"/>
        <v>0</v>
      </c>
      <c r="V1968" s="63">
        <f t="shared" si="304"/>
        <v>0</v>
      </c>
      <c r="W1968" s="49">
        <f t="shared" si="305"/>
        <v>0</v>
      </c>
      <c r="X1968" s="50">
        <f t="shared" si="306"/>
        <v>0</v>
      </c>
      <c r="Y1968"/>
      <c r="Z1968"/>
      <c r="AA1968"/>
    </row>
    <row r="1969" spans="1:27" s="51" customFormat="1" ht="18.600000000000001" hidden="1" customHeight="1" x14ac:dyDescent="0.25">
      <c r="A1969" s="80" t="s">
        <v>2653</v>
      </c>
      <c r="B1969" s="20" t="s">
        <v>9303</v>
      </c>
      <c r="C1969" s="21" t="s">
        <v>9318</v>
      </c>
      <c r="D1969" s="20" t="s">
        <v>4842</v>
      </c>
      <c r="E1969" s="22" t="s">
        <v>4843</v>
      </c>
      <c r="F1969" s="22" t="s">
        <v>1937</v>
      </c>
      <c r="G1969" s="22" t="s">
        <v>3586</v>
      </c>
      <c r="H1969" s="83" t="s">
        <v>4844</v>
      </c>
      <c r="I1969" s="23" t="s">
        <v>24</v>
      </c>
      <c r="J1969" s="24">
        <v>90</v>
      </c>
      <c r="K1969" s="25">
        <v>0.25</v>
      </c>
      <c r="L1969" s="26">
        <f t="shared" si="298"/>
        <v>22.5</v>
      </c>
      <c r="M1969" s="27">
        <f t="shared" si="299"/>
        <v>67.5</v>
      </c>
      <c r="N1969" s="28">
        <v>0.16</v>
      </c>
      <c r="O1969" s="29">
        <f t="shared" si="300"/>
        <v>10.8</v>
      </c>
      <c r="P1969" s="30">
        <f t="shared" si="301"/>
        <v>78.3</v>
      </c>
      <c r="Q1969" s="23"/>
      <c r="R1969" s="52"/>
      <c r="S1969" s="53"/>
      <c r="T1969" s="54">
        <f t="shared" si="302"/>
        <v>0</v>
      </c>
      <c r="U1969" s="26">
        <f t="shared" si="303"/>
        <v>0</v>
      </c>
      <c r="V1969" s="55">
        <f t="shared" si="304"/>
        <v>0</v>
      </c>
      <c r="W1969" s="29">
        <f t="shared" si="305"/>
        <v>0</v>
      </c>
      <c r="X1969" s="30">
        <f t="shared" si="306"/>
        <v>0</v>
      </c>
      <c r="Y1969"/>
      <c r="Z1969"/>
      <c r="AA1969"/>
    </row>
    <row r="1970" spans="1:27" s="51" customFormat="1" ht="18.600000000000001" hidden="1" customHeight="1" x14ac:dyDescent="0.25">
      <c r="A1970" s="81" t="s">
        <v>2653</v>
      </c>
      <c r="B1970" s="31" t="s">
        <v>9303</v>
      </c>
      <c r="C1970" s="32" t="s">
        <v>9318</v>
      </c>
      <c r="D1970" s="31" t="s">
        <v>4845</v>
      </c>
      <c r="E1970" s="33" t="s">
        <v>4846</v>
      </c>
      <c r="F1970" s="33" t="s">
        <v>1937</v>
      </c>
      <c r="G1970" s="33" t="s">
        <v>3586</v>
      </c>
      <c r="H1970" s="84" t="s">
        <v>4847</v>
      </c>
      <c r="I1970" s="23" t="s">
        <v>24</v>
      </c>
      <c r="J1970" s="34">
        <v>90</v>
      </c>
      <c r="K1970" s="35">
        <v>0.25</v>
      </c>
      <c r="L1970" s="36">
        <f t="shared" si="298"/>
        <v>22.5</v>
      </c>
      <c r="M1970" s="37">
        <f t="shared" si="299"/>
        <v>67.5</v>
      </c>
      <c r="N1970" s="38">
        <v>0.16</v>
      </c>
      <c r="O1970" s="39">
        <f t="shared" si="300"/>
        <v>10.8</v>
      </c>
      <c r="P1970" s="40">
        <f t="shared" si="301"/>
        <v>78.3</v>
      </c>
      <c r="Q1970" s="23"/>
      <c r="R1970" s="56"/>
      <c r="S1970" s="57"/>
      <c r="T1970" s="58">
        <f t="shared" si="302"/>
        <v>0</v>
      </c>
      <c r="U1970" s="36">
        <f t="shared" si="303"/>
        <v>0</v>
      </c>
      <c r="V1970" s="59">
        <f t="shared" si="304"/>
        <v>0</v>
      </c>
      <c r="W1970" s="39">
        <f t="shared" si="305"/>
        <v>0</v>
      </c>
      <c r="X1970" s="40">
        <f t="shared" si="306"/>
        <v>0</v>
      </c>
      <c r="Y1970"/>
      <c r="Z1970"/>
      <c r="AA1970"/>
    </row>
    <row r="1971" spans="1:27" s="51" customFormat="1" ht="18.600000000000001" hidden="1" customHeight="1" x14ac:dyDescent="0.25">
      <c r="A1971" s="82" t="s">
        <v>2653</v>
      </c>
      <c r="B1971" s="41" t="s">
        <v>9303</v>
      </c>
      <c r="C1971" s="42" t="s">
        <v>9318</v>
      </c>
      <c r="D1971" s="41" t="s">
        <v>4848</v>
      </c>
      <c r="E1971" s="43" t="s">
        <v>4849</v>
      </c>
      <c r="F1971" s="43" t="s">
        <v>1937</v>
      </c>
      <c r="G1971" s="43" t="s">
        <v>3586</v>
      </c>
      <c r="H1971" s="85" t="s">
        <v>4850</v>
      </c>
      <c r="I1971" s="23" t="s">
        <v>24</v>
      </c>
      <c r="J1971" s="44">
        <v>90</v>
      </c>
      <c r="K1971" s="45">
        <v>0.25</v>
      </c>
      <c r="L1971" s="46">
        <f t="shared" si="298"/>
        <v>22.5</v>
      </c>
      <c r="M1971" s="47">
        <f t="shared" si="299"/>
        <v>67.5</v>
      </c>
      <c r="N1971" s="48">
        <v>0.16</v>
      </c>
      <c r="O1971" s="49">
        <f t="shared" si="300"/>
        <v>10.8</v>
      </c>
      <c r="P1971" s="50">
        <f t="shared" si="301"/>
        <v>78.3</v>
      </c>
      <c r="Q1971" s="23"/>
      <c r="R1971" s="60"/>
      <c r="S1971" s="61"/>
      <c r="T1971" s="62">
        <f t="shared" si="302"/>
        <v>0</v>
      </c>
      <c r="U1971" s="46">
        <f t="shared" si="303"/>
        <v>0</v>
      </c>
      <c r="V1971" s="63">
        <f t="shared" si="304"/>
        <v>0</v>
      </c>
      <c r="W1971" s="49">
        <f t="shared" si="305"/>
        <v>0</v>
      </c>
      <c r="X1971" s="50">
        <f t="shared" si="306"/>
        <v>0</v>
      </c>
      <c r="Y1971"/>
      <c r="Z1971"/>
      <c r="AA1971"/>
    </row>
    <row r="1972" spans="1:27" s="51" customFormat="1" ht="18.600000000000001" hidden="1" customHeight="1" x14ac:dyDescent="0.25">
      <c r="A1972" s="80" t="s">
        <v>2653</v>
      </c>
      <c r="B1972" s="20" t="s">
        <v>9303</v>
      </c>
      <c r="C1972" s="21" t="s">
        <v>9318</v>
      </c>
      <c r="D1972" s="20" t="s">
        <v>4851</v>
      </c>
      <c r="E1972" s="22" t="s">
        <v>4852</v>
      </c>
      <c r="F1972" s="22" t="s">
        <v>1937</v>
      </c>
      <c r="G1972" s="22" t="s">
        <v>3586</v>
      </c>
      <c r="H1972" s="83" t="s">
        <v>4853</v>
      </c>
      <c r="I1972" s="23" t="s">
        <v>24</v>
      </c>
      <c r="J1972" s="24">
        <v>90</v>
      </c>
      <c r="K1972" s="25">
        <v>0.25</v>
      </c>
      <c r="L1972" s="26">
        <f t="shared" si="298"/>
        <v>22.5</v>
      </c>
      <c r="M1972" s="27">
        <f t="shared" si="299"/>
        <v>67.5</v>
      </c>
      <c r="N1972" s="28">
        <v>0.16</v>
      </c>
      <c r="O1972" s="29">
        <f t="shared" si="300"/>
        <v>10.8</v>
      </c>
      <c r="P1972" s="30">
        <f t="shared" si="301"/>
        <v>78.3</v>
      </c>
      <c r="Q1972" s="23"/>
      <c r="R1972" s="52"/>
      <c r="S1972" s="53"/>
      <c r="T1972" s="54">
        <f t="shared" si="302"/>
        <v>0</v>
      </c>
      <c r="U1972" s="26">
        <f t="shared" si="303"/>
        <v>0</v>
      </c>
      <c r="V1972" s="55">
        <f t="shared" si="304"/>
        <v>0</v>
      </c>
      <c r="W1972" s="29">
        <f t="shared" si="305"/>
        <v>0</v>
      </c>
      <c r="X1972" s="30">
        <f t="shared" si="306"/>
        <v>0</v>
      </c>
      <c r="Y1972"/>
      <c r="Z1972"/>
      <c r="AA1972"/>
    </row>
    <row r="1973" spans="1:27" s="51" customFormat="1" ht="18.600000000000001" hidden="1" customHeight="1" x14ac:dyDescent="0.25">
      <c r="A1973" s="81" t="s">
        <v>2653</v>
      </c>
      <c r="B1973" s="31" t="s">
        <v>9303</v>
      </c>
      <c r="C1973" s="32" t="s">
        <v>9318</v>
      </c>
      <c r="D1973" s="31" t="s">
        <v>4854</v>
      </c>
      <c r="E1973" s="33" t="s">
        <v>4855</v>
      </c>
      <c r="F1973" s="33" t="s">
        <v>1937</v>
      </c>
      <c r="G1973" s="33" t="s">
        <v>3586</v>
      </c>
      <c r="H1973" s="84" t="s">
        <v>4856</v>
      </c>
      <c r="I1973" s="23" t="s">
        <v>24</v>
      </c>
      <c r="J1973" s="34">
        <v>90</v>
      </c>
      <c r="K1973" s="35">
        <v>0.25</v>
      </c>
      <c r="L1973" s="36">
        <f t="shared" si="298"/>
        <v>22.5</v>
      </c>
      <c r="M1973" s="37">
        <f t="shared" si="299"/>
        <v>67.5</v>
      </c>
      <c r="N1973" s="38">
        <v>0.16</v>
      </c>
      <c r="O1973" s="39">
        <f t="shared" si="300"/>
        <v>10.8</v>
      </c>
      <c r="P1973" s="40">
        <f t="shared" si="301"/>
        <v>78.3</v>
      </c>
      <c r="Q1973" s="23"/>
      <c r="R1973" s="56"/>
      <c r="S1973" s="57"/>
      <c r="T1973" s="58">
        <f t="shared" si="302"/>
        <v>0</v>
      </c>
      <c r="U1973" s="36">
        <f t="shared" si="303"/>
        <v>0</v>
      </c>
      <c r="V1973" s="59">
        <f t="shared" si="304"/>
        <v>0</v>
      </c>
      <c r="W1973" s="39">
        <f t="shared" si="305"/>
        <v>0</v>
      </c>
      <c r="X1973" s="40">
        <f t="shared" si="306"/>
        <v>0</v>
      </c>
      <c r="Y1973"/>
      <c r="Z1973"/>
      <c r="AA1973"/>
    </row>
    <row r="1974" spans="1:27" s="51" customFormat="1" ht="18.600000000000001" hidden="1" customHeight="1" x14ac:dyDescent="0.25">
      <c r="A1974" s="82" t="s">
        <v>2653</v>
      </c>
      <c r="B1974" s="41" t="s">
        <v>9303</v>
      </c>
      <c r="C1974" s="42" t="s">
        <v>9318</v>
      </c>
      <c r="D1974" s="41" t="s">
        <v>4857</v>
      </c>
      <c r="E1974" s="43" t="s">
        <v>4858</v>
      </c>
      <c r="F1974" s="43" t="s">
        <v>1937</v>
      </c>
      <c r="G1974" s="43" t="s">
        <v>3586</v>
      </c>
      <c r="H1974" s="85" t="s">
        <v>4859</v>
      </c>
      <c r="I1974" s="23" t="s">
        <v>24</v>
      </c>
      <c r="J1974" s="44">
        <v>90</v>
      </c>
      <c r="K1974" s="45">
        <v>0.25</v>
      </c>
      <c r="L1974" s="46">
        <f t="shared" si="298"/>
        <v>22.5</v>
      </c>
      <c r="M1974" s="47">
        <f t="shared" si="299"/>
        <v>67.5</v>
      </c>
      <c r="N1974" s="48">
        <v>0.16</v>
      </c>
      <c r="O1974" s="49">
        <f t="shared" si="300"/>
        <v>10.8</v>
      </c>
      <c r="P1974" s="50">
        <f t="shared" si="301"/>
        <v>78.3</v>
      </c>
      <c r="Q1974" s="23"/>
      <c r="R1974" s="60"/>
      <c r="S1974" s="61"/>
      <c r="T1974" s="62">
        <f t="shared" si="302"/>
        <v>0</v>
      </c>
      <c r="U1974" s="46">
        <f t="shared" si="303"/>
        <v>0</v>
      </c>
      <c r="V1974" s="63">
        <f t="shared" si="304"/>
        <v>0</v>
      </c>
      <c r="W1974" s="49">
        <f t="shared" si="305"/>
        <v>0</v>
      </c>
      <c r="X1974" s="50">
        <f t="shared" si="306"/>
        <v>0</v>
      </c>
      <c r="Y1974"/>
      <c r="Z1974"/>
      <c r="AA1974"/>
    </row>
    <row r="1975" spans="1:27" s="51" customFormat="1" ht="18.600000000000001" hidden="1" customHeight="1" x14ac:dyDescent="0.25">
      <c r="A1975" s="80" t="s">
        <v>2653</v>
      </c>
      <c r="B1975" s="20" t="s">
        <v>9303</v>
      </c>
      <c r="C1975" s="21" t="s">
        <v>9318</v>
      </c>
      <c r="D1975" s="20" t="s">
        <v>4860</v>
      </c>
      <c r="E1975" s="22" t="s">
        <v>4861</v>
      </c>
      <c r="F1975" s="22" t="s">
        <v>1937</v>
      </c>
      <c r="G1975" s="22" t="s">
        <v>3586</v>
      </c>
      <c r="H1975" s="83" t="s">
        <v>4862</v>
      </c>
      <c r="I1975" s="23" t="s">
        <v>24</v>
      </c>
      <c r="J1975" s="24">
        <v>90</v>
      </c>
      <c r="K1975" s="25">
        <v>0.25</v>
      </c>
      <c r="L1975" s="26">
        <f t="shared" si="298"/>
        <v>22.5</v>
      </c>
      <c r="M1975" s="27">
        <f t="shared" si="299"/>
        <v>67.5</v>
      </c>
      <c r="N1975" s="28">
        <v>0.16</v>
      </c>
      <c r="O1975" s="29">
        <f t="shared" si="300"/>
        <v>10.8</v>
      </c>
      <c r="P1975" s="30">
        <f t="shared" si="301"/>
        <v>78.3</v>
      </c>
      <c r="Q1975" s="23"/>
      <c r="R1975" s="52"/>
      <c r="S1975" s="53"/>
      <c r="T1975" s="54">
        <f t="shared" si="302"/>
        <v>0</v>
      </c>
      <c r="U1975" s="26">
        <f t="shared" si="303"/>
        <v>0</v>
      </c>
      <c r="V1975" s="55">
        <f t="shared" si="304"/>
        <v>0</v>
      </c>
      <c r="W1975" s="29">
        <f t="shared" si="305"/>
        <v>0</v>
      </c>
      <c r="X1975" s="30">
        <f t="shared" si="306"/>
        <v>0</v>
      </c>
      <c r="Y1975"/>
      <c r="Z1975"/>
      <c r="AA1975"/>
    </row>
    <row r="1976" spans="1:27" s="51" customFormat="1" ht="18.600000000000001" hidden="1" customHeight="1" x14ac:dyDescent="0.25">
      <c r="A1976" s="81" t="s">
        <v>2653</v>
      </c>
      <c r="B1976" s="31" t="s">
        <v>9303</v>
      </c>
      <c r="C1976" s="32" t="s">
        <v>9318</v>
      </c>
      <c r="D1976" s="31" t="s">
        <v>4863</v>
      </c>
      <c r="E1976" s="33" t="s">
        <v>4864</v>
      </c>
      <c r="F1976" s="33" t="s">
        <v>1937</v>
      </c>
      <c r="G1976" s="33" t="s">
        <v>3586</v>
      </c>
      <c r="H1976" s="84" t="s">
        <v>4865</v>
      </c>
      <c r="I1976" s="23" t="s">
        <v>24</v>
      </c>
      <c r="J1976" s="34">
        <v>90</v>
      </c>
      <c r="K1976" s="35">
        <v>0.25</v>
      </c>
      <c r="L1976" s="36">
        <f t="shared" si="298"/>
        <v>22.5</v>
      </c>
      <c r="M1976" s="37">
        <f t="shared" si="299"/>
        <v>67.5</v>
      </c>
      <c r="N1976" s="38">
        <v>0.16</v>
      </c>
      <c r="O1976" s="39">
        <f t="shared" si="300"/>
        <v>10.8</v>
      </c>
      <c r="P1976" s="40">
        <f t="shared" si="301"/>
        <v>78.3</v>
      </c>
      <c r="Q1976" s="23"/>
      <c r="R1976" s="56"/>
      <c r="S1976" s="57"/>
      <c r="T1976" s="58">
        <f t="shared" si="302"/>
        <v>0</v>
      </c>
      <c r="U1976" s="36">
        <f t="shared" si="303"/>
        <v>0</v>
      </c>
      <c r="V1976" s="59">
        <f t="shared" si="304"/>
        <v>0</v>
      </c>
      <c r="W1976" s="39">
        <f t="shared" si="305"/>
        <v>0</v>
      </c>
      <c r="X1976" s="40">
        <f t="shared" si="306"/>
        <v>0</v>
      </c>
      <c r="Y1976"/>
      <c r="Z1976"/>
      <c r="AA1976"/>
    </row>
    <row r="1977" spans="1:27" s="51" customFormat="1" ht="18.600000000000001" hidden="1" customHeight="1" x14ac:dyDescent="0.25">
      <c r="A1977" s="82" t="s">
        <v>2653</v>
      </c>
      <c r="B1977" s="41" t="s">
        <v>9303</v>
      </c>
      <c r="C1977" s="42" t="s">
        <v>9318</v>
      </c>
      <c r="D1977" s="41" t="s">
        <v>4866</v>
      </c>
      <c r="E1977" s="43" t="s">
        <v>4867</v>
      </c>
      <c r="F1977" s="43" t="s">
        <v>1937</v>
      </c>
      <c r="G1977" s="43" t="s">
        <v>3586</v>
      </c>
      <c r="H1977" s="85" t="s">
        <v>4868</v>
      </c>
      <c r="I1977" s="23" t="s">
        <v>24</v>
      </c>
      <c r="J1977" s="44">
        <v>90</v>
      </c>
      <c r="K1977" s="45">
        <v>0.25</v>
      </c>
      <c r="L1977" s="46">
        <f t="shared" si="298"/>
        <v>22.5</v>
      </c>
      <c r="M1977" s="47">
        <f t="shared" si="299"/>
        <v>67.5</v>
      </c>
      <c r="N1977" s="48">
        <v>0.16</v>
      </c>
      <c r="O1977" s="49">
        <f t="shared" si="300"/>
        <v>10.8</v>
      </c>
      <c r="P1977" s="50">
        <f t="shared" si="301"/>
        <v>78.3</v>
      </c>
      <c r="Q1977" s="23"/>
      <c r="R1977" s="60"/>
      <c r="S1977" s="61"/>
      <c r="T1977" s="62">
        <f t="shared" si="302"/>
        <v>0</v>
      </c>
      <c r="U1977" s="46">
        <f t="shared" si="303"/>
        <v>0</v>
      </c>
      <c r="V1977" s="63">
        <f t="shared" si="304"/>
        <v>0</v>
      </c>
      <c r="W1977" s="49">
        <f t="shared" si="305"/>
        <v>0</v>
      </c>
      <c r="X1977" s="50">
        <f t="shared" si="306"/>
        <v>0</v>
      </c>
      <c r="Y1977"/>
      <c r="Z1977"/>
      <c r="AA1977"/>
    </row>
    <row r="1978" spans="1:27" s="51" customFormat="1" ht="18.600000000000001" hidden="1" customHeight="1" x14ac:dyDescent="0.25">
      <c r="A1978" s="80" t="s">
        <v>2653</v>
      </c>
      <c r="B1978" s="20" t="s">
        <v>9303</v>
      </c>
      <c r="C1978" s="21" t="s">
        <v>9318</v>
      </c>
      <c r="D1978" s="20" t="s">
        <v>4869</v>
      </c>
      <c r="E1978" s="22" t="s">
        <v>4870</v>
      </c>
      <c r="F1978" s="22" t="s">
        <v>1937</v>
      </c>
      <c r="G1978" s="22" t="s">
        <v>3586</v>
      </c>
      <c r="H1978" s="83" t="s">
        <v>4871</v>
      </c>
      <c r="I1978" s="23" t="s">
        <v>24</v>
      </c>
      <c r="J1978" s="24">
        <v>90</v>
      </c>
      <c r="K1978" s="25">
        <v>0.25</v>
      </c>
      <c r="L1978" s="26">
        <f t="shared" si="298"/>
        <v>22.5</v>
      </c>
      <c r="M1978" s="27">
        <f t="shared" si="299"/>
        <v>67.5</v>
      </c>
      <c r="N1978" s="28">
        <v>0.16</v>
      </c>
      <c r="O1978" s="29">
        <f t="shared" si="300"/>
        <v>10.8</v>
      </c>
      <c r="P1978" s="30">
        <f t="shared" si="301"/>
        <v>78.3</v>
      </c>
      <c r="Q1978" s="23"/>
      <c r="R1978" s="52"/>
      <c r="S1978" s="53"/>
      <c r="T1978" s="54">
        <f t="shared" si="302"/>
        <v>0</v>
      </c>
      <c r="U1978" s="26">
        <f t="shared" si="303"/>
        <v>0</v>
      </c>
      <c r="V1978" s="55">
        <f t="shared" si="304"/>
        <v>0</v>
      </c>
      <c r="W1978" s="29">
        <f t="shared" si="305"/>
        <v>0</v>
      </c>
      <c r="X1978" s="30">
        <f t="shared" si="306"/>
        <v>0</v>
      </c>
      <c r="Y1978"/>
      <c r="Z1978"/>
      <c r="AA1978"/>
    </row>
    <row r="1979" spans="1:27" s="51" customFormat="1" ht="18.600000000000001" hidden="1" customHeight="1" x14ac:dyDescent="0.25">
      <c r="A1979" s="81" t="s">
        <v>2653</v>
      </c>
      <c r="B1979" s="31" t="s">
        <v>9303</v>
      </c>
      <c r="C1979" s="32" t="s">
        <v>9318</v>
      </c>
      <c r="D1979" s="31" t="s">
        <v>4872</v>
      </c>
      <c r="E1979" s="33" t="s">
        <v>4873</v>
      </c>
      <c r="F1979" s="33" t="s">
        <v>1937</v>
      </c>
      <c r="G1979" s="33" t="s">
        <v>3586</v>
      </c>
      <c r="H1979" s="84" t="s">
        <v>4874</v>
      </c>
      <c r="I1979" s="23" t="s">
        <v>24</v>
      </c>
      <c r="J1979" s="34">
        <v>90</v>
      </c>
      <c r="K1979" s="35">
        <v>0.25</v>
      </c>
      <c r="L1979" s="36">
        <f t="shared" si="298"/>
        <v>22.5</v>
      </c>
      <c r="M1979" s="37">
        <f t="shared" si="299"/>
        <v>67.5</v>
      </c>
      <c r="N1979" s="38">
        <v>0.16</v>
      </c>
      <c r="O1979" s="39">
        <f t="shared" si="300"/>
        <v>10.8</v>
      </c>
      <c r="P1979" s="40">
        <f t="shared" si="301"/>
        <v>78.3</v>
      </c>
      <c r="Q1979" s="23"/>
      <c r="R1979" s="56"/>
      <c r="S1979" s="57"/>
      <c r="T1979" s="58">
        <f t="shared" si="302"/>
        <v>0</v>
      </c>
      <c r="U1979" s="36">
        <f t="shared" si="303"/>
        <v>0</v>
      </c>
      <c r="V1979" s="59">
        <f t="shared" si="304"/>
        <v>0</v>
      </c>
      <c r="W1979" s="39">
        <f t="shared" si="305"/>
        <v>0</v>
      </c>
      <c r="X1979" s="40">
        <f t="shared" si="306"/>
        <v>0</v>
      </c>
      <c r="Y1979"/>
      <c r="Z1979"/>
      <c r="AA1979"/>
    </row>
    <row r="1980" spans="1:27" s="51" customFormat="1" ht="18.600000000000001" hidden="1" customHeight="1" x14ac:dyDescent="0.25">
      <c r="A1980" s="82" t="s">
        <v>2653</v>
      </c>
      <c r="B1980" s="41" t="s">
        <v>9303</v>
      </c>
      <c r="C1980" s="42" t="s">
        <v>9318</v>
      </c>
      <c r="D1980" s="41" t="s">
        <v>4875</v>
      </c>
      <c r="E1980" s="43" t="s">
        <v>4876</v>
      </c>
      <c r="F1980" s="43" t="s">
        <v>1937</v>
      </c>
      <c r="G1980" s="43" t="s">
        <v>3586</v>
      </c>
      <c r="H1980" s="85" t="s">
        <v>4877</v>
      </c>
      <c r="I1980" s="23" t="s">
        <v>24</v>
      </c>
      <c r="J1980" s="44">
        <v>90</v>
      </c>
      <c r="K1980" s="45">
        <v>0.25</v>
      </c>
      <c r="L1980" s="46">
        <f t="shared" si="298"/>
        <v>22.5</v>
      </c>
      <c r="M1980" s="47">
        <f t="shared" si="299"/>
        <v>67.5</v>
      </c>
      <c r="N1980" s="48">
        <v>0.16</v>
      </c>
      <c r="O1980" s="49">
        <f t="shared" si="300"/>
        <v>10.8</v>
      </c>
      <c r="P1980" s="50">
        <f t="shared" si="301"/>
        <v>78.3</v>
      </c>
      <c r="Q1980" s="23"/>
      <c r="R1980" s="60"/>
      <c r="S1980" s="61"/>
      <c r="T1980" s="62">
        <f t="shared" si="302"/>
        <v>0</v>
      </c>
      <c r="U1980" s="46">
        <f t="shared" si="303"/>
        <v>0</v>
      </c>
      <c r="V1980" s="63">
        <f t="shared" si="304"/>
        <v>0</v>
      </c>
      <c r="W1980" s="49">
        <f t="shared" si="305"/>
        <v>0</v>
      </c>
      <c r="X1980" s="50">
        <f t="shared" si="306"/>
        <v>0</v>
      </c>
      <c r="Y1980"/>
      <c r="Z1980"/>
      <c r="AA1980"/>
    </row>
    <row r="1981" spans="1:27" s="51" customFormat="1" ht="18.600000000000001" hidden="1" customHeight="1" x14ac:dyDescent="0.25">
      <c r="A1981" s="80" t="s">
        <v>2653</v>
      </c>
      <c r="B1981" s="20" t="s">
        <v>9303</v>
      </c>
      <c r="C1981" s="21" t="s">
        <v>9318</v>
      </c>
      <c r="D1981" s="20" t="s">
        <v>4878</v>
      </c>
      <c r="E1981" s="22" t="s">
        <v>4879</v>
      </c>
      <c r="F1981" s="22" t="s">
        <v>1937</v>
      </c>
      <c r="G1981" s="22" t="s">
        <v>3586</v>
      </c>
      <c r="H1981" s="83" t="s">
        <v>4880</v>
      </c>
      <c r="I1981" s="23" t="s">
        <v>24</v>
      </c>
      <c r="J1981" s="24">
        <v>90</v>
      </c>
      <c r="K1981" s="25">
        <v>0.25</v>
      </c>
      <c r="L1981" s="26">
        <f t="shared" si="298"/>
        <v>22.5</v>
      </c>
      <c r="M1981" s="27">
        <f t="shared" si="299"/>
        <v>67.5</v>
      </c>
      <c r="N1981" s="28">
        <v>0.16</v>
      </c>
      <c r="O1981" s="29">
        <f t="shared" si="300"/>
        <v>10.8</v>
      </c>
      <c r="P1981" s="30">
        <f t="shared" si="301"/>
        <v>78.3</v>
      </c>
      <c r="Q1981" s="23"/>
      <c r="R1981" s="52"/>
      <c r="S1981" s="53"/>
      <c r="T1981" s="54">
        <f t="shared" si="302"/>
        <v>0</v>
      </c>
      <c r="U1981" s="26">
        <f t="shared" si="303"/>
        <v>0</v>
      </c>
      <c r="V1981" s="55">
        <f t="shared" si="304"/>
        <v>0</v>
      </c>
      <c r="W1981" s="29">
        <f t="shared" si="305"/>
        <v>0</v>
      </c>
      <c r="X1981" s="30">
        <f t="shared" si="306"/>
        <v>0</v>
      </c>
      <c r="Y1981"/>
      <c r="Z1981"/>
      <c r="AA1981"/>
    </row>
    <row r="1982" spans="1:27" s="51" customFormat="1" ht="18.600000000000001" hidden="1" customHeight="1" x14ac:dyDescent="0.25">
      <c r="A1982" s="81" t="s">
        <v>2653</v>
      </c>
      <c r="B1982" s="31" t="s">
        <v>9303</v>
      </c>
      <c r="C1982" s="32" t="s">
        <v>9318</v>
      </c>
      <c r="D1982" s="31" t="s">
        <v>4881</v>
      </c>
      <c r="E1982" s="33" t="s">
        <v>4882</v>
      </c>
      <c r="F1982" s="33" t="s">
        <v>1937</v>
      </c>
      <c r="G1982" s="33" t="s">
        <v>3586</v>
      </c>
      <c r="H1982" s="84" t="s">
        <v>4883</v>
      </c>
      <c r="I1982" s="23" t="s">
        <v>24</v>
      </c>
      <c r="J1982" s="34">
        <v>90</v>
      </c>
      <c r="K1982" s="35">
        <v>0.25</v>
      </c>
      <c r="L1982" s="36">
        <f t="shared" si="298"/>
        <v>22.5</v>
      </c>
      <c r="M1982" s="37">
        <f t="shared" si="299"/>
        <v>67.5</v>
      </c>
      <c r="N1982" s="38">
        <v>0.16</v>
      </c>
      <c r="O1982" s="39">
        <f t="shared" si="300"/>
        <v>10.8</v>
      </c>
      <c r="P1982" s="40">
        <f t="shared" si="301"/>
        <v>78.3</v>
      </c>
      <c r="Q1982" s="23"/>
      <c r="R1982" s="56"/>
      <c r="S1982" s="57"/>
      <c r="T1982" s="58">
        <f t="shared" si="302"/>
        <v>0</v>
      </c>
      <c r="U1982" s="36">
        <f t="shared" si="303"/>
        <v>0</v>
      </c>
      <c r="V1982" s="59">
        <f t="shared" si="304"/>
        <v>0</v>
      </c>
      <c r="W1982" s="39">
        <f t="shared" si="305"/>
        <v>0</v>
      </c>
      <c r="X1982" s="40">
        <f t="shared" si="306"/>
        <v>0</v>
      </c>
      <c r="Y1982"/>
      <c r="Z1982"/>
      <c r="AA1982"/>
    </row>
    <row r="1983" spans="1:27" s="51" customFormat="1" ht="18.600000000000001" hidden="1" customHeight="1" x14ac:dyDescent="0.25">
      <c r="A1983" s="82" t="s">
        <v>2653</v>
      </c>
      <c r="B1983" s="41" t="s">
        <v>9303</v>
      </c>
      <c r="C1983" s="42" t="s">
        <v>9318</v>
      </c>
      <c r="D1983" s="41" t="s">
        <v>4884</v>
      </c>
      <c r="E1983" s="43" t="s">
        <v>4885</v>
      </c>
      <c r="F1983" s="43" t="s">
        <v>1937</v>
      </c>
      <c r="G1983" s="43" t="s">
        <v>3586</v>
      </c>
      <c r="H1983" s="85" t="s">
        <v>4886</v>
      </c>
      <c r="I1983" s="23" t="s">
        <v>24</v>
      </c>
      <c r="J1983" s="44">
        <v>90</v>
      </c>
      <c r="K1983" s="45">
        <v>0.25</v>
      </c>
      <c r="L1983" s="46">
        <f t="shared" si="298"/>
        <v>22.5</v>
      </c>
      <c r="M1983" s="47">
        <f t="shared" si="299"/>
        <v>67.5</v>
      </c>
      <c r="N1983" s="48">
        <v>0.16</v>
      </c>
      <c r="O1983" s="49">
        <f t="shared" si="300"/>
        <v>10.8</v>
      </c>
      <c r="P1983" s="50">
        <f t="shared" si="301"/>
        <v>78.3</v>
      </c>
      <c r="Q1983" s="23"/>
      <c r="R1983" s="60"/>
      <c r="S1983" s="61"/>
      <c r="T1983" s="62">
        <f t="shared" si="302"/>
        <v>0</v>
      </c>
      <c r="U1983" s="46">
        <f t="shared" si="303"/>
        <v>0</v>
      </c>
      <c r="V1983" s="63">
        <f t="shared" si="304"/>
        <v>0</v>
      </c>
      <c r="W1983" s="49">
        <f t="shared" si="305"/>
        <v>0</v>
      </c>
      <c r="X1983" s="50">
        <f t="shared" si="306"/>
        <v>0</v>
      </c>
      <c r="Y1983"/>
      <c r="Z1983"/>
      <c r="AA1983"/>
    </row>
    <row r="1984" spans="1:27" s="51" customFormat="1" ht="18.600000000000001" hidden="1" customHeight="1" x14ac:dyDescent="0.25">
      <c r="A1984" s="80" t="s">
        <v>2653</v>
      </c>
      <c r="B1984" s="20" t="s">
        <v>9303</v>
      </c>
      <c r="C1984" s="21" t="s">
        <v>9318</v>
      </c>
      <c r="D1984" s="20" t="s">
        <v>4887</v>
      </c>
      <c r="E1984" s="22" t="s">
        <v>4888</v>
      </c>
      <c r="F1984" s="22" t="s">
        <v>1937</v>
      </c>
      <c r="G1984" s="22" t="s">
        <v>3586</v>
      </c>
      <c r="H1984" s="83" t="s">
        <v>4889</v>
      </c>
      <c r="I1984" s="23" t="s">
        <v>24</v>
      </c>
      <c r="J1984" s="24">
        <v>90</v>
      </c>
      <c r="K1984" s="25">
        <v>0.25</v>
      </c>
      <c r="L1984" s="26">
        <f t="shared" si="298"/>
        <v>22.5</v>
      </c>
      <c r="M1984" s="27">
        <f t="shared" si="299"/>
        <v>67.5</v>
      </c>
      <c r="N1984" s="28">
        <v>0.16</v>
      </c>
      <c r="O1984" s="29">
        <f t="shared" si="300"/>
        <v>10.8</v>
      </c>
      <c r="P1984" s="30">
        <f t="shared" si="301"/>
        <v>78.3</v>
      </c>
      <c r="Q1984" s="23"/>
      <c r="R1984" s="52"/>
      <c r="S1984" s="53"/>
      <c r="T1984" s="54">
        <f t="shared" si="302"/>
        <v>0</v>
      </c>
      <c r="U1984" s="26">
        <f t="shared" si="303"/>
        <v>0</v>
      </c>
      <c r="V1984" s="55">
        <f t="shared" si="304"/>
        <v>0</v>
      </c>
      <c r="W1984" s="29">
        <f t="shared" si="305"/>
        <v>0</v>
      </c>
      <c r="X1984" s="30">
        <f t="shared" si="306"/>
        <v>0</v>
      </c>
      <c r="Y1984"/>
      <c r="Z1984"/>
      <c r="AA1984"/>
    </row>
    <row r="1985" spans="1:27" s="51" customFormat="1" ht="18.600000000000001" hidden="1" customHeight="1" x14ac:dyDescent="0.25">
      <c r="A1985" s="81" t="s">
        <v>2653</v>
      </c>
      <c r="B1985" s="31" t="s">
        <v>9303</v>
      </c>
      <c r="C1985" s="32" t="s">
        <v>9318</v>
      </c>
      <c r="D1985" s="31" t="s">
        <v>4890</v>
      </c>
      <c r="E1985" s="33" t="s">
        <v>4891</v>
      </c>
      <c r="F1985" s="33" t="s">
        <v>1937</v>
      </c>
      <c r="G1985" s="33" t="s">
        <v>3586</v>
      </c>
      <c r="H1985" s="84" t="s">
        <v>4892</v>
      </c>
      <c r="I1985" s="23" t="s">
        <v>24</v>
      </c>
      <c r="J1985" s="34">
        <v>90</v>
      </c>
      <c r="K1985" s="35">
        <v>0.25</v>
      </c>
      <c r="L1985" s="36">
        <f t="shared" si="298"/>
        <v>22.5</v>
      </c>
      <c r="M1985" s="37">
        <f t="shared" si="299"/>
        <v>67.5</v>
      </c>
      <c r="N1985" s="38">
        <v>0.16</v>
      </c>
      <c r="O1985" s="39">
        <f t="shared" si="300"/>
        <v>10.8</v>
      </c>
      <c r="P1985" s="40">
        <f t="shared" si="301"/>
        <v>78.3</v>
      </c>
      <c r="Q1985" s="23"/>
      <c r="R1985" s="56"/>
      <c r="S1985" s="57"/>
      <c r="T1985" s="58">
        <f t="shared" si="302"/>
        <v>0</v>
      </c>
      <c r="U1985" s="36">
        <f t="shared" si="303"/>
        <v>0</v>
      </c>
      <c r="V1985" s="59">
        <f t="shared" si="304"/>
        <v>0</v>
      </c>
      <c r="W1985" s="39">
        <f t="shared" si="305"/>
        <v>0</v>
      </c>
      <c r="X1985" s="40">
        <f t="shared" si="306"/>
        <v>0</v>
      </c>
      <c r="Y1985"/>
      <c r="Z1985"/>
      <c r="AA1985"/>
    </row>
    <row r="1986" spans="1:27" s="51" customFormat="1" ht="18.600000000000001" hidden="1" customHeight="1" x14ac:dyDescent="0.25">
      <c r="A1986" s="82" t="s">
        <v>2653</v>
      </c>
      <c r="B1986" s="41" t="s">
        <v>9303</v>
      </c>
      <c r="C1986" s="42" t="s">
        <v>9318</v>
      </c>
      <c r="D1986" s="41" t="s">
        <v>4893</v>
      </c>
      <c r="E1986" s="43" t="s">
        <v>4894</v>
      </c>
      <c r="F1986" s="43" t="s">
        <v>1937</v>
      </c>
      <c r="G1986" s="43" t="s">
        <v>3586</v>
      </c>
      <c r="H1986" s="85" t="s">
        <v>4895</v>
      </c>
      <c r="I1986" s="23" t="s">
        <v>24</v>
      </c>
      <c r="J1986" s="44">
        <v>90</v>
      </c>
      <c r="K1986" s="45">
        <v>0.25</v>
      </c>
      <c r="L1986" s="46">
        <f t="shared" si="298"/>
        <v>22.5</v>
      </c>
      <c r="M1986" s="47">
        <f t="shared" si="299"/>
        <v>67.5</v>
      </c>
      <c r="N1986" s="48">
        <v>0.16</v>
      </c>
      <c r="O1986" s="49">
        <f t="shared" si="300"/>
        <v>10.8</v>
      </c>
      <c r="P1986" s="50">
        <f t="shared" si="301"/>
        <v>78.3</v>
      </c>
      <c r="Q1986" s="23"/>
      <c r="R1986" s="60"/>
      <c r="S1986" s="61"/>
      <c r="T1986" s="62">
        <f t="shared" si="302"/>
        <v>0</v>
      </c>
      <c r="U1986" s="46">
        <f t="shared" si="303"/>
        <v>0</v>
      </c>
      <c r="V1986" s="63">
        <f t="shared" si="304"/>
        <v>0</v>
      </c>
      <c r="W1986" s="49">
        <f t="shared" si="305"/>
        <v>0</v>
      </c>
      <c r="X1986" s="50">
        <f t="shared" si="306"/>
        <v>0</v>
      </c>
      <c r="Y1986"/>
      <c r="Z1986"/>
      <c r="AA1986"/>
    </row>
    <row r="1987" spans="1:27" s="51" customFormat="1" ht="18.600000000000001" hidden="1" customHeight="1" x14ac:dyDescent="0.25">
      <c r="A1987" s="80" t="s">
        <v>2653</v>
      </c>
      <c r="B1987" s="20" t="s">
        <v>9303</v>
      </c>
      <c r="C1987" s="21" t="s">
        <v>9318</v>
      </c>
      <c r="D1987" s="20" t="s">
        <v>4896</v>
      </c>
      <c r="E1987" s="22" t="s">
        <v>4897</v>
      </c>
      <c r="F1987" s="22" t="s">
        <v>1937</v>
      </c>
      <c r="G1987" s="22" t="s">
        <v>3586</v>
      </c>
      <c r="H1987" s="83" t="s">
        <v>4898</v>
      </c>
      <c r="I1987" s="23" t="s">
        <v>24</v>
      </c>
      <c r="J1987" s="24">
        <v>90</v>
      </c>
      <c r="K1987" s="25">
        <v>0.25</v>
      </c>
      <c r="L1987" s="26">
        <f t="shared" si="298"/>
        <v>22.5</v>
      </c>
      <c r="M1987" s="27">
        <f t="shared" si="299"/>
        <v>67.5</v>
      </c>
      <c r="N1987" s="28">
        <v>0.16</v>
      </c>
      <c r="O1987" s="29">
        <f t="shared" si="300"/>
        <v>10.8</v>
      </c>
      <c r="P1987" s="30">
        <f t="shared" si="301"/>
        <v>78.3</v>
      </c>
      <c r="Q1987" s="23"/>
      <c r="R1987" s="52"/>
      <c r="S1987" s="53"/>
      <c r="T1987" s="54">
        <f t="shared" si="302"/>
        <v>0</v>
      </c>
      <c r="U1987" s="26">
        <f t="shared" si="303"/>
        <v>0</v>
      </c>
      <c r="V1987" s="55">
        <f t="shared" si="304"/>
        <v>0</v>
      </c>
      <c r="W1987" s="29">
        <f t="shared" si="305"/>
        <v>0</v>
      </c>
      <c r="X1987" s="30">
        <f t="shared" si="306"/>
        <v>0</v>
      </c>
      <c r="Y1987"/>
      <c r="Z1987"/>
      <c r="AA1987"/>
    </row>
    <row r="1988" spans="1:27" s="51" customFormat="1" ht="18.600000000000001" hidden="1" customHeight="1" x14ac:dyDescent="0.25">
      <c r="A1988" s="81" t="s">
        <v>2653</v>
      </c>
      <c r="B1988" s="31" t="s">
        <v>9303</v>
      </c>
      <c r="C1988" s="32" t="s">
        <v>9318</v>
      </c>
      <c r="D1988" s="31" t="s">
        <v>4899</v>
      </c>
      <c r="E1988" s="33" t="s">
        <v>4900</v>
      </c>
      <c r="F1988" s="33" t="s">
        <v>1937</v>
      </c>
      <c r="G1988" s="33" t="s">
        <v>3586</v>
      </c>
      <c r="H1988" s="84" t="s">
        <v>4901</v>
      </c>
      <c r="I1988" s="23" t="s">
        <v>24</v>
      </c>
      <c r="J1988" s="34">
        <v>90</v>
      </c>
      <c r="K1988" s="35">
        <v>0.25</v>
      </c>
      <c r="L1988" s="36">
        <f t="shared" si="298"/>
        <v>22.5</v>
      </c>
      <c r="M1988" s="37">
        <f t="shared" si="299"/>
        <v>67.5</v>
      </c>
      <c r="N1988" s="38">
        <v>0.16</v>
      </c>
      <c r="O1988" s="39">
        <f t="shared" si="300"/>
        <v>10.8</v>
      </c>
      <c r="P1988" s="40">
        <f t="shared" si="301"/>
        <v>78.3</v>
      </c>
      <c r="Q1988" s="23"/>
      <c r="R1988" s="56"/>
      <c r="S1988" s="57"/>
      <c r="T1988" s="58">
        <f t="shared" si="302"/>
        <v>0</v>
      </c>
      <c r="U1988" s="36">
        <f t="shared" si="303"/>
        <v>0</v>
      </c>
      <c r="V1988" s="59">
        <f t="shared" si="304"/>
        <v>0</v>
      </c>
      <c r="W1988" s="39">
        <f t="shared" si="305"/>
        <v>0</v>
      </c>
      <c r="X1988" s="40">
        <f t="shared" si="306"/>
        <v>0</v>
      </c>
      <c r="Y1988"/>
      <c r="Z1988"/>
      <c r="AA1988"/>
    </row>
    <row r="1989" spans="1:27" s="51" customFormat="1" ht="18.600000000000001" hidden="1" customHeight="1" x14ac:dyDescent="0.25">
      <c r="A1989" s="82" t="s">
        <v>2653</v>
      </c>
      <c r="B1989" s="41" t="s">
        <v>9303</v>
      </c>
      <c r="C1989" s="42" t="s">
        <v>9318</v>
      </c>
      <c r="D1989" s="41" t="s">
        <v>4902</v>
      </c>
      <c r="E1989" s="43" t="s">
        <v>4903</v>
      </c>
      <c r="F1989" s="43" t="s">
        <v>1937</v>
      </c>
      <c r="G1989" s="43" t="s">
        <v>3586</v>
      </c>
      <c r="H1989" s="85" t="s">
        <v>4904</v>
      </c>
      <c r="I1989" s="23" t="s">
        <v>24</v>
      </c>
      <c r="J1989" s="44">
        <v>90</v>
      </c>
      <c r="K1989" s="45">
        <v>0.25</v>
      </c>
      <c r="L1989" s="46">
        <f t="shared" si="298"/>
        <v>22.5</v>
      </c>
      <c r="M1989" s="47">
        <f t="shared" si="299"/>
        <v>67.5</v>
      </c>
      <c r="N1989" s="48">
        <v>0.16</v>
      </c>
      <c r="O1989" s="49">
        <f t="shared" si="300"/>
        <v>10.8</v>
      </c>
      <c r="P1989" s="50">
        <f t="shared" si="301"/>
        <v>78.3</v>
      </c>
      <c r="Q1989" s="23"/>
      <c r="R1989" s="60"/>
      <c r="S1989" s="61"/>
      <c r="T1989" s="62">
        <f t="shared" si="302"/>
        <v>0</v>
      </c>
      <c r="U1989" s="46">
        <f t="shared" si="303"/>
        <v>0</v>
      </c>
      <c r="V1989" s="63">
        <f t="shared" si="304"/>
        <v>0</v>
      </c>
      <c r="W1989" s="49">
        <f t="shared" si="305"/>
        <v>0</v>
      </c>
      <c r="X1989" s="50">
        <f t="shared" si="306"/>
        <v>0</v>
      </c>
      <c r="Y1989"/>
      <c r="Z1989"/>
      <c r="AA1989"/>
    </row>
    <row r="1990" spans="1:27" s="51" customFormat="1" ht="18.600000000000001" hidden="1" customHeight="1" x14ac:dyDescent="0.25">
      <c r="A1990" s="80" t="s">
        <v>2653</v>
      </c>
      <c r="B1990" s="20" t="s">
        <v>9303</v>
      </c>
      <c r="C1990" s="21" t="s">
        <v>9318</v>
      </c>
      <c r="D1990" s="20" t="s">
        <v>4905</v>
      </c>
      <c r="E1990" s="22" t="s">
        <v>4906</v>
      </c>
      <c r="F1990" s="22" t="s">
        <v>1937</v>
      </c>
      <c r="G1990" s="22" t="s">
        <v>3586</v>
      </c>
      <c r="H1990" s="83" t="s">
        <v>4907</v>
      </c>
      <c r="I1990" s="23" t="s">
        <v>24</v>
      </c>
      <c r="J1990" s="24">
        <v>90</v>
      </c>
      <c r="K1990" s="25">
        <v>0.25</v>
      </c>
      <c r="L1990" s="26">
        <f t="shared" si="298"/>
        <v>22.5</v>
      </c>
      <c r="M1990" s="27">
        <f t="shared" si="299"/>
        <v>67.5</v>
      </c>
      <c r="N1990" s="28">
        <v>0.16</v>
      </c>
      <c r="O1990" s="29">
        <f t="shared" si="300"/>
        <v>10.8</v>
      </c>
      <c r="P1990" s="30">
        <f t="shared" si="301"/>
        <v>78.3</v>
      </c>
      <c r="Q1990" s="23"/>
      <c r="R1990" s="52"/>
      <c r="S1990" s="53"/>
      <c r="T1990" s="54">
        <f t="shared" si="302"/>
        <v>0</v>
      </c>
      <c r="U1990" s="26">
        <f t="shared" si="303"/>
        <v>0</v>
      </c>
      <c r="V1990" s="55">
        <f t="shared" si="304"/>
        <v>0</v>
      </c>
      <c r="W1990" s="29">
        <f t="shared" si="305"/>
        <v>0</v>
      </c>
      <c r="X1990" s="30">
        <f t="shared" si="306"/>
        <v>0</v>
      </c>
      <c r="Y1990"/>
      <c r="Z1990"/>
      <c r="AA1990"/>
    </row>
    <row r="1991" spans="1:27" s="51" customFormat="1" ht="18.600000000000001" hidden="1" customHeight="1" x14ac:dyDescent="0.25">
      <c r="A1991" s="81" t="s">
        <v>2653</v>
      </c>
      <c r="B1991" s="31" t="s">
        <v>9303</v>
      </c>
      <c r="C1991" s="32" t="s">
        <v>9318</v>
      </c>
      <c r="D1991" s="31" t="s">
        <v>4908</v>
      </c>
      <c r="E1991" s="33" t="s">
        <v>4909</v>
      </c>
      <c r="F1991" s="33" t="s">
        <v>1937</v>
      </c>
      <c r="G1991" s="33" t="s">
        <v>3586</v>
      </c>
      <c r="H1991" s="84" t="s">
        <v>4910</v>
      </c>
      <c r="I1991" s="23" t="s">
        <v>24</v>
      </c>
      <c r="J1991" s="34">
        <v>90</v>
      </c>
      <c r="K1991" s="35">
        <v>0.25</v>
      </c>
      <c r="L1991" s="36">
        <f t="shared" si="298"/>
        <v>22.5</v>
      </c>
      <c r="M1991" s="37">
        <f t="shared" si="299"/>
        <v>67.5</v>
      </c>
      <c r="N1991" s="38">
        <v>0.16</v>
      </c>
      <c r="O1991" s="39">
        <f t="shared" si="300"/>
        <v>10.8</v>
      </c>
      <c r="P1991" s="40">
        <f t="shared" si="301"/>
        <v>78.3</v>
      </c>
      <c r="Q1991" s="23"/>
      <c r="R1991" s="56"/>
      <c r="S1991" s="57"/>
      <c r="T1991" s="58">
        <f t="shared" si="302"/>
        <v>0</v>
      </c>
      <c r="U1991" s="36">
        <f t="shared" si="303"/>
        <v>0</v>
      </c>
      <c r="V1991" s="59">
        <f t="shared" si="304"/>
        <v>0</v>
      </c>
      <c r="W1991" s="39">
        <f t="shared" si="305"/>
        <v>0</v>
      </c>
      <c r="X1991" s="40">
        <f t="shared" si="306"/>
        <v>0</v>
      </c>
      <c r="Y1991"/>
      <c r="Z1991"/>
      <c r="AA1991"/>
    </row>
    <row r="1992" spans="1:27" s="51" customFormat="1" ht="18.600000000000001" hidden="1" customHeight="1" x14ac:dyDescent="0.25">
      <c r="A1992" s="82" t="s">
        <v>2653</v>
      </c>
      <c r="B1992" s="41" t="s">
        <v>9303</v>
      </c>
      <c r="C1992" s="42" t="s">
        <v>9318</v>
      </c>
      <c r="D1992" s="41" t="s">
        <v>4911</v>
      </c>
      <c r="E1992" s="43" t="s">
        <v>4912</v>
      </c>
      <c r="F1992" s="43" t="s">
        <v>1937</v>
      </c>
      <c r="G1992" s="43" t="s">
        <v>3586</v>
      </c>
      <c r="H1992" s="85" t="s">
        <v>4913</v>
      </c>
      <c r="I1992" s="23" t="s">
        <v>24</v>
      </c>
      <c r="J1992" s="44">
        <v>90</v>
      </c>
      <c r="K1992" s="45">
        <v>0.25</v>
      </c>
      <c r="L1992" s="46">
        <f t="shared" si="298"/>
        <v>22.5</v>
      </c>
      <c r="M1992" s="47">
        <f t="shared" si="299"/>
        <v>67.5</v>
      </c>
      <c r="N1992" s="48">
        <v>0.16</v>
      </c>
      <c r="O1992" s="49">
        <f t="shared" si="300"/>
        <v>10.8</v>
      </c>
      <c r="P1992" s="50">
        <f t="shared" si="301"/>
        <v>78.3</v>
      </c>
      <c r="Q1992" s="23"/>
      <c r="R1992" s="60"/>
      <c r="S1992" s="61"/>
      <c r="T1992" s="62">
        <f t="shared" si="302"/>
        <v>0</v>
      </c>
      <c r="U1992" s="46">
        <f t="shared" si="303"/>
        <v>0</v>
      </c>
      <c r="V1992" s="63">
        <f t="shared" si="304"/>
        <v>0</v>
      </c>
      <c r="W1992" s="49">
        <f t="shared" si="305"/>
        <v>0</v>
      </c>
      <c r="X1992" s="50">
        <f t="shared" si="306"/>
        <v>0</v>
      </c>
      <c r="Y1992"/>
      <c r="Z1992"/>
      <c r="AA1992"/>
    </row>
    <row r="1993" spans="1:27" s="51" customFormat="1" ht="18.600000000000001" hidden="1" customHeight="1" x14ac:dyDescent="0.25">
      <c r="A1993" s="80" t="s">
        <v>2653</v>
      </c>
      <c r="B1993" s="20" t="s">
        <v>9303</v>
      </c>
      <c r="C1993" s="21" t="s">
        <v>9318</v>
      </c>
      <c r="D1993" s="20" t="s">
        <v>4914</v>
      </c>
      <c r="E1993" s="22" t="s">
        <v>4915</v>
      </c>
      <c r="F1993" s="22" t="s">
        <v>1937</v>
      </c>
      <c r="G1993" s="22" t="s">
        <v>3586</v>
      </c>
      <c r="H1993" s="83" t="s">
        <v>4916</v>
      </c>
      <c r="I1993" s="23" t="s">
        <v>24</v>
      </c>
      <c r="J1993" s="24">
        <v>90</v>
      </c>
      <c r="K1993" s="25">
        <v>0.25</v>
      </c>
      <c r="L1993" s="26">
        <f t="shared" si="298"/>
        <v>22.5</v>
      </c>
      <c r="M1993" s="27">
        <f t="shared" si="299"/>
        <v>67.5</v>
      </c>
      <c r="N1993" s="28">
        <v>0.16</v>
      </c>
      <c r="O1993" s="29">
        <f t="shared" si="300"/>
        <v>10.8</v>
      </c>
      <c r="P1993" s="30">
        <f t="shared" si="301"/>
        <v>78.3</v>
      </c>
      <c r="Q1993" s="23"/>
      <c r="R1993" s="52"/>
      <c r="S1993" s="53"/>
      <c r="T1993" s="54">
        <f t="shared" si="302"/>
        <v>0</v>
      </c>
      <c r="U1993" s="26">
        <f t="shared" si="303"/>
        <v>0</v>
      </c>
      <c r="V1993" s="55">
        <f t="shared" si="304"/>
        <v>0</v>
      </c>
      <c r="W1993" s="29">
        <f t="shared" si="305"/>
        <v>0</v>
      </c>
      <c r="X1993" s="30">
        <f t="shared" si="306"/>
        <v>0</v>
      </c>
      <c r="Y1993"/>
      <c r="Z1993"/>
      <c r="AA1993"/>
    </row>
    <row r="1994" spans="1:27" s="51" customFormat="1" ht="18.600000000000001" hidden="1" customHeight="1" x14ac:dyDescent="0.25">
      <c r="A1994" s="81" t="s">
        <v>2653</v>
      </c>
      <c r="B1994" s="31" t="s">
        <v>9303</v>
      </c>
      <c r="C1994" s="32" t="s">
        <v>9318</v>
      </c>
      <c r="D1994" s="31" t="s">
        <v>4917</v>
      </c>
      <c r="E1994" s="33" t="s">
        <v>4918</v>
      </c>
      <c r="F1994" s="33" t="s">
        <v>1937</v>
      </c>
      <c r="G1994" s="33" t="s">
        <v>3586</v>
      </c>
      <c r="H1994" s="84" t="s">
        <v>4919</v>
      </c>
      <c r="I1994" s="23" t="s">
        <v>24</v>
      </c>
      <c r="J1994" s="34">
        <v>90</v>
      </c>
      <c r="K1994" s="35">
        <v>0.25</v>
      </c>
      <c r="L1994" s="36">
        <f t="shared" si="298"/>
        <v>22.5</v>
      </c>
      <c r="M1994" s="37">
        <f t="shared" si="299"/>
        <v>67.5</v>
      </c>
      <c r="N1994" s="38">
        <v>0.16</v>
      </c>
      <c r="O1994" s="39">
        <f t="shared" si="300"/>
        <v>10.8</v>
      </c>
      <c r="P1994" s="40">
        <f t="shared" si="301"/>
        <v>78.3</v>
      </c>
      <c r="Q1994" s="23"/>
      <c r="R1994" s="56"/>
      <c r="S1994" s="57"/>
      <c r="T1994" s="58">
        <f t="shared" si="302"/>
        <v>0</v>
      </c>
      <c r="U1994" s="36">
        <f t="shared" si="303"/>
        <v>0</v>
      </c>
      <c r="V1994" s="59">
        <f t="shared" si="304"/>
        <v>0</v>
      </c>
      <c r="W1994" s="39">
        <f t="shared" si="305"/>
        <v>0</v>
      </c>
      <c r="X1994" s="40">
        <f t="shared" si="306"/>
        <v>0</v>
      </c>
      <c r="Y1994"/>
      <c r="Z1994"/>
      <c r="AA1994"/>
    </row>
    <row r="1995" spans="1:27" s="51" customFormat="1" ht="18.600000000000001" hidden="1" customHeight="1" x14ac:dyDescent="0.25">
      <c r="A1995" s="82" t="s">
        <v>2653</v>
      </c>
      <c r="B1995" s="41" t="s">
        <v>9303</v>
      </c>
      <c r="C1995" s="42" t="s">
        <v>9318</v>
      </c>
      <c r="D1995" s="41" t="s">
        <v>4920</v>
      </c>
      <c r="E1995" s="43" t="s">
        <v>4921</v>
      </c>
      <c r="F1995" s="43" t="s">
        <v>1937</v>
      </c>
      <c r="G1995" s="43" t="s">
        <v>3586</v>
      </c>
      <c r="H1995" s="85" t="s">
        <v>4922</v>
      </c>
      <c r="I1995" s="23" t="s">
        <v>24</v>
      </c>
      <c r="J1995" s="44">
        <v>90</v>
      </c>
      <c r="K1995" s="45">
        <v>0.25</v>
      </c>
      <c r="L1995" s="46">
        <f t="shared" si="298"/>
        <v>22.5</v>
      </c>
      <c r="M1995" s="47">
        <f t="shared" si="299"/>
        <v>67.5</v>
      </c>
      <c r="N1995" s="48">
        <v>0.16</v>
      </c>
      <c r="O1995" s="49">
        <f t="shared" si="300"/>
        <v>10.8</v>
      </c>
      <c r="P1995" s="50">
        <f t="shared" si="301"/>
        <v>78.3</v>
      </c>
      <c r="Q1995" s="23"/>
      <c r="R1995" s="60"/>
      <c r="S1995" s="61"/>
      <c r="T1995" s="62">
        <f t="shared" si="302"/>
        <v>0</v>
      </c>
      <c r="U1995" s="46">
        <f t="shared" si="303"/>
        <v>0</v>
      </c>
      <c r="V1995" s="63">
        <f t="shared" si="304"/>
        <v>0</v>
      </c>
      <c r="W1995" s="49">
        <f t="shared" si="305"/>
        <v>0</v>
      </c>
      <c r="X1995" s="50">
        <f t="shared" si="306"/>
        <v>0</v>
      </c>
      <c r="Y1995"/>
      <c r="Z1995"/>
      <c r="AA1995"/>
    </row>
    <row r="1996" spans="1:27" s="51" customFormat="1" ht="18.600000000000001" hidden="1" customHeight="1" x14ac:dyDescent="0.25">
      <c r="A1996" s="80" t="s">
        <v>2653</v>
      </c>
      <c r="B1996" s="20" t="s">
        <v>9303</v>
      </c>
      <c r="C1996" s="21" t="s">
        <v>9318</v>
      </c>
      <c r="D1996" s="20" t="s">
        <v>4923</v>
      </c>
      <c r="E1996" s="22" t="s">
        <v>4924</v>
      </c>
      <c r="F1996" s="22" t="s">
        <v>1937</v>
      </c>
      <c r="G1996" s="22" t="s">
        <v>3586</v>
      </c>
      <c r="H1996" s="83" t="s">
        <v>4925</v>
      </c>
      <c r="I1996" s="23" t="s">
        <v>24</v>
      </c>
      <c r="J1996" s="24">
        <v>90</v>
      </c>
      <c r="K1996" s="25">
        <v>0.25</v>
      </c>
      <c r="L1996" s="26">
        <f t="shared" si="298"/>
        <v>22.5</v>
      </c>
      <c r="M1996" s="27">
        <f t="shared" si="299"/>
        <v>67.5</v>
      </c>
      <c r="N1996" s="28">
        <v>0.16</v>
      </c>
      <c r="O1996" s="29">
        <f t="shared" si="300"/>
        <v>10.8</v>
      </c>
      <c r="P1996" s="30">
        <f t="shared" si="301"/>
        <v>78.3</v>
      </c>
      <c r="Q1996" s="23"/>
      <c r="R1996" s="52"/>
      <c r="S1996" s="53"/>
      <c r="T1996" s="54">
        <f t="shared" si="302"/>
        <v>0</v>
      </c>
      <c r="U1996" s="26">
        <f t="shared" si="303"/>
        <v>0</v>
      </c>
      <c r="V1996" s="55">
        <f t="shared" si="304"/>
        <v>0</v>
      </c>
      <c r="W1996" s="29">
        <f t="shared" si="305"/>
        <v>0</v>
      </c>
      <c r="X1996" s="30">
        <f t="shared" si="306"/>
        <v>0</v>
      </c>
      <c r="Y1996"/>
      <c r="Z1996"/>
      <c r="AA1996"/>
    </row>
    <row r="1997" spans="1:27" s="51" customFormat="1" ht="18.600000000000001" hidden="1" customHeight="1" x14ac:dyDescent="0.25">
      <c r="A1997" s="81" t="s">
        <v>2653</v>
      </c>
      <c r="B1997" s="31" t="s">
        <v>9303</v>
      </c>
      <c r="C1997" s="32" t="s">
        <v>9318</v>
      </c>
      <c r="D1997" s="31" t="s">
        <v>4926</v>
      </c>
      <c r="E1997" s="33" t="s">
        <v>4927</v>
      </c>
      <c r="F1997" s="33" t="s">
        <v>1937</v>
      </c>
      <c r="G1997" s="33" t="s">
        <v>3586</v>
      </c>
      <c r="H1997" s="84" t="s">
        <v>4928</v>
      </c>
      <c r="I1997" s="23" t="s">
        <v>24</v>
      </c>
      <c r="J1997" s="34">
        <v>90</v>
      </c>
      <c r="K1997" s="35">
        <v>0.25</v>
      </c>
      <c r="L1997" s="36">
        <f t="shared" si="298"/>
        <v>22.5</v>
      </c>
      <c r="M1997" s="37">
        <f t="shared" si="299"/>
        <v>67.5</v>
      </c>
      <c r="N1997" s="38">
        <v>0.16</v>
      </c>
      <c r="O1997" s="39">
        <f t="shared" si="300"/>
        <v>10.8</v>
      </c>
      <c r="P1997" s="40">
        <f t="shared" si="301"/>
        <v>78.3</v>
      </c>
      <c r="Q1997" s="23"/>
      <c r="R1997" s="56"/>
      <c r="S1997" s="57"/>
      <c r="T1997" s="58">
        <f t="shared" si="302"/>
        <v>0</v>
      </c>
      <c r="U1997" s="36">
        <f t="shared" si="303"/>
        <v>0</v>
      </c>
      <c r="V1997" s="59">
        <f t="shared" si="304"/>
        <v>0</v>
      </c>
      <c r="W1997" s="39">
        <f t="shared" si="305"/>
        <v>0</v>
      </c>
      <c r="X1997" s="40">
        <f t="shared" si="306"/>
        <v>0</v>
      </c>
      <c r="Y1997"/>
      <c r="Z1997"/>
      <c r="AA1997"/>
    </row>
    <row r="1998" spans="1:27" s="51" customFormat="1" ht="18.600000000000001" hidden="1" customHeight="1" x14ac:dyDescent="0.25">
      <c r="A1998" s="82" t="s">
        <v>2653</v>
      </c>
      <c r="B1998" s="41" t="s">
        <v>9303</v>
      </c>
      <c r="C1998" s="42" t="s">
        <v>9318</v>
      </c>
      <c r="D1998" s="41" t="s">
        <v>4929</v>
      </c>
      <c r="E1998" s="43" t="s">
        <v>4930</v>
      </c>
      <c r="F1998" s="43" t="s">
        <v>1937</v>
      </c>
      <c r="G1998" s="43" t="s">
        <v>3586</v>
      </c>
      <c r="H1998" s="85" t="s">
        <v>4931</v>
      </c>
      <c r="I1998" s="23" t="s">
        <v>24</v>
      </c>
      <c r="J1998" s="44">
        <v>90</v>
      </c>
      <c r="K1998" s="45">
        <v>0.25</v>
      </c>
      <c r="L1998" s="46">
        <f t="shared" si="298"/>
        <v>22.5</v>
      </c>
      <c r="M1998" s="47">
        <f t="shared" si="299"/>
        <v>67.5</v>
      </c>
      <c r="N1998" s="48">
        <v>0.16</v>
      </c>
      <c r="O1998" s="49">
        <f t="shared" si="300"/>
        <v>10.8</v>
      </c>
      <c r="P1998" s="50">
        <f t="shared" si="301"/>
        <v>78.3</v>
      </c>
      <c r="Q1998" s="23"/>
      <c r="R1998" s="60"/>
      <c r="S1998" s="61"/>
      <c r="T1998" s="62">
        <f t="shared" si="302"/>
        <v>0</v>
      </c>
      <c r="U1998" s="46">
        <f t="shared" si="303"/>
        <v>0</v>
      </c>
      <c r="V1998" s="63">
        <f t="shared" si="304"/>
        <v>0</v>
      </c>
      <c r="W1998" s="49">
        <f t="shared" si="305"/>
        <v>0</v>
      </c>
      <c r="X1998" s="50">
        <f t="shared" si="306"/>
        <v>0</v>
      </c>
      <c r="Y1998"/>
      <c r="Z1998"/>
      <c r="AA1998"/>
    </row>
    <row r="1999" spans="1:27" s="51" customFormat="1" ht="18.600000000000001" hidden="1" customHeight="1" x14ac:dyDescent="0.25">
      <c r="A1999" s="80" t="s">
        <v>2653</v>
      </c>
      <c r="B1999" s="20" t="s">
        <v>9303</v>
      </c>
      <c r="C1999" s="21" t="s">
        <v>9318</v>
      </c>
      <c r="D1999" s="20" t="s">
        <v>4932</v>
      </c>
      <c r="E1999" s="22" t="s">
        <v>4933</v>
      </c>
      <c r="F1999" s="22" t="s">
        <v>1937</v>
      </c>
      <c r="G1999" s="22" t="s">
        <v>3586</v>
      </c>
      <c r="H1999" s="83" t="s">
        <v>4934</v>
      </c>
      <c r="I1999" s="23" t="s">
        <v>24</v>
      </c>
      <c r="J1999" s="24">
        <v>90</v>
      </c>
      <c r="K1999" s="25">
        <v>0.25</v>
      </c>
      <c r="L1999" s="26">
        <f t="shared" si="298"/>
        <v>22.5</v>
      </c>
      <c r="M1999" s="27">
        <f t="shared" si="299"/>
        <v>67.5</v>
      </c>
      <c r="N1999" s="28">
        <v>0.16</v>
      </c>
      <c r="O1999" s="29">
        <f t="shared" si="300"/>
        <v>10.8</v>
      </c>
      <c r="P1999" s="30">
        <f t="shared" si="301"/>
        <v>78.3</v>
      </c>
      <c r="Q1999" s="23"/>
      <c r="R1999" s="52"/>
      <c r="S1999" s="53"/>
      <c r="T1999" s="54">
        <f t="shared" si="302"/>
        <v>0</v>
      </c>
      <c r="U1999" s="26">
        <f t="shared" si="303"/>
        <v>0</v>
      </c>
      <c r="V1999" s="55">
        <f t="shared" si="304"/>
        <v>0</v>
      </c>
      <c r="W1999" s="29">
        <f t="shared" si="305"/>
        <v>0</v>
      </c>
      <c r="X1999" s="30">
        <f t="shared" si="306"/>
        <v>0</v>
      </c>
      <c r="Y1999"/>
      <c r="Z1999"/>
      <c r="AA1999"/>
    </row>
    <row r="2000" spans="1:27" s="51" customFormat="1" ht="18.600000000000001" hidden="1" customHeight="1" x14ac:dyDescent="0.25">
      <c r="A2000" s="81" t="s">
        <v>2653</v>
      </c>
      <c r="B2000" s="31" t="s">
        <v>9303</v>
      </c>
      <c r="C2000" s="32" t="s">
        <v>9318</v>
      </c>
      <c r="D2000" s="31" t="s">
        <v>4935</v>
      </c>
      <c r="E2000" s="33" t="s">
        <v>4936</v>
      </c>
      <c r="F2000" s="33" t="s">
        <v>1937</v>
      </c>
      <c r="G2000" s="33" t="s">
        <v>3586</v>
      </c>
      <c r="H2000" s="84" t="s">
        <v>4937</v>
      </c>
      <c r="I2000" s="23" t="s">
        <v>24</v>
      </c>
      <c r="J2000" s="34">
        <v>90</v>
      </c>
      <c r="K2000" s="35">
        <v>0.25</v>
      </c>
      <c r="L2000" s="36">
        <f t="shared" si="298"/>
        <v>22.5</v>
      </c>
      <c r="M2000" s="37">
        <f t="shared" si="299"/>
        <v>67.5</v>
      </c>
      <c r="N2000" s="38">
        <v>0.16</v>
      </c>
      <c r="O2000" s="39">
        <f t="shared" si="300"/>
        <v>10.8</v>
      </c>
      <c r="P2000" s="40">
        <f t="shared" si="301"/>
        <v>78.3</v>
      </c>
      <c r="Q2000" s="23"/>
      <c r="R2000" s="56"/>
      <c r="S2000" s="57"/>
      <c r="T2000" s="58">
        <f t="shared" si="302"/>
        <v>0</v>
      </c>
      <c r="U2000" s="36">
        <f t="shared" si="303"/>
        <v>0</v>
      </c>
      <c r="V2000" s="59">
        <f t="shared" si="304"/>
        <v>0</v>
      </c>
      <c r="W2000" s="39">
        <f t="shared" si="305"/>
        <v>0</v>
      </c>
      <c r="X2000" s="40">
        <f t="shared" si="306"/>
        <v>0</v>
      </c>
      <c r="Y2000"/>
      <c r="Z2000"/>
      <c r="AA2000"/>
    </row>
    <row r="2001" spans="1:27" s="51" customFormat="1" ht="18.600000000000001" hidden="1" customHeight="1" x14ac:dyDescent="0.25">
      <c r="A2001" s="82" t="s">
        <v>2653</v>
      </c>
      <c r="B2001" s="41" t="s">
        <v>9303</v>
      </c>
      <c r="C2001" s="42" t="s">
        <v>9318</v>
      </c>
      <c r="D2001" s="41" t="s">
        <v>4938</v>
      </c>
      <c r="E2001" s="43" t="s">
        <v>4939</v>
      </c>
      <c r="F2001" s="43" t="s">
        <v>1937</v>
      </c>
      <c r="G2001" s="43" t="s">
        <v>3586</v>
      </c>
      <c r="H2001" s="85" t="s">
        <v>4940</v>
      </c>
      <c r="I2001" s="23" t="s">
        <v>24</v>
      </c>
      <c r="J2001" s="44">
        <v>90</v>
      </c>
      <c r="K2001" s="45">
        <v>0.25</v>
      </c>
      <c r="L2001" s="46">
        <f t="shared" si="298"/>
        <v>22.5</v>
      </c>
      <c r="M2001" s="47">
        <f t="shared" si="299"/>
        <v>67.5</v>
      </c>
      <c r="N2001" s="48">
        <v>0.16</v>
      </c>
      <c r="O2001" s="49">
        <f t="shared" si="300"/>
        <v>10.8</v>
      </c>
      <c r="P2001" s="50">
        <f t="shared" si="301"/>
        <v>78.3</v>
      </c>
      <c r="Q2001" s="23"/>
      <c r="R2001" s="60"/>
      <c r="S2001" s="61"/>
      <c r="T2001" s="62">
        <f t="shared" si="302"/>
        <v>0</v>
      </c>
      <c r="U2001" s="46">
        <f t="shared" si="303"/>
        <v>0</v>
      </c>
      <c r="V2001" s="63">
        <f t="shared" si="304"/>
        <v>0</v>
      </c>
      <c r="W2001" s="49">
        <f t="shared" si="305"/>
        <v>0</v>
      </c>
      <c r="X2001" s="50">
        <f t="shared" si="306"/>
        <v>0</v>
      </c>
      <c r="Y2001"/>
      <c r="Z2001"/>
      <c r="AA2001"/>
    </row>
    <row r="2002" spans="1:27" s="51" customFormat="1" ht="18.600000000000001" hidden="1" customHeight="1" x14ac:dyDescent="0.25">
      <c r="A2002" s="80" t="s">
        <v>2653</v>
      </c>
      <c r="B2002" s="20" t="s">
        <v>9303</v>
      </c>
      <c r="C2002" s="21" t="s">
        <v>9318</v>
      </c>
      <c r="D2002" s="20" t="s">
        <v>4941</v>
      </c>
      <c r="E2002" s="22" t="s">
        <v>4942</v>
      </c>
      <c r="F2002" s="22" t="s">
        <v>1937</v>
      </c>
      <c r="G2002" s="22" t="s">
        <v>3586</v>
      </c>
      <c r="H2002" s="83" t="s">
        <v>4943</v>
      </c>
      <c r="I2002" s="23" t="s">
        <v>24</v>
      </c>
      <c r="J2002" s="24">
        <v>90</v>
      </c>
      <c r="K2002" s="25">
        <v>0.25</v>
      </c>
      <c r="L2002" s="26">
        <f t="shared" si="298"/>
        <v>22.5</v>
      </c>
      <c r="M2002" s="27">
        <f t="shared" si="299"/>
        <v>67.5</v>
      </c>
      <c r="N2002" s="28">
        <v>0.16</v>
      </c>
      <c r="O2002" s="29">
        <f t="shared" si="300"/>
        <v>10.8</v>
      </c>
      <c r="P2002" s="30">
        <f t="shared" si="301"/>
        <v>78.3</v>
      </c>
      <c r="Q2002" s="23"/>
      <c r="R2002" s="52"/>
      <c r="S2002" s="53"/>
      <c r="T2002" s="54">
        <f t="shared" si="302"/>
        <v>0</v>
      </c>
      <c r="U2002" s="26">
        <f t="shared" si="303"/>
        <v>0</v>
      </c>
      <c r="V2002" s="55">
        <f t="shared" si="304"/>
        <v>0</v>
      </c>
      <c r="W2002" s="29">
        <f t="shared" si="305"/>
        <v>0</v>
      </c>
      <c r="X2002" s="30">
        <f t="shared" si="306"/>
        <v>0</v>
      </c>
      <c r="Y2002"/>
      <c r="Z2002"/>
      <c r="AA2002"/>
    </row>
    <row r="2003" spans="1:27" s="51" customFormat="1" ht="18.600000000000001" hidden="1" customHeight="1" x14ac:dyDescent="0.25">
      <c r="A2003" s="81" t="s">
        <v>2653</v>
      </c>
      <c r="B2003" s="31" t="s">
        <v>9303</v>
      </c>
      <c r="C2003" s="32" t="s">
        <v>9318</v>
      </c>
      <c r="D2003" s="31" t="s">
        <v>4944</v>
      </c>
      <c r="E2003" s="33" t="s">
        <v>4945</v>
      </c>
      <c r="F2003" s="33" t="s">
        <v>1937</v>
      </c>
      <c r="G2003" s="33" t="s">
        <v>3586</v>
      </c>
      <c r="H2003" s="84" t="s">
        <v>4946</v>
      </c>
      <c r="I2003" s="23" t="s">
        <v>24</v>
      </c>
      <c r="J2003" s="34">
        <v>90</v>
      </c>
      <c r="K2003" s="35">
        <v>0.25</v>
      </c>
      <c r="L2003" s="36">
        <f t="shared" si="298"/>
        <v>22.5</v>
      </c>
      <c r="M2003" s="37">
        <f t="shared" si="299"/>
        <v>67.5</v>
      </c>
      <c r="N2003" s="38">
        <v>0.16</v>
      </c>
      <c r="O2003" s="39">
        <f t="shared" si="300"/>
        <v>10.8</v>
      </c>
      <c r="P2003" s="40">
        <f t="shared" si="301"/>
        <v>78.3</v>
      </c>
      <c r="Q2003" s="23"/>
      <c r="R2003" s="56"/>
      <c r="S2003" s="57"/>
      <c r="T2003" s="58">
        <f t="shared" si="302"/>
        <v>0</v>
      </c>
      <c r="U2003" s="36">
        <f t="shared" si="303"/>
        <v>0</v>
      </c>
      <c r="V2003" s="59">
        <f t="shared" si="304"/>
        <v>0</v>
      </c>
      <c r="W2003" s="39">
        <f t="shared" si="305"/>
        <v>0</v>
      </c>
      <c r="X2003" s="40">
        <f t="shared" si="306"/>
        <v>0</v>
      </c>
      <c r="Y2003"/>
      <c r="Z2003"/>
      <c r="AA2003"/>
    </row>
    <row r="2004" spans="1:27" s="51" customFormat="1" ht="18.600000000000001" hidden="1" customHeight="1" x14ac:dyDescent="0.25">
      <c r="A2004" s="82" t="s">
        <v>2653</v>
      </c>
      <c r="B2004" s="41" t="s">
        <v>9303</v>
      </c>
      <c r="C2004" s="42" t="s">
        <v>9318</v>
      </c>
      <c r="D2004" s="41" t="s">
        <v>4947</v>
      </c>
      <c r="E2004" s="43" t="s">
        <v>4948</v>
      </c>
      <c r="F2004" s="43" t="s">
        <v>1937</v>
      </c>
      <c r="G2004" s="43" t="s">
        <v>3586</v>
      </c>
      <c r="H2004" s="85" t="s">
        <v>4949</v>
      </c>
      <c r="I2004" s="23" t="s">
        <v>24</v>
      </c>
      <c r="J2004" s="44">
        <v>90</v>
      </c>
      <c r="K2004" s="45">
        <v>0.25</v>
      </c>
      <c r="L2004" s="46">
        <f t="shared" si="298"/>
        <v>22.5</v>
      </c>
      <c r="M2004" s="47">
        <f t="shared" si="299"/>
        <v>67.5</v>
      </c>
      <c r="N2004" s="48">
        <v>0.16</v>
      </c>
      <c r="O2004" s="49">
        <f t="shared" si="300"/>
        <v>10.8</v>
      </c>
      <c r="P2004" s="50">
        <f t="shared" si="301"/>
        <v>78.3</v>
      </c>
      <c r="Q2004" s="23"/>
      <c r="R2004" s="60"/>
      <c r="S2004" s="61"/>
      <c r="T2004" s="62">
        <f t="shared" si="302"/>
        <v>0</v>
      </c>
      <c r="U2004" s="46">
        <f t="shared" si="303"/>
        <v>0</v>
      </c>
      <c r="V2004" s="63">
        <f t="shared" si="304"/>
        <v>0</v>
      </c>
      <c r="W2004" s="49">
        <f t="shared" si="305"/>
        <v>0</v>
      </c>
      <c r="X2004" s="50">
        <f t="shared" si="306"/>
        <v>0</v>
      </c>
      <c r="Y2004"/>
      <c r="Z2004"/>
      <c r="AA2004"/>
    </row>
    <row r="2005" spans="1:27" s="51" customFormat="1" ht="18.600000000000001" hidden="1" customHeight="1" x14ac:dyDescent="0.25">
      <c r="A2005" s="80" t="s">
        <v>2653</v>
      </c>
      <c r="B2005" s="20" t="s">
        <v>9303</v>
      </c>
      <c r="C2005" s="21" t="s">
        <v>9318</v>
      </c>
      <c r="D2005" s="20" t="s">
        <v>4950</v>
      </c>
      <c r="E2005" s="22" t="s">
        <v>4951</v>
      </c>
      <c r="F2005" s="22" t="s">
        <v>1937</v>
      </c>
      <c r="G2005" s="22" t="s">
        <v>3586</v>
      </c>
      <c r="H2005" s="83" t="s">
        <v>4952</v>
      </c>
      <c r="I2005" s="23" t="s">
        <v>24</v>
      </c>
      <c r="J2005" s="24">
        <v>90</v>
      </c>
      <c r="K2005" s="25">
        <v>0.25</v>
      </c>
      <c r="L2005" s="26">
        <f t="shared" si="298"/>
        <v>22.5</v>
      </c>
      <c r="M2005" s="27">
        <f t="shared" si="299"/>
        <v>67.5</v>
      </c>
      <c r="N2005" s="28">
        <v>0.16</v>
      </c>
      <c r="O2005" s="29">
        <f t="shared" si="300"/>
        <v>10.8</v>
      </c>
      <c r="P2005" s="30">
        <f t="shared" si="301"/>
        <v>78.3</v>
      </c>
      <c r="Q2005" s="23"/>
      <c r="R2005" s="52"/>
      <c r="S2005" s="53"/>
      <c r="T2005" s="54">
        <f t="shared" si="302"/>
        <v>0</v>
      </c>
      <c r="U2005" s="26">
        <f t="shared" si="303"/>
        <v>0</v>
      </c>
      <c r="V2005" s="55">
        <f t="shared" si="304"/>
        <v>0</v>
      </c>
      <c r="W2005" s="29">
        <f t="shared" si="305"/>
        <v>0</v>
      </c>
      <c r="X2005" s="30">
        <f t="shared" si="306"/>
        <v>0</v>
      </c>
      <c r="Y2005"/>
      <c r="Z2005"/>
      <c r="AA2005"/>
    </row>
    <row r="2006" spans="1:27" s="51" customFormat="1" ht="18.600000000000001" hidden="1" customHeight="1" x14ac:dyDescent="0.25">
      <c r="A2006" s="81" t="s">
        <v>2653</v>
      </c>
      <c r="B2006" s="31" t="s">
        <v>9303</v>
      </c>
      <c r="C2006" s="32" t="s">
        <v>9318</v>
      </c>
      <c r="D2006" s="31" t="s">
        <v>4953</v>
      </c>
      <c r="E2006" s="33" t="s">
        <v>4954</v>
      </c>
      <c r="F2006" s="33" t="s">
        <v>1937</v>
      </c>
      <c r="G2006" s="33" t="s">
        <v>3586</v>
      </c>
      <c r="H2006" s="84" t="s">
        <v>4955</v>
      </c>
      <c r="I2006" s="23" t="s">
        <v>24</v>
      </c>
      <c r="J2006" s="34">
        <v>90</v>
      </c>
      <c r="K2006" s="35">
        <v>0.25</v>
      </c>
      <c r="L2006" s="36">
        <f t="shared" si="298"/>
        <v>22.5</v>
      </c>
      <c r="M2006" s="37">
        <f t="shared" si="299"/>
        <v>67.5</v>
      </c>
      <c r="N2006" s="38">
        <v>0.16</v>
      </c>
      <c r="O2006" s="39">
        <f t="shared" si="300"/>
        <v>10.8</v>
      </c>
      <c r="P2006" s="40">
        <f t="shared" si="301"/>
        <v>78.3</v>
      </c>
      <c r="Q2006" s="23"/>
      <c r="R2006" s="56"/>
      <c r="S2006" s="57"/>
      <c r="T2006" s="58">
        <f t="shared" si="302"/>
        <v>0</v>
      </c>
      <c r="U2006" s="36">
        <f t="shared" si="303"/>
        <v>0</v>
      </c>
      <c r="V2006" s="59">
        <f t="shared" si="304"/>
        <v>0</v>
      </c>
      <c r="W2006" s="39">
        <f t="shared" si="305"/>
        <v>0</v>
      </c>
      <c r="X2006" s="40">
        <f t="shared" si="306"/>
        <v>0</v>
      </c>
      <c r="Y2006"/>
      <c r="Z2006"/>
      <c r="AA2006"/>
    </row>
    <row r="2007" spans="1:27" s="51" customFormat="1" ht="18.600000000000001" hidden="1" customHeight="1" x14ac:dyDescent="0.25">
      <c r="A2007" s="82" t="s">
        <v>2653</v>
      </c>
      <c r="B2007" s="41" t="s">
        <v>9303</v>
      </c>
      <c r="C2007" s="42" t="s">
        <v>9318</v>
      </c>
      <c r="D2007" s="41" t="s">
        <v>4956</v>
      </c>
      <c r="E2007" s="43" t="s">
        <v>4957</v>
      </c>
      <c r="F2007" s="43" t="s">
        <v>1937</v>
      </c>
      <c r="G2007" s="43" t="s">
        <v>3586</v>
      </c>
      <c r="H2007" s="85" t="s">
        <v>4958</v>
      </c>
      <c r="I2007" s="23" t="s">
        <v>24</v>
      </c>
      <c r="J2007" s="44">
        <v>90</v>
      </c>
      <c r="K2007" s="45">
        <v>0.25</v>
      </c>
      <c r="L2007" s="46">
        <f t="shared" ref="L2007:L2070" si="307">+J2007*K2007</f>
        <v>22.5</v>
      </c>
      <c r="M2007" s="47">
        <f t="shared" ref="M2007:M2070" si="308">+J2007-L2007</f>
        <v>67.5</v>
      </c>
      <c r="N2007" s="48">
        <v>0.16</v>
      </c>
      <c r="O2007" s="49">
        <f t="shared" ref="O2007:O2070" si="309">+M2007*N2007</f>
        <v>10.8</v>
      </c>
      <c r="P2007" s="50">
        <f t="shared" ref="P2007:P2070" si="310">+M2007+O2007</f>
        <v>78.3</v>
      </c>
      <c r="Q2007" s="23"/>
      <c r="R2007" s="60"/>
      <c r="S2007" s="61"/>
      <c r="T2007" s="62">
        <f t="shared" ref="T2007:T2070" si="311">+S2007*J2007</f>
        <v>0</v>
      </c>
      <c r="U2007" s="46">
        <f t="shared" ref="U2007:U2070" si="312">+T2007*K2007</f>
        <v>0</v>
      </c>
      <c r="V2007" s="63">
        <f t="shared" ref="V2007:V2070" si="313">+T2007-U2007</f>
        <v>0</v>
      </c>
      <c r="W2007" s="49">
        <f t="shared" ref="W2007:W2070" si="314">+V2007*N2007</f>
        <v>0</v>
      </c>
      <c r="X2007" s="50">
        <f t="shared" ref="X2007:X2070" si="315">+V2007+W2007</f>
        <v>0</v>
      </c>
      <c r="Y2007"/>
      <c r="Z2007"/>
      <c r="AA2007"/>
    </row>
    <row r="2008" spans="1:27" s="51" customFormat="1" ht="18.600000000000001" hidden="1" customHeight="1" x14ac:dyDescent="0.25">
      <c r="A2008" s="80" t="s">
        <v>2653</v>
      </c>
      <c r="B2008" s="20" t="s">
        <v>9303</v>
      </c>
      <c r="C2008" s="21" t="s">
        <v>9318</v>
      </c>
      <c r="D2008" s="20" t="s">
        <v>4959</v>
      </c>
      <c r="E2008" s="22" t="s">
        <v>4960</v>
      </c>
      <c r="F2008" s="22" t="s">
        <v>1937</v>
      </c>
      <c r="G2008" s="22" t="s">
        <v>3586</v>
      </c>
      <c r="H2008" s="83" t="s">
        <v>4961</v>
      </c>
      <c r="I2008" s="23" t="s">
        <v>24</v>
      </c>
      <c r="J2008" s="24">
        <v>90</v>
      </c>
      <c r="K2008" s="25">
        <v>0.25</v>
      </c>
      <c r="L2008" s="26">
        <f t="shared" si="307"/>
        <v>22.5</v>
      </c>
      <c r="M2008" s="27">
        <f t="shared" si="308"/>
        <v>67.5</v>
      </c>
      <c r="N2008" s="28">
        <v>0.16</v>
      </c>
      <c r="O2008" s="29">
        <f t="shared" si="309"/>
        <v>10.8</v>
      </c>
      <c r="P2008" s="30">
        <f t="shared" si="310"/>
        <v>78.3</v>
      </c>
      <c r="Q2008" s="23"/>
      <c r="R2008" s="52"/>
      <c r="S2008" s="53"/>
      <c r="T2008" s="54">
        <f t="shared" si="311"/>
        <v>0</v>
      </c>
      <c r="U2008" s="26">
        <f t="shared" si="312"/>
        <v>0</v>
      </c>
      <c r="V2008" s="55">
        <f t="shared" si="313"/>
        <v>0</v>
      </c>
      <c r="W2008" s="29">
        <f t="shared" si="314"/>
        <v>0</v>
      </c>
      <c r="X2008" s="30">
        <f t="shared" si="315"/>
        <v>0</v>
      </c>
      <c r="Y2008"/>
      <c r="Z2008"/>
      <c r="AA2008"/>
    </row>
    <row r="2009" spans="1:27" s="51" customFormat="1" ht="18.600000000000001" hidden="1" customHeight="1" x14ac:dyDescent="0.25">
      <c r="A2009" s="81" t="s">
        <v>2653</v>
      </c>
      <c r="B2009" s="31" t="s">
        <v>9303</v>
      </c>
      <c r="C2009" s="32" t="s">
        <v>9318</v>
      </c>
      <c r="D2009" s="31" t="s">
        <v>4962</v>
      </c>
      <c r="E2009" s="33" t="s">
        <v>4963</v>
      </c>
      <c r="F2009" s="33" t="s">
        <v>1937</v>
      </c>
      <c r="G2009" s="33" t="s">
        <v>3586</v>
      </c>
      <c r="H2009" s="84" t="s">
        <v>4964</v>
      </c>
      <c r="I2009" s="23" t="s">
        <v>24</v>
      </c>
      <c r="J2009" s="34">
        <v>90</v>
      </c>
      <c r="K2009" s="35">
        <v>0.25</v>
      </c>
      <c r="L2009" s="36">
        <f t="shared" si="307"/>
        <v>22.5</v>
      </c>
      <c r="M2009" s="37">
        <f t="shared" si="308"/>
        <v>67.5</v>
      </c>
      <c r="N2009" s="38">
        <v>0.16</v>
      </c>
      <c r="O2009" s="39">
        <f t="shared" si="309"/>
        <v>10.8</v>
      </c>
      <c r="P2009" s="40">
        <f t="shared" si="310"/>
        <v>78.3</v>
      </c>
      <c r="Q2009" s="23"/>
      <c r="R2009" s="56"/>
      <c r="S2009" s="57"/>
      <c r="T2009" s="58">
        <f t="shared" si="311"/>
        <v>0</v>
      </c>
      <c r="U2009" s="36">
        <f t="shared" si="312"/>
        <v>0</v>
      </c>
      <c r="V2009" s="59">
        <f t="shared" si="313"/>
        <v>0</v>
      </c>
      <c r="W2009" s="39">
        <f t="shared" si="314"/>
        <v>0</v>
      </c>
      <c r="X2009" s="40">
        <f t="shared" si="315"/>
        <v>0</v>
      </c>
      <c r="Y2009"/>
      <c r="Z2009"/>
      <c r="AA2009"/>
    </row>
    <row r="2010" spans="1:27" s="51" customFormat="1" ht="18.600000000000001" hidden="1" customHeight="1" x14ac:dyDescent="0.25">
      <c r="A2010" s="82" t="s">
        <v>2653</v>
      </c>
      <c r="B2010" s="41" t="s">
        <v>9303</v>
      </c>
      <c r="C2010" s="42" t="s">
        <v>9318</v>
      </c>
      <c r="D2010" s="41" t="s">
        <v>4965</v>
      </c>
      <c r="E2010" s="43" t="s">
        <v>4966</v>
      </c>
      <c r="F2010" s="43" t="s">
        <v>1937</v>
      </c>
      <c r="G2010" s="43" t="s">
        <v>3586</v>
      </c>
      <c r="H2010" s="85" t="s">
        <v>4967</v>
      </c>
      <c r="I2010" s="23" t="s">
        <v>24</v>
      </c>
      <c r="J2010" s="44">
        <v>90</v>
      </c>
      <c r="K2010" s="45">
        <v>0.25</v>
      </c>
      <c r="L2010" s="46">
        <f t="shared" si="307"/>
        <v>22.5</v>
      </c>
      <c r="M2010" s="47">
        <f t="shared" si="308"/>
        <v>67.5</v>
      </c>
      <c r="N2010" s="48">
        <v>0.16</v>
      </c>
      <c r="O2010" s="49">
        <f t="shared" si="309"/>
        <v>10.8</v>
      </c>
      <c r="P2010" s="50">
        <f t="shared" si="310"/>
        <v>78.3</v>
      </c>
      <c r="Q2010" s="23"/>
      <c r="R2010" s="60"/>
      <c r="S2010" s="61"/>
      <c r="T2010" s="62">
        <f t="shared" si="311"/>
        <v>0</v>
      </c>
      <c r="U2010" s="46">
        <f t="shared" si="312"/>
        <v>0</v>
      </c>
      <c r="V2010" s="63">
        <f t="shared" si="313"/>
        <v>0</v>
      </c>
      <c r="W2010" s="49">
        <f t="shared" si="314"/>
        <v>0</v>
      </c>
      <c r="X2010" s="50">
        <f t="shared" si="315"/>
        <v>0</v>
      </c>
      <c r="Y2010"/>
      <c r="Z2010"/>
      <c r="AA2010"/>
    </row>
    <row r="2011" spans="1:27" s="51" customFormat="1" ht="18.600000000000001" hidden="1" customHeight="1" x14ac:dyDescent="0.25">
      <c r="A2011" s="80" t="s">
        <v>2653</v>
      </c>
      <c r="B2011" s="20" t="s">
        <v>9303</v>
      </c>
      <c r="C2011" s="21" t="s">
        <v>9318</v>
      </c>
      <c r="D2011" s="20" t="s">
        <v>4968</v>
      </c>
      <c r="E2011" s="22" t="s">
        <v>4969</v>
      </c>
      <c r="F2011" s="22" t="s">
        <v>1937</v>
      </c>
      <c r="G2011" s="22" t="s">
        <v>3586</v>
      </c>
      <c r="H2011" s="83" t="s">
        <v>4970</v>
      </c>
      <c r="I2011" s="23" t="s">
        <v>24</v>
      </c>
      <c r="J2011" s="24">
        <v>90</v>
      </c>
      <c r="K2011" s="25">
        <v>0.25</v>
      </c>
      <c r="L2011" s="26">
        <f t="shared" si="307"/>
        <v>22.5</v>
      </c>
      <c r="M2011" s="27">
        <f t="shared" si="308"/>
        <v>67.5</v>
      </c>
      <c r="N2011" s="28">
        <v>0.16</v>
      </c>
      <c r="O2011" s="29">
        <f t="shared" si="309"/>
        <v>10.8</v>
      </c>
      <c r="P2011" s="30">
        <f t="shared" si="310"/>
        <v>78.3</v>
      </c>
      <c r="Q2011" s="23"/>
      <c r="R2011" s="52"/>
      <c r="S2011" s="53"/>
      <c r="T2011" s="54">
        <f t="shared" si="311"/>
        <v>0</v>
      </c>
      <c r="U2011" s="26">
        <f t="shared" si="312"/>
        <v>0</v>
      </c>
      <c r="V2011" s="55">
        <f t="shared" si="313"/>
        <v>0</v>
      </c>
      <c r="W2011" s="29">
        <f t="shared" si="314"/>
        <v>0</v>
      </c>
      <c r="X2011" s="30">
        <f t="shared" si="315"/>
        <v>0</v>
      </c>
      <c r="Y2011"/>
      <c r="Z2011"/>
      <c r="AA2011"/>
    </row>
    <row r="2012" spans="1:27" s="51" customFormat="1" ht="18.600000000000001" hidden="1" customHeight="1" x14ac:dyDescent="0.25">
      <c r="A2012" s="81" t="s">
        <v>2653</v>
      </c>
      <c r="B2012" s="31" t="s">
        <v>9303</v>
      </c>
      <c r="C2012" s="32" t="s">
        <v>9318</v>
      </c>
      <c r="D2012" s="31" t="s">
        <v>4971</v>
      </c>
      <c r="E2012" s="33" t="s">
        <v>4972</v>
      </c>
      <c r="F2012" s="33" t="s">
        <v>1937</v>
      </c>
      <c r="G2012" s="33" t="s">
        <v>3586</v>
      </c>
      <c r="H2012" s="84" t="s">
        <v>4973</v>
      </c>
      <c r="I2012" s="23" t="s">
        <v>24</v>
      </c>
      <c r="J2012" s="34">
        <v>90</v>
      </c>
      <c r="K2012" s="35">
        <v>0.25</v>
      </c>
      <c r="L2012" s="36">
        <f t="shared" si="307"/>
        <v>22.5</v>
      </c>
      <c r="M2012" s="37">
        <f t="shared" si="308"/>
        <v>67.5</v>
      </c>
      <c r="N2012" s="38">
        <v>0.16</v>
      </c>
      <c r="O2012" s="39">
        <f t="shared" si="309"/>
        <v>10.8</v>
      </c>
      <c r="P2012" s="40">
        <f t="shared" si="310"/>
        <v>78.3</v>
      </c>
      <c r="Q2012" s="23"/>
      <c r="R2012" s="56"/>
      <c r="S2012" s="57"/>
      <c r="T2012" s="58">
        <f t="shared" si="311"/>
        <v>0</v>
      </c>
      <c r="U2012" s="36">
        <f t="shared" si="312"/>
        <v>0</v>
      </c>
      <c r="V2012" s="59">
        <f t="shared" si="313"/>
        <v>0</v>
      </c>
      <c r="W2012" s="39">
        <f t="shared" si="314"/>
        <v>0</v>
      </c>
      <c r="X2012" s="40">
        <f t="shared" si="315"/>
        <v>0</v>
      </c>
      <c r="Y2012"/>
      <c r="Z2012"/>
      <c r="AA2012"/>
    </row>
    <row r="2013" spans="1:27" s="51" customFormat="1" ht="18.600000000000001" hidden="1" customHeight="1" x14ac:dyDescent="0.25">
      <c r="A2013" s="82" t="s">
        <v>2653</v>
      </c>
      <c r="B2013" s="41" t="s">
        <v>9303</v>
      </c>
      <c r="C2013" s="42" t="s">
        <v>9318</v>
      </c>
      <c r="D2013" s="41" t="s">
        <v>4974</v>
      </c>
      <c r="E2013" s="43" t="s">
        <v>4975</v>
      </c>
      <c r="F2013" s="43" t="s">
        <v>1937</v>
      </c>
      <c r="G2013" s="43" t="s">
        <v>3586</v>
      </c>
      <c r="H2013" s="85" t="s">
        <v>4976</v>
      </c>
      <c r="I2013" s="23" t="s">
        <v>24</v>
      </c>
      <c r="J2013" s="44">
        <v>90</v>
      </c>
      <c r="K2013" s="45">
        <v>0.25</v>
      </c>
      <c r="L2013" s="46">
        <f t="shared" si="307"/>
        <v>22.5</v>
      </c>
      <c r="M2013" s="47">
        <f t="shared" si="308"/>
        <v>67.5</v>
      </c>
      <c r="N2013" s="48">
        <v>0.16</v>
      </c>
      <c r="O2013" s="49">
        <f t="shared" si="309"/>
        <v>10.8</v>
      </c>
      <c r="P2013" s="50">
        <f t="shared" si="310"/>
        <v>78.3</v>
      </c>
      <c r="Q2013" s="23"/>
      <c r="R2013" s="60"/>
      <c r="S2013" s="61"/>
      <c r="T2013" s="62">
        <f t="shared" si="311"/>
        <v>0</v>
      </c>
      <c r="U2013" s="46">
        <f t="shared" si="312"/>
        <v>0</v>
      </c>
      <c r="V2013" s="63">
        <f t="shared" si="313"/>
        <v>0</v>
      </c>
      <c r="W2013" s="49">
        <f t="shared" si="314"/>
        <v>0</v>
      </c>
      <c r="X2013" s="50">
        <f t="shared" si="315"/>
        <v>0</v>
      </c>
      <c r="Y2013"/>
      <c r="Z2013"/>
      <c r="AA2013"/>
    </row>
    <row r="2014" spans="1:27" s="51" customFormat="1" ht="18.600000000000001" hidden="1" customHeight="1" x14ac:dyDescent="0.25">
      <c r="A2014" s="80" t="s">
        <v>2653</v>
      </c>
      <c r="B2014" s="20" t="s">
        <v>9303</v>
      </c>
      <c r="C2014" s="21" t="s">
        <v>9318</v>
      </c>
      <c r="D2014" s="20" t="s">
        <v>4977</v>
      </c>
      <c r="E2014" s="22" t="s">
        <v>4978</v>
      </c>
      <c r="F2014" s="22" t="s">
        <v>1937</v>
      </c>
      <c r="G2014" s="22" t="s">
        <v>3586</v>
      </c>
      <c r="H2014" s="83" t="s">
        <v>4979</v>
      </c>
      <c r="I2014" s="23" t="s">
        <v>24</v>
      </c>
      <c r="J2014" s="24">
        <v>90</v>
      </c>
      <c r="K2014" s="25">
        <v>0.25</v>
      </c>
      <c r="L2014" s="26">
        <f t="shared" si="307"/>
        <v>22.5</v>
      </c>
      <c r="M2014" s="27">
        <f t="shared" si="308"/>
        <v>67.5</v>
      </c>
      <c r="N2014" s="28">
        <v>0.16</v>
      </c>
      <c r="O2014" s="29">
        <f t="shared" si="309"/>
        <v>10.8</v>
      </c>
      <c r="P2014" s="30">
        <f t="shared" si="310"/>
        <v>78.3</v>
      </c>
      <c r="Q2014" s="23"/>
      <c r="R2014" s="52"/>
      <c r="S2014" s="53"/>
      <c r="T2014" s="54">
        <f t="shared" si="311"/>
        <v>0</v>
      </c>
      <c r="U2014" s="26">
        <f t="shared" si="312"/>
        <v>0</v>
      </c>
      <c r="V2014" s="55">
        <f t="shared" si="313"/>
        <v>0</v>
      </c>
      <c r="W2014" s="29">
        <f t="shared" si="314"/>
        <v>0</v>
      </c>
      <c r="X2014" s="30">
        <f t="shared" si="315"/>
        <v>0</v>
      </c>
      <c r="Y2014"/>
      <c r="Z2014"/>
      <c r="AA2014"/>
    </row>
    <row r="2015" spans="1:27" s="51" customFormat="1" ht="18.600000000000001" hidden="1" customHeight="1" x14ac:dyDescent="0.25">
      <c r="A2015" s="81" t="s">
        <v>2653</v>
      </c>
      <c r="B2015" s="31" t="s">
        <v>9303</v>
      </c>
      <c r="C2015" s="32" t="s">
        <v>9318</v>
      </c>
      <c r="D2015" s="31" t="s">
        <v>4980</v>
      </c>
      <c r="E2015" s="33" t="s">
        <v>4981</v>
      </c>
      <c r="F2015" s="33" t="s">
        <v>1937</v>
      </c>
      <c r="G2015" s="33" t="s">
        <v>3586</v>
      </c>
      <c r="H2015" s="84" t="s">
        <v>4982</v>
      </c>
      <c r="I2015" s="23" t="s">
        <v>24</v>
      </c>
      <c r="J2015" s="34">
        <v>90</v>
      </c>
      <c r="K2015" s="35">
        <v>0.25</v>
      </c>
      <c r="L2015" s="36">
        <f t="shared" si="307"/>
        <v>22.5</v>
      </c>
      <c r="M2015" s="37">
        <f t="shared" si="308"/>
        <v>67.5</v>
      </c>
      <c r="N2015" s="38">
        <v>0.16</v>
      </c>
      <c r="O2015" s="39">
        <f t="shared" si="309"/>
        <v>10.8</v>
      </c>
      <c r="P2015" s="40">
        <f t="shared" si="310"/>
        <v>78.3</v>
      </c>
      <c r="Q2015" s="23"/>
      <c r="R2015" s="56"/>
      <c r="S2015" s="57"/>
      <c r="T2015" s="58">
        <f t="shared" si="311"/>
        <v>0</v>
      </c>
      <c r="U2015" s="36">
        <f t="shared" si="312"/>
        <v>0</v>
      </c>
      <c r="V2015" s="59">
        <f t="shared" si="313"/>
        <v>0</v>
      </c>
      <c r="W2015" s="39">
        <f t="shared" si="314"/>
        <v>0</v>
      </c>
      <c r="X2015" s="40">
        <f t="shared" si="315"/>
        <v>0</v>
      </c>
      <c r="Y2015"/>
      <c r="Z2015"/>
      <c r="AA2015"/>
    </row>
    <row r="2016" spans="1:27" s="51" customFormat="1" ht="18.600000000000001" hidden="1" customHeight="1" x14ac:dyDescent="0.25">
      <c r="A2016" s="82" t="s">
        <v>2653</v>
      </c>
      <c r="B2016" s="41" t="s">
        <v>9303</v>
      </c>
      <c r="C2016" s="42" t="s">
        <v>9318</v>
      </c>
      <c r="D2016" s="41" t="s">
        <v>4983</v>
      </c>
      <c r="E2016" s="43" t="s">
        <v>4984</v>
      </c>
      <c r="F2016" s="43" t="s">
        <v>1937</v>
      </c>
      <c r="G2016" s="43" t="s">
        <v>3586</v>
      </c>
      <c r="H2016" s="85" t="s">
        <v>4985</v>
      </c>
      <c r="I2016" s="23" t="s">
        <v>24</v>
      </c>
      <c r="J2016" s="44">
        <v>90</v>
      </c>
      <c r="K2016" s="45">
        <v>0.25</v>
      </c>
      <c r="L2016" s="46">
        <f t="shared" si="307"/>
        <v>22.5</v>
      </c>
      <c r="M2016" s="47">
        <f t="shared" si="308"/>
        <v>67.5</v>
      </c>
      <c r="N2016" s="48">
        <v>0.16</v>
      </c>
      <c r="O2016" s="49">
        <f t="shared" si="309"/>
        <v>10.8</v>
      </c>
      <c r="P2016" s="50">
        <f t="shared" si="310"/>
        <v>78.3</v>
      </c>
      <c r="Q2016" s="23"/>
      <c r="R2016" s="60"/>
      <c r="S2016" s="61"/>
      <c r="T2016" s="62">
        <f t="shared" si="311"/>
        <v>0</v>
      </c>
      <c r="U2016" s="46">
        <f t="shared" si="312"/>
        <v>0</v>
      </c>
      <c r="V2016" s="63">
        <f t="shared" si="313"/>
        <v>0</v>
      </c>
      <c r="W2016" s="49">
        <f t="shared" si="314"/>
        <v>0</v>
      </c>
      <c r="X2016" s="50">
        <f t="shared" si="315"/>
        <v>0</v>
      </c>
      <c r="Y2016"/>
      <c r="Z2016"/>
      <c r="AA2016"/>
    </row>
    <row r="2017" spans="1:27" s="51" customFormat="1" ht="18.600000000000001" hidden="1" customHeight="1" x14ac:dyDescent="0.25">
      <c r="A2017" s="80" t="s">
        <v>2653</v>
      </c>
      <c r="B2017" s="20" t="s">
        <v>9303</v>
      </c>
      <c r="C2017" s="21" t="s">
        <v>9318</v>
      </c>
      <c r="D2017" s="20" t="s">
        <v>4986</v>
      </c>
      <c r="E2017" s="22" t="s">
        <v>4987</v>
      </c>
      <c r="F2017" s="22" t="s">
        <v>1937</v>
      </c>
      <c r="G2017" s="22" t="s">
        <v>3586</v>
      </c>
      <c r="H2017" s="83" t="s">
        <v>4988</v>
      </c>
      <c r="I2017" s="23" t="s">
        <v>24</v>
      </c>
      <c r="J2017" s="24">
        <v>90</v>
      </c>
      <c r="K2017" s="25">
        <v>0.25</v>
      </c>
      <c r="L2017" s="26">
        <f t="shared" si="307"/>
        <v>22.5</v>
      </c>
      <c r="M2017" s="27">
        <f t="shared" si="308"/>
        <v>67.5</v>
      </c>
      <c r="N2017" s="28">
        <v>0.16</v>
      </c>
      <c r="O2017" s="29">
        <f t="shared" si="309"/>
        <v>10.8</v>
      </c>
      <c r="P2017" s="30">
        <f t="shared" si="310"/>
        <v>78.3</v>
      </c>
      <c r="Q2017" s="23"/>
      <c r="R2017" s="52"/>
      <c r="S2017" s="53"/>
      <c r="T2017" s="54">
        <f t="shared" si="311"/>
        <v>0</v>
      </c>
      <c r="U2017" s="26">
        <f t="shared" si="312"/>
        <v>0</v>
      </c>
      <c r="V2017" s="55">
        <f t="shared" si="313"/>
        <v>0</v>
      </c>
      <c r="W2017" s="29">
        <f t="shared" si="314"/>
        <v>0</v>
      </c>
      <c r="X2017" s="30">
        <f t="shared" si="315"/>
        <v>0</v>
      </c>
      <c r="Y2017"/>
      <c r="Z2017"/>
      <c r="AA2017"/>
    </row>
    <row r="2018" spans="1:27" s="51" customFormat="1" ht="18.600000000000001" hidden="1" customHeight="1" x14ac:dyDescent="0.25">
      <c r="A2018" s="81" t="s">
        <v>2653</v>
      </c>
      <c r="B2018" s="31" t="s">
        <v>9303</v>
      </c>
      <c r="C2018" s="32" t="s">
        <v>9318</v>
      </c>
      <c r="D2018" s="31" t="s">
        <v>4989</v>
      </c>
      <c r="E2018" s="33" t="s">
        <v>4990</v>
      </c>
      <c r="F2018" s="33" t="s">
        <v>1937</v>
      </c>
      <c r="G2018" s="33" t="s">
        <v>3586</v>
      </c>
      <c r="H2018" s="84" t="s">
        <v>4991</v>
      </c>
      <c r="I2018" s="23" t="s">
        <v>24</v>
      </c>
      <c r="J2018" s="34">
        <v>90</v>
      </c>
      <c r="K2018" s="35">
        <v>0.25</v>
      </c>
      <c r="L2018" s="36">
        <f t="shared" si="307"/>
        <v>22.5</v>
      </c>
      <c r="M2018" s="37">
        <f t="shared" si="308"/>
        <v>67.5</v>
      </c>
      <c r="N2018" s="38">
        <v>0.16</v>
      </c>
      <c r="O2018" s="39">
        <f t="shared" si="309"/>
        <v>10.8</v>
      </c>
      <c r="P2018" s="40">
        <f t="shared" si="310"/>
        <v>78.3</v>
      </c>
      <c r="Q2018" s="23"/>
      <c r="R2018" s="56"/>
      <c r="S2018" s="57"/>
      <c r="T2018" s="58">
        <f t="shared" si="311"/>
        <v>0</v>
      </c>
      <c r="U2018" s="36">
        <f t="shared" si="312"/>
        <v>0</v>
      </c>
      <c r="V2018" s="59">
        <f t="shared" si="313"/>
        <v>0</v>
      </c>
      <c r="W2018" s="39">
        <f t="shared" si="314"/>
        <v>0</v>
      </c>
      <c r="X2018" s="40">
        <f t="shared" si="315"/>
        <v>0</v>
      </c>
      <c r="Y2018"/>
      <c r="Z2018"/>
      <c r="AA2018"/>
    </row>
    <row r="2019" spans="1:27" s="51" customFormat="1" ht="18.600000000000001" hidden="1" customHeight="1" x14ac:dyDescent="0.25">
      <c r="A2019" s="82" t="s">
        <v>2653</v>
      </c>
      <c r="B2019" s="41" t="s">
        <v>9303</v>
      </c>
      <c r="C2019" s="42" t="s">
        <v>9318</v>
      </c>
      <c r="D2019" s="41" t="s">
        <v>4992</v>
      </c>
      <c r="E2019" s="43" t="s">
        <v>4993</v>
      </c>
      <c r="F2019" s="43" t="s">
        <v>1937</v>
      </c>
      <c r="G2019" s="43" t="s">
        <v>3586</v>
      </c>
      <c r="H2019" s="85" t="s">
        <v>4994</v>
      </c>
      <c r="I2019" s="23" t="s">
        <v>24</v>
      </c>
      <c r="J2019" s="44">
        <v>90</v>
      </c>
      <c r="K2019" s="45">
        <v>0.25</v>
      </c>
      <c r="L2019" s="46">
        <f t="shared" si="307"/>
        <v>22.5</v>
      </c>
      <c r="M2019" s="47">
        <f t="shared" si="308"/>
        <v>67.5</v>
      </c>
      <c r="N2019" s="48">
        <v>0.16</v>
      </c>
      <c r="O2019" s="49">
        <f t="shared" si="309"/>
        <v>10.8</v>
      </c>
      <c r="P2019" s="50">
        <f t="shared" si="310"/>
        <v>78.3</v>
      </c>
      <c r="Q2019" s="23"/>
      <c r="R2019" s="60"/>
      <c r="S2019" s="61"/>
      <c r="T2019" s="62">
        <f t="shared" si="311"/>
        <v>0</v>
      </c>
      <c r="U2019" s="46">
        <f t="shared" si="312"/>
        <v>0</v>
      </c>
      <c r="V2019" s="63">
        <f t="shared" si="313"/>
        <v>0</v>
      </c>
      <c r="W2019" s="49">
        <f t="shared" si="314"/>
        <v>0</v>
      </c>
      <c r="X2019" s="50">
        <f t="shared" si="315"/>
        <v>0</v>
      </c>
      <c r="Y2019"/>
      <c r="Z2019"/>
      <c r="AA2019"/>
    </row>
    <row r="2020" spans="1:27" s="51" customFormat="1" ht="18.600000000000001" hidden="1" customHeight="1" x14ac:dyDescent="0.25">
      <c r="A2020" s="80" t="s">
        <v>2653</v>
      </c>
      <c r="B2020" s="20" t="s">
        <v>9303</v>
      </c>
      <c r="C2020" s="21" t="s">
        <v>9318</v>
      </c>
      <c r="D2020" s="20" t="s">
        <v>4995</v>
      </c>
      <c r="E2020" s="22" t="s">
        <v>4996</v>
      </c>
      <c r="F2020" s="22" t="s">
        <v>1937</v>
      </c>
      <c r="G2020" s="22" t="s">
        <v>3586</v>
      </c>
      <c r="H2020" s="83" t="s">
        <v>4997</v>
      </c>
      <c r="I2020" s="23" t="s">
        <v>24</v>
      </c>
      <c r="J2020" s="24">
        <v>90</v>
      </c>
      <c r="K2020" s="25">
        <v>0.25</v>
      </c>
      <c r="L2020" s="26">
        <f t="shared" si="307"/>
        <v>22.5</v>
      </c>
      <c r="M2020" s="27">
        <f t="shared" si="308"/>
        <v>67.5</v>
      </c>
      <c r="N2020" s="28">
        <v>0.16</v>
      </c>
      <c r="O2020" s="29">
        <f t="shared" si="309"/>
        <v>10.8</v>
      </c>
      <c r="P2020" s="30">
        <f t="shared" si="310"/>
        <v>78.3</v>
      </c>
      <c r="Q2020" s="23"/>
      <c r="R2020" s="52"/>
      <c r="S2020" s="53"/>
      <c r="T2020" s="54">
        <f t="shared" si="311"/>
        <v>0</v>
      </c>
      <c r="U2020" s="26">
        <f t="shared" si="312"/>
        <v>0</v>
      </c>
      <c r="V2020" s="55">
        <f t="shared" si="313"/>
        <v>0</v>
      </c>
      <c r="W2020" s="29">
        <f t="shared" si="314"/>
        <v>0</v>
      </c>
      <c r="X2020" s="30">
        <f t="shared" si="315"/>
        <v>0</v>
      </c>
      <c r="Y2020"/>
      <c r="Z2020"/>
      <c r="AA2020"/>
    </row>
    <row r="2021" spans="1:27" s="51" customFormat="1" ht="18.600000000000001" hidden="1" customHeight="1" x14ac:dyDescent="0.25">
      <c r="A2021" s="81" t="s">
        <v>2653</v>
      </c>
      <c r="B2021" s="31" t="s">
        <v>9303</v>
      </c>
      <c r="C2021" s="32" t="s">
        <v>9318</v>
      </c>
      <c r="D2021" s="31" t="s">
        <v>4998</v>
      </c>
      <c r="E2021" s="33" t="s">
        <v>4999</v>
      </c>
      <c r="F2021" s="33" t="s">
        <v>1937</v>
      </c>
      <c r="G2021" s="33" t="s">
        <v>3586</v>
      </c>
      <c r="H2021" s="84" t="s">
        <v>5000</v>
      </c>
      <c r="I2021" s="23" t="s">
        <v>24</v>
      </c>
      <c r="J2021" s="34">
        <v>90</v>
      </c>
      <c r="K2021" s="35">
        <v>0.25</v>
      </c>
      <c r="L2021" s="36">
        <f t="shared" si="307"/>
        <v>22.5</v>
      </c>
      <c r="M2021" s="37">
        <f t="shared" si="308"/>
        <v>67.5</v>
      </c>
      <c r="N2021" s="38">
        <v>0.16</v>
      </c>
      <c r="O2021" s="39">
        <f t="shared" si="309"/>
        <v>10.8</v>
      </c>
      <c r="P2021" s="40">
        <f t="shared" si="310"/>
        <v>78.3</v>
      </c>
      <c r="Q2021" s="23"/>
      <c r="R2021" s="56"/>
      <c r="S2021" s="57"/>
      <c r="T2021" s="58">
        <f t="shared" si="311"/>
        <v>0</v>
      </c>
      <c r="U2021" s="36">
        <f t="shared" si="312"/>
        <v>0</v>
      </c>
      <c r="V2021" s="59">
        <f t="shared" si="313"/>
        <v>0</v>
      </c>
      <c r="W2021" s="39">
        <f t="shared" si="314"/>
        <v>0</v>
      </c>
      <c r="X2021" s="40">
        <f t="shared" si="315"/>
        <v>0</v>
      </c>
      <c r="Y2021"/>
      <c r="Z2021"/>
      <c r="AA2021"/>
    </row>
    <row r="2022" spans="1:27" s="51" customFormat="1" ht="18.600000000000001" hidden="1" customHeight="1" x14ac:dyDescent="0.25">
      <c r="A2022" s="82" t="s">
        <v>2653</v>
      </c>
      <c r="B2022" s="41" t="s">
        <v>9303</v>
      </c>
      <c r="C2022" s="42" t="s">
        <v>9318</v>
      </c>
      <c r="D2022" s="41" t="s">
        <v>5001</v>
      </c>
      <c r="E2022" s="43" t="s">
        <v>5002</v>
      </c>
      <c r="F2022" s="43" t="s">
        <v>1937</v>
      </c>
      <c r="G2022" s="43" t="s">
        <v>3586</v>
      </c>
      <c r="H2022" s="85" t="s">
        <v>5003</v>
      </c>
      <c r="I2022" s="23" t="s">
        <v>24</v>
      </c>
      <c r="J2022" s="44">
        <v>90</v>
      </c>
      <c r="K2022" s="45">
        <v>0.25</v>
      </c>
      <c r="L2022" s="46">
        <f t="shared" si="307"/>
        <v>22.5</v>
      </c>
      <c r="M2022" s="47">
        <f t="shared" si="308"/>
        <v>67.5</v>
      </c>
      <c r="N2022" s="48">
        <v>0.16</v>
      </c>
      <c r="O2022" s="49">
        <f t="shared" si="309"/>
        <v>10.8</v>
      </c>
      <c r="P2022" s="50">
        <f t="shared" si="310"/>
        <v>78.3</v>
      </c>
      <c r="Q2022" s="23"/>
      <c r="R2022" s="60"/>
      <c r="S2022" s="61"/>
      <c r="T2022" s="62">
        <f t="shared" si="311"/>
        <v>0</v>
      </c>
      <c r="U2022" s="46">
        <f t="shared" si="312"/>
        <v>0</v>
      </c>
      <c r="V2022" s="63">
        <f t="shared" si="313"/>
        <v>0</v>
      </c>
      <c r="W2022" s="49">
        <f t="shared" si="314"/>
        <v>0</v>
      </c>
      <c r="X2022" s="50">
        <f t="shared" si="315"/>
        <v>0</v>
      </c>
      <c r="Y2022"/>
      <c r="Z2022"/>
      <c r="AA2022"/>
    </row>
    <row r="2023" spans="1:27" s="51" customFormat="1" ht="18.600000000000001" hidden="1" customHeight="1" x14ac:dyDescent="0.25">
      <c r="A2023" s="80" t="s">
        <v>2653</v>
      </c>
      <c r="B2023" s="20" t="s">
        <v>9303</v>
      </c>
      <c r="C2023" s="21" t="s">
        <v>9318</v>
      </c>
      <c r="D2023" s="20" t="s">
        <v>5004</v>
      </c>
      <c r="E2023" s="22" t="s">
        <v>5005</v>
      </c>
      <c r="F2023" s="22" t="s">
        <v>1937</v>
      </c>
      <c r="G2023" s="22" t="s">
        <v>3586</v>
      </c>
      <c r="H2023" s="83" t="s">
        <v>5006</v>
      </c>
      <c r="I2023" s="23" t="s">
        <v>24</v>
      </c>
      <c r="J2023" s="24">
        <v>90</v>
      </c>
      <c r="K2023" s="25">
        <v>0.25</v>
      </c>
      <c r="L2023" s="26">
        <f t="shared" si="307"/>
        <v>22.5</v>
      </c>
      <c r="M2023" s="27">
        <f t="shared" si="308"/>
        <v>67.5</v>
      </c>
      <c r="N2023" s="28">
        <v>0.16</v>
      </c>
      <c r="O2023" s="29">
        <f t="shared" si="309"/>
        <v>10.8</v>
      </c>
      <c r="P2023" s="30">
        <f t="shared" si="310"/>
        <v>78.3</v>
      </c>
      <c r="Q2023" s="23"/>
      <c r="R2023" s="52"/>
      <c r="S2023" s="53"/>
      <c r="T2023" s="54">
        <f t="shared" si="311"/>
        <v>0</v>
      </c>
      <c r="U2023" s="26">
        <f t="shared" si="312"/>
        <v>0</v>
      </c>
      <c r="V2023" s="55">
        <f t="shared" si="313"/>
        <v>0</v>
      </c>
      <c r="W2023" s="29">
        <f t="shared" si="314"/>
        <v>0</v>
      </c>
      <c r="X2023" s="30">
        <f t="shared" si="315"/>
        <v>0</v>
      </c>
      <c r="Y2023"/>
      <c r="Z2023"/>
      <c r="AA2023"/>
    </row>
    <row r="2024" spans="1:27" s="51" customFormat="1" ht="18.600000000000001" hidden="1" customHeight="1" x14ac:dyDescent="0.25">
      <c r="A2024" s="81" t="s">
        <v>2653</v>
      </c>
      <c r="B2024" s="31" t="s">
        <v>9303</v>
      </c>
      <c r="C2024" s="32" t="s">
        <v>9318</v>
      </c>
      <c r="D2024" s="31" t="s">
        <v>5007</v>
      </c>
      <c r="E2024" s="33" t="s">
        <v>5008</v>
      </c>
      <c r="F2024" s="33" t="s">
        <v>1937</v>
      </c>
      <c r="G2024" s="33" t="s">
        <v>3586</v>
      </c>
      <c r="H2024" s="84" t="s">
        <v>5009</v>
      </c>
      <c r="I2024" s="23" t="s">
        <v>24</v>
      </c>
      <c r="J2024" s="34">
        <v>90</v>
      </c>
      <c r="K2024" s="35">
        <v>0.25</v>
      </c>
      <c r="L2024" s="36">
        <f t="shared" si="307"/>
        <v>22.5</v>
      </c>
      <c r="M2024" s="37">
        <f t="shared" si="308"/>
        <v>67.5</v>
      </c>
      <c r="N2024" s="38">
        <v>0.16</v>
      </c>
      <c r="O2024" s="39">
        <f t="shared" si="309"/>
        <v>10.8</v>
      </c>
      <c r="P2024" s="40">
        <f t="shared" si="310"/>
        <v>78.3</v>
      </c>
      <c r="Q2024" s="23"/>
      <c r="R2024" s="56"/>
      <c r="S2024" s="57"/>
      <c r="T2024" s="58">
        <f t="shared" si="311"/>
        <v>0</v>
      </c>
      <c r="U2024" s="36">
        <f t="shared" si="312"/>
        <v>0</v>
      </c>
      <c r="V2024" s="59">
        <f t="shared" si="313"/>
        <v>0</v>
      </c>
      <c r="W2024" s="39">
        <f t="shared" si="314"/>
        <v>0</v>
      </c>
      <c r="X2024" s="40">
        <f t="shared" si="315"/>
        <v>0</v>
      </c>
      <c r="Y2024"/>
      <c r="Z2024"/>
      <c r="AA2024"/>
    </row>
    <row r="2025" spans="1:27" s="51" customFormat="1" ht="18.600000000000001" hidden="1" customHeight="1" x14ac:dyDescent="0.25">
      <c r="A2025" s="82" t="s">
        <v>2653</v>
      </c>
      <c r="B2025" s="41" t="s">
        <v>9303</v>
      </c>
      <c r="C2025" s="42" t="s">
        <v>9318</v>
      </c>
      <c r="D2025" s="41" t="s">
        <v>5010</v>
      </c>
      <c r="E2025" s="43" t="s">
        <v>5011</v>
      </c>
      <c r="F2025" s="43" t="s">
        <v>1937</v>
      </c>
      <c r="G2025" s="43" t="s">
        <v>3586</v>
      </c>
      <c r="H2025" s="85" t="s">
        <v>5012</v>
      </c>
      <c r="I2025" s="23" t="s">
        <v>24</v>
      </c>
      <c r="J2025" s="44">
        <v>90</v>
      </c>
      <c r="K2025" s="45">
        <v>0.25</v>
      </c>
      <c r="L2025" s="46">
        <f t="shared" si="307"/>
        <v>22.5</v>
      </c>
      <c r="M2025" s="47">
        <f t="shared" si="308"/>
        <v>67.5</v>
      </c>
      <c r="N2025" s="48">
        <v>0.16</v>
      </c>
      <c r="O2025" s="49">
        <f t="shared" si="309"/>
        <v>10.8</v>
      </c>
      <c r="P2025" s="50">
        <f t="shared" si="310"/>
        <v>78.3</v>
      </c>
      <c r="Q2025" s="23"/>
      <c r="R2025" s="60"/>
      <c r="S2025" s="61"/>
      <c r="T2025" s="62">
        <f t="shared" si="311"/>
        <v>0</v>
      </c>
      <c r="U2025" s="46">
        <f t="shared" si="312"/>
        <v>0</v>
      </c>
      <c r="V2025" s="63">
        <f t="shared" si="313"/>
        <v>0</v>
      </c>
      <c r="W2025" s="49">
        <f t="shared" si="314"/>
        <v>0</v>
      </c>
      <c r="X2025" s="50">
        <f t="shared" si="315"/>
        <v>0</v>
      </c>
      <c r="Y2025"/>
      <c r="Z2025"/>
      <c r="AA2025"/>
    </row>
    <row r="2026" spans="1:27" s="51" customFormat="1" ht="18.600000000000001" hidden="1" customHeight="1" x14ac:dyDescent="0.25">
      <c r="A2026" s="80" t="s">
        <v>2653</v>
      </c>
      <c r="B2026" s="20" t="s">
        <v>9303</v>
      </c>
      <c r="C2026" s="21" t="s">
        <v>9318</v>
      </c>
      <c r="D2026" s="20" t="s">
        <v>5013</v>
      </c>
      <c r="E2026" s="22" t="s">
        <v>5014</v>
      </c>
      <c r="F2026" s="22" t="s">
        <v>1937</v>
      </c>
      <c r="G2026" s="22" t="s">
        <v>3586</v>
      </c>
      <c r="H2026" s="83" t="s">
        <v>5015</v>
      </c>
      <c r="I2026" s="23" t="s">
        <v>24</v>
      </c>
      <c r="J2026" s="24">
        <v>90</v>
      </c>
      <c r="K2026" s="25">
        <v>0.25</v>
      </c>
      <c r="L2026" s="26">
        <f t="shared" si="307"/>
        <v>22.5</v>
      </c>
      <c r="M2026" s="27">
        <f t="shared" si="308"/>
        <v>67.5</v>
      </c>
      <c r="N2026" s="28">
        <v>0.16</v>
      </c>
      <c r="O2026" s="29">
        <f t="shared" si="309"/>
        <v>10.8</v>
      </c>
      <c r="P2026" s="30">
        <f t="shared" si="310"/>
        <v>78.3</v>
      </c>
      <c r="Q2026" s="23"/>
      <c r="R2026" s="52"/>
      <c r="S2026" s="53"/>
      <c r="T2026" s="54">
        <f t="shared" si="311"/>
        <v>0</v>
      </c>
      <c r="U2026" s="26">
        <f t="shared" si="312"/>
        <v>0</v>
      </c>
      <c r="V2026" s="55">
        <f t="shared" si="313"/>
        <v>0</v>
      </c>
      <c r="W2026" s="29">
        <f t="shared" si="314"/>
        <v>0</v>
      </c>
      <c r="X2026" s="30">
        <f t="shared" si="315"/>
        <v>0</v>
      </c>
      <c r="Y2026"/>
      <c r="Z2026"/>
      <c r="AA2026"/>
    </row>
    <row r="2027" spans="1:27" s="51" customFormat="1" ht="18.600000000000001" hidden="1" customHeight="1" x14ac:dyDescent="0.25">
      <c r="A2027" s="81" t="s">
        <v>2653</v>
      </c>
      <c r="B2027" s="31" t="s">
        <v>9303</v>
      </c>
      <c r="C2027" s="32" t="s">
        <v>9318</v>
      </c>
      <c r="D2027" s="31" t="s">
        <v>5016</v>
      </c>
      <c r="E2027" s="33" t="s">
        <v>5017</v>
      </c>
      <c r="F2027" s="33" t="s">
        <v>1937</v>
      </c>
      <c r="G2027" s="33" t="s">
        <v>3586</v>
      </c>
      <c r="H2027" s="84" t="s">
        <v>5018</v>
      </c>
      <c r="I2027" s="23" t="s">
        <v>24</v>
      </c>
      <c r="J2027" s="34">
        <v>90</v>
      </c>
      <c r="K2027" s="35">
        <v>0.25</v>
      </c>
      <c r="L2027" s="36">
        <f t="shared" si="307"/>
        <v>22.5</v>
      </c>
      <c r="M2027" s="37">
        <f t="shared" si="308"/>
        <v>67.5</v>
      </c>
      <c r="N2027" s="38">
        <v>0.16</v>
      </c>
      <c r="O2027" s="39">
        <f t="shared" si="309"/>
        <v>10.8</v>
      </c>
      <c r="P2027" s="40">
        <f t="shared" si="310"/>
        <v>78.3</v>
      </c>
      <c r="Q2027" s="23"/>
      <c r="R2027" s="56"/>
      <c r="S2027" s="57"/>
      <c r="T2027" s="58">
        <f t="shared" si="311"/>
        <v>0</v>
      </c>
      <c r="U2027" s="36">
        <f t="shared" si="312"/>
        <v>0</v>
      </c>
      <c r="V2027" s="59">
        <f t="shared" si="313"/>
        <v>0</v>
      </c>
      <c r="W2027" s="39">
        <f t="shared" si="314"/>
        <v>0</v>
      </c>
      <c r="X2027" s="40">
        <f t="shared" si="315"/>
        <v>0</v>
      </c>
      <c r="Y2027"/>
      <c r="Z2027"/>
      <c r="AA2027"/>
    </row>
    <row r="2028" spans="1:27" s="51" customFormat="1" ht="18.600000000000001" hidden="1" customHeight="1" x14ac:dyDescent="0.25">
      <c r="A2028" s="82" t="s">
        <v>2653</v>
      </c>
      <c r="B2028" s="41" t="s">
        <v>9303</v>
      </c>
      <c r="C2028" s="42" t="s">
        <v>9318</v>
      </c>
      <c r="D2028" s="41" t="s">
        <v>5019</v>
      </c>
      <c r="E2028" s="43" t="s">
        <v>5020</v>
      </c>
      <c r="F2028" s="43" t="s">
        <v>1937</v>
      </c>
      <c r="G2028" s="43" t="s">
        <v>3586</v>
      </c>
      <c r="H2028" s="85" t="s">
        <v>5021</v>
      </c>
      <c r="I2028" s="23" t="s">
        <v>24</v>
      </c>
      <c r="J2028" s="44">
        <v>90</v>
      </c>
      <c r="K2028" s="45">
        <v>0.25</v>
      </c>
      <c r="L2028" s="46">
        <f t="shared" si="307"/>
        <v>22.5</v>
      </c>
      <c r="M2028" s="47">
        <f t="shared" si="308"/>
        <v>67.5</v>
      </c>
      <c r="N2028" s="48">
        <v>0.16</v>
      </c>
      <c r="O2028" s="49">
        <f t="shared" si="309"/>
        <v>10.8</v>
      </c>
      <c r="P2028" s="50">
        <f t="shared" si="310"/>
        <v>78.3</v>
      </c>
      <c r="Q2028" s="23"/>
      <c r="R2028" s="60"/>
      <c r="S2028" s="61"/>
      <c r="T2028" s="62">
        <f t="shared" si="311"/>
        <v>0</v>
      </c>
      <c r="U2028" s="46">
        <f t="shared" si="312"/>
        <v>0</v>
      </c>
      <c r="V2028" s="63">
        <f t="shared" si="313"/>
        <v>0</v>
      </c>
      <c r="W2028" s="49">
        <f t="shared" si="314"/>
        <v>0</v>
      </c>
      <c r="X2028" s="50">
        <f t="shared" si="315"/>
        <v>0</v>
      </c>
      <c r="Y2028"/>
      <c r="Z2028"/>
      <c r="AA2028"/>
    </row>
    <row r="2029" spans="1:27" s="51" customFormat="1" ht="18.600000000000001" hidden="1" customHeight="1" x14ac:dyDescent="0.25">
      <c r="A2029" s="80" t="s">
        <v>2653</v>
      </c>
      <c r="B2029" s="20" t="s">
        <v>9303</v>
      </c>
      <c r="C2029" s="21" t="s">
        <v>9318</v>
      </c>
      <c r="D2029" s="20" t="s">
        <v>5022</v>
      </c>
      <c r="E2029" s="22" t="s">
        <v>5023</v>
      </c>
      <c r="F2029" s="22" t="s">
        <v>1937</v>
      </c>
      <c r="G2029" s="22" t="s">
        <v>3586</v>
      </c>
      <c r="H2029" s="83" t="s">
        <v>5024</v>
      </c>
      <c r="I2029" s="23" t="s">
        <v>24</v>
      </c>
      <c r="J2029" s="24">
        <v>90</v>
      </c>
      <c r="K2029" s="25">
        <v>0.25</v>
      </c>
      <c r="L2029" s="26">
        <f t="shared" si="307"/>
        <v>22.5</v>
      </c>
      <c r="M2029" s="27">
        <f t="shared" si="308"/>
        <v>67.5</v>
      </c>
      <c r="N2029" s="28">
        <v>0.16</v>
      </c>
      <c r="O2029" s="29">
        <f t="shared" si="309"/>
        <v>10.8</v>
      </c>
      <c r="P2029" s="30">
        <f t="shared" si="310"/>
        <v>78.3</v>
      </c>
      <c r="Q2029" s="23"/>
      <c r="R2029" s="52"/>
      <c r="S2029" s="53"/>
      <c r="T2029" s="54">
        <f t="shared" si="311"/>
        <v>0</v>
      </c>
      <c r="U2029" s="26">
        <f t="shared" si="312"/>
        <v>0</v>
      </c>
      <c r="V2029" s="55">
        <f t="shared" si="313"/>
        <v>0</v>
      </c>
      <c r="W2029" s="29">
        <f t="shared" si="314"/>
        <v>0</v>
      </c>
      <c r="X2029" s="30">
        <f t="shared" si="315"/>
        <v>0</v>
      </c>
      <c r="Y2029"/>
      <c r="Z2029"/>
      <c r="AA2029"/>
    </row>
    <row r="2030" spans="1:27" s="51" customFormat="1" ht="18.600000000000001" hidden="1" customHeight="1" x14ac:dyDescent="0.25">
      <c r="A2030" s="81" t="s">
        <v>2653</v>
      </c>
      <c r="B2030" s="31" t="s">
        <v>9303</v>
      </c>
      <c r="C2030" s="32" t="s">
        <v>9319</v>
      </c>
      <c r="D2030" s="31">
        <v>8435568306875</v>
      </c>
      <c r="E2030" s="33" t="s">
        <v>5025</v>
      </c>
      <c r="F2030" s="33" t="s">
        <v>1937</v>
      </c>
      <c r="G2030" s="33" t="s">
        <v>5026</v>
      </c>
      <c r="H2030" s="84" t="s">
        <v>5027</v>
      </c>
      <c r="I2030" s="23" t="s">
        <v>24</v>
      </c>
      <c r="J2030" s="34">
        <v>265</v>
      </c>
      <c r="K2030" s="35">
        <v>0.25</v>
      </c>
      <c r="L2030" s="36">
        <f t="shared" si="307"/>
        <v>66.25</v>
      </c>
      <c r="M2030" s="37">
        <f t="shared" si="308"/>
        <v>198.75</v>
      </c>
      <c r="N2030" s="38">
        <v>0.16</v>
      </c>
      <c r="O2030" s="39">
        <f t="shared" si="309"/>
        <v>31.8</v>
      </c>
      <c r="P2030" s="40">
        <f t="shared" si="310"/>
        <v>230.55</v>
      </c>
      <c r="Q2030" s="23"/>
      <c r="R2030" s="56"/>
      <c r="S2030" s="57"/>
      <c r="T2030" s="58">
        <f t="shared" si="311"/>
        <v>0</v>
      </c>
      <c r="U2030" s="36">
        <f t="shared" si="312"/>
        <v>0</v>
      </c>
      <c r="V2030" s="59">
        <f t="shared" si="313"/>
        <v>0</v>
      </c>
      <c r="W2030" s="39">
        <f t="shared" si="314"/>
        <v>0</v>
      </c>
      <c r="X2030" s="40">
        <f t="shared" si="315"/>
        <v>0</v>
      </c>
      <c r="Y2030"/>
      <c r="Z2030"/>
      <c r="AA2030"/>
    </row>
    <row r="2031" spans="1:27" s="51" customFormat="1" ht="18.600000000000001" hidden="1" customHeight="1" x14ac:dyDescent="0.25">
      <c r="A2031" s="82" t="s">
        <v>2653</v>
      </c>
      <c r="B2031" s="41" t="s">
        <v>9303</v>
      </c>
      <c r="C2031" s="42" t="s">
        <v>9319</v>
      </c>
      <c r="D2031" s="41">
        <v>8435568306882</v>
      </c>
      <c r="E2031" s="43" t="s">
        <v>5028</v>
      </c>
      <c r="F2031" s="43" t="s">
        <v>1937</v>
      </c>
      <c r="G2031" s="43" t="s">
        <v>5026</v>
      </c>
      <c r="H2031" s="85" t="s">
        <v>5029</v>
      </c>
      <c r="I2031" s="23" t="s">
        <v>24</v>
      </c>
      <c r="J2031" s="44">
        <v>265</v>
      </c>
      <c r="K2031" s="45">
        <v>0.25</v>
      </c>
      <c r="L2031" s="46">
        <f t="shared" si="307"/>
        <v>66.25</v>
      </c>
      <c r="M2031" s="47">
        <f t="shared" si="308"/>
        <v>198.75</v>
      </c>
      <c r="N2031" s="48">
        <v>0.16</v>
      </c>
      <c r="O2031" s="49">
        <f t="shared" si="309"/>
        <v>31.8</v>
      </c>
      <c r="P2031" s="50">
        <f t="shared" si="310"/>
        <v>230.55</v>
      </c>
      <c r="Q2031" s="23"/>
      <c r="R2031" s="60"/>
      <c r="S2031" s="61"/>
      <c r="T2031" s="62">
        <f t="shared" si="311"/>
        <v>0</v>
      </c>
      <c r="U2031" s="46">
        <f t="shared" si="312"/>
        <v>0</v>
      </c>
      <c r="V2031" s="63">
        <f t="shared" si="313"/>
        <v>0</v>
      </c>
      <c r="W2031" s="49">
        <f t="shared" si="314"/>
        <v>0</v>
      </c>
      <c r="X2031" s="50">
        <f t="shared" si="315"/>
        <v>0</v>
      </c>
      <c r="Y2031"/>
      <c r="Z2031"/>
      <c r="AA2031"/>
    </row>
    <row r="2032" spans="1:27" s="51" customFormat="1" ht="18.600000000000001" hidden="1" customHeight="1" x14ac:dyDescent="0.25">
      <c r="A2032" s="80" t="s">
        <v>2653</v>
      </c>
      <c r="B2032" s="20" t="s">
        <v>9303</v>
      </c>
      <c r="C2032" s="21" t="s">
        <v>9319</v>
      </c>
      <c r="D2032" s="20">
        <v>8435568306899</v>
      </c>
      <c r="E2032" s="22" t="s">
        <v>5030</v>
      </c>
      <c r="F2032" s="22" t="s">
        <v>1937</v>
      </c>
      <c r="G2032" s="22" t="s">
        <v>5026</v>
      </c>
      <c r="H2032" s="83" t="s">
        <v>5031</v>
      </c>
      <c r="I2032" s="23" t="s">
        <v>24</v>
      </c>
      <c r="J2032" s="24">
        <v>265</v>
      </c>
      <c r="K2032" s="25">
        <v>0.25</v>
      </c>
      <c r="L2032" s="26">
        <f t="shared" si="307"/>
        <v>66.25</v>
      </c>
      <c r="M2032" s="27">
        <f t="shared" si="308"/>
        <v>198.75</v>
      </c>
      <c r="N2032" s="28">
        <v>0.16</v>
      </c>
      <c r="O2032" s="29">
        <f t="shared" si="309"/>
        <v>31.8</v>
      </c>
      <c r="P2032" s="30">
        <f t="shared" si="310"/>
        <v>230.55</v>
      </c>
      <c r="Q2032" s="23"/>
      <c r="R2032" s="52"/>
      <c r="S2032" s="53"/>
      <c r="T2032" s="54">
        <f t="shared" si="311"/>
        <v>0</v>
      </c>
      <c r="U2032" s="26">
        <f t="shared" si="312"/>
        <v>0</v>
      </c>
      <c r="V2032" s="55">
        <f t="shared" si="313"/>
        <v>0</v>
      </c>
      <c r="W2032" s="29">
        <f t="shared" si="314"/>
        <v>0</v>
      </c>
      <c r="X2032" s="30">
        <f t="shared" si="315"/>
        <v>0</v>
      </c>
      <c r="Y2032"/>
      <c r="Z2032"/>
      <c r="AA2032"/>
    </row>
    <row r="2033" spans="1:27" s="51" customFormat="1" ht="18.600000000000001" hidden="1" customHeight="1" x14ac:dyDescent="0.25">
      <c r="A2033" s="81" t="s">
        <v>2653</v>
      </c>
      <c r="B2033" s="31" t="s">
        <v>9303</v>
      </c>
      <c r="C2033" s="32" t="s">
        <v>9319</v>
      </c>
      <c r="D2033" s="31">
        <v>8435568314207</v>
      </c>
      <c r="E2033" s="33" t="s">
        <v>5032</v>
      </c>
      <c r="F2033" s="33" t="s">
        <v>1937</v>
      </c>
      <c r="G2033" s="33" t="s">
        <v>5026</v>
      </c>
      <c r="H2033" s="84" t="s">
        <v>5033</v>
      </c>
      <c r="I2033" s="23" t="s">
        <v>24</v>
      </c>
      <c r="J2033" s="34">
        <v>265</v>
      </c>
      <c r="K2033" s="35">
        <v>0.25</v>
      </c>
      <c r="L2033" s="36">
        <f t="shared" si="307"/>
        <v>66.25</v>
      </c>
      <c r="M2033" s="37">
        <f t="shared" si="308"/>
        <v>198.75</v>
      </c>
      <c r="N2033" s="38">
        <v>0.16</v>
      </c>
      <c r="O2033" s="39">
        <f t="shared" si="309"/>
        <v>31.8</v>
      </c>
      <c r="P2033" s="40">
        <f t="shared" si="310"/>
        <v>230.55</v>
      </c>
      <c r="Q2033" s="23"/>
      <c r="R2033" s="56"/>
      <c r="S2033" s="57"/>
      <c r="T2033" s="58">
        <f t="shared" si="311"/>
        <v>0</v>
      </c>
      <c r="U2033" s="36">
        <f t="shared" si="312"/>
        <v>0</v>
      </c>
      <c r="V2033" s="59">
        <f t="shared" si="313"/>
        <v>0</v>
      </c>
      <c r="W2033" s="39">
        <f t="shared" si="314"/>
        <v>0</v>
      </c>
      <c r="X2033" s="40">
        <f t="shared" si="315"/>
        <v>0</v>
      </c>
      <c r="Y2033"/>
      <c r="Z2033"/>
      <c r="AA2033"/>
    </row>
    <row r="2034" spans="1:27" s="51" customFormat="1" ht="18.600000000000001" hidden="1" customHeight="1" x14ac:dyDescent="0.25">
      <c r="A2034" s="82" t="s">
        <v>2653</v>
      </c>
      <c r="B2034" s="41" t="s">
        <v>9303</v>
      </c>
      <c r="C2034" s="42" t="s">
        <v>9319</v>
      </c>
      <c r="D2034" s="41">
        <v>8435568314214</v>
      </c>
      <c r="E2034" s="43" t="s">
        <v>5034</v>
      </c>
      <c r="F2034" s="43" t="s">
        <v>1937</v>
      </c>
      <c r="G2034" s="43" t="s">
        <v>5026</v>
      </c>
      <c r="H2034" s="85" t="s">
        <v>5035</v>
      </c>
      <c r="I2034" s="23" t="s">
        <v>24</v>
      </c>
      <c r="J2034" s="44">
        <v>265</v>
      </c>
      <c r="K2034" s="45">
        <v>0.25</v>
      </c>
      <c r="L2034" s="46">
        <f t="shared" si="307"/>
        <v>66.25</v>
      </c>
      <c r="M2034" s="47">
        <f t="shared" si="308"/>
        <v>198.75</v>
      </c>
      <c r="N2034" s="48">
        <v>0.16</v>
      </c>
      <c r="O2034" s="49">
        <f t="shared" si="309"/>
        <v>31.8</v>
      </c>
      <c r="P2034" s="50">
        <f t="shared" si="310"/>
        <v>230.55</v>
      </c>
      <c r="Q2034" s="23"/>
      <c r="R2034" s="60"/>
      <c r="S2034" s="61"/>
      <c r="T2034" s="62">
        <f t="shared" si="311"/>
        <v>0</v>
      </c>
      <c r="U2034" s="46">
        <f t="shared" si="312"/>
        <v>0</v>
      </c>
      <c r="V2034" s="63">
        <f t="shared" si="313"/>
        <v>0</v>
      </c>
      <c r="W2034" s="49">
        <f t="shared" si="314"/>
        <v>0</v>
      </c>
      <c r="X2034" s="50">
        <f t="shared" si="315"/>
        <v>0</v>
      </c>
      <c r="Y2034"/>
      <c r="Z2034"/>
      <c r="AA2034"/>
    </row>
    <row r="2035" spans="1:27" s="51" customFormat="1" ht="18.600000000000001" hidden="1" customHeight="1" x14ac:dyDescent="0.25">
      <c r="A2035" s="80" t="s">
        <v>2653</v>
      </c>
      <c r="B2035" s="20" t="s">
        <v>9303</v>
      </c>
      <c r="C2035" s="21" t="s">
        <v>9319</v>
      </c>
      <c r="D2035" s="20">
        <v>8435568314221</v>
      </c>
      <c r="E2035" s="22" t="s">
        <v>5036</v>
      </c>
      <c r="F2035" s="22" t="s">
        <v>1937</v>
      </c>
      <c r="G2035" s="22" t="s">
        <v>5026</v>
      </c>
      <c r="H2035" s="83" t="s">
        <v>5037</v>
      </c>
      <c r="I2035" s="23" t="s">
        <v>24</v>
      </c>
      <c r="J2035" s="24">
        <v>265</v>
      </c>
      <c r="K2035" s="25">
        <v>0.25</v>
      </c>
      <c r="L2035" s="26">
        <f t="shared" si="307"/>
        <v>66.25</v>
      </c>
      <c r="M2035" s="27">
        <f t="shared" si="308"/>
        <v>198.75</v>
      </c>
      <c r="N2035" s="28">
        <v>0.16</v>
      </c>
      <c r="O2035" s="29">
        <f t="shared" si="309"/>
        <v>31.8</v>
      </c>
      <c r="P2035" s="30">
        <f t="shared" si="310"/>
        <v>230.55</v>
      </c>
      <c r="Q2035" s="23"/>
      <c r="R2035" s="52"/>
      <c r="S2035" s="53"/>
      <c r="T2035" s="54">
        <f t="shared" si="311"/>
        <v>0</v>
      </c>
      <c r="U2035" s="26">
        <f t="shared" si="312"/>
        <v>0</v>
      </c>
      <c r="V2035" s="55">
        <f t="shared" si="313"/>
        <v>0</v>
      </c>
      <c r="W2035" s="29">
        <f t="shared" si="314"/>
        <v>0</v>
      </c>
      <c r="X2035" s="30">
        <f t="shared" si="315"/>
        <v>0</v>
      </c>
      <c r="Y2035"/>
      <c r="Z2035"/>
      <c r="AA2035"/>
    </row>
    <row r="2036" spans="1:27" s="51" customFormat="1" ht="18.600000000000001" hidden="1" customHeight="1" x14ac:dyDescent="0.25">
      <c r="A2036" s="81" t="s">
        <v>2653</v>
      </c>
      <c r="B2036" s="31" t="s">
        <v>9303</v>
      </c>
      <c r="C2036" s="32" t="s">
        <v>9319</v>
      </c>
      <c r="D2036" s="31">
        <v>8435568314238</v>
      </c>
      <c r="E2036" s="33" t="s">
        <v>5038</v>
      </c>
      <c r="F2036" s="33" t="s">
        <v>1937</v>
      </c>
      <c r="G2036" s="33" t="s">
        <v>5026</v>
      </c>
      <c r="H2036" s="84" t="s">
        <v>5039</v>
      </c>
      <c r="I2036" s="23" t="s">
        <v>24</v>
      </c>
      <c r="J2036" s="34">
        <v>265</v>
      </c>
      <c r="K2036" s="35">
        <v>0.25</v>
      </c>
      <c r="L2036" s="36">
        <f t="shared" si="307"/>
        <v>66.25</v>
      </c>
      <c r="M2036" s="37">
        <f t="shared" si="308"/>
        <v>198.75</v>
      </c>
      <c r="N2036" s="38">
        <v>0.16</v>
      </c>
      <c r="O2036" s="39">
        <f t="shared" si="309"/>
        <v>31.8</v>
      </c>
      <c r="P2036" s="40">
        <f t="shared" si="310"/>
        <v>230.55</v>
      </c>
      <c r="Q2036" s="23"/>
      <c r="R2036" s="56"/>
      <c r="S2036" s="57"/>
      <c r="T2036" s="58">
        <f t="shared" si="311"/>
        <v>0</v>
      </c>
      <c r="U2036" s="36">
        <f t="shared" si="312"/>
        <v>0</v>
      </c>
      <c r="V2036" s="59">
        <f t="shared" si="313"/>
        <v>0</v>
      </c>
      <c r="W2036" s="39">
        <f t="shared" si="314"/>
        <v>0</v>
      </c>
      <c r="X2036" s="40">
        <f t="shared" si="315"/>
        <v>0</v>
      </c>
      <c r="Y2036"/>
      <c r="Z2036"/>
      <c r="AA2036"/>
    </row>
    <row r="2037" spans="1:27" s="51" customFormat="1" ht="18.600000000000001" hidden="1" customHeight="1" x14ac:dyDescent="0.25">
      <c r="A2037" s="82" t="s">
        <v>2653</v>
      </c>
      <c r="B2037" s="41" t="s">
        <v>9303</v>
      </c>
      <c r="C2037" s="42" t="s">
        <v>9319</v>
      </c>
      <c r="D2037" s="41">
        <v>8435568314245</v>
      </c>
      <c r="E2037" s="43" t="s">
        <v>5040</v>
      </c>
      <c r="F2037" s="43" t="s">
        <v>1937</v>
      </c>
      <c r="G2037" s="43" t="s">
        <v>5026</v>
      </c>
      <c r="H2037" s="85" t="s">
        <v>5041</v>
      </c>
      <c r="I2037" s="23" t="s">
        <v>24</v>
      </c>
      <c r="J2037" s="44">
        <v>265</v>
      </c>
      <c r="K2037" s="45">
        <v>0.25</v>
      </c>
      <c r="L2037" s="46">
        <f t="shared" si="307"/>
        <v>66.25</v>
      </c>
      <c r="M2037" s="47">
        <f t="shared" si="308"/>
        <v>198.75</v>
      </c>
      <c r="N2037" s="48">
        <v>0.16</v>
      </c>
      <c r="O2037" s="49">
        <f t="shared" si="309"/>
        <v>31.8</v>
      </c>
      <c r="P2037" s="50">
        <f t="shared" si="310"/>
        <v>230.55</v>
      </c>
      <c r="Q2037" s="23"/>
      <c r="R2037" s="60"/>
      <c r="S2037" s="61"/>
      <c r="T2037" s="62">
        <f t="shared" si="311"/>
        <v>0</v>
      </c>
      <c r="U2037" s="46">
        <f t="shared" si="312"/>
        <v>0</v>
      </c>
      <c r="V2037" s="63">
        <f t="shared" si="313"/>
        <v>0</v>
      </c>
      <c r="W2037" s="49">
        <f t="shared" si="314"/>
        <v>0</v>
      </c>
      <c r="X2037" s="50">
        <f t="shared" si="315"/>
        <v>0</v>
      </c>
      <c r="Y2037"/>
      <c r="Z2037"/>
      <c r="AA2037"/>
    </row>
    <row r="2038" spans="1:27" s="51" customFormat="1" ht="18.600000000000001" hidden="1" customHeight="1" x14ac:dyDescent="0.25">
      <c r="A2038" s="80" t="s">
        <v>2653</v>
      </c>
      <c r="B2038" s="20" t="s">
        <v>9303</v>
      </c>
      <c r="C2038" s="21" t="s">
        <v>9319</v>
      </c>
      <c r="D2038" s="20">
        <v>8435568314252</v>
      </c>
      <c r="E2038" s="22" t="s">
        <v>5042</v>
      </c>
      <c r="F2038" s="22" t="s">
        <v>1937</v>
      </c>
      <c r="G2038" s="22" t="s">
        <v>5026</v>
      </c>
      <c r="H2038" s="83" t="s">
        <v>5043</v>
      </c>
      <c r="I2038" s="23" t="s">
        <v>24</v>
      </c>
      <c r="J2038" s="24">
        <v>265</v>
      </c>
      <c r="K2038" s="25">
        <v>0.25</v>
      </c>
      <c r="L2038" s="26">
        <f t="shared" si="307"/>
        <v>66.25</v>
      </c>
      <c r="M2038" s="27">
        <f t="shared" si="308"/>
        <v>198.75</v>
      </c>
      <c r="N2038" s="28">
        <v>0.16</v>
      </c>
      <c r="O2038" s="29">
        <f t="shared" si="309"/>
        <v>31.8</v>
      </c>
      <c r="P2038" s="30">
        <f t="shared" si="310"/>
        <v>230.55</v>
      </c>
      <c r="Q2038" s="23"/>
      <c r="R2038" s="52"/>
      <c r="S2038" s="53"/>
      <c r="T2038" s="54">
        <f t="shared" si="311"/>
        <v>0</v>
      </c>
      <c r="U2038" s="26">
        <f t="shared" si="312"/>
        <v>0</v>
      </c>
      <c r="V2038" s="55">
        <f t="shared" si="313"/>
        <v>0</v>
      </c>
      <c r="W2038" s="29">
        <f t="shared" si="314"/>
        <v>0</v>
      </c>
      <c r="X2038" s="30">
        <f t="shared" si="315"/>
        <v>0</v>
      </c>
      <c r="Y2038"/>
      <c r="Z2038"/>
      <c r="AA2038"/>
    </row>
    <row r="2039" spans="1:27" s="51" customFormat="1" ht="18.600000000000001" hidden="1" customHeight="1" x14ac:dyDescent="0.25">
      <c r="A2039" s="81" t="s">
        <v>2653</v>
      </c>
      <c r="B2039" s="31" t="s">
        <v>9303</v>
      </c>
      <c r="C2039" s="32" t="s">
        <v>9319</v>
      </c>
      <c r="D2039" s="31">
        <v>8435568314269</v>
      </c>
      <c r="E2039" s="33" t="s">
        <v>5044</v>
      </c>
      <c r="F2039" s="33" t="s">
        <v>1937</v>
      </c>
      <c r="G2039" s="33" t="s">
        <v>5026</v>
      </c>
      <c r="H2039" s="84" t="s">
        <v>5045</v>
      </c>
      <c r="I2039" s="23" t="s">
        <v>24</v>
      </c>
      <c r="J2039" s="34">
        <v>265</v>
      </c>
      <c r="K2039" s="35">
        <v>0.25</v>
      </c>
      <c r="L2039" s="36">
        <f t="shared" si="307"/>
        <v>66.25</v>
      </c>
      <c r="M2039" s="37">
        <f t="shared" si="308"/>
        <v>198.75</v>
      </c>
      <c r="N2039" s="38">
        <v>0.16</v>
      </c>
      <c r="O2039" s="39">
        <f t="shared" si="309"/>
        <v>31.8</v>
      </c>
      <c r="P2039" s="40">
        <f t="shared" si="310"/>
        <v>230.55</v>
      </c>
      <c r="Q2039" s="23"/>
      <c r="R2039" s="56"/>
      <c r="S2039" s="57"/>
      <c r="T2039" s="58">
        <f t="shared" si="311"/>
        <v>0</v>
      </c>
      <c r="U2039" s="36">
        <f t="shared" si="312"/>
        <v>0</v>
      </c>
      <c r="V2039" s="59">
        <f t="shared" si="313"/>
        <v>0</v>
      </c>
      <c r="W2039" s="39">
        <f t="shared" si="314"/>
        <v>0</v>
      </c>
      <c r="X2039" s="40">
        <f t="shared" si="315"/>
        <v>0</v>
      </c>
      <c r="Y2039"/>
      <c r="Z2039"/>
      <c r="AA2039"/>
    </row>
    <row r="2040" spans="1:27" s="51" customFormat="1" ht="18.600000000000001" hidden="1" customHeight="1" x14ac:dyDescent="0.25">
      <c r="A2040" s="82" t="s">
        <v>2653</v>
      </c>
      <c r="B2040" s="41" t="s">
        <v>9303</v>
      </c>
      <c r="C2040" s="42" t="s">
        <v>9320</v>
      </c>
      <c r="D2040" s="41">
        <v>8435568306844</v>
      </c>
      <c r="E2040" s="43" t="s">
        <v>5046</v>
      </c>
      <c r="F2040" s="43" t="s">
        <v>1937</v>
      </c>
      <c r="G2040" s="43" t="s">
        <v>5026</v>
      </c>
      <c r="H2040" s="85" t="s">
        <v>5047</v>
      </c>
      <c r="I2040" s="23" t="s">
        <v>24</v>
      </c>
      <c r="J2040" s="44">
        <v>280</v>
      </c>
      <c r="K2040" s="45">
        <v>0.25</v>
      </c>
      <c r="L2040" s="46">
        <f t="shared" si="307"/>
        <v>70</v>
      </c>
      <c r="M2040" s="47">
        <f t="shared" si="308"/>
        <v>210</v>
      </c>
      <c r="N2040" s="48">
        <v>0.16</v>
      </c>
      <c r="O2040" s="49">
        <f t="shared" si="309"/>
        <v>33.6</v>
      </c>
      <c r="P2040" s="50">
        <f t="shared" si="310"/>
        <v>243.6</v>
      </c>
      <c r="Q2040" s="23"/>
      <c r="R2040" s="60"/>
      <c r="S2040" s="61"/>
      <c r="T2040" s="62">
        <f t="shared" si="311"/>
        <v>0</v>
      </c>
      <c r="U2040" s="46">
        <f t="shared" si="312"/>
        <v>0</v>
      </c>
      <c r="V2040" s="63">
        <f t="shared" si="313"/>
        <v>0</v>
      </c>
      <c r="W2040" s="49">
        <f t="shared" si="314"/>
        <v>0</v>
      </c>
      <c r="X2040" s="50">
        <f t="shared" si="315"/>
        <v>0</v>
      </c>
      <c r="Y2040"/>
      <c r="Z2040"/>
      <c r="AA2040"/>
    </row>
    <row r="2041" spans="1:27" s="51" customFormat="1" ht="18.600000000000001" hidden="1" customHeight="1" x14ac:dyDescent="0.25">
      <c r="A2041" s="80" t="s">
        <v>2653</v>
      </c>
      <c r="B2041" s="20" t="s">
        <v>9303</v>
      </c>
      <c r="C2041" s="21" t="s">
        <v>9320</v>
      </c>
      <c r="D2041" s="20">
        <v>8435568306851</v>
      </c>
      <c r="E2041" s="22" t="s">
        <v>5048</v>
      </c>
      <c r="F2041" s="22" t="s">
        <v>1937</v>
      </c>
      <c r="G2041" s="22" t="s">
        <v>5026</v>
      </c>
      <c r="H2041" s="83" t="s">
        <v>5049</v>
      </c>
      <c r="I2041" s="23" t="s">
        <v>24</v>
      </c>
      <c r="J2041" s="24">
        <v>280</v>
      </c>
      <c r="K2041" s="25">
        <v>0.25</v>
      </c>
      <c r="L2041" s="26">
        <f t="shared" si="307"/>
        <v>70</v>
      </c>
      <c r="M2041" s="27">
        <f t="shared" si="308"/>
        <v>210</v>
      </c>
      <c r="N2041" s="28">
        <v>0.16</v>
      </c>
      <c r="O2041" s="29">
        <f t="shared" si="309"/>
        <v>33.6</v>
      </c>
      <c r="P2041" s="30">
        <f t="shared" si="310"/>
        <v>243.6</v>
      </c>
      <c r="Q2041" s="23"/>
      <c r="R2041" s="52"/>
      <c r="S2041" s="53"/>
      <c r="T2041" s="54">
        <f t="shared" si="311"/>
        <v>0</v>
      </c>
      <c r="U2041" s="26">
        <f t="shared" si="312"/>
        <v>0</v>
      </c>
      <c r="V2041" s="55">
        <f t="shared" si="313"/>
        <v>0</v>
      </c>
      <c r="W2041" s="29">
        <f t="shared" si="314"/>
        <v>0</v>
      </c>
      <c r="X2041" s="30">
        <f t="shared" si="315"/>
        <v>0</v>
      </c>
      <c r="Y2041"/>
      <c r="Z2041"/>
      <c r="AA2041"/>
    </row>
    <row r="2042" spans="1:27" s="51" customFormat="1" ht="18.600000000000001" hidden="1" customHeight="1" x14ac:dyDescent="0.25">
      <c r="A2042" s="81" t="s">
        <v>2653</v>
      </c>
      <c r="B2042" s="31" t="s">
        <v>9303</v>
      </c>
      <c r="C2042" s="32" t="s">
        <v>9320</v>
      </c>
      <c r="D2042" s="31">
        <v>8435568306868</v>
      </c>
      <c r="E2042" s="33" t="s">
        <v>5050</v>
      </c>
      <c r="F2042" s="33" t="s">
        <v>1937</v>
      </c>
      <c r="G2042" s="33" t="s">
        <v>5026</v>
      </c>
      <c r="H2042" s="84" t="s">
        <v>5051</v>
      </c>
      <c r="I2042" s="23" t="s">
        <v>24</v>
      </c>
      <c r="J2042" s="34">
        <v>280</v>
      </c>
      <c r="K2042" s="35">
        <v>0.25</v>
      </c>
      <c r="L2042" s="36">
        <f t="shared" si="307"/>
        <v>70</v>
      </c>
      <c r="M2042" s="37">
        <f t="shared" si="308"/>
        <v>210</v>
      </c>
      <c r="N2042" s="38">
        <v>0.16</v>
      </c>
      <c r="O2042" s="39">
        <f t="shared" si="309"/>
        <v>33.6</v>
      </c>
      <c r="P2042" s="40">
        <f t="shared" si="310"/>
        <v>243.6</v>
      </c>
      <c r="Q2042" s="23"/>
      <c r="R2042" s="56"/>
      <c r="S2042" s="57"/>
      <c r="T2042" s="58">
        <f t="shared" si="311"/>
        <v>0</v>
      </c>
      <c r="U2042" s="36">
        <f t="shared" si="312"/>
        <v>0</v>
      </c>
      <c r="V2042" s="59">
        <f t="shared" si="313"/>
        <v>0</v>
      </c>
      <c r="W2042" s="39">
        <f t="shared" si="314"/>
        <v>0</v>
      </c>
      <c r="X2042" s="40">
        <f t="shared" si="315"/>
        <v>0</v>
      </c>
      <c r="Y2042"/>
      <c r="Z2042"/>
      <c r="AA2042"/>
    </row>
    <row r="2043" spans="1:27" s="51" customFormat="1" ht="18.600000000000001" hidden="1" customHeight="1" x14ac:dyDescent="0.25">
      <c r="A2043" s="82" t="s">
        <v>2653</v>
      </c>
      <c r="B2043" s="41" t="s">
        <v>9303</v>
      </c>
      <c r="C2043" s="42" t="s">
        <v>9320</v>
      </c>
      <c r="D2043" s="41">
        <v>8435568307049</v>
      </c>
      <c r="E2043" s="43" t="s">
        <v>5052</v>
      </c>
      <c r="F2043" s="43" t="s">
        <v>1937</v>
      </c>
      <c r="G2043" s="43" t="s">
        <v>5026</v>
      </c>
      <c r="H2043" s="85" t="s">
        <v>5053</v>
      </c>
      <c r="I2043" s="23" t="s">
        <v>24</v>
      </c>
      <c r="J2043" s="44">
        <v>280</v>
      </c>
      <c r="K2043" s="45">
        <v>0.25</v>
      </c>
      <c r="L2043" s="46">
        <f t="shared" si="307"/>
        <v>70</v>
      </c>
      <c r="M2043" s="47">
        <f t="shared" si="308"/>
        <v>210</v>
      </c>
      <c r="N2043" s="48">
        <v>0.16</v>
      </c>
      <c r="O2043" s="49">
        <f t="shared" si="309"/>
        <v>33.6</v>
      </c>
      <c r="P2043" s="50">
        <f t="shared" si="310"/>
        <v>243.6</v>
      </c>
      <c r="Q2043" s="23"/>
      <c r="R2043" s="60"/>
      <c r="S2043" s="61"/>
      <c r="T2043" s="62">
        <f t="shared" si="311"/>
        <v>0</v>
      </c>
      <c r="U2043" s="46">
        <f t="shared" si="312"/>
        <v>0</v>
      </c>
      <c r="V2043" s="63">
        <f t="shared" si="313"/>
        <v>0</v>
      </c>
      <c r="W2043" s="49">
        <f t="shared" si="314"/>
        <v>0</v>
      </c>
      <c r="X2043" s="50">
        <f t="shared" si="315"/>
        <v>0</v>
      </c>
      <c r="Y2043"/>
      <c r="Z2043"/>
      <c r="AA2043"/>
    </row>
    <row r="2044" spans="1:27" s="51" customFormat="1" ht="18.600000000000001" customHeight="1" x14ac:dyDescent="0.25">
      <c r="A2044" s="80" t="s">
        <v>2653</v>
      </c>
      <c r="B2044" s="20" t="s">
        <v>5054</v>
      </c>
      <c r="C2044" s="21"/>
      <c r="D2044" s="20" t="s">
        <v>5055</v>
      </c>
      <c r="E2044" s="22" t="s">
        <v>5056</v>
      </c>
      <c r="F2044" s="22" t="s">
        <v>1937</v>
      </c>
      <c r="G2044" s="22" t="s">
        <v>4274</v>
      </c>
      <c r="H2044" s="83" t="s">
        <v>5057</v>
      </c>
      <c r="I2044" s="23" t="s">
        <v>24</v>
      </c>
      <c r="J2044" s="24">
        <v>100</v>
      </c>
      <c r="K2044" s="25">
        <v>0.25</v>
      </c>
      <c r="L2044" s="26">
        <f t="shared" si="307"/>
        <v>25</v>
      </c>
      <c r="M2044" s="27">
        <f t="shared" si="308"/>
        <v>75</v>
      </c>
      <c r="N2044" s="28">
        <v>0.16</v>
      </c>
      <c r="O2044" s="29">
        <f t="shared" si="309"/>
        <v>12</v>
      </c>
      <c r="P2044" s="30">
        <f t="shared" si="310"/>
        <v>87</v>
      </c>
      <c r="Q2044" s="23"/>
      <c r="R2044" s="52"/>
      <c r="S2044" s="53">
        <v>1</v>
      </c>
      <c r="T2044" s="54">
        <f t="shared" si="311"/>
        <v>100</v>
      </c>
      <c r="U2044" s="26">
        <f t="shared" si="312"/>
        <v>25</v>
      </c>
      <c r="V2044" s="55">
        <f t="shared" si="313"/>
        <v>75</v>
      </c>
      <c r="W2044" s="29">
        <f t="shared" si="314"/>
        <v>12</v>
      </c>
      <c r="X2044" s="30">
        <f t="shared" si="315"/>
        <v>87</v>
      </c>
      <c r="Y2044"/>
      <c r="Z2044"/>
      <c r="AA2044"/>
    </row>
    <row r="2045" spans="1:27" s="51" customFormat="1" ht="18.600000000000001" hidden="1" customHeight="1" x14ac:dyDescent="0.25">
      <c r="A2045" s="81" t="s">
        <v>2653</v>
      </c>
      <c r="B2045" s="31" t="s">
        <v>5054</v>
      </c>
      <c r="C2045" s="32"/>
      <c r="D2045" s="31" t="s">
        <v>5058</v>
      </c>
      <c r="E2045" s="33" t="s">
        <v>5059</v>
      </c>
      <c r="F2045" s="33" t="s">
        <v>1937</v>
      </c>
      <c r="G2045" s="33" t="s">
        <v>4274</v>
      </c>
      <c r="H2045" s="84" t="s">
        <v>5060</v>
      </c>
      <c r="I2045" s="23" t="s">
        <v>24</v>
      </c>
      <c r="J2045" s="34">
        <v>100</v>
      </c>
      <c r="K2045" s="35">
        <v>0.25</v>
      </c>
      <c r="L2045" s="36">
        <f t="shared" si="307"/>
        <v>25</v>
      </c>
      <c r="M2045" s="37">
        <f t="shared" si="308"/>
        <v>75</v>
      </c>
      <c r="N2045" s="38">
        <v>0.16</v>
      </c>
      <c r="O2045" s="39">
        <f t="shared" si="309"/>
        <v>12</v>
      </c>
      <c r="P2045" s="40">
        <f t="shared" si="310"/>
        <v>87</v>
      </c>
      <c r="Q2045" s="23"/>
      <c r="R2045" s="56"/>
      <c r="S2045" s="57"/>
      <c r="T2045" s="58">
        <f t="shared" si="311"/>
        <v>0</v>
      </c>
      <c r="U2045" s="36">
        <f t="shared" si="312"/>
        <v>0</v>
      </c>
      <c r="V2045" s="59">
        <f t="shared" si="313"/>
        <v>0</v>
      </c>
      <c r="W2045" s="39">
        <f t="shared" si="314"/>
        <v>0</v>
      </c>
      <c r="X2045" s="40">
        <f t="shared" si="315"/>
        <v>0</v>
      </c>
      <c r="Y2045"/>
      <c r="Z2045"/>
      <c r="AA2045"/>
    </row>
    <row r="2046" spans="1:27" s="51" customFormat="1" ht="18.600000000000001" hidden="1" customHeight="1" x14ac:dyDescent="0.25">
      <c r="A2046" s="82" t="s">
        <v>2653</v>
      </c>
      <c r="B2046" s="41" t="s">
        <v>5054</v>
      </c>
      <c r="C2046" s="42"/>
      <c r="D2046" s="41" t="s">
        <v>5061</v>
      </c>
      <c r="E2046" s="43" t="s">
        <v>5062</v>
      </c>
      <c r="F2046" s="43" t="s">
        <v>1937</v>
      </c>
      <c r="G2046" s="43" t="s">
        <v>4274</v>
      </c>
      <c r="H2046" s="85" t="s">
        <v>5063</v>
      </c>
      <c r="I2046" s="23" t="s">
        <v>24</v>
      </c>
      <c r="J2046" s="44">
        <v>100</v>
      </c>
      <c r="K2046" s="45">
        <v>0.25</v>
      </c>
      <c r="L2046" s="46">
        <f t="shared" si="307"/>
        <v>25</v>
      </c>
      <c r="M2046" s="47">
        <f t="shared" si="308"/>
        <v>75</v>
      </c>
      <c r="N2046" s="48">
        <v>0.16</v>
      </c>
      <c r="O2046" s="49">
        <f t="shared" si="309"/>
        <v>12</v>
      </c>
      <c r="P2046" s="50">
        <f t="shared" si="310"/>
        <v>87</v>
      </c>
      <c r="Q2046" s="23"/>
      <c r="R2046" s="60"/>
      <c r="S2046" s="61"/>
      <c r="T2046" s="62">
        <f t="shared" si="311"/>
        <v>0</v>
      </c>
      <c r="U2046" s="46">
        <f t="shared" si="312"/>
        <v>0</v>
      </c>
      <c r="V2046" s="63">
        <f t="shared" si="313"/>
        <v>0</v>
      </c>
      <c r="W2046" s="49">
        <f t="shared" si="314"/>
        <v>0</v>
      </c>
      <c r="X2046" s="50">
        <f t="shared" si="315"/>
        <v>0</v>
      </c>
      <c r="Y2046"/>
      <c r="Z2046"/>
      <c r="AA2046"/>
    </row>
    <row r="2047" spans="1:27" s="51" customFormat="1" ht="18.600000000000001" hidden="1" customHeight="1" x14ac:dyDescent="0.25">
      <c r="A2047" s="80" t="s">
        <v>2653</v>
      </c>
      <c r="B2047" s="20" t="s">
        <v>5054</v>
      </c>
      <c r="C2047" s="21"/>
      <c r="D2047" s="20" t="s">
        <v>5064</v>
      </c>
      <c r="E2047" s="22" t="s">
        <v>5065</v>
      </c>
      <c r="F2047" s="22" t="s">
        <v>1937</v>
      </c>
      <c r="G2047" s="22" t="s">
        <v>4274</v>
      </c>
      <c r="H2047" s="83" t="s">
        <v>5066</v>
      </c>
      <c r="I2047" s="23" t="s">
        <v>24</v>
      </c>
      <c r="J2047" s="24">
        <v>100</v>
      </c>
      <c r="K2047" s="25">
        <v>0.25</v>
      </c>
      <c r="L2047" s="26">
        <f t="shared" si="307"/>
        <v>25</v>
      </c>
      <c r="M2047" s="27">
        <f t="shared" si="308"/>
        <v>75</v>
      </c>
      <c r="N2047" s="28">
        <v>0.16</v>
      </c>
      <c r="O2047" s="29">
        <f t="shared" si="309"/>
        <v>12</v>
      </c>
      <c r="P2047" s="30">
        <f t="shared" si="310"/>
        <v>87</v>
      </c>
      <c r="Q2047" s="23"/>
      <c r="R2047" s="52"/>
      <c r="S2047" s="53"/>
      <c r="T2047" s="54">
        <f t="shared" si="311"/>
        <v>0</v>
      </c>
      <c r="U2047" s="26">
        <f t="shared" si="312"/>
        <v>0</v>
      </c>
      <c r="V2047" s="55">
        <f t="shared" si="313"/>
        <v>0</v>
      </c>
      <c r="W2047" s="29">
        <f t="shared" si="314"/>
        <v>0</v>
      </c>
      <c r="X2047" s="30">
        <f t="shared" si="315"/>
        <v>0</v>
      </c>
      <c r="Y2047"/>
      <c r="Z2047"/>
      <c r="AA2047"/>
    </row>
    <row r="2048" spans="1:27" s="51" customFormat="1" ht="18.600000000000001" customHeight="1" x14ac:dyDescent="0.25">
      <c r="A2048" s="81" t="s">
        <v>2653</v>
      </c>
      <c r="B2048" s="31" t="s">
        <v>5054</v>
      </c>
      <c r="C2048" s="32"/>
      <c r="D2048" s="31" t="s">
        <v>5067</v>
      </c>
      <c r="E2048" s="33" t="s">
        <v>5068</v>
      </c>
      <c r="F2048" s="33" t="s">
        <v>1937</v>
      </c>
      <c r="G2048" s="33" t="s">
        <v>4274</v>
      </c>
      <c r="H2048" s="84" t="s">
        <v>5069</v>
      </c>
      <c r="I2048" s="23" t="s">
        <v>24</v>
      </c>
      <c r="J2048" s="34">
        <v>100</v>
      </c>
      <c r="K2048" s="35">
        <v>0.25</v>
      </c>
      <c r="L2048" s="36">
        <f t="shared" si="307"/>
        <v>25</v>
      </c>
      <c r="M2048" s="37">
        <f t="shared" si="308"/>
        <v>75</v>
      </c>
      <c r="N2048" s="38">
        <v>0.16</v>
      </c>
      <c r="O2048" s="39">
        <f t="shared" si="309"/>
        <v>12</v>
      </c>
      <c r="P2048" s="40">
        <f t="shared" si="310"/>
        <v>87</v>
      </c>
      <c r="Q2048" s="23"/>
      <c r="R2048" s="56"/>
      <c r="S2048" s="57">
        <v>1</v>
      </c>
      <c r="T2048" s="58">
        <f t="shared" si="311"/>
        <v>100</v>
      </c>
      <c r="U2048" s="36">
        <f t="shared" si="312"/>
        <v>25</v>
      </c>
      <c r="V2048" s="59">
        <f t="shared" si="313"/>
        <v>75</v>
      </c>
      <c r="W2048" s="39">
        <f t="shared" si="314"/>
        <v>12</v>
      </c>
      <c r="X2048" s="40">
        <f t="shared" si="315"/>
        <v>87</v>
      </c>
      <c r="Y2048"/>
      <c r="Z2048"/>
      <c r="AA2048"/>
    </row>
    <row r="2049" spans="1:27" s="51" customFormat="1" ht="18.600000000000001" hidden="1" customHeight="1" x14ac:dyDescent="0.25">
      <c r="A2049" s="82" t="s">
        <v>2653</v>
      </c>
      <c r="B2049" s="41" t="s">
        <v>5054</v>
      </c>
      <c r="C2049" s="42"/>
      <c r="D2049" s="41" t="s">
        <v>5070</v>
      </c>
      <c r="E2049" s="43" t="s">
        <v>5071</v>
      </c>
      <c r="F2049" s="43" t="s">
        <v>1937</v>
      </c>
      <c r="G2049" s="43" t="s">
        <v>4274</v>
      </c>
      <c r="H2049" s="85" t="s">
        <v>5072</v>
      </c>
      <c r="I2049" s="23" t="s">
        <v>24</v>
      </c>
      <c r="J2049" s="44">
        <v>100</v>
      </c>
      <c r="K2049" s="45">
        <v>0.25</v>
      </c>
      <c r="L2049" s="46">
        <f t="shared" si="307"/>
        <v>25</v>
      </c>
      <c r="M2049" s="47">
        <f t="shared" si="308"/>
        <v>75</v>
      </c>
      <c r="N2049" s="48">
        <v>0.16</v>
      </c>
      <c r="O2049" s="49">
        <f t="shared" si="309"/>
        <v>12</v>
      </c>
      <c r="P2049" s="50">
        <f t="shared" si="310"/>
        <v>87</v>
      </c>
      <c r="Q2049" s="23"/>
      <c r="R2049" s="60"/>
      <c r="S2049" s="61"/>
      <c r="T2049" s="62">
        <f t="shared" si="311"/>
        <v>0</v>
      </c>
      <c r="U2049" s="46">
        <f t="shared" si="312"/>
        <v>0</v>
      </c>
      <c r="V2049" s="63">
        <f t="shared" si="313"/>
        <v>0</v>
      </c>
      <c r="W2049" s="49">
        <f t="shared" si="314"/>
        <v>0</v>
      </c>
      <c r="X2049" s="50">
        <f t="shared" si="315"/>
        <v>0</v>
      </c>
      <c r="Y2049"/>
      <c r="Z2049"/>
      <c r="AA2049"/>
    </row>
    <row r="2050" spans="1:27" s="51" customFormat="1" ht="18.600000000000001" hidden="1" customHeight="1" x14ac:dyDescent="0.25">
      <c r="A2050" s="80" t="s">
        <v>2653</v>
      </c>
      <c r="B2050" s="20" t="s">
        <v>5054</v>
      </c>
      <c r="C2050" s="21"/>
      <c r="D2050" s="20" t="s">
        <v>5073</v>
      </c>
      <c r="E2050" s="22" t="s">
        <v>5074</v>
      </c>
      <c r="F2050" s="22" t="s">
        <v>1937</v>
      </c>
      <c r="G2050" s="22" t="s">
        <v>4274</v>
      </c>
      <c r="H2050" s="83" t="s">
        <v>5075</v>
      </c>
      <c r="I2050" s="23" t="s">
        <v>24</v>
      </c>
      <c r="J2050" s="24">
        <v>100</v>
      </c>
      <c r="K2050" s="25">
        <v>0.25</v>
      </c>
      <c r="L2050" s="26">
        <f t="shared" si="307"/>
        <v>25</v>
      </c>
      <c r="M2050" s="27">
        <f t="shared" si="308"/>
        <v>75</v>
      </c>
      <c r="N2050" s="28">
        <v>0.16</v>
      </c>
      <c r="O2050" s="29">
        <f t="shared" si="309"/>
        <v>12</v>
      </c>
      <c r="P2050" s="30">
        <f t="shared" si="310"/>
        <v>87</v>
      </c>
      <c r="Q2050" s="23"/>
      <c r="R2050" s="52"/>
      <c r="S2050" s="53"/>
      <c r="T2050" s="54">
        <f t="shared" si="311"/>
        <v>0</v>
      </c>
      <c r="U2050" s="26">
        <f t="shared" si="312"/>
        <v>0</v>
      </c>
      <c r="V2050" s="55">
        <f t="shared" si="313"/>
        <v>0</v>
      </c>
      <c r="W2050" s="29">
        <f t="shared" si="314"/>
        <v>0</v>
      </c>
      <c r="X2050" s="30">
        <f t="shared" si="315"/>
        <v>0</v>
      </c>
      <c r="Y2050"/>
      <c r="Z2050"/>
      <c r="AA2050"/>
    </row>
    <row r="2051" spans="1:27" s="51" customFormat="1" ht="18.600000000000001" hidden="1" customHeight="1" x14ac:dyDescent="0.25">
      <c r="A2051" s="81" t="s">
        <v>2653</v>
      </c>
      <c r="B2051" s="31" t="s">
        <v>5054</v>
      </c>
      <c r="C2051" s="32"/>
      <c r="D2051" s="31" t="s">
        <v>5076</v>
      </c>
      <c r="E2051" s="33" t="s">
        <v>5077</v>
      </c>
      <c r="F2051" s="33" t="s">
        <v>1937</v>
      </c>
      <c r="G2051" s="33" t="s">
        <v>4274</v>
      </c>
      <c r="H2051" s="84" t="s">
        <v>5078</v>
      </c>
      <c r="I2051" s="23" t="s">
        <v>24</v>
      </c>
      <c r="J2051" s="34">
        <v>100</v>
      </c>
      <c r="K2051" s="35">
        <v>0.25</v>
      </c>
      <c r="L2051" s="36">
        <f t="shared" si="307"/>
        <v>25</v>
      </c>
      <c r="M2051" s="37">
        <f t="shared" si="308"/>
        <v>75</v>
      </c>
      <c r="N2051" s="38">
        <v>0.16</v>
      </c>
      <c r="O2051" s="39">
        <f t="shared" si="309"/>
        <v>12</v>
      </c>
      <c r="P2051" s="40">
        <f t="shared" si="310"/>
        <v>87</v>
      </c>
      <c r="Q2051" s="23"/>
      <c r="R2051" s="56"/>
      <c r="S2051" s="57"/>
      <c r="T2051" s="58">
        <f t="shared" si="311"/>
        <v>0</v>
      </c>
      <c r="U2051" s="36">
        <f t="shared" si="312"/>
        <v>0</v>
      </c>
      <c r="V2051" s="59">
        <f t="shared" si="313"/>
        <v>0</v>
      </c>
      <c r="W2051" s="39">
        <f t="shared" si="314"/>
        <v>0</v>
      </c>
      <c r="X2051" s="40">
        <f t="shared" si="315"/>
        <v>0</v>
      </c>
      <c r="Y2051"/>
      <c r="Z2051"/>
      <c r="AA2051"/>
    </row>
    <row r="2052" spans="1:27" s="51" customFormat="1" ht="18.600000000000001" hidden="1" customHeight="1" x14ac:dyDescent="0.25">
      <c r="A2052" s="82" t="s">
        <v>2653</v>
      </c>
      <c r="B2052" s="41" t="s">
        <v>5054</v>
      </c>
      <c r="C2052" s="42"/>
      <c r="D2052" s="41" t="s">
        <v>5079</v>
      </c>
      <c r="E2052" s="43" t="s">
        <v>5080</v>
      </c>
      <c r="F2052" s="43" t="s">
        <v>1937</v>
      </c>
      <c r="G2052" s="43" t="s">
        <v>4274</v>
      </c>
      <c r="H2052" s="85" t="s">
        <v>5081</v>
      </c>
      <c r="I2052" s="23" t="s">
        <v>24</v>
      </c>
      <c r="J2052" s="44">
        <v>100</v>
      </c>
      <c r="K2052" s="45">
        <v>0.25</v>
      </c>
      <c r="L2052" s="46">
        <f t="shared" si="307"/>
        <v>25</v>
      </c>
      <c r="M2052" s="47">
        <f t="shared" si="308"/>
        <v>75</v>
      </c>
      <c r="N2052" s="48">
        <v>0.16</v>
      </c>
      <c r="O2052" s="49">
        <f t="shared" si="309"/>
        <v>12</v>
      </c>
      <c r="P2052" s="50">
        <f t="shared" si="310"/>
        <v>87</v>
      </c>
      <c r="Q2052" s="23"/>
      <c r="R2052" s="60"/>
      <c r="S2052" s="61"/>
      <c r="T2052" s="62">
        <f t="shared" si="311"/>
        <v>0</v>
      </c>
      <c r="U2052" s="46">
        <f t="shared" si="312"/>
        <v>0</v>
      </c>
      <c r="V2052" s="63">
        <f t="shared" si="313"/>
        <v>0</v>
      </c>
      <c r="W2052" s="49">
        <f t="shared" si="314"/>
        <v>0</v>
      </c>
      <c r="X2052" s="50">
        <f t="shared" si="315"/>
        <v>0</v>
      </c>
      <c r="Y2052"/>
      <c r="Z2052"/>
      <c r="AA2052"/>
    </row>
    <row r="2053" spans="1:27" s="51" customFormat="1" ht="18.600000000000001" hidden="1" customHeight="1" x14ac:dyDescent="0.25">
      <c r="A2053" s="80" t="s">
        <v>2653</v>
      </c>
      <c r="B2053" s="20" t="s">
        <v>5054</v>
      </c>
      <c r="C2053" s="21"/>
      <c r="D2053" s="20" t="s">
        <v>5082</v>
      </c>
      <c r="E2053" s="22" t="s">
        <v>5083</v>
      </c>
      <c r="F2053" s="22" t="s">
        <v>1937</v>
      </c>
      <c r="G2053" s="22" t="s">
        <v>4274</v>
      </c>
      <c r="H2053" s="83" t="s">
        <v>5084</v>
      </c>
      <c r="I2053" s="23" t="s">
        <v>24</v>
      </c>
      <c r="J2053" s="24">
        <v>100</v>
      </c>
      <c r="K2053" s="25">
        <v>0.25</v>
      </c>
      <c r="L2053" s="26">
        <f t="shared" si="307"/>
        <v>25</v>
      </c>
      <c r="M2053" s="27">
        <f t="shared" si="308"/>
        <v>75</v>
      </c>
      <c r="N2053" s="28">
        <v>0.16</v>
      </c>
      <c r="O2053" s="29">
        <f t="shared" si="309"/>
        <v>12</v>
      </c>
      <c r="P2053" s="30">
        <f t="shared" si="310"/>
        <v>87</v>
      </c>
      <c r="Q2053" s="23"/>
      <c r="R2053" s="52"/>
      <c r="S2053" s="53"/>
      <c r="T2053" s="54">
        <f t="shared" si="311"/>
        <v>0</v>
      </c>
      <c r="U2053" s="26">
        <f t="shared" si="312"/>
        <v>0</v>
      </c>
      <c r="V2053" s="55">
        <f t="shared" si="313"/>
        <v>0</v>
      </c>
      <c r="W2053" s="29">
        <f t="shared" si="314"/>
        <v>0</v>
      </c>
      <c r="X2053" s="30">
        <f t="shared" si="315"/>
        <v>0</v>
      </c>
      <c r="Y2053"/>
      <c r="Z2053"/>
      <c r="AA2053"/>
    </row>
    <row r="2054" spans="1:27" s="51" customFormat="1" ht="18.600000000000001" hidden="1" customHeight="1" x14ac:dyDescent="0.25">
      <c r="A2054" s="81" t="s">
        <v>2653</v>
      </c>
      <c r="B2054" s="31" t="s">
        <v>5054</v>
      </c>
      <c r="C2054" s="32"/>
      <c r="D2054" s="31" t="s">
        <v>5085</v>
      </c>
      <c r="E2054" s="33" t="s">
        <v>5086</v>
      </c>
      <c r="F2054" s="33" t="s">
        <v>1937</v>
      </c>
      <c r="G2054" s="33" t="s">
        <v>4274</v>
      </c>
      <c r="H2054" s="84" t="s">
        <v>5087</v>
      </c>
      <c r="I2054" s="23" t="s">
        <v>24</v>
      </c>
      <c r="J2054" s="34">
        <v>100</v>
      </c>
      <c r="K2054" s="35">
        <v>0.25</v>
      </c>
      <c r="L2054" s="36">
        <f t="shared" si="307"/>
        <v>25</v>
      </c>
      <c r="M2054" s="37">
        <f t="shared" si="308"/>
        <v>75</v>
      </c>
      <c r="N2054" s="38">
        <v>0.16</v>
      </c>
      <c r="O2054" s="39">
        <f t="shared" si="309"/>
        <v>12</v>
      </c>
      <c r="P2054" s="40">
        <f t="shared" si="310"/>
        <v>87</v>
      </c>
      <c r="Q2054" s="23"/>
      <c r="R2054" s="56"/>
      <c r="S2054" s="57"/>
      <c r="T2054" s="58">
        <f t="shared" si="311"/>
        <v>0</v>
      </c>
      <c r="U2054" s="36">
        <f t="shared" si="312"/>
        <v>0</v>
      </c>
      <c r="V2054" s="59">
        <f t="shared" si="313"/>
        <v>0</v>
      </c>
      <c r="W2054" s="39">
        <f t="shared" si="314"/>
        <v>0</v>
      </c>
      <c r="X2054" s="40">
        <f t="shared" si="315"/>
        <v>0</v>
      </c>
      <c r="Y2054"/>
      <c r="Z2054"/>
      <c r="AA2054"/>
    </row>
    <row r="2055" spans="1:27" s="51" customFormat="1" ht="18.600000000000001" customHeight="1" x14ac:dyDescent="0.25">
      <c r="A2055" s="82" t="s">
        <v>2653</v>
      </c>
      <c r="B2055" s="41" t="s">
        <v>5054</v>
      </c>
      <c r="C2055" s="42"/>
      <c r="D2055" s="41" t="s">
        <v>5088</v>
      </c>
      <c r="E2055" s="43" t="s">
        <v>5089</v>
      </c>
      <c r="F2055" s="43" t="s">
        <v>1937</v>
      </c>
      <c r="G2055" s="43" t="s">
        <v>4274</v>
      </c>
      <c r="H2055" s="85" t="s">
        <v>5090</v>
      </c>
      <c r="I2055" s="23" t="s">
        <v>24</v>
      </c>
      <c r="J2055" s="44">
        <v>100</v>
      </c>
      <c r="K2055" s="45">
        <v>0.25</v>
      </c>
      <c r="L2055" s="46">
        <f t="shared" si="307"/>
        <v>25</v>
      </c>
      <c r="M2055" s="47">
        <f t="shared" si="308"/>
        <v>75</v>
      </c>
      <c r="N2055" s="48">
        <v>0.16</v>
      </c>
      <c r="O2055" s="49">
        <f t="shared" si="309"/>
        <v>12</v>
      </c>
      <c r="P2055" s="50">
        <f t="shared" si="310"/>
        <v>87</v>
      </c>
      <c r="Q2055" s="23"/>
      <c r="R2055" s="60"/>
      <c r="S2055" s="61">
        <v>1</v>
      </c>
      <c r="T2055" s="62">
        <f t="shared" si="311"/>
        <v>100</v>
      </c>
      <c r="U2055" s="46">
        <f t="shared" si="312"/>
        <v>25</v>
      </c>
      <c r="V2055" s="63">
        <f t="shared" si="313"/>
        <v>75</v>
      </c>
      <c r="W2055" s="49">
        <f t="shared" si="314"/>
        <v>12</v>
      </c>
      <c r="X2055" s="50">
        <f t="shared" si="315"/>
        <v>87</v>
      </c>
      <c r="Y2055"/>
      <c r="Z2055"/>
      <c r="AA2055"/>
    </row>
    <row r="2056" spans="1:27" s="51" customFormat="1" ht="18.600000000000001" hidden="1" customHeight="1" x14ac:dyDescent="0.25">
      <c r="A2056" s="80" t="s">
        <v>2653</v>
      </c>
      <c r="B2056" s="20" t="s">
        <v>5054</v>
      </c>
      <c r="C2056" s="21"/>
      <c r="D2056" s="20" t="s">
        <v>5091</v>
      </c>
      <c r="E2056" s="22" t="s">
        <v>5092</v>
      </c>
      <c r="F2056" s="22" t="s">
        <v>1937</v>
      </c>
      <c r="G2056" s="22" t="s">
        <v>4274</v>
      </c>
      <c r="H2056" s="83" t="s">
        <v>5093</v>
      </c>
      <c r="I2056" s="23" t="s">
        <v>24</v>
      </c>
      <c r="J2056" s="24">
        <v>100</v>
      </c>
      <c r="K2056" s="25">
        <v>0.25</v>
      </c>
      <c r="L2056" s="26">
        <f t="shared" si="307"/>
        <v>25</v>
      </c>
      <c r="M2056" s="27">
        <f t="shared" si="308"/>
        <v>75</v>
      </c>
      <c r="N2056" s="28">
        <v>0.16</v>
      </c>
      <c r="O2056" s="29">
        <f t="shared" si="309"/>
        <v>12</v>
      </c>
      <c r="P2056" s="30">
        <f t="shared" si="310"/>
        <v>87</v>
      </c>
      <c r="Q2056" s="23"/>
      <c r="R2056" s="52"/>
      <c r="S2056" s="53"/>
      <c r="T2056" s="54">
        <f t="shared" si="311"/>
        <v>0</v>
      </c>
      <c r="U2056" s="26">
        <f t="shared" si="312"/>
        <v>0</v>
      </c>
      <c r="V2056" s="55">
        <f t="shared" si="313"/>
        <v>0</v>
      </c>
      <c r="W2056" s="29">
        <f t="shared" si="314"/>
        <v>0</v>
      </c>
      <c r="X2056" s="30">
        <f t="shared" si="315"/>
        <v>0</v>
      </c>
      <c r="Y2056"/>
      <c r="Z2056"/>
      <c r="AA2056"/>
    </row>
    <row r="2057" spans="1:27" s="51" customFormat="1" ht="18.600000000000001" hidden="1" customHeight="1" x14ac:dyDescent="0.25">
      <c r="A2057" s="81" t="s">
        <v>2653</v>
      </c>
      <c r="B2057" s="31" t="s">
        <v>5054</v>
      </c>
      <c r="C2057" s="32"/>
      <c r="D2057" s="31" t="s">
        <v>5094</v>
      </c>
      <c r="E2057" s="33" t="s">
        <v>5095</v>
      </c>
      <c r="F2057" s="33" t="s">
        <v>1937</v>
      </c>
      <c r="G2057" s="33" t="s">
        <v>4274</v>
      </c>
      <c r="H2057" s="84" t="s">
        <v>5096</v>
      </c>
      <c r="I2057" s="23" t="s">
        <v>24</v>
      </c>
      <c r="J2057" s="34">
        <v>100</v>
      </c>
      <c r="K2057" s="35">
        <v>0.25</v>
      </c>
      <c r="L2057" s="36">
        <f t="shared" si="307"/>
        <v>25</v>
      </c>
      <c r="M2057" s="37">
        <f t="shared" si="308"/>
        <v>75</v>
      </c>
      <c r="N2057" s="38">
        <v>0.16</v>
      </c>
      <c r="O2057" s="39">
        <f t="shared" si="309"/>
        <v>12</v>
      </c>
      <c r="P2057" s="40">
        <f t="shared" si="310"/>
        <v>87</v>
      </c>
      <c r="Q2057" s="23"/>
      <c r="R2057" s="56"/>
      <c r="S2057" s="57"/>
      <c r="T2057" s="58">
        <f t="shared" si="311"/>
        <v>0</v>
      </c>
      <c r="U2057" s="36">
        <f t="shared" si="312"/>
        <v>0</v>
      </c>
      <c r="V2057" s="59">
        <f t="shared" si="313"/>
        <v>0</v>
      </c>
      <c r="W2057" s="39">
        <f t="shared" si="314"/>
        <v>0</v>
      </c>
      <c r="X2057" s="40">
        <f t="shared" si="315"/>
        <v>0</v>
      </c>
      <c r="Y2057"/>
      <c r="Z2057"/>
      <c r="AA2057"/>
    </row>
    <row r="2058" spans="1:27" s="51" customFormat="1" ht="18.600000000000001" hidden="1" customHeight="1" x14ac:dyDescent="0.25">
      <c r="A2058" s="82" t="s">
        <v>2653</v>
      </c>
      <c r="B2058" s="41" t="s">
        <v>5054</v>
      </c>
      <c r="C2058" s="42"/>
      <c r="D2058" s="41" t="s">
        <v>5097</v>
      </c>
      <c r="E2058" s="43" t="s">
        <v>5098</v>
      </c>
      <c r="F2058" s="43" t="s">
        <v>1937</v>
      </c>
      <c r="G2058" s="43" t="s">
        <v>4274</v>
      </c>
      <c r="H2058" s="85" t="s">
        <v>1443</v>
      </c>
      <c r="I2058" s="23" t="s">
        <v>24</v>
      </c>
      <c r="J2058" s="44">
        <v>100</v>
      </c>
      <c r="K2058" s="45">
        <v>0.25</v>
      </c>
      <c r="L2058" s="46">
        <f t="shared" si="307"/>
        <v>25</v>
      </c>
      <c r="M2058" s="47">
        <f t="shared" si="308"/>
        <v>75</v>
      </c>
      <c r="N2058" s="48">
        <v>0.16</v>
      </c>
      <c r="O2058" s="49">
        <f t="shared" si="309"/>
        <v>12</v>
      </c>
      <c r="P2058" s="50">
        <f t="shared" si="310"/>
        <v>87</v>
      </c>
      <c r="Q2058" s="23"/>
      <c r="R2058" s="60"/>
      <c r="S2058" s="61"/>
      <c r="T2058" s="62">
        <f t="shared" si="311"/>
        <v>0</v>
      </c>
      <c r="U2058" s="46">
        <f t="shared" si="312"/>
        <v>0</v>
      </c>
      <c r="V2058" s="63">
        <f t="shared" si="313"/>
        <v>0</v>
      </c>
      <c r="W2058" s="49">
        <f t="shared" si="314"/>
        <v>0</v>
      </c>
      <c r="X2058" s="50">
        <f t="shared" si="315"/>
        <v>0</v>
      </c>
      <c r="Y2058"/>
      <c r="Z2058"/>
      <c r="AA2058"/>
    </row>
    <row r="2059" spans="1:27" s="51" customFormat="1" ht="18.600000000000001" customHeight="1" x14ac:dyDescent="0.25">
      <c r="A2059" s="80" t="s">
        <v>2653</v>
      </c>
      <c r="B2059" s="20" t="s">
        <v>5054</v>
      </c>
      <c r="C2059" s="21"/>
      <c r="D2059" s="20" t="s">
        <v>5099</v>
      </c>
      <c r="E2059" s="22" t="s">
        <v>5100</v>
      </c>
      <c r="F2059" s="22" t="s">
        <v>1937</v>
      </c>
      <c r="G2059" s="22" t="s">
        <v>4274</v>
      </c>
      <c r="H2059" s="83" t="s">
        <v>5101</v>
      </c>
      <c r="I2059" s="23" t="s">
        <v>24</v>
      </c>
      <c r="J2059" s="24">
        <v>100</v>
      </c>
      <c r="K2059" s="25">
        <v>0.25</v>
      </c>
      <c r="L2059" s="26">
        <f t="shared" si="307"/>
        <v>25</v>
      </c>
      <c r="M2059" s="27">
        <f t="shared" si="308"/>
        <v>75</v>
      </c>
      <c r="N2059" s="28">
        <v>0.16</v>
      </c>
      <c r="O2059" s="29">
        <f t="shared" si="309"/>
        <v>12</v>
      </c>
      <c r="P2059" s="30">
        <f t="shared" si="310"/>
        <v>87</v>
      </c>
      <c r="Q2059" s="23"/>
      <c r="R2059" s="52"/>
      <c r="S2059" s="53">
        <v>1</v>
      </c>
      <c r="T2059" s="54">
        <f t="shared" si="311"/>
        <v>100</v>
      </c>
      <c r="U2059" s="26">
        <f t="shared" si="312"/>
        <v>25</v>
      </c>
      <c r="V2059" s="55">
        <f t="shared" si="313"/>
        <v>75</v>
      </c>
      <c r="W2059" s="29">
        <f t="shared" si="314"/>
        <v>12</v>
      </c>
      <c r="X2059" s="30">
        <f t="shared" si="315"/>
        <v>87</v>
      </c>
      <c r="Y2059"/>
      <c r="Z2059"/>
      <c r="AA2059"/>
    </row>
    <row r="2060" spans="1:27" s="51" customFormat="1" ht="18.600000000000001" hidden="1" customHeight="1" x14ac:dyDescent="0.25">
      <c r="A2060" s="81" t="s">
        <v>2653</v>
      </c>
      <c r="B2060" s="31" t="s">
        <v>5054</v>
      </c>
      <c r="C2060" s="32"/>
      <c r="D2060" s="31" t="s">
        <v>5102</v>
      </c>
      <c r="E2060" s="33" t="s">
        <v>5103</v>
      </c>
      <c r="F2060" s="33" t="s">
        <v>1937</v>
      </c>
      <c r="G2060" s="33" t="s">
        <v>4274</v>
      </c>
      <c r="H2060" s="84" t="s">
        <v>5104</v>
      </c>
      <c r="I2060" s="23" t="s">
        <v>24</v>
      </c>
      <c r="J2060" s="34">
        <v>100</v>
      </c>
      <c r="K2060" s="35">
        <v>0.25</v>
      </c>
      <c r="L2060" s="36">
        <f t="shared" si="307"/>
        <v>25</v>
      </c>
      <c r="M2060" s="37">
        <f t="shared" si="308"/>
        <v>75</v>
      </c>
      <c r="N2060" s="38">
        <v>0.16</v>
      </c>
      <c r="O2060" s="39">
        <f t="shared" si="309"/>
        <v>12</v>
      </c>
      <c r="P2060" s="40">
        <f t="shared" si="310"/>
        <v>87</v>
      </c>
      <c r="Q2060" s="23"/>
      <c r="R2060" s="56"/>
      <c r="S2060" s="57"/>
      <c r="T2060" s="58">
        <f t="shared" si="311"/>
        <v>0</v>
      </c>
      <c r="U2060" s="36">
        <f t="shared" si="312"/>
        <v>0</v>
      </c>
      <c r="V2060" s="59">
        <f t="shared" si="313"/>
        <v>0</v>
      </c>
      <c r="W2060" s="39">
        <f t="shared" si="314"/>
        <v>0</v>
      </c>
      <c r="X2060" s="40">
        <f t="shared" si="315"/>
        <v>0</v>
      </c>
      <c r="Y2060"/>
      <c r="Z2060"/>
      <c r="AA2060"/>
    </row>
    <row r="2061" spans="1:27" s="51" customFormat="1" ht="18.600000000000001" hidden="1" customHeight="1" x14ac:dyDescent="0.25">
      <c r="A2061" s="82" t="s">
        <v>2653</v>
      </c>
      <c r="B2061" s="41" t="s">
        <v>5054</v>
      </c>
      <c r="C2061" s="42"/>
      <c r="D2061" s="41" t="s">
        <v>5105</v>
      </c>
      <c r="E2061" s="43" t="s">
        <v>5106</v>
      </c>
      <c r="F2061" s="43" t="s">
        <v>1937</v>
      </c>
      <c r="G2061" s="43" t="s">
        <v>4274</v>
      </c>
      <c r="H2061" s="85" t="s">
        <v>5107</v>
      </c>
      <c r="I2061" s="23" t="s">
        <v>24</v>
      </c>
      <c r="J2061" s="44">
        <v>100</v>
      </c>
      <c r="K2061" s="45">
        <v>0.25</v>
      </c>
      <c r="L2061" s="46">
        <f t="shared" si="307"/>
        <v>25</v>
      </c>
      <c r="M2061" s="47">
        <f t="shared" si="308"/>
        <v>75</v>
      </c>
      <c r="N2061" s="48">
        <v>0.16</v>
      </c>
      <c r="O2061" s="49">
        <f t="shared" si="309"/>
        <v>12</v>
      </c>
      <c r="P2061" s="50">
        <f t="shared" si="310"/>
        <v>87</v>
      </c>
      <c r="Q2061" s="23"/>
      <c r="R2061" s="60"/>
      <c r="S2061" s="61"/>
      <c r="T2061" s="62">
        <f t="shared" si="311"/>
        <v>0</v>
      </c>
      <c r="U2061" s="46">
        <f t="shared" si="312"/>
        <v>0</v>
      </c>
      <c r="V2061" s="63">
        <f t="shared" si="313"/>
        <v>0</v>
      </c>
      <c r="W2061" s="49">
        <f t="shared" si="314"/>
        <v>0</v>
      </c>
      <c r="X2061" s="50">
        <f t="shared" si="315"/>
        <v>0</v>
      </c>
      <c r="Y2061"/>
      <c r="Z2061"/>
      <c r="AA2061"/>
    </row>
    <row r="2062" spans="1:27" s="51" customFormat="1" ht="18.600000000000001" hidden="1" customHeight="1" x14ac:dyDescent="0.25">
      <c r="A2062" s="80" t="s">
        <v>2653</v>
      </c>
      <c r="B2062" s="20" t="s">
        <v>5054</v>
      </c>
      <c r="C2062" s="21"/>
      <c r="D2062" s="20" t="s">
        <v>5108</v>
      </c>
      <c r="E2062" s="22" t="s">
        <v>5109</v>
      </c>
      <c r="F2062" s="22" t="s">
        <v>1937</v>
      </c>
      <c r="G2062" s="22" t="s">
        <v>4274</v>
      </c>
      <c r="H2062" s="83" t="s">
        <v>5110</v>
      </c>
      <c r="I2062" s="23" t="s">
        <v>24</v>
      </c>
      <c r="J2062" s="24">
        <v>100</v>
      </c>
      <c r="K2062" s="25">
        <v>0.25</v>
      </c>
      <c r="L2062" s="26">
        <f t="shared" si="307"/>
        <v>25</v>
      </c>
      <c r="M2062" s="27">
        <f t="shared" si="308"/>
        <v>75</v>
      </c>
      <c r="N2062" s="28">
        <v>0.16</v>
      </c>
      <c r="O2062" s="29">
        <f t="shared" si="309"/>
        <v>12</v>
      </c>
      <c r="P2062" s="30">
        <f t="shared" si="310"/>
        <v>87</v>
      </c>
      <c r="Q2062" s="23"/>
      <c r="R2062" s="52"/>
      <c r="S2062" s="53"/>
      <c r="T2062" s="54">
        <f t="shared" si="311"/>
        <v>0</v>
      </c>
      <c r="U2062" s="26">
        <f t="shared" si="312"/>
        <v>0</v>
      </c>
      <c r="V2062" s="55">
        <f t="shared" si="313"/>
        <v>0</v>
      </c>
      <c r="W2062" s="29">
        <f t="shared" si="314"/>
        <v>0</v>
      </c>
      <c r="X2062" s="30">
        <f t="shared" si="315"/>
        <v>0</v>
      </c>
      <c r="Y2062"/>
      <c r="Z2062"/>
      <c r="AA2062"/>
    </row>
    <row r="2063" spans="1:27" s="51" customFormat="1" ht="18.600000000000001" hidden="1" customHeight="1" x14ac:dyDescent="0.25">
      <c r="A2063" s="81" t="s">
        <v>2653</v>
      </c>
      <c r="B2063" s="31" t="s">
        <v>5054</v>
      </c>
      <c r="C2063" s="32"/>
      <c r="D2063" s="31" t="s">
        <v>5111</v>
      </c>
      <c r="E2063" s="33" t="s">
        <v>5112</v>
      </c>
      <c r="F2063" s="33" t="s">
        <v>1937</v>
      </c>
      <c r="G2063" s="33" t="s">
        <v>4274</v>
      </c>
      <c r="H2063" s="84" t="s">
        <v>5113</v>
      </c>
      <c r="I2063" s="23" t="s">
        <v>24</v>
      </c>
      <c r="J2063" s="34">
        <v>100</v>
      </c>
      <c r="K2063" s="35">
        <v>0.25</v>
      </c>
      <c r="L2063" s="36">
        <f t="shared" si="307"/>
        <v>25</v>
      </c>
      <c r="M2063" s="37">
        <f t="shared" si="308"/>
        <v>75</v>
      </c>
      <c r="N2063" s="38">
        <v>0.16</v>
      </c>
      <c r="O2063" s="39">
        <f t="shared" si="309"/>
        <v>12</v>
      </c>
      <c r="P2063" s="40">
        <f t="shared" si="310"/>
        <v>87</v>
      </c>
      <c r="Q2063" s="23"/>
      <c r="R2063" s="56"/>
      <c r="S2063" s="57"/>
      <c r="T2063" s="58">
        <f t="shared" si="311"/>
        <v>0</v>
      </c>
      <c r="U2063" s="36">
        <f t="shared" si="312"/>
        <v>0</v>
      </c>
      <c r="V2063" s="59">
        <f t="shared" si="313"/>
        <v>0</v>
      </c>
      <c r="W2063" s="39">
        <f t="shared" si="314"/>
        <v>0</v>
      </c>
      <c r="X2063" s="40">
        <f t="shared" si="315"/>
        <v>0</v>
      </c>
      <c r="Y2063"/>
      <c r="Z2063"/>
      <c r="AA2063"/>
    </row>
    <row r="2064" spans="1:27" s="51" customFormat="1" ht="18.600000000000001" hidden="1" customHeight="1" x14ac:dyDescent="0.25">
      <c r="A2064" s="82" t="s">
        <v>2653</v>
      </c>
      <c r="B2064" s="41" t="s">
        <v>5054</v>
      </c>
      <c r="C2064" s="42"/>
      <c r="D2064" s="41" t="s">
        <v>5114</v>
      </c>
      <c r="E2064" s="43" t="s">
        <v>5115</v>
      </c>
      <c r="F2064" s="43" t="s">
        <v>1937</v>
      </c>
      <c r="G2064" s="43" t="s">
        <v>4274</v>
      </c>
      <c r="H2064" s="85" t="s">
        <v>5116</v>
      </c>
      <c r="I2064" s="23" t="s">
        <v>24</v>
      </c>
      <c r="J2064" s="44">
        <v>100</v>
      </c>
      <c r="K2064" s="45">
        <v>0.25</v>
      </c>
      <c r="L2064" s="46">
        <f t="shared" si="307"/>
        <v>25</v>
      </c>
      <c r="M2064" s="47">
        <f t="shared" si="308"/>
        <v>75</v>
      </c>
      <c r="N2064" s="48">
        <v>0.16</v>
      </c>
      <c r="O2064" s="49">
        <f t="shared" si="309"/>
        <v>12</v>
      </c>
      <c r="P2064" s="50">
        <f t="shared" si="310"/>
        <v>87</v>
      </c>
      <c r="Q2064" s="23"/>
      <c r="R2064" s="60"/>
      <c r="S2064" s="61"/>
      <c r="T2064" s="62">
        <f t="shared" si="311"/>
        <v>0</v>
      </c>
      <c r="U2064" s="46">
        <f t="shared" si="312"/>
        <v>0</v>
      </c>
      <c r="V2064" s="63">
        <f t="shared" si="313"/>
        <v>0</v>
      </c>
      <c r="W2064" s="49">
        <f t="shared" si="314"/>
        <v>0</v>
      </c>
      <c r="X2064" s="50">
        <f t="shared" si="315"/>
        <v>0</v>
      </c>
      <c r="Y2064"/>
      <c r="Z2064"/>
      <c r="AA2064"/>
    </row>
    <row r="2065" spans="1:27" s="51" customFormat="1" ht="18.600000000000001" customHeight="1" x14ac:dyDescent="0.25">
      <c r="A2065" s="80" t="s">
        <v>2653</v>
      </c>
      <c r="B2065" s="20" t="s">
        <v>5054</v>
      </c>
      <c r="C2065" s="21"/>
      <c r="D2065" s="20" t="s">
        <v>5117</v>
      </c>
      <c r="E2065" s="22" t="s">
        <v>5118</v>
      </c>
      <c r="F2065" s="22" t="s">
        <v>1937</v>
      </c>
      <c r="G2065" s="22" t="s">
        <v>4274</v>
      </c>
      <c r="H2065" s="83" t="s">
        <v>5119</v>
      </c>
      <c r="I2065" s="23" t="s">
        <v>24</v>
      </c>
      <c r="J2065" s="24">
        <v>100</v>
      </c>
      <c r="K2065" s="25">
        <v>0.25</v>
      </c>
      <c r="L2065" s="26">
        <f t="shared" si="307"/>
        <v>25</v>
      </c>
      <c r="M2065" s="27">
        <f t="shared" si="308"/>
        <v>75</v>
      </c>
      <c r="N2065" s="28">
        <v>0.16</v>
      </c>
      <c r="O2065" s="29">
        <f t="shared" si="309"/>
        <v>12</v>
      </c>
      <c r="P2065" s="30">
        <f t="shared" si="310"/>
        <v>87</v>
      </c>
      <c r="Q2065" s="23"/>
      <c r="R2065" s="52"/>
      <c r="S2065" s="53">
        <v>1</v>
      </c>
      <c r="T2065" s="54">
        <f t="shared" si="311"/>
        <v>100</v>
      </c>
      <c r="U2065" s="26">
        <f t="shared" si="312"/>
        <v>25</v>
      </c>
      <c r="V2065" s="55">
        <f t="shared" si="313"/>
        <v>75</v>
      </c>
      <c r="W2065" s="29">
        <f t="shared" si="314"/>
        <v>12</v>
      </c>
      <c r="X2065" s="30">
        <f t="shared" si="315"/>
        <v>87</v>
      </c>
      <c r="Y2065"/>
      <c r="Z2065"/>
      <c r="AA2065"/>
    </row>
    <row r="2066" spans="1:27" s="51" customFormat="1" ht="18.600000000000001" customHeight="1" x14ac:dyDescent="0.25">
      <c r="A2066" s="81" t="s">
        <v>2653</v>
      </c>
      <c r="B2066" s="31" t="s">
        <v>5054</v>
      </c>
      <c r="C2066" s="32"/>
      <c r="D2066" s="31" t="s">
        <v>5120</v>
      </c>
      <c r="E2066" s="33" t="s">
        <v>5121</v>
      </c>
      <c r="F2066" s="33" t="s">
        <v>1937</v>
      </c>
      <c r="G2066" s="33" t="s">
        <v>4274</v>
      </c>
      <c r="H2066" s="84" t="s">
        <v>5122</v>
      </c>
      <c r="I2066" s="23" t="s">
        <v>24</v>
      </c>
      <c r="J2066" s="34">
        <v>100</v>
      </c>
      <c r="K2066" s="35">
        <v>0.25</v>
      </c>
      <c r="L2066" s="36">
        <f t="shared" si="307"/>
        <v>25</v>
      </c>
      <c r="M2066" s="37">
        <f t="shared" si="308"/>
        <v>75</v>
      </c>
      <c r="N2066" s="38">
        <v>0.16</v>
      </c>
      <c r="O2066" s="39">
        <f t="shared" si="309"/>
        <v>12</v>
      </c>
      <c r="P2066" s="40">
        <f t="shared" si="310"/>
        <v>87</v>
      </c>
      <c r="Q2066" s="23"/>
      <c r="R2066" s="56"/>
      <c r="S2066" s="57">
        <v>1</v>
      </c>
      <c r="T2066" s="58">
        <f t="shared" si="311"/>
        <v>100</v>
      </c>
      <c r="U2066" s="36">
        <f t="shared" si="312"/>
        <v>25</v>
      </c>
      <c r="V2066" s="59">
        <f t="shared" si="313"/>
        <v>75</v>
      </c>
      <c r="W2066" s="39">
        <f t="shared" si="314"/>
        <v>12</v>
      </c>
      <c r="X2066" s="40">
        <f t="shared" si="315"/>
        <v>87</v>
      </c>
      <c r="Y2066"/>
      <c r="Z2066"/>
      <c r="AA2066"/>
    </row>
    <row r="2067" spans="1:27" s="51" customFormat="1" ht="18.600000000000001" hidden="1" customHeight="1" x14ac:dyDescent="0.25">
      <c r="A2067" s="82" t="s">
        <v>2653</v>
      </c>
      <c r="B2067" s="41" t="s">
        <v>5054</v>
      </c>
      <c r="C2067" s="42"/>
      <c r="D2067" s="41" t="s">
        <v>5123</v>
      </c>
      <c r="E2067" s="43" t="s">
        <v>5124</v>
      </c>
      <c r="F2067" s="43" t="s">
        <v>1937</v>
      </c>
      <c r="G2067" s="43" t="s">
        <v>4274</v>
      </c>
      <c r="H2067" s="85" t="s">
        <v>5125</v>
      </c>
      <c r="I2067" s="23" t="s">
        <v>24</v>
      </c>
      <c r="J2067" s="44">
        <v>100</v>
      </c>
      <c r="K2067" s="45">
        <v>0.25</v>
      </c>
      <c r="L2067" s="46">
        <f t="shared" si="307"/>
        <v>25</v>
      </c>
      <c r="M2067" s="47">
        <f t="shared" si="308"/>
        <v>75</v>
      </c>
      <c r="N2067" s="48">
        <v>0.16</v>
      </c>
      <c r="O2067" s="49">
        <f t="shared" si="309"/>
        <v>12</v>
      </c>
      <c r="P2067" s="50">
        <f t="shared" si="310"/>
        <v>87</v>
      </c>
      <c r="Q2067" s="23"/>
      <c r="R2067" s="60"/>
      <c r="S2067" s="61"/>
      <c r="T2067" s="62">
        <f t="shared" si="311"/>
        <v>0</v>
      </c>
      <c r="U2067" s="46">
        <f t="shared" si="312"/>
        <v>0</v>
      </c>
      <c r="V2067" s="63">
        <f t="shared" si="313"/>
        <v>0</v>
      </c>
      <c r="W2067" s="49">
        <f t="shared" si="314"/>
        <v>0</v>
      </c>
      <c r="X2067" s="50">
        <f t="shared" si="315"/>
        <v>0</v>
      </c>
      <c r="Y2067"/>
      <c r="Z2067"/>
      <c r="AA2067"/>
    </row>
    <row r="2068" spans="1:27" s="51" customFormat="1" ht="18.600000000000001" hidden="1" customHeight="1" x14ac:dyDescent="0.25">
      <c r="A2068" s="80" t="s">
        <v>2653</v>
      </c>
      <c r="B2068" s="20" t="s">
        <v>5054</v>
      </c>
      <c r="C2068" s="21"/>
      <c r="D2068" s="20" t="s">
        <v>5126</v>
      </c>
      <c r="E2068" s="22" t="s">
        <v>5127</v>
      </c>
      <c r="F2068" s="22" t="s">
        <v>1937</v>
      </c>
      <c r="G2068" s="22" t="s">
        <v>4274</v>
      </c>
      <c r="H2068" s="83" t="s">
        <v>5128</v>
      </c>
      <c r="I2068" s="23" t="s">
        <v>24</v>
      </c>
      <c r="J2068" s="24">
        <v>100</v>
      </c>
      <c r="K2068" s="25">
        <v>0.25</v>
      </c>
      <c r="L2068" s="26">
        <f t="shared" si="307"/>
        <v>25</v>
      </c>
      <c r="M2068" s="27">
        <f t="shared" si="308"/>
        <v>75</v>
      </c>
      <c r="N2068" s="28">
        <v>0.16</v>
      </c>
      <c r="O2068" s="29">
        <f t="shared" si="309"/>
        <v>12</v>
      </c>
      <c r="P2068" s="30">
        <f t="shared" si="310"/>
        <v>87</v>
      </c>
      <c r="Q2068" s="23"/>
      <c r="R2068" s="52"/>
      <c r="S2068" s="53"/>
      <c r="T2068" s="54">
        <f t="shared" si="311"/>
        <v>0</v>
      </c>
      <c r="U2068" s="26">
        <f t="shared" si="312"/>
        <v>0</v>
      </c>
      <c r="V2068" s="55">
        <f t="shared" si="313"/>
        <v>0</v>
      </c>
      <c r="W2068" s="29">
        <f t="shared" si="314"/>
        <v>0</v>
      </c>
      <c r="X2068" s="30">
        <f t="shared" si="315"/>
        <v>0</v>
      </c>
      <c r="Y2068"/>
      <c r="Z2068"/>
      <c r="AA2068"/>
    </row>
    <row r="2069" spans="1:27" s="51" customFormat="1" ht="18.600000000000001" hidden="1" customHeight="1" x14ac:dyDescent="0.25">
      <c r="A2069" s="81" t="s">
        <v>2653</v>
      </c>
      <c r="B2069" s="31" t="s">
        <v>5054</v>
      </c>
      <c r="C2069" s="32"/>
      <c r="D2069" s="31" t="s">
        <v>5129</v>
      </c>
      <c r="E2069" s="33" t="s">
        <v>5130</v>
      </c>
      <c r="F2069" s="33" t="s">
        <v>1937</v>
      </c>
      <c r="G2069" s="33" t="s">
        <v>4274</v>
      </c>
      <c r="H2069" s="84" t="s">
        <v>5131</v>
      </c>
      <c r="I2069" s="23" t="s">
        <v>24</v>
      </c>
      <c r="J2069" s="34">
        <v>100</v>
      </c>
      <c r="K2069" s="35">
        <v>0.25</v>
      </c>
      <c r="L2069" s="36">
        <f t="shared" si="307"/>
        <v>25</v>
      </c>
      <c r="M2069" s="37">
        <f t="shared" si="308"/>
        <v>75</v>
      </c>
      <c r="N2069" s="38">
        <v>0.16</v>
      </c>
      <c r="O2069" s="39">
        <f t="shared" si="309"/>
        <v>12</v>
      </c>
      <c r="P2069" s="40">
        <f t="shared" si="310"/>
        <v>87</v>
      </c>
      <c r="Q2069" s="23"/>
      <c r="R2069" s="56"/>
      <c r="S2069" s="57"/>
      <c r="T2069" s="58">
        <f t="shared" si="311"/>
        <v>0</v>
      </c>
      <c r="U2069" s="36">
        <f t="shared" si="312"/>
        <v>0</v>
      </c>
      <c r="V2069" s="59">
        <f t="shared" si="313"/>
        <v>0</v>
      </c>
      <c r="W2069" s="39">
        <f t="shared" si="314"/>
        <v>0</v>
      </c>
      <c r="X2069" s="40">
        <f t="shared" si="315"/>
        <v>0</v>
      </c>
      <c r="Y2069"/>
      <c r="Z2069"/>
      <c r="AA2069"/>
    </row>
    <row r="2070" spans="1:27" s="51" customFormat="1" ht="18.600000000000001" customHeight="1" x14ac:dyDescent="0.25">
      <c r="A2070" s="82" t="s">
        <v>2653</v>
      </c>
      <c r="B2070" s="41" t="s">
        <v>5054</v>
      </c>
      <c r="C2070" s="42"/>
      <c r="D2070" s="41" t="s">
        <v>5132</v>
      </c>
      <c r="E2070" s="43" t="s">
        <v>5133</v>
      </c>
      <c r="F2070" s="43" t="s">
        <v>1937</v>
      </c>
      <c r="G2070" s="43" t="s">
        <v>4274</v>
      </c>
      <c r="H2070" s="85" t="s">
        <v>1362</v>
      </c>
      <c r="I2070" s="23" t="s">
        <v>24</v>
      </c>
      <c r="J2070" s="44">
        <v>100</v>
      </c>
      <c r="K2070" s="45">
        <v>0.25</v>
      </c>
      <c r="L2070" s="46">
        <f t="shared" si="307"/>
        <v>25</v>
      </c>
      <c r="M2070" s="47">
        <f t="shared" si="308"/>
        <v>75</v>
      </c>
      <c r="N2070" s="48">
        <v>0.16</v>
      </c>
      <c r="O2070" s="49">
        <f t="shared" si="309"/>
        <v>12</v>
      </c>
      <c r="P2070" s="50">
        <f t="shared" si="310"/>
        <v>87</v>
      </c>
      <c r="Q2070" s="23"/>
      <c r="R2070" s="60"/>
      <c r="S2070" s="61">
        <v>1</v>
      </c>
      <c r="T2070" s="62">
        <f t="shared" si="311"/>
        <v>100</v>
      </c>
      <c r="U2070" s="46">
        <f t="shared" si="312"/>
        <v>25</v>
      </c>
      <c r="V2070" s="63">
        <f t="shared" si="313"/>
        <v>75</v>
      </c>
      <c r="W2070" s="49">
        <f t="shared" si="314"/>
        <v>12</v>
      </c>
      <c r="X2070" s="50">
        <f t="shared" si="315"/>
        <v>87</v>
      </c>
      <c r="Y2070"/>
      <c r="Z2070"/>
      <c r="AA2070"/>
    </row>
    <row r="2071" spans="1:27" s="51" customFormat="1" ht="18.600000000000001" hidden="1" customHeight="1" x14ac:dyDescent="0.25">
      <c r="A2071" s="80" t="s">
        <v>2653</v>
      </c>
      <c r="B2071" s="20" t="s">
        <v>5054</v>
      </c>
      <c r="C2071" s="21"/>
      <c r="D2071" s="20" t="s">
        <v>5134</v>
      </c>
      <c r="E2071" s="22" t="s">
        <v>5135</v>
      </c>
      <c r="F2071" s="22" t="s">
        <v>1937</v>
      </c>
      <c r="G2071" s="22" t="s">
        <v>4274</v>
      </c>
      <c r="H2071" s="83" t="s">
        <v>5136</v>
      </c>
      <c r="I2071" s="23" t="s">
        <v>24</v>
      </c>
      <c r="J2071" s="24">
        <v>100</v>
      </c>
      <c r="K2071" s="25">
        <v>0.25</v>
      </c>
      <c r="L2071" s="26">
        <f t="shared" ref="L2071:L2134" si="316">+J2071*K2071</f>
        <v>25</v>
      </c>
      <c r="M2071" s="27">
        <f t="shared" ref="M2071:M2134" si="317">+J2071-L2071</f>
        <v>75</v>
      </c>
      <c r="N2071" s="28">
        <v>0.16</v>
      </c>
      <c r="O2071" s="29">
        <f t="shared" ref="O2071:O2134" si="318">+M2071*N2071</f>
        <v>12</v>
      </c>
      <c r="P2071" s="30">
        <f t="shared" ref="P2071:P2134" si="319">+M2071+O2071</f>
        <v>87</v>
      </c>
      <c r="Q2071" s="23"/>
      <c r="R2071" s="52"/>
      <c r="S2071" s="53"/>
      <c r="T2071" s="54">
        <f t="shared" ref="T2071:T2134" si="320">+S2071*J2071</f>
        <v>0</v>
      </c>
      <c r="U2071" s="26">
        <f t="shared" ref="U2071:U2134" si="321">+T2071*K2071</f>
        <v>0</v>
      </c>
      <c r="V2071" s="55">
        <f t="shared" ref="V2071:V2134" si="322">+T2071-U2071</f>
        <v>0</v>
      </c>
      <c r="W2071" s="29">
        <f t="shared" ref="W2071:W2134" si="323">+V2071*N2071</f>
        <v>0</v>
      </c>
      <c r="X2071" s="30">
        <f t="shared" ref="X2071:X2134" si="324">+V2071+W2071</f>
        <v>0</v>
      </c>
      <c r="Y2071"/>
      <c r="Z2071"/>
      <c r="AA2071"/>
    </row>
    <row r="2072" spans="1:27" s="51" customFormat="1" ht="18.600000000000001" customHeight="1" x14ac:dyDescent="0.25">
      <c r="A2072" s="81" t="s">
        <v>2653</v>
      </c>
      <c r="B2072" s="31" t="s">
        <v>5054</v>
      </c>
      <c r="C2072" s="32"/>
      <c r="D2072" s="31" t="s">
        <v>5137</v>
      </c>
      <c r="E2072" s="33" t="s">
        <v>5138</v>
      </c>
      <c r="F2072" s="33" t="s">
        <v>1937</v>
      </c>
      <c r="G2072" s="33" t="s">
        <v>4274</v>
      </c>
      <c r="H2072" s="84" t="s">
        <v>1052</v>
      </c>
      <c r="I2072" s="23" t="s">
        <v>24</v>
      </c>
      <c r="J2072" s="34">
        <v>100</v>
      </c>
      <c r="K2072" s="35">
        <v>0.25</v>
      </c>
      <c r="L2072" s="36">
        <f t="shared" si="316"/>
        <v>25</v>
      </c>
      <c r="M2072" s="37">
        <f t="shared" si="317"/>
        <v>75</v>
      </c>
      <c r="N2072" s="38">
        <v>0.16</v>
      </c>
      <c r="O2072" s="39">
        <f t="shared" si="318"/>
        <v>12</v>
      </c>
      <c r="P2072" s="40">
        <f t="shared" si="319"/>
        <v>87</v>
      </c>
      <c r="Q2072" s="23"/>
      <c r="R2072" s="56"/>
      <c r="S2072" s="57">
        <v>1</v>
      </c>
      <c r="T2072" s="58">
        <f t="shared" si="320"/>
        <v>100</v>
      </c>
      <c r="U2072" s="36">
        <f t="shared" si="321"/>
        <v>25</v>
      </c>
      <c r="V2072" s="59">
        <f t="shared" si="322"/>
        <v>75</v>
      </c>
      <c r="W2072" s="39">
        <f t="shared" si="323"/>
        <v>12</v>
      </c>
      <c r="X2072" s="40">
        <f t="shared" si="324"/>
        <v>87</v>
      </c>
      <c r="Y2072"/>
      <c r="Z2072"/>
      <c r="AA2072"/>
    </row>
    <row r="2073" spans="1:27" s="51" customFormat="1" ht="18.600000000000001" hidden="1" customHeight="1" x14ac:dyDescent="0.25">
      <c r="A2073" s="82" t="s">
        <v>2653</v>
      </c>
      <c r="B2073" s="41" t="s">
        <v>5054</v>
      </c>
      <c r="C2073" s="42"/>
      <c r="D2073" s="41" t="s">
        <v>5139</v>
      </c>
      <c r="E2073" s="43" t="s">
        <v>5140</v>
      </c>
      <c r="F2073" s="43" t="s">
        <v>1937</v>
      </c>
      <c r="G2073" s="43" t="s">
        <v>4274</v>
      </c>
      <c r="H2073" s="85" t="s">
        <v>5141</v>
      </c>
      <c r="I2073" s="23" t="s">
        <v>24</v>
      </c>
      <c r="J2073" s="44">
        <v>100</v>
      </c>
      <c r="K2073" s="45">
        <v>0.25</v>
      </c>
      <c r="L2073" s="46">
        <f t="shared" si="316"/>
        <v>25</v>
      </c>
      <c r="M2073" s="47">
        <f t="shared" si="317"/>
        <v>75</v>
      </c>
      <c r="N2073" s="48">
        <v>0.16</v>
      </c>
      <c r="O2073" s="49">
        <f t="shared" si="318"/>
        <v>12</v>
      </c>
      <c r="P2073" s="50">
        <f t="shared" si="319"/>
        <v>87</v>
      </c>
      <c r="Q2073" s="23"/>
      <c r="R2073" s="60"/>
      <c r="S2073" s="61"/>
      <c r="T2073" s="62">
        <f t="shared" si="320"/>
        <v>0</v>
      </c>
      <c r="U2073" s="46">
        <f t="shared" si="321"/>
        <v>0</v>
      </c>
      <c r="V2073" s="63">
        <f t="shared" si="322"/>
        <v>0</v>
      </c>
      <c r="W2073" s="49">
        <f t="shared" si="323"/>
        <v>0</v>
      </c>
      <c r="X2073" s="50">
        <f t="shared" si="324"/>
        <v>0</v>
      </c>
      <c r="Y2073"/>
      <c r="Z2073"/>
      <c r="AA2073"/>
    </row>
    <row r="2074" spans="1:27" s="51" customFormat="1" ht="18.600000000000001" customHeight="1" x14ac:dyDescent="0.25">
      <c r="A2074" s="80" t="s">
        <v>2653</v>
      </c>
      <c r="B2074" s="20" t="s">
        <v>5054</v>
      </c>
      <c r="C2074" s="21"/>
      <c r="D2074" s="20" t="s">
        <v>5142</v>
      </c>
      <c r="E2074" s="22" t="s">
        <v>5143</v>
      </c>
      <c r="F2074" s="22" t="s">
        <v>1937</v>
      </c>
      <c r="G2074" s="22" t="s">
        <v>4274</v>
      </c>
      <c r="H2074" s="83" t="s">
        <v>5144</v>
      </c>
      <c r="I2074" s="23" t="s">
        <v>24</v>
      </c>
      <c r="J2074" s="24">
        <v>100</v>
      </c>
      <c r="K2074" s="25">
        <v>0.25</v>
      </c>
      <c r="L2074" s="26">
        <f t="shared" si="316"/>
        <v>25</v>
      </c>
      <c r="M2074" s="27">
        <f t="shared" si="317"/>
        <v>75</v>
      </c>
      <c r="N2074" s="28">
        <v>0.16</v>
      </c>
      <c r="O2074" s="29">
        <f t="shared" si="318"/>
        <v>12</v>
      </c>
      <c r="P2074" s="30">
        <f t="shared" si="319"/>
        <v>87</v>
      </c>
      <c r="Q2074" s="23"/>
      <c r="R2074" s="52"/>
      <c r="S2074" s="53">
        <v>1</v>
      </c>
      <c r="T2074" s="54">
        <f t="shared" si="320"/>
        <v>100</v>
      </c>
      <c r="U2074" s="26">
        <f t="shared" si="321"/>
        <v>25</v>
      </c>
      <c r="V2074" s="55">
        <f t="shared" si="322"/>
        <v>75</v>
      </c>
      <c r="W2074" s="29">
        <f t="shared" si="323"/>
        <v>12</v>
      </c>
      <c r="X2074" s="30">
        <f t="shared" si="324"/>
        <v>87</v>
      </c>
      <c r="Y2074"/>
      <c r="Z2074"/>
      <c r="AA2074"/>
    </row>
    <row r="2075" spans="1:27" s="51" customFormat="1" ht="18.600000000000001" hidden="1" customHeight="1" x14ac:dyDescent="0.25">
      <c r="A2075" s="81" t="s">
        <v>2653</v>
      </c>
      <c r="B2075" s="31" t="s">
        <v>5054</v>
      </c>
      <c r="C2075" s="32"/>
      <c r="D2075" s="31" t="s">
        <v>5145</v>
      </c>
      <c r="E2075" s="33" t="s">
        <v>5146</v>
      </c>
      <c r="F2075" s="33" t="s">
        <v>1937</v>
      </c>
      <c r="G2075" s="33" t="s">
        <v>4274</v>
      </c>
      <c r="H2075" s="84" t="s">
        <v>5147</v>
      </c>
      <c r="I2075" s="23" t="s">
        <v>24</v>
      </c>
      <c r="J2075" s="34">
        <v>100</v>
      </c>
      <c r="K2075" s="35">
        <v>0.25</v>
      </c>
      <c r="L2075" s="36">
        <f t="shared" si="316"/>
        <v>25</v>
      </c>
      <c r="M2075" s="37">
        <f t="shared" si="317"/>
        <v>75</v>
      </c>
      <c r="N2075" s="38">
        <v>0.16</v>
      </c>
      <c r="O2075" s="39">
        <f t="shared" si="318"/>
        <v>12</v>
      </c>
      <c r="P2075" s="40">
        <f t="shared" si="319"/>
        <v>87</v>
      </c>
      <c r="Q2075" s="23"/>
      <c r="R2075" s="56"/>
      <c r="S2075" s="57"/>
      <c r="T2075" s="58">
        <f t="shared" si="320"/>
        <v>0</v>
      </c>
      <c r="U2075" s="36">
        <f t="shared" si="321"/>
        <v>0</v>
      </c>
      <c r="V2075" s="59">
        <f t="shared" si="322"/>
        <v>0</v>
      </c>
      <c r="W2075" s="39">
        <f t="shared" si="323"/>
        <v>0</v>
      </c>
      <c r="X2075" s="40">
        <f t="shared" si="324"/>
        <v>0</v>
      </c>
      <c r="Y2075"/>
      <c r="Z2075"/>
      <c r="AA2075"/>
    </row>
    <row r="2076" spans="1:27" s="51" customFormat="1" ht="18.600000000000001" hidden="1" customHeight="1" x14ac:dyDescent="0.25">
      <c r="A2076" s="82" t="s">
        <v>2653</v>
      </c>
      <c r="B2076" s="41" t="s">
        <v>5054</v>
      </c>
      <c r="C2076" s="42"/>
      <c r="D2076" s="41" t="s">
        <v>5148</v>
      </c>
      <c r="E2076" s="43" t="s">
        <v>5149</v>
      </c>
      <c r="F2076" s="43" t="s">
        <v>1937</v>
      </c>
      <c r="G2076" s="43" t="s">
        <v>4274</v>
      </c>
      <c r="H2076" s="85" t="s">
        <v>5150</v>
      </c>
      <c r="I2076" s="23" t="s">
        <v>24</v>
      </c>
      <c r="J2076" s="44">
        <v>100</v>
      </c>
      <c r="K2076" s="45">
        <v>0.25</v>
      </c>
      <c r="L2076" s="46">
        <f t="shared" si="316"/>
        <v>25</v>
      </c>
      <c r="M2076" s="47">
        <f t="shared" si="317"/>
        <v>75</v>
      </c>
      <c r="N2076" s="48">
        <v>0.16</v>
      </c>
      <c r="O2076" s="49">
        <f t="shared" si="318"/>
        <v>12</v>
      </c>
      <c r="P2076" s="50">
        <f t="shared" si="319"/>
        <v>87</v>
      </c>
      <c r="Q2076" s="23"/>
      <c r="R2076" s="60"/>
      <c r="S2076" s="61"/>
      <c r="T2076" s="62">
        <f t="shared" si="320"/>
        <v>0</v>
      </c>
      <c r="U2076" s="46">
        <f t="shared" si="321"/>
        <v>0</v>
      </c>
      <c r="V2076" s="63">
        <f t="shared" si="322"/>
        <v>0</v>
      </c>
      <c r="W2076" s="49">
        <f t="shared" si="323"/>
        <v>0</v>
      </c>
      <c r="X2076" s="50">
        <f t="shared" si="324"/>
        <v>0</v>
      </c>
      <c r="Y2076"/>
      <c r="Z2076"/>
      <c r="AA2076"/>
    </row>
    <row r="2077" spans="1:27" s="51" customFormat="1" ht="18.600000000000001" hidden="1" customHeight="1" x14ac:dyDescent="0.25">
      <c r="A2077" s="80" t="s">
        <v>2653</v>
      </c>
      <c r="B2077" s="20" t="s">
        <v>5054</v>
      </c>
      <c r="C2077" s="21"/>
      <c r="D2077" s="20" t="s">
        <v>5151</v>
      </c>
      <c r="E2077" s="22" t="s">
        <v>5152</v>
      </c>
      <c r="F2077" s="22" t="s">
        <v>1937</v>
      </c>
      <c r="G2077" s="22" t="s">
        <v>4274</v>
      </c>
      <c r="H2077" s="83" t="s">
        <v>5153</v>
      </c>
      <c r="I2077" s="23" t="s">
        <v>24</v>
      </c>
      <c r="J2077" s="24">
        <v>100</v>
      </c>
      <c r="K2077" s="25">
        <v>0.25</v>
      </c>
      <c r="L2077" s="26">
        <f t="shared" si="316"/>
        <v>25</v>
      </c>
      <c r="M2077" s="27">
        <f t="shared" si="317"/>
        <v>75</v>
      </c>
      <c r="N2077" s="28">
        <v>0.16</v>
      </c>
      <c r="O2077" s="29">
        <f t="shared" si="318"/>
        <v>12</v>
      </c>
      <c r="P2077" s="30">
        <f t="shared" si="319"/>
        <v>87</v>
      </c>
      <c r="Q2077" s="23"/>
      <c r="R2077" s="52"/>
      <c r="S2077" s="53"/>
      <c r="T2077" s="54">
        <f t="shared" si="320"/>
        <v>0</v>
      </c>
      <c r="U2077" s="26">
        <f t="shared" si="321"/>
        <v>0</v>
      </c>
      <c r="V2077" s="55">
        <f t="shared" si="322"/>
        <v>0</v>
      </c>
      <c r="W2077" s="29">
        <f t="shared" si="323"/>
        <v>0</v>
      </c>
      <c r="X2077" s="30">
        <f t="shared" si="324"/>
        <v>0</v>
      </c>
      <c r="Y2077"/>
      <c r="Z2077"/>
      <c r="AA2077"/>
    </row>
    <row r="2078" spans="1:27" s="51" customFormat="1" ht="18.600000000000001" hidden="1" customHeight="1" x14ac:dyDescent="0.25">
      <c r="A2078" s="81" t="s">
        <v>2653</v>
      </c>
      <c r="B2078" s="31" t="s">
        <v>5054</v>
      </c>
      <c r="C2078" s="32"/>
      <c r="D2078" s="31" t="s">
        <v>5154</v>
      </c>
      <c r="E2078" s="33" t="s">
        <v>5155</v>
      </c>
      <c r="F2078" s="33" t="s">
        <v>1937</v>
      </c>
      <c r="G2078" s="33" t="s">
        <v>4274</v>
      </c>
      <c r="H2078" s="84" t="s">
        <v>5156</v>
      </c>
      <c r="I2078" s="23" t="s">
        <v>24</v>
      </c>
      <c r="J2078" s="34">
        <v>100</v>
      </c>
      <c r="K2078" s="35">
        <v>0.25</v>
      </c>
      <c r="L2078" s="36">
        <f t="shared" si="316"/>
        <v>25</v>
      </c>
      <c r="M2078" s="37">
        <f t="shared" si="317"/>
        <v>75</v>
      </c>
      <c r="N2078" s="38">
        <v>0.16</v>
      </c>
      <c r="O2078" s="39">
        <f t="shared" si="318"/>
        <v>12</v>
      </c>
      <c r="P2078" s="40">
        <f t="shared" si="319"/>
        <v>87</v>
      </c>
      <c r="Q2078" s="23"/>
      <c r="R2078" s="56"/>
      <c r="S2078" s="57"/>
      <c r="T2078" s="58">
        <f t="shared" si="320"/>
        <v>0</v>
      </c>
      <c r="U2078" s="36">
        <f t="shared" si="321"/>
        <v>0</v>
      </c>
      <c r="V2078" s="59">
        <f t="shared" si="322"/>
        <v>0</v>
      </c>
      <c r="W2078" s="39">
        <f t="shared" si="323"/>
        <v>0</v>
      </c>
      <c r="X2078" s="40">
        <f t="shared" si="324"/>
        <v>0</v>
      </c>
      <c r="Y2078"/>
      <c r="Z2078"/>
      <c r="AA2078"/>
    </row>
    <row r="2079" spans="1:27" s="51" customFormat="1" ht="18.600000000000001" hidden="1" customHeight="1" x14ac:dyDescent="0.25">
      <c r="A2079" s="82" t="s">
        <v>2653</v>
      </c>
      <c r="B2079" s="41" t="s">
        <v>5054</v>
      </c>
      <c r="C2079" s="42"/>
      <c r="D2079" s="41" t="s">
        <v>5157</v>
      </c>
      <c r="E2079" s="43" t="s">
        <v>5158</v>
      </c>
      <c r="F2079" s="43" t="s">
        <v>1937</v>
      </c>
      <c r="G2079" s="43" t="s">
        <v>4274</v>
      </c>
      <c r="H2079" s="85" t="s">
        <v>5159</v>
      </c>
      <c r="I2079" s="23" t="s">
        <v>24</v>
      </c>
      <c r="J2079" s="44">
        <v>100</v>
      </c>
      <c r="K2079" s="45">
        <v>0.25</v>
      </c>
      <c r="L2079" s="46">
        <f t="shared" si="316"/>
        <v>25</v>
      </c>
      <c r="M2079" s="47">
        <f t="shared" si="317"/>
        <v>75</v>
      </c>
      <c r="N2079" s="48">
        <v>0.16</v>
      </c>
      <c r="O2079" s="49">
        <f t="shared" si="318"/>
        <v>12</v>
      </c>
      <c r="P2079" s="50">
        <f t="shared" si="319"/>
        <v>87</v>
      </c>
      <c r="Q2079" s="23"/>
      <c r="R2079" s="60"/>
      <c r="S2079" s="61"/>
      <c r="T2079" s="62">
        <f t="shared" si="320"/>
        <v>0</v>
      </c>
      <c r="U2079" s="46">
        <f t="shared" si="321"/>
        <v>0</v>
      </c>
      <c r="V2079" s="63">
        <f t="shared" si="322"/>
        <v>0</v>
      </c>
      <c r="W2079" s="49">
        <f t="shared" si="323"/>
        <v>0</v>
      </c>
      <c r="X2079" s="50">
        <f t="shared" si="324"/>
        <v>0</v>
      </c>
      <c r="Y2079"/>
      <c r="Z2079"/>
      <c r="AA2079"/>
    </row>
    <row r="2080" spans="1:27" s="51" customFormat="1" ht="18.600000000000001" hidden="1" customHeight="1" x14ac:dyDescent="0.25">
      <c r="A2080" s="80" t="s">
        <v>2653</v>
      </c>
      <c r="B2080" s="20" t="s">
        <v>5054</v>
      </c>
      <c r="C2080" s="21"/>
      <c r="D2080" s="20" t="s">
        <v>5160</v>
      </c>
      <c r="E2080" s="22" t="s">
        <v>5161</v>
      </c>
      <c r="F2080" s="22" t="s">
        <v>1937</v>
      </c>
      <c r="G2080" s="22" t="s">
        <v>4274</v>
      </c>
      <c r="H2080" s="83" t="s">
        <v>5162</v>
      </c>
      <c r="I2080" s="23" t="s">
        <v>24</v>
      </c>
      <c r="J2080" s="24">
        <v>100</v>
      </c>
      <c r="K2080" s="25">
        <v>0.25</v>
      </c>
      <c r="L2080" s="26">
        <f t="shared" si="316"/>
        <v>25</v>
      </c>
      <c r="M2080" s="27">
        <f t="shared" si="317"/>
        <v>75</v>
      </c>
      <c r="N2080" s="28">
        <v>0.16</v>
      </c>
      <c r="O2080" s="29">
        <f t="shared" si="318"/>
        <v>12</v>
      </c>
      <c r="P2080" s="30">
        <f t="shared" si="319"/>
        <v>87</v>
      </c>
      <c r="Q2080" s="23"/>
      <c r="R2080" s="52"/>
      <c r="S2080" s="53"/>
      <c r="T2080" s="54">
        <f t="shared" si="320"/>
        <v>0</v>
      </c>
      <c r="U2080" s="26">
        <f t="shared" si="321"/>
        <v>0</v>
      </c>
      <c r="V2080" s="55">
        <f t="shared" si="322"/>
        <v>0</v>
      </c>
      <c r="W2080" s="29">
        <f t="shared" si="323"/>
        <v>0</v>
      </c>
      <c r="X2080" s="30">
        <f t="shared" si="324"/>
        <v>0</v>
      </c>
      <c r="Y2080"/>
      <c r="Z2080"/>
      <c r="AA2080"/>
    </row>
    <row r="2081" spans="1:27" s="51" customFormat="1" ht="18.600000000000001" hidden="1" customHeight="1" x14ac:dyDescent="0.25">
      <c r="A2081" s="81" t="s">
        <v>2653</v>
      </c>
      <c r="B2081" s="31" t="s">
        <v>5054</v>
      </c>
      <c r="C2081" s="32"/>
      <c r="D2081" s="31" t="s">
        <v>5163</v>
      </c>
      <c r="E2081" s="33" t="s">
        <v>5164</v>
      </c>
      <c r="F2081" s="33" t="s">
        <v>1937</v>
      </c>
      <c r="G2081" s="33" t="s">
        <v>4274</v>
      </c>
      <c r="H2081" s="84" t="s">
        <v>5165</v>
      </c>
      <c r="I2081" s="23" t="s">
        <v>24</v>
      </c>
      <c r="J2081" s="34">
        <v>100</v>
      </c>
      <c r="K2081" s="35">
        <v>0.25</v>
      </c>
      <c r="L2081" s="36">
        <f t="shared" si="316"/>
        <v>25</v>
      </c>
      <c r="M2081" s="37">
        <f t="shared" si="317"/>
        <v>75</v>
      </c>
      <c r="N2081" s="38">
        <v>0.16</v>
      </c>
      <c r="O2081" s="39">
        <f t="shared" si="318"/>
        <v>12</v>
      </c>
      <c r="P2081" s="40">
        <f t="shared" si="319"/>
        <v>87</v>
      </c>
      <c r="Q2081" s="23"/>
      <c r="R2081" s="56"/>
      <c r="S2081" s="57"/>
      <c r="T2081" s="58">
        <f t="shared" si="320"/>
        <v>0</v>
      </c>
      <c r="U2081" s="36">
        <f t="shared" si="321"/>
        <v>0</v>
      </c>
      <c r="V2081" s="59">
        <f t="shared" si="322"/>
        <v>0</v>
      </c>
      <c r="W2081" s="39">
        <f t="shared" si="323"/>
        <v>0</v>
      </c>
      <c r="X2081" s="40">
        <f t="shared" si="324"/>
        <v>0</v>
      </c>
      <c r="Y2081"/>
      <c r="Z2081"/>
      <c r="AA2081"/>
    </row>
    <row r="2082" spans="1:27" s="51" customFormat="1" ht="18.600000000000001" hidden="1" customHeight="1" x14ac:dyDescent="0.25">
      <c r="A2082" s="82" t="s">
        <v>2653</v>
      </c>
      <c r="B2082" s="41" t="s">
        <v>5054</v>
      </c>
      <c r="C2082" s="42"/>
      <c r="D2082" s="41" t="s">
        <v>5166</v>
      </c>
      <c r="E2082" s="43" t="s">
        <v>5167</v>
      </c>
      <c r="F2082" s="43" t="s">
        <v>1937</v>
      </c>
      <c r="G2082" s="43" t="s">
        <v>4274</v>
      </c>
      <c r="H2082" s="85" t="s">
        <v>5168</v>
      </c>
      <c r="I2082" s="23" t="s">
        <v>24</v>
      </c>
      <c r="J2082" s="44">
        <v>100</v>
      </c>
      <c r="K2082" s="45">
        <v>0.25</v>
      </c>
      <c r="L2082" s="46">
        <f t="shared" si="316"/>
        <v>25</v>
      </c>
      <c r="M2082" s="47">
        <f t="shared" si="317"/>
        <v>75</v>
      </c>
      <c r="N2082" s="48">
        <v>0.16</v>
      </c>
      <c r="O2082" s="49">
        <f t="shared" si="318"/>
        <v>12</v>
      </c>
      <c r="P2082" s="50">
        <f t="shared" si="319"/>
        <v>87</v>
      </c>
      <c r="Q2082" s="23"/>
      <c r="R2082" s="60"/>
      <c r="S2082" s="61"/>
      <c r="T2082" s="62">
        <f t="shared" si="320"/>
        <v>0</v>
      </c>
      <c r="U2082" s="46">
        <f t="shared" si="321"/>
        <v>0</v>
      </c>
      <c r="V2082" s="63">
        <f t="shared" si="322"/>
        <v>0</v>
      </c>
      <c r="W2082" s="49">
        <f t="shared" si="323"/>
        <v>0</v>
      </c>
      <c r="X2082" s="50">
        <f t="shared" si="324"/>
        <v>0</v>
      </c>
      <c r="Y2082"/>
      <c r="Z2082"/>
      <c r="AA2082"/>
    </row>
    <row r="2083" spans="1:27" s="51" customFormat="1" ht="18.600000000000001" hidden="1" customHeight="1" x14ac:dyDescent="0.25">
      <c r="A2083" s="80" t="s">
        <v>2653</v>
      </c>
      <c r="B2083" s="20" t="s">
        <v>5054</v>
      </c>
      <c r="C2083" s="21"/>
      <c r="D2083" s="20" t="s">
        <v>5169</v>
      </c>
      <c r="E2083" s="22" t="s">
        <v>5170</v>
      </c>
      <c r="F2083" s="22" t="s">
        <v>1937</v>
      </c>
      <c r="G2083" s="22" t="s">
        <v>4274</v>
      </c>
      <c r="H2083" s="83" t="s">
        <v>5171</v>
      </c>
      <c r="I2083" s="23" t="s">
        <v>24</v>
      </c>
      <c r="J2083" s="24">
        <v>100</v>
      </c>
      <c r="K2083" s="25">
        <v>0.25</v>
      </c>
      <c r="L2083" s="26">
        <f t="shared" si="316"/>
        <v>25</v>
      </c>
      <c r="M2083" s="27">
        <f t="shared" si="317"/>
        <v>75</v>
      </c>
      <c r="N2083" s="28">
        <v>0.16</v>
      </c>
      <c r="O2083" s="29">
        <f t="shared" si="318"/>
        <v>12</v>
      </c>
      <c r="P2083" s="30">
        <f t="shared" si="319"/>
        <v>87</v>
      </c>
      <c r="Q2083" s="23"/>
      <c r="R2083" s="52"/>
      <c r="S2083" s="53"/>
      <c r="T2083" s="54">
        <f t="shared" si="320"/>
        <v>0</v>
      </c>
      <c r="U2083" s="26">
        <f t="shared" si="321"/>
        <v>0</v>
      </c>
      <c r="V2083" s="55">
        <f t="shared" si="322"/>
        <v>0</v>
      </c>
      <c r="W2083" s="29">
        <f t="shared" si="323"/>
        <v>0</v>
      </c>
      <c r="X2083" s="30">
        <f t="shared" si="324"/>
        <v>0</v>
      </c>
      <c r="Y2083"/>
      <c r="Z2083"/>
      <c r="AA2083"/>
    </row>
    <row r="2084" spans="1:27" s="51" customFormat="1" ht="18.600000000000001" hidden="1" customHeight="1" x14ac:dyDescent="0.25">
      <c r="A2084" s="81" t="s">
        <v>2653</v>
      </c>
      <c r="B2084" s="31" t="s">
        <v>5054</v>
      </c>
      <c r="C2084" s="32"/>
      <c r="D2084" s="31" t="s">
        <v>5172</v>
      </c>
      <c r="E2084" s="33" t="s">
        <v>5173</v>
      </c>
      <c r="F2084" s="33" t="s">
        <v>1937</v>
      </c>
      <c r="G2084" s="33" t="s">
        <v>4274</v>
      </c>
      <c r="H2084" s="84" t="s">
        <v>5174</v>
      </c>
      <c r="I2084" s="23" t="s">
        <v>24</v>
      </c>
      <c r="J2084" s="34">
        <v>100</v>
      </c>
      <c r="K2084" s="35">
        <v>0.25</v>
      </c>
      <c r="L2084" s="36">
        <f t="shared" si="316"/>
        <v>25</v>
      </c>
      <c r="M2084" s="37">
        <f t="shared" si="317"/>
        <v>75</v>
      </c>
      <c r="N2084" s="38">
        <v>0.16</v>
      </c>
      <c r="O2084" s="39">
        <f t="shared" si="318"/>
        <v>12</v>
      </c>
      <c r="P2084" s="40">
        <f t="shared" si="319"/>
        <v>87</v>
      </c>
      <c r="Q2084" s="23"/>
      <c r="R2084" s="56"/>
      <c r="S2084" s="57"/>
      <c r="T2084" s="58">
        <f t="shared" si="320"/>
        <v>0</v>
      </c>
      <c r="U2084" s="36">
        <f t="shared" si="321"/>
        <v>0</v>
      </c>
      <c r="V2084" s="59">
        <f t="shared" si="322"/>
        <v>0</v>
      </c>
      <c r="W2084" s="39">
        <f t="shared" si="323"/>
        <v>0</v>
      </c>
      <c r="X2084" s="40">
        <f t="shared" si="324"/>
        <v>0</v>
      </c>
      <c r="Y2084"/>
      <c r="Z2084"/>
      <c r="AA2084"/>
    </row>
    <row r="2085" spans="1:27" s="51" customFormat="1" ht="18.600000000000001" hidden="1" customHeight="1" x14ac:dyDescent="0.25">
      <c r="A2085" s="82" t="s">
        <v>2653</v>
      </c>
      <c r="B2085" s="41" t="s">
        <v>5054</v>
      </c>
      <c r="C2085" s="42"/>
      <c r="D2085" s="41" t="s">
        <v>5175</v>
      </c>
      <c r="E2085" s="43" t="s">
        <v>5176</v>
      </c>
      <c r="F2085" s="43" t="s">
        <v>1937</v>
      </c>
      <c r="G2085" s="43" t="s">
        <v>4274</v>
      </c>
      <c r="H2085" s="85" t="s">
        <v>5177</v>
      </c>
      <c r="I2085" s="23" t="s">
        <v>24</v>
      </c>
      <c r="J2085" s="44">
        <v>100</v>
      </c>
      <c r="K2085" s="45">
        <v>0.25</v>
      </c>
      <c r="L2085" s="46">
        <f t="shared" si="316"/>
        <v>25</v>
      </c>
      <c r="M2085" s="47">
        <f t="shared" si="317"/>
        <v>75</v>
      </c>
      <c r="N2085" s="48">
        <v>0.16</v>
      </c>
      <c r="O2085" s="49">
        <f t="shared" si="318"/>
        <v>12</v>
      </c>
      <c r="P2085" s="50">
        <f t="shared" si="319"/>
        <v>87</v>
      </c>
      <c r="Q2085" s="23"/>
      <c r="R2085" s="60"/>
      <c r="S2085" s="61"/>
      <c r="T2085" s="62">
        <f t="shared" si="320"/>
        <v>0</v>
      </c>
      <c r="U2085" s="46">
        <f t="shared" si="321"/>
        <v>0</v>
      </c>
      <c r="V2085" s="63">
        <f t="shared" si="322"/>
        <v>0</v>
      </c>
      <c r="W2085" s="49">
        <f t="shared" si="323"/>
        <v>0</v>
      </c>
      <c r="X2085" s="50">
        <f t="shared" si="324"/>
        <v>0</v>
      </c>
      <c r="Y2085"/>
      <c r="Z2085"/>
      <c r="AA2085"/>
    </row>
    <row r="2086" spans="1:27" s="51" customFormat="1" ht="18.600000000000001" customHeight="1" x14ac:dyDescent="0.25">
      <c r="A2086" s="80" t="s">
        <v>2653</v>
      </c>
      <c r="B2086" s="20" t="s">
        <v>5054</v>
      </c>
      <c r="C2086" s="21"/>
      <c r="D2086" s="20" t="s">
        <v>5178</v>
      </c>
      <c r="E2086" s="22" t="s">
        <v>5179</v>
      </c>
      <c r="F2086" s="22" t="s">
        <v>1937</v>
      </c>
      <c r="G2086" s="22" t="s">
        <v>4274</v>
      </c>
      <c r="H2086" s="83" t="s">
        <v>5180</v>
      </c>
      <c r="I2086" s="23" t="s">
        <v>24</v>
      </c>
      <c r="J2086" s="24">
        <v>100</v>
      </c>
      <c r="K2086" s="25">
        <v>0.25</v>
      </c>
      <c r="L2086" s="26">
        <f t="shared" si="316"/>
        <v>25</v>
      </c>
      <c r="M2086" s="27">
        <f t="shared" si="317"/>
        <v>75</v>
      </c>
      <c r="N2086" s="28">
        <v>0.16</v>
      </c>
      <c r="O2086" s="29">
        <f t="shared" si="318"/>
        <v>12</v>
      </c>
      <c r="P2086" s="30">
        <f t="shared" si="319"/>
        <v>87</v>
      </c>
      <c r="Q2086" s="23"/>
      <c r="R2086" s="52"/>
      <c r="S2086" s="53">
        <v>1</v>
      </c>
      <c r="T2086" s="54">
        <f t="shared" si="320"/>
        <v>100</v>
      </c>
      <c r="U2086" s="26">
        <f t="shared" si="321"/>
        <v>25</v>
      </c>
      <c r="V2086" s="55">
        <f t="shared" si="322"/>
        <v>75</v>
      </c>
      <c r="W2086" s="29">
        <f t="shared" si="323"/>
        <v>12</v>
      </c>
      <c r="X2086" s="30">
        <f t="shared" si="324"/>
        <v>87</v>
      </c>
      <c r="Y2086"/>
      <c r="Z2086"/>
      <c r="AA2086"/>
    </row>
    <row r="2087" spans="1:27" s="51" customFormat="1" ht="18.600000000000001" hidden="1" customHeight="1" x14ac:dyDescent="0.25">
      <c r="A2087" s="81" t="s">
        <v>2653</v>
      </c>
      <c r="B2087" s="31" t="s">
        <v>5054</v>
      </c>
      <c r="C2087" s="32"/>
      <c r="D2087" s="31" t="s">
        <v>5181</v>
      </c>
      <c r="E2087" s="33" t="s">
        <v>5182</v>
      </c>
      <c r="F2087" s="33" t="s">
        <v>1937</v>
      </c>
      <c r="G2087" s="33" t="s">
        <v>4274</v>
      </c>
      <c r="H2087" s="84" t="s">
        <v>5183</v>
      </c>
      <c r="I2087" s="23" t="s">
        <v>24</v>
      </c>
      <c r="J2087" s="34">
        <v>100</v>
      </c>
      <c r="K2087" s="35">
        <v>0.25</v>
      </c>
      <c r="L2087" s="36">
        <f t="shared" si="316"/>
        <v>25</v>
      </c>
      <c r="M2087" s="37">
        <f t="shared" si="317"/>
        <v>75</v>
      </c>
      <c r="N2087" s="38">
        <v>0.16</v>
      </c>
      <c r="O2087" s="39">
        <f t="shared" si="318"/>
        <v>12</v>
      </c>
      <c r="P2087" s="40">
        <f t="shared" si="319"/>
        <v>87</v>
      </c>
      <c r="Q2087" s="23"/>
      <c r="R2087" s="56"/>
      <c r="S2087" s="57"/>
      <c r="T2087" s="58">
        <f t="shared" si="320"/>
        <v>0</v>
      </c>
      <c r="U2087" s="36">
        <f t="shared" si="321"/>
        <v>0</v>
      </c>
      <c r="V2087" s="59">
        <f t="shared" si="322"/>
        <v>0</v>
      </c>
      <c r="W2087" s="39">
        <f t="shared" si="323"/>
        <v>0</v>
      </c>
      <c r="X2087" s="40">
        <f t="shared" si="324"/>
        <v>0</v>
      </c>
      <c r="Y2087"/>
      <c r="Z2087"/>
      <c r="AA2087"/>
    </row>
    <row r="2088" spans="1:27" s="51" customFormat="1" ht="18.600000000000001" hidden="1" customHeight="1" x14ac:dyDescent="0.25">
      <c r="A2088" s="82" t="s">
        <v>2653</v>
      </c>
      <c r="B2088" s="41" t="s">
        <v>5054</v>
      </c>
      <c r="C2088" s="42"/>
      <c r="D2088" s="41" t="s">
        <v>5184</v>
      </c>
      <c r="E2088" s="43" t="s">
        <v>5185</v>
      </c>
      <c r="F2088" s="43" t="s">
        <v>1937</v>
      </c>
      <c r="G2088" s="43" t="s">
        <v>4274</v>
      </c>
      <c r="H2088" s="85" t="s">
        <v>5186</v>
      </c>
      <c r="I2088" s="23" t="s">
        <v>24</v>
      </c>
      <c r="J2088" s="44">
        <v>100</v>
      </c>
      <c r="K2088" s="45">
        <v>0.25</v>
      </c>
      <c r="L2088" s="46">
        <f t="shared" si="316"/>
        <v>25</v>
      </c>
      <c r="M2088" s="47">
        <f t="shared" si="317"/>
        <v>75</v>
      </c>
      <c r="N2088" s="48">
        <v>0.16</v>
      </c>
      <c r="O2088" s="49">
        <f t="shared" si="318"/>
        <v>12</v>
      </c>
      <c r="P2088" s="50">
        <f t="shared" si="319"/>
        <v>87</v>
      </c>
      <c r="Q2088" s="23"/>
      <c r="R2088" s="60"/>
      <c r="S2088" s="61"/>
      <c r="T2088" s="62">
        <f t="shared" si="320"/>
        <v>0</v>
      </c>
      <c r="U2088" s="46">
        <f t="shared" si="321"/>
        <v>0</v>
      </c>
      <c r="V2088" s="63">
        <f t="shared" si="322"/>
        <v>0</v>
      </c>
      <c r="W2088" s="49">
        <f t="shared" si="323"/>
        <v>0</v>
      </c>
      <c r="X2088" s="50">
        <f t="shared" si="324"/>
        <v>0</v>
      </c>
      <c r="Y2088"/>
      <c r="Z2088"/>
      <c r="AA2088"/>
    </row>
    <row r="2089" spans="1:27" s="51" customFormat="1" ht="18.600000000000001" hidden="1" customHeight="1" x14ac:dyDescent="0.25">
      <c r="A2089" s="80" t="s">
        <v>2653</v>
      </c>
      <c r="B2089" s="20" t="s">
        <v>5054</v>
      </c>
      <c r="C2089" s="21"/>
      <c r="D2089" s="20" t="s">
        <v>5187</v>
      </c>
      <c r="E2089" s="22" t="s">
        <v>5188</v>
      </c>
      <c r="F2089" s="22" t="s">
        <v>1937</v>
      </c>
      <c r="G2089" s="22" t="s">
        <v>4274</v>
      </c>
      <c r="H2089" s="83" t="s">
        <v>5189</v>
      </c>
      <c r="I2089" s="23" t="s">
        <v>24</v>
      </c>
      <c r="J2089" s="24">
        <v>100</v>
      </c>
      <c r="K2089" s="25">
        <v>0.25</v>
      </c>
      <c r="L2089" s="26">
        <f t="shared" si="316"/>
        <v>25</v>
      </c>
      <c r="M2089" s="27">
        <f t="shared" si="317"/>
        <v>75</v>
      </c>
      <c r="N2089" s="28">
        <v>0.16</v>
      </c>
      <c r="O2089" s="29">
        <f t="shared" si="318"/>
        <v>12</v>
      </c>
      <c r="P2089" s="30">
        <f t="shared" si="319"/>
        <v>87</v>
      </c>
      <c r="Q2089" s="23"/>
      <c r="R2089" s="52"/>
      <c r="S2089" s="53"/>
      <c r="T2089" s="54">
        <f t="shared" si="320"/>
        <v>0</v>
      </c>
      <c r="U2089" s="26">
        <f t="shared" si="321"/>
        <v>0</v>
      </c>
      <c r="V2089" s="55">
        <f t="shared" si="322"/>
        <v>0</v>
      </c>
      <c r="W2089" s="29">
        <f t="shared" si="323"/>
        <v>0</v>
      </c>
      <c r="X2089" s="30">
        <f t="shared" si="324"/>
        <v>0</v>
      </c>
      <c r="Y2089"/>
      <c r="Z2089"/>
      <c r="AA2089"/>
    </row>
    <row r="2090" spans="1:27" s="51" customFormat="1" ht="18.600000000000001" hidden="1" customHeight="1" x14ac:dyDescent="0.25">
      <c r="A2090" s="81" t="s">
        <v>2653</v>
      </c>
      <c r="B2090" s="31" t="s">
        <v>5054</v>
      </c>
      <c r="C2090" s="32"/>
      <c r="D2090" s="31" t="s">
        <v>5190</v>
      </c>
      <c r="E2090" s="33" t="s">
        <v>5191</v>
      </c>
      <c r="F2090" s="33" t="s">
        <v>1937</v>
      </c>
      <c r="G2090" s="33" t="s">
        <v>4274</v>
      </c>
      <c r="H2090" s="84" t="s">
        <v>5192</v>
      </c>
      <c r="I2090" s="23" t="s">
        <v>24</v>
      </c>
      <c r="J2090" s="34">
        <v>100</v>
      </c>
      <c r="K2090" s="35">
        <v>0.25</v>
      </c>
      <c r="L2090" s="36">
        <f t="shared" si="316"/>
        <v>25</v>
      </c>
      <c r="M2090" s="37">
        <f t="shared" si="317"/>
        <v>75</v>
      </c>
      <c r="N2090" s="38">
        <v>0.16</v>
      </c>
      <c r="O2090" s="39">
        <f t="shared" si="318"/>
        <v>12</v>
      </c>
      <c r="P2090" s="40">
        <f t="shared" si="319"/>
        <v>87</v>
      </c>
      <c r="Q2090" s="23"/>
      <c r="R2090" s="56"/>
      <c r="S2090" s="57"/>
      <c r="T2090" s="58">
        <f t="shared" si="320"/>
        <v>0</v>
      </c>
      <c r="U2090" s="36">
        <f t="shared" si="321"/>
        <v>0</v>
      </c>
      <c r="V2090" s="59">
        <f t="shared" si="322"/>
        <v>0</v>
      </c>
      <c r="W2090" s="39">
        <f t="shared" si="323"/>
        <v>0</v>
      </c>
      <c r="X2090" s="40">
        <f t="shared" si="324"/>
        <v>0</v>
      </c>
      <c r="Y2090"/>
      <c r="Z2090"/>
      <c r="AA2090"/>
    </row>
    <row r="2091" spans="1:27" s="51" customFormat="1" ht="18.600000000000001" customHeight="1" x14ac:dyDescent="0.25">
      <c r="A2091" s="82" t="s">
        <v>2653</v>
      </c>
      <c r="B2091" s="41" t="s">
        <v>5054</v>
      </c>
      <c r="C2091" s="42"/>
      <c r="D2091" s="41" t="s">
        <v>5193</v>
      </c>
      <c r="E2091" s="43" t="s">
        <v>5194</v>
      </c>
      <c r="F2091" s="43" t="s">
        <v>1937</v>
      </c>
      <c r="G2091" s="43" t="s">
        <v>4274</v>
      </c>
      <c r="H2091" s="85" t="s">
        <v>5195</v>
      </c>
      <c r="I2091" s="23" t="s">
        <v>24</v>
      </c>
      <c r="J2091" s="44">
        <v>100</v>
      </c>
      <c r="K2091" s="45">
        <v>0.25</v>
      </c>
      <c r="L2091" s="46">
        <f t="shared" si="316"/>
        <v>25</v>
      </c>
      <c r="M2091" s="47">
        <f t="shared" si="317"/>
        <v>75</v>
      </c>
      <c r="N2091" s="48">
        <v>0.16</v>
      </c>
      <c r="O2091" s="49">
        <f t="shared" si="318"/>
        <v>12</v>
      </c>
      <c r="P2091" s="50">
        <f t="shared" si="319"/>
        <v>87</v>
      </c>
      <c r="Q2091" s="23"/>
      <c r="R2091" s="60"/>
      <c r="S2091" s="61">
        <v>1</v>
      </c>
      <c r="T2091" s="62">
        <f t="shared" si="320"/>
        <v>100</v>
      </c>
      <c r="U2091" s="46">
        <f t="shared" si="321"/>
        <v>25</v>
      </c>
      <c r="V2091" s="63">
        <f t="shared" si="322"/>
        <v>75</v>
      </c>
      <c r="W2091" s="49">
        <f t="shared" si="323"/>
        <v>12</v>
      </c>
      <c r="X2091" s="50">
        <f t="shared" si="324"/>
        <v>87</v>
      </c>
      <c r="Y2091"/>
      <c r="Z2091"/>
      <c r="AA2091"/>
    </row>
    <row r="2092" spans="1:27" s="51" customFormat="1" ht="18.600000000000001" customHeight="1" x14ac:dyDescent="0.25">
      <c r="A2092" s="80" t="s">
        <v>2653</v>
      </c>
      <c r="B2092" s="20" t="s">
        <v>5054</v>
      </c>
      <c r="C2092" s="21"/>
      <c r="D2092" s="20" t="s">
        <v>5196</v>
      </c>
      <c r="E2092" s="22" t="s">
        <v>5197</v>
      </c>
      <c r="F2092" s="22" t="s">
        <v>1937</v>
      </c>
      <c r="G2092" s="22" t="s">
        <v>4274</v>
      </c>
      <c r="H2092" s="83" t="s">
        <v>5198</v>
      </c>
      <c r="I2092" s="23" t="s">
        <v>24</v>
      </c>
      <c r="J2092" s="24">
        <v>100</v>
      </c>
      <c r="K2092" s="25">
        <v>0.25</v>
      </c>
      <c r="L2092" s="26">
        <f t="shared" si="316"/>
        <v>25</v>
      </c>
      <c r="M2092" s="27">
        <f t="shared" si="317"/>
        <v>75</v>
      </c>
      <c r="N2092" s="28">
        <v>0.16</v>
      </c>
      <c r="O2092" s="29">
        <f t="shared" si="318"/>
        <v>12</v>
      </c>
      <c r="P2092" s="30">
        <f t="shared" si="319"/>
        <v>87</v>
      </c>
      <c r="Q2092" s="23"/>
      <c r="R2092" s="52"/>
      <c r="S2092" s="53">
        <v>1</v>
      </c>
      <c r="T2092" s="54">
        <f t="shared" si="320"/>
        <v>100</v>
      </c>
      <c r="U2092" s="26">
        <f t="shared" si="321"/>
        <v>25</v>
      </c>
      <c r="V2092" s="55">
        <f t="shared" si="322"/>
        <v>75</v>
      </c>
      <c r="W2092" s="29">
        <f t="shared" si="323"/>
        <v>12</v>
      </c>
      <c r="X2092" s="30">
        <f t="shared" si="324"/>
        <v>87</v>
      </c>
      <c r="Y2092"/>
      <c r="Z2092"/>
      <c r="AA2092"/>
    </row>
    <row r="2093" spans="1:27" s="51" customFormat="1" ht="18.600000000000001" hidden="1" customHeight="1" x14ac:dyDescent="0.25">
      <c r="A2093" s="81" t="s">
        <v>2653</v>
      </c>
      <c r="B2093" s="31" t="s">
        <v>5054</v>
      </c>
      <c r="C2093" s="32"/>
      <c r="D2093" s="31" t="s">
        <v>5199</v>
      </c>
      <c r="E2093" s="33" t="s">
        <v>5200</v>
      </c>
      <c r="F2093" s="33" t="s">
        <v>1937</v>
      </c>
      <c r="G2093" s="33" t="s">
        <v>4274</v>
      </c>
      <c r="H2093" s="84" t="s">
        <v>5201</v>
      </c>
      <c r="I2093" s="23" t="s">
        <v>24</v>
      </c>
      <c r="J2093" s="34">
        <v>100</v>
      </c>
      <c r="K2093" s="35">
        <v>0.25</v>
      </c>
      <c r="L2093" s="36">
        <f t="shared" si="316"/>
        <v>25</v>
      </c>
      <c r="M2093" s="37">
        <f t="shared" si="317"/>
        <v>75</v>
      </c>
      <c r="N2093" s="38">
        <v>0.16</v>
      </c>
      <c r="O2093" s="39">
        <f t="shared" si="318"/>
        <v>12</v>
      </c>
      <c r="P2093" s="40">
        <f t="shared" si="319"/>
        <v>87</v>
      </c>
      <c r="Q2093" s="23"/>
      <c r="R2093" s="56"/>
      <c r="S2093" s="57"/>
      <c r="T2093" s="58">
        <f t="shared" si="320"/>
        <v>0</v>
      </c>
      <c r="U2093" s="36">
        <f t="shared" si="321"/>
        <v>0</v>
      </c>
      <c r="V2093" s="59">
        <f t="shared" si="322"/>
        <v>0</v>
      </c>
      <c r="W2093" s="39">
        <f t="shared" si="323"/>
        <v>0</v>
      </c>
      <c r="X2093" s="40">
        <f t="shared" si="324"/>
        <v>0</v>
      </c>
      <c r="Y2093"/>
      <c r="Z2093"/>
      <c r="AA2093"/>
    </row>
    <row r="2094" spans="1:27" s="51" customFormat="1" ht="18.600000000000001" hidden="1" customHeight="1" x14ac:dyDescent="0.25">
      <c r="A2094" s="82" t="s">
        <v>2653</v>
      </c>
      <c r="B2094" s="41" t="s">
        <v>5054</v>
      </c>
      <c r="C2094" s="42"/>
      <c r="D2094" s="41" t="s">
        <v>5202</v>
      </c>
      <c r="E2094" s="43" t="s">
        <v>5203</v>
      </c>
      <c r="F2094" s="43" t="s">
        <v>1937</v>
      </c>
      <c r="G2094" s="43" t="s">
        <v>4274</v>
      </c>
      <c r="H2094" s="85" t="s">
        <v>5204</v>
      </c>
      <c r="I2094" s="23" t="s">
        <v>24</v>
      </c>
      <c r="J2094" s="44">
        <v>100</v>
      </c>
      <c r="K2094" s="45">
        <v>0.25</v>
      </c>
      <c r="L2094" s="46">
        <f t="shared" si="316"/>
        <v>25</v>
      </c>
      <c r="M2094" s="47">
        <f t="shared" si="317"/>
        <v>75</v>
      </c>
      <c r="N2094" s="48">
        <v>0.16</v>
      </c>
      <c r="O2094" s="49">
        <f t="shared" si="318"/>
        <v>12</v>
      </c>
      <c r="P2094" s="50">
        <f t="shared" si="319"/>
        <v>87</v>
      </c>
      <c r="Q2094" s="23"/>
      <c r="R2094" s="60"/>
      <c r="S2094" s="61"/>
      <c r="T2094" s="62">
        <f t="shared" si="320"/>
        <v>0</v>
      </c>
      <c r="U2094" s="46">
        <f t="shared" si="321"/>
        <v>0</v>
      </c>
      <c r="V2094" s="63">
        <f t="shared" si="322"/>
        <v>0</v>
      </c>
      <c r="W2094" s="49">
        <f t="shared" si="323"/>
        <v>0</v>
      </c>
      <c r="X2094" s="50">
        <f t="shared" si="324"/>
        <v>0</v>
      </c>
      <c r="Y2094"/>
      <c r="Z2094"/>
      <c r="AA2094"/>
    </row>
    <row r="2095" spans="1:27" s="51" customFormat="1" ht="18.600000000000001" hidden="1" customHeight="1" x14ac:dyDescent="0.25">
      <c r="A2095" s="80" t="s">
        <v>2653</v>
      </c>
      <c r="B2095" s="20" t="s">
        <v>5054</v>
      </c>
      <c r="C2095" s="21"/>
      <c r="D2095" s="20" t="s">
        <v>5205</v>
      </c>
      <c r="E2095" s="22" t="s">
        <v>5206</v>
      </c>
      <c r="F2095" s="22" t="s">
        <v>1937</v>
      </c>
      <c r="G2095" s="22" t="s">
        <v>4274</v>
      </c>
      <c r="H2095" s="83" t="s">
        <v>5207</v>
      </c>
      <c r="I2095" s="23" t="s">
        <v>24</v>
      </c>
      <c r="J2095" s="24">
        <v>100</v>
      </c>
      <c r="K2095" s="25">
        <v>0.25</v>
      </c>
      <c r="L2095" s="26">
        <f t="shared" si="316"/>
        <v>25</v>
      </c>
      <c r="M2095" s="27">
        <f t="shared" si="317"/>
        <v>75</v>
      </c>
      <c r="N2095" s="28">
        <v>0.16</v>
      </c>
      <c r="O2095" s="29">
        <f t="shared" si="318"/>
        <v>12</v>
      </c>
      <c r="P2095" s="30">
        <f t="shared" si="319"/>
        <v>87</v>
      </c>
      <c r="Q2095" s="23"/>
      <c r="R2095" s="52"/>
      <c r="S2095" s="53"/>
      <c r="T2095" s="54">
        <f t="shared" si="320"/>
        <v>0</v>
      </c>
      <c r="U2095" s="26">
        <f t="shared" si="321"/>
        <v>0</v>
      </c>
      <c r="V2095" s="55">
        <f t="shared" si="322"/>
        <v>0</v>
      </c>
      <c r="W2095" s="29">
        <f t="shared" si="323"/>
        <v>0</v>
      </c>
      <c r="X2095" s="30">
        <f t="shared" si="324"/>
        <v>0</v>
      </c>
      <c r="Y2095"/>
      <c r="Z2095"/>
      <c r="AA2095"/>
    </row>
    <row r="2096" spans="1:27" s="51" customFormat="1" ht="18.600000000000001" hidden="1" customHeight="1" x14ac:dyDescent="0.25">
      <c r="A2096" s="81" t="s">
        <v>2653</v>
      </c>
      <c r="B2096" s="31" t="s">
        <v>5054</v>
      </c>
      <c r="C2096" s="32"/>
      <c r="D2096" s="31" t="s">
        <v>5208</v>
      </c>
      <c r="E2096" s="33" t="s">
        <v>5209</v>
      </c>
      <c r="F2096" s="33" t="s">
        <v>1937</v>
      </c>
      <c r="G2096" s="33" t="s">
        <v>4274</v>
      </c>
      <c r="H2096" s="84" t="s">
        <v>5210</v>
      </c>
      <c r="I2096" s="23" t="s">
        <v>24</v>
      </c>
      <c r="J2096" s="34">
        <v>100</v>
      </c>
      <c r="K2096" s="35">
        <v>0.25</v>
      </c>
      <c r="L2096" s="36">
        <f t="shared" si="316"/>
        <v>25</v>
      </c>
      <c r="M2096" s="37">
        <f t="shared" si="317"/>
        <v>75</v>
      </c>
      <c r="N2096" s="38">
        <v>0.16</v>
      </c>
      <c r="O2096" s="39">
        <f t="shared" si="318"/>
        <v>12</v>
      </c>
      <c r="P2096" s="40">
        <f t="shared" si="319"/>
        <v>87</v>
      </c>
      <c r="Q2096" s="23"/>
      <c r="R2096" s="56"/>
      <c r="S2096" s="57"/>
      <c r="T2096" s="58">
        <f t="shared" si="320"/>
        <v>0</v>
      </c>
      <c r="U2096" s="36">
        <f t="shared" si="321"/>
        <v>0</v>
      </c>
      <c r="V2096" s="59">
        <f t="shared" si="322"/>
        <v>0</v>
      </c>
      <c r="W2096" s="39">
        <f t="shared" si="323"/>
        <v>0</v>
      </c>
      <c r="X2096" s="40">
        <f t="shared" si="324"/>
        <v>0</v>
      </c>
      <c r="Y2096"/>
      <c r="Z2096"/>
      <c r="AA2096"/>
    </row>
    <row r="2097" spans="1:27" s="51" customFormat="1" ht="18.600000000000001" hidden="1" customHeight="1" x14ac:dyDescent="0.25">
      <c r="A2097" s="82" t="s">
        <v>2653</v>
      </c>
      <c r="B2097" s="41" t="s">
        <v>5054</v>
      </c>
      <c r="C2097" s="42"/>
      <c r="D2097" s="41" t="s">
        <v>5211</v>
      </c>
      <c r="E2097" s="43" t="s">
        <v>5212</v>
      </c>
      <c r="F2097" s="43" t="s">
        <v>1937</v>
      </c>
      <c r="G2097" s="43" t="s">
        <v>4274</v>
      </c>
      <c r="H2097" s="85" t="s">
        <v>5213</v>
      </c>
      <c r="I2097" s="23" t="s">
        <v>24</v>
      </c>
      <c r="J2097" s="44">
        <v>100</v>
      </c>
      <c r="K2097" s="45">
        <v>0.25</v>
      </c>
      <c r="L2097" s="46">
        <f t="shared" si="316"/>
        <v>25</v>
      </c>
      <c r="M2097" s="47">
        <f t="shared" si="317"/>
        <v>75</v>
      </c>
      <c r="N2097" s="48">
        <v>0.16</v>
      </c>
      <c r="O2097" s="49">
        <f t="shared" si="318"/>
        <v>12</v>
      </c>
      <c r="P2097" s="50">
        <f t="shared" si="319"/>
        <v>87</v>
      </c>
      <c r="Q2097" s="23"/>
      <c r="R2097" s="60"/>
      <c r="S2097" s="61"/>
      <c r="T2097" s="62">
        <f t="shared" si="320"/>
        <v>0</v>
      </c>
      <c r="U2097" s="46">
        <f t="shared" si="321"/>
        <v>0</v>
      </c>
      <c r="V2097" s="63">
        <f t="shared" si="322"/>
        <v>0</v>
      </c>
      <c r="W2097" s="49">
        <f t="shared" si="323"/>
        <v>0</v>
      </c>
      <c r="X2097" s="50">
        <f t="shared" si="324"/>
        <v>0</v>
      </c>
      <c r="Y2097"/>
      <c r="Z2097"/>
      <c r="AA2097"/>
    </row>
    <row r="2098" spans="1:27" s="51" customFormat="1" ht="18.600000000000001" hidden="1" customHeight="1" x14ac:dyDescent="0.25">
      <c r="A2098" s="80" t="s">
        <v>2653</v>
      </c>
      <c r="B2098" s="20" t="s">
        <v>5054</v>
      </c>
      <c r="C2098" s="21"/>
      <c r="D2098" s="20" t="s">
        <v>5214</v>
      </c>
      <c r="E2098" s="22" t="s">
        <v>5215</v>
      </c>
      <c r="F2098" s="22" t="s">
        <v>1937</v>
      </c>
      <c r="G2098" s="22" t="s">
        <v>4274</v>
      </c>
      <c r="H2098" s="83" t="s">
        <v>5216</v>
      </c>
      <c r="I2098" s="23" t="s">
        <v>24</v>
      </c>
      <c r="J2098" s="24">
        <v>100</v>
      </c>
      <c r="K2098" s="25">
        <v>0.25</v>
      </c>
      <c r="L2098" s="26">
        <f t="shared" si="316"/>
        <v>25</v>
      </c>
      <c r="M2098" s="27">
        <f t="shared" si="317"/>
        <v>75</v>
      </c>
      <c r="N2098" s="28">
        <v>0.16</v>
      </c>
      <c r="O2098" s="29">
        <f t="shared" si="318"/>
        <v>12</v>
      </c>
      <c r="P2098" s="30">
        <f t="shared" si="319"/>
        <v>87</v>
      </c>
      <c r="Q2098" s="23"/>
      <c r="R2098" s="52"/>
      <c r="S2098" s="53"/>
      <c r="T2098" s="54">
        <f t="shared" si="320"/>
        <v>0</v>
      </c>
      <c r="U2098" s="26">
        <f t="shared" si="321"/>
        <v>0</v>
      </c>
      <c r="V2098" s="55">
        <f t="shared" si="322"/>
        <v>0</v>
      </c>
      <c r="W2098" s="29">
        <f t="shared" si="323"/>
        <v>0</v>
      </c>
      <c r="X2098" s="30">
        <f t="shared" si="324"/>
        <v>0</v>
      </c>
      <c r="Y2098"/>
      <c r="Z2098"/>
      <c r="AA2098"/>
    </row>
    <row r="2099" spans="1:27" s="51" customFormat="1" ht="18.600000000000001" hidden="1" customHeight="1" x14ac:dyDescent="0.25">
      <c r="A2099" s="81" t="s">
        <v>2653</v>
      </c>
      <c r="B2099" s="31" t="s">
        <v>5054</v>
      </c>
      <c r="C2099" s="32"/>
      <c r="D2099" s="31" t="s">
        <v>5217</v>
      </c>
      <c r="E2099" s="33" t="s">
        <v>5218</v>
      </c>
      <c r="F2099" s="33" t="s">
        <v>1937</v>
      </c>
      <c r="G2099" s="33" t="s">
        <v>4274</v>
      </c>
      <c r="H2099" s="84" t="s">
        <v>5219</v>
      </c>
      <c r="I2099" s="23" t="s">
        <v>24</v>
      </c>
      <c r="J2099" s="34">
        <v>100</v>
      </c>
      <c r="K2099" s="35">
        <v>0.25</v>
      </c>
      <c r="L2099" s="36">
        <f t="shared" si="316"/>
        <v>25</v>
      </c>
      <c r="M2099" s="37">
        <f t="shared" si="317"/>
        <v>75</v>
      </c>
      <c r="N2099" s="38">
        <v>0.16</v>
      </c>
      <c r="O2099" s="39">
        <f t="shared" si="318"/>
        <v>12</v>
      </c>
      <c r="P2099" s="40">
        <f t="shared" si="319"/>
        <v>87</v>
      </c>
      <c r="Q2099" s="23"/>
      <c r="R2099" s="56"/>
      <c r="S2099" s="57"/>
      <c r="T2099" s="58">
        <f t="shared" si="320"/>
        <v>0</v>
      </c>
      <c r="U2099" s="36">
        <f t="shared" si="321"/>
        <v>0</v>
      </c>
      <c r="V2099" s="59">
        <f t="shared" si="322"/>
        <v>0</v>
      </c>
      <c r="W2099" s="39">
        <f t="shared" si="323"/>
        <v>0</v>
      </c>
      <c r="X2099" s="40">
        <f t="shared" si="324"/>
        <v>0</v>
      </c>
      <c r="Y2099"/>
      <c r="Z2099"/>
      <c r="AA2099"/>
    </row>
    <row r="2100" spans="1:27" s="51" customFormat="1" ht="18.600000000000001" customHeight="1" x14ac:dyDescent="0.25">
      <c r="A2100" s="82" t="s">
        <v>2653</v>
      </c>
      <c r="B2100" s="41" t="s">
        <v>5054</v>
      </c>
      <c r="C2100" s="42"/>
      <c r="D2100" s="41" t="s">
        <v>5220</v>
      </c>
      <c r="E2100" s="43" t="s">
        <v>5221</v>
      </c>
      <c r="F2100" s="43" t="s">
        <v>1937</v>
      </c>
      <c r="G2100" s="43" t="s">
        <v>4274</v>
      </c>
      <c r="H2100" s="85" t="s">
        <v>5222</v>
      </c>
      <c r="I2100" s="23" t="s">
        <v>24</v>
      </c>
      <c r="J2100" s="44">
        <v>100</v>
      </c>
      <c r="K2100" s="45">
        <v>0.25</v>
      </c>
      <c r="L2100" s="46">
        <f t="shared" si="316"/>
        <v>25</v>
      </c>
      <c r="M2100" s="47">
        <f t="shared" si="317"/>
        <v>75</v>
      </c>
      <c r="N2100" s="48">
        <v>0.16</v>
      </c>
      <c r="O2100" s="49">
        <f t="shared" si="318"/>
        <v>12</v>
      </c>
      <c r="P2100" s="50">
        <f t="shared" si="319"/>
        <v>87</v>
      </c>
      <c r="Q2100" s="23"/>
      <c r="R2100" s="60"/>
      <c r="S2100" s="61">
        <v>1</v>
      </c>
      <c r="T2100" s="62">
        <f t="shared" si="320"/>
        <v>100</v>
      </c>
      <c r="U2100" s="46">
        <f t="shared" si="321"/>
        <v>25</v>
      </c>
      <c r="V2100" s="63">
        <f t="shared" si="322"/>
        <v>75</v>
      </c>
      <c r="W2100" s="49">
        <f t="shared" si="323"/>
        <v>12</v>
      </c>
      <c r="X2100" s="50">
        <f t="shared" si="324"/>
        <v>87</v>
      </c>
      <c r="Y2100"/>
      <c r="Z2100"/>
      <c r="AA2100"/>
    </row>
    <row r="2101" spans="1:27" s="51" customFormat="1" ht="18.600000000000001" customHeight="1" x14ac:dyDescent="0.25">
      <c r="A2101" s="80" t="s">
        <v>2653</v>
      </c>
      <c r="B2101" s="20" t="s">
        <v>5054</v>
      </c>
      <c r="C2101" s="21"/>
      <c r="D2101" s="20" t="s">
        <v>5223</v>
      </c>
      <c r="E2101" s="22" t="s">
        <v>5224</v>
      </c>
      <c r="F2101" s="22" t="s">
        <v>1937</v>
      </c>
      <c r="G2101" s="22" t="s">
        <v>4274</v>
      </c>
      <c r="H2101" s="83" t="s">
        <v>5225</v>
      </c>
      <c r="I2101" s="23" t="s">
        <v>24</v>
      </c>
      <c r="J2101" s="24">
        <v>100</v>
      </c>
      <c r="K2101" s="25">
        <v>0.25</v>
      </c>
      <c r="L2101" s="26">
        <f t="shared" si="316"/>
        <v>25</v>
      </c>
      <c r="M2101" s="27">
        <f t="shared" si="317"/>
        <v>75</v>
      </c>
      <c r="N2101" s="28">
        <v>0.16</v>
      </c>
      <c r="O2101" s="29">
        <f t="shared" si="318"/>
        <v>12</v>
      </c>
      <c r="P2101" s="30">
        <f t="shared" si="319"/>
        <v>87</v>
      </c>
      <c r="Q2101" s="23"/>
      <c r="R2101" s="52"/>
      <c r="S2101" s="53">
        <v>1</v>
      </c>
      <c r="T2101" s="54">
        <f t="shared" si="320"/>
        <v>100</v>
      </c>
      <c r="U2101" s="26">
        <f t="shared" si="321"/>
        <v>25</v>
      </c>
      <c r="V2101" s="55">
        <f t="shared" si="322"/>
        <v>75</v>
      </c>
      <c r="W2101" s="29">
        <f t="shared" si="323"/>
        <v>12</v>
      </c>
      <c r="X2101" s="30">
        <f t="shared" si="324"/>
        <v>87</v>
      </c>
      <c r="Y2101"/>
      <c r="Z2101"/>
      <c r="AA2101"/>
    </row>
    <row r="2102" spans="1:27" s="51" customFormat="1" ht="18.600000000000001" hidden="1" customHeight="1" x14ac:dyDescent="0.25">
      <c r="A2102" s="81" t="s">
        <v>2653</v>
      </c>
      <c r="B2102" s="31" t="s">
        <v>5054</v>
      </c>
      <c r="C2102" s="32"/>
      <c r="D2102" s="31" t="s">
        <v>5226</v>
      </c>
      <c r="E2102" s="33" t="s">
        <v>5227</v>
      </c>
      <c r="F2102" s="33" t="s">
        <v>1937</v>
      </c>
      <c r="G2102" s="33" t="s">
        <v>4274</v>
      </c>
      <c r="H2102" s="84" t="s">
        <v>5228</v>
      </c>
      <c r="I2102" s="23" t="s">
        <v>24</v>
      </c>
      <c r="J2102" s="34">
        <v>100</v>
      </c>
      <c r="K2102" s="35">
        <v>0.25</v>
      </c>
      <c r="L2102" s="36">
        <f t="shared" si="316"/>
        <v>25</v>
      </c>
      <c r="M2102" s="37">
        <f t="shared" si="317"/>
        <v>75</v>
      </c>
      <c r="N2102" s="38">
        <v>0.16</v>
      </c>
      <c r="O2102" s="39">
        <f t="shared" si="318"/>
        <v>12</v>
      </c>
      <c r="P2102" s="40">
        <f t="shared" si="319"/>
        <v>87</v>
      </c>
      <c r="Q2102" s="23"/>
      <c r="R2102" s="56"/>
      <c r="S2102" s="57"/>
      <c r="T2102" s="58">
        <f t="shared" si="320"/>
        <v>0</v>
      </c>
      <c r="U2102" s="36">
        <f t="shared" si="321"/>
        <v>0</v>
      </c>
      <c r="V2102" s="59">
        <f t="shared" si="322"/>
        <v>0</v>
      </c>
      <c r="W2102" s="39">
        <f t="shared" si="323"/>
        <v>0</v>
      </c>
      <c r="X2102" s="40">
        <f t="shared" si="324"/>
        <v>0</v>
      </c>
      <c r="Y2102"/>
      <c r="Z2102"/>
      <c r="AA2102"/>
    </row>
    <row r="2103" spans="1:27" s="51" customFormat="1" ht="18.600000000000001" hidden="1" customHeight="1" x14ac:dyDescent="0.25">
      <c r="A2103" s="82" t="s">
        <v>2653</v>
      </c>
      <c r="B2103" s="41" t="s">
        <v>5054</v>
      </c>
      <c r="C2103" s="42"/>
      <c r="D2103" s="41" t="s">
        <v>5229</v>
      </c>
      <c r="E2103" s="43" t="s">
        <v>5230</v>
      </c>
      <c r="F2103" s="43" t="s">
        <v>1937</v>
      </c>
      <c r="G2103" s="43" t="s">
        <v>4274</v>
      </c>
      <c r="H2103" s="85" t="s">
        <v>5231</v>
      </c>
      <c r="I2103" s="23" t="s">
        <v>24</v>
      </c>
      <c r="J2103" s="44">
        <v>100</v>
      </c>
      <c r="K2103" s="45">
        <v>0.25</v>
      </c>
      <c r="L2103" s="46">
        <f t="shared" si="316"/>
        <v>25</v>
      </c>
      <c r="M2103" s="47">
        <f t="shared" si="317"/>
        <v>75</v>
      </c>
      <c r="N2103" s="48">
        <v>0.16</v>
      </c>
      <c r="O2103" s="49">
        <f t="shared" si="318"/>
        <v>12</v>
      </c>
      <c r="P2103" s="50">
        <f t="shared" si="319"/>
        <v>87</v>
      </c>
      <c r="Q2103" s="23"/>
      <c r="R2103" s="60"/>
      <c r="S2103" s="61"/>
      <c r="T2103" s="62">
        <f t="shared" si="320"/>
        <v>0</v>
      </c>
      <c r="U2103" s="46">
        <f t="shared" si="321"/>
        <v>0</v>
      </c>
      <c r="V2103" s="63">
        <f t="shared" si="322"/>
        <v>0</v>
      </c>
      <c r="W2103" s="49">
        <f t="shared" si="323"/>
        <v>0</v>
      </c>
      <c r="X2103" s="50">
        <f t="shared" si="324"/>
        <v>0</v>
      </c>
      <c r="Y2103"/>
      <c r="Z2103"/>
      <c r="AA2103"/>
    </row>
    <row r="2104" spans="1:27" s="51" customFormat="1" ht="18.600000000000001" hidden="1" customHeight="1" x14ac:dyDescent="0.25">
      <c r="A2104" s="80" t="s">
        <v>2653</v>
      </c>
      <c r="B2104" s="20" t="s">
        <v>5054</v>
      </c>
      <c r="C2104" s="21"/>
      <c r="D2104" s="20" t="s">
        <v>5232</v>
      </c>
      <c r="E2104" s="22" t="s">
        <v>5233</v>
      </c>
      <c r="F2104" s="22" t="s">
        <v>1937</v>
      </c>
      <c r="G2104" s="22" t="s">
        <v>4274</v>
      </c>
      <c r="H2104" s="83" t="s">
        <v>5234</v>
      </c>
      <c r="I2104" s="23" t="s">
        <v>24</v>
      </c>
      <c r="J2104" s="24">
        <v>100</v>
      </c>
      <c r="K2104" s="25">
        <v>0.25</v>
      </c>
      <c r="L2104" s="26">
        <f t="shared" si="316"/>
        <v>25</v>
      </c>
      <c r="M2104" s="27">
        <f t="shared" si="317"/>
        <v>75</v>
      </c>
      <c r="N2104" s="28">
        <v>0.16</v>
      </c>
      <c r="O2104" s="29">
        <f t="shared" si="318"/>
        <v>12</v>
      </c>
      <c r="P2104" s="30">
        <f t="shared" si="319"/>
        <v>87</v>
      </c>
      <c r="Q2104" s="23"/>
      <c r="R2104" s="52"/>
      <c r="S2104" s="53"/>
      <c r="T2104" s="54">
        <f t="shared" si="320"/>
        <v>0</v>
      </c>
      <c r="U2104" s="26">
        <f t="shared" si="321"/>
        <v>0</v>
      </c>
      <c r="V2104" s="55">
        <f t="shared" si="322"/>
        <v>0</v>
      </c>
      <c r="W2104" s="29">
        <f t="shared" si="323"/>
        <v>0</v>
      </c>
      <c r="X2104" s="30">
        <f t="shared" si="324"/>
        <v>0</v>
      </c>
      <c r="Y2104"/>
      <c r="Z2104"/>
      <c r="AA2104"/>
    </row>
    <row r="2105" spans="1:27" s="51" customFormat="1" ht="18.600000000000001" hidden="1" customHeight="1" x14ac:dyDescent="0.25">
      <c r="A2105" s="81" t="s">
        <v>2653</v>
      </c>
      <c r="B2105" s="31" t="s">
        <v>5054</v>
      </c>
      <c r="C2105" s="32"/>
      <c r="D2105" s="31" t="s">
        <v>5235</v>
      </c>
      <c r="E2105" s="33" t="s">
        <v>5236</v>
      </c>
      <c r="F2105" s="33" t="s">
        <v>1937</v>
      </c>
      <c r="G2105" s="33" t="s">
        <v>4274</v>
      </c>
      <c r="H2105" s="84" t="s">
        <v>5237</v>
      </c>
      <c r="I2105" s="23" t="s">
        <v>24</v>
      </c>
      <c r="J2105" s="34">
        <v>100</v>
      </c>
      <c r="K2105" s="35">
        <v>0.25</v>
      </c>
      <c r="L2105" s="36">
        <f t="shared" si="316"/>
        <v>25</v>
      </c>
      <c r="M2105" s="37">
        <f t="shared" si="317"/>
        <v>75</v>
      </c>
      <c r="N2105" s="38">
        <v>0.16</v>
      </c>
      <c r="O2105" s="39">
        <f t="shared" si="318"/>
        <v>12</v>
      </c>
      <c r="P2105" s="40">
        <f t="shared" si="319"/>
        <v>87</v>
      </c>
      <c r="Q2105" s="23"/>
      <c r="R2105" s="56"/>
      <c r="S2105" s="57"/>
      <c r="T2105" s="58">
        <f t="shared" si="320"/>
        <v>0</v>
      </c>
      <c r="U2105" s="36">
        <f t="shared" si="321"/>
        <v>0</v>
      </c>
      <c r="V2105" s="59">
        <f t="shared" si="322"/>
        <v>0</v>
      </c>
      <c r="W2105" s="39">
        <f t="shared" si="323"/>
        <v>0</v>
      </c>
      <c r="X2105" s="40">
        <f t="shared" si="324"/>
        <v>0</v>
      </c>
      <c r="Y2105"/>
      <c r="Z2105"/>
      <c r="AA2105"/>
    </row>
    <row r="2106" spans="1:27" s="51" customFormat="1" ht="18.600000000000001" hidden="1" customHeight="1" x14ac:dyDescent="0.25">
      <c r="A2106" s="82" t="s">
        <v>2653</v>
      </c>
      <c r="B2106" s="41" t="s">
        <v>5054</v>
      </c>
      <c r="C2106" s="42"/>
      <c r="D2106" s="41" t="s">
        <v>5238</v>
      </c>
      <c r="E2106" s="43" t="s">
        <v>5239</v>
      </c>
      <c r="F2106" s="43" t="s">
        <v>1937</v>
      </c>
      <c r="G2106" s="43" t="s">
        <v>4274</v>
      </c>
      <c r="H2106" s="85" t="s">
        <v>5240</v>
      </c>
      <c r="I2106" s="23" t="s">
        <v>24</v>
      </c>
      <c r="J2106" s="44">
        <v>100</v>
      </c>
      <c r="K2106" s="45">
        <v>0.25</v>
      </c>
      <c r="L2106" s="46">
        <f t="shared" si="316"/>
        <v>25</v>
      </c>
      <c r="M2106" s="47">
        <f t="shared" si="317"/>
        <v>75</v>
      </c>
      <c r="N2106" s="48">
        <v>0.16</v>
      </c>
      <c r="O2106" s="49">
        <f t="shared" si="318"/>
        <v>12</v>
      </c>
      <c r="P2106" s="50">
        <f t="shared" si="319"/>
        <v>87</v>
      </c>
      <c r="Q2106" s="23"/>
      <c r="R2106" s="60"/>
      <c r="S2106" s="61"/>
      <c r="T2106" s="62">
        <f t="shared" si="320"/>
        <v>0</v>
      </c>
      <c r="U2106" s="46">
        <f t="shared" si="321"/>
        <v>0</v>
      </c>
      <c r="V2106" s="63">
        <f t="shared" si="322"/>
        <v>0</v>
      </c>
      <c r="W2106" s="49">
        <f t="shared" si="323"/>
        <v>0</v>
      </c>
      <c r="X2106" s="50">
        <f t="shared" si="324"/>
        <v>0</v>
      </c>
      <c r="Y2106"/>
      <c r="Z2106"/>
      <c r="AA2106"/>
    </row>
    <row r="2107" spans="1:27" s="51" customFormat="1" ht="18.600000000000001" hidden="1" customHeight="1" x14ac:dyDescent="0.25">
      <c r="A2107" s="80" t="s">
        <v>2653</v>
      </c>
      <c r="B2107" s="20" t="s">
        <v>5054</v>
      </c>
      <c r="C2107" s="21"/>
      <c r="D2107" s="20" t="s">
        <v>5241</v>
      </c>
      <c r="E2107" s="22" t="s">
        <v>5242</v>
      </c>
      <c r="F2107" s="22" t="s">
        <v>1937</v>
      </c>
      <c r="G2107" s="22" t="s">
        <v>4274</v>
      </c>
      <c r="H2107" s="83" t="s">
        <v>5243</v>
      </c>
      <c r="I2107" s="23" t="s">
        <v>24</v>
      </c>
      <c r="J2107" s="24">
        <v>100</v>
      </c>
      <c r="K2107" s="25">
        <v>0.25</v>
      </c>
      <c r="L2107" s="26">
        <f t="shared" si="316"/>
        <v>25</v>
      </c>
      <c r="M2107" s="27">
        <f t="shared" si="317"/>
        <v>75</v>
      </c>
      <c r="N2107" s="28">
        <v>0.16</v>
      </c>
      <c r="O2107" s="29">
        <f t="shared" si="318"/>
        <v>12</v>
      </c>
      <c r="P2107" s="30">
        <f t="shared" si="319"/>
        <v>87</v>
      </c>
      <c r="Q2107" s="23"/>
      <c r="R2107" s="52"/>
      <c r="S2107" s="53"/>
      <c r="T2107" s="54">
        <f t="shared" si="320"/>
        <v>0</v>
      </c>
      <c r="U2107" s="26">
        <f t="shared" si="321"/>
        <v>0</v>
      </c>
      <c r="V2107" s="55">
        <f t="shared" si="322"/>
        <v>0</v>
      </c>
      <c r="W2107" s="29">
        <f t="shared" si="323"/>
        <v>0</v>
      </c>
      <c r="X2107" s="30">
        <f t="shared" si="324"/>
        <v>0</v>
      </c>
      <c r="Y2107"/>
      <c r="Z2107"/>
      <c r="AA2107"/>
    </row>
    <row r="2108" spans="1:27" s="51" customFormat="1" ht="18.600000000000001" hidden="1" customHeight="1" x14ac:dyDescent="0.25">
      <c r="A2108" s="81" t="s">
        <v>2653</v>
      </c>
      <c r="B2108" s="31" t="s">
        <v>5054</v>
      </c>
      <c r="C2108" s="32"/>
      <c r="D2108" s="31" t="s">
        <v>5244</v>
      </c>
      <c r="E2108" s="33" t="s">
        <v>5245</v>
      </c>
      <c r="F2108" s="33" t="s">
        <v>1937</v>
      </c>
      <c r="G2108" s="33" t="s">
        <v>4274</v>
      </c>
      <c r="H2108" s="84" t="s">
        <v>5246</v>
      </c>
      <c r="I2108" s="23" t="s">
        <v>24</v>
      </c>
      <c r="J2108" s="34">
        <v>100</v>
      </c>
      <c r="K2108" s="35">
        <v>0.25</v>
      </c>
      <c r="L2108" s="36">
        <f t="shared" si="316"/>
        <v>25</v>
      </c>
      <c r="M2108" s="37">
        <f t="shared" si="317"/>
        <v>75</v>
      </c>
      <c r="N2108" s="38">
        <v>0.16</v>
      </c>
      <c r="O2108" s="39">
        <f t="shared" si="318"/>
        <v>12</v>
      </c>
      <c r="P2108" s="40">
        <f t="shared" si="319"/>
        <v>87</v>
      </c>
      <c r="Q2108" s="23"/>
      <c r="R2108" s="56"/>
      <c r="S2108" s="57"/>
      <c r="T2108" s="58">
        <f t="shared" si="320"/>
        <v>0</v>
      </c>
      <c r="U2108" s="36">
        <f t="shared" si="321"/>
        <v>0</v>
      </c>
      <c r="V2108" s="59">
        <f t="shared" si="322"/>
        <v>0</v>
      </c>
      <c r="W2108" s="39">
        <f t="shared" si="323"/>
        <v>0</v>
      </c>
      <c r="X2108" s="40">
        <f t="shared" si="324"/>
        <v>0</v>
      </c>
      <c r="Y2108"/>
      <c r="Z2108"/>
      <c r="AA2108"/>
    </row>
    <row r="2109" spans="1:27" s="51" customFormat="1" ht="18.600000000000001" hidden="1" customHeight="1" x14ac:dyDescent="0.25">
      <c r="A2109" s="82" t="s">
        <v>2653</v>
      </c>
      <c r="B2109" s="41" t="s">
        <v>5054</v>
      </c>
      <c r="C2109" s="42"/>
      <c r="D2109" s="41" t="s">
        <v>5247</v>
      </c>
      <c r="E2109" s="43" t="s">
        <v>5248</v>
      </c>
      <c r="F2109" s="43" t="s">
        <v>1937</v>
      </c>
      <c r="G2109" s="43" t="s">
        <v>4274</v>
      </c>
      <c r="H2109" s="85" t="s">
        <v>5249</v>
      </c>
      <c r="I2109" s="23" t="s">
        <v>24</v>
      </c>
      <c r="J2109" s="44">
        <v>100</v>
      </c>
      <c r="K2109" s="45">
        <v>0.25</v>
      </c>
      <c r="L2109" s="46">
        <f t="shared" si="316"/>
        <v>25</v>
      </c>
      <c r="M2109" s="47">
        <f t="shared" si="317"/>
        <v>75</v>
      </c>
      <c r="N2109" s="48">
        <v>0.16</v>
      </c>
      <c r="O2109" s="49">
        <f t="shared" si="318"/>
        <v>12</v>
      </c>
      <c r="P2109" s="50">
        <f t="shared" si="319"/>
        <v>87</v>
      </c>
      <c r="Q2109" s="23"/>
      <c r="R2109" s="60"/>
      <c r="S2109" s="61"/>
      <c r="T2109" s="62">
        <f t="shared" si="320"/>
        <v>0</v>
      </c>
      <c r="U2109" s="46">
        <f t="shared" si="321"/>
        <v>0</v>
      </c>
      <c r="V2109" s="63">
        <f t="shared" si="322"/>
        <v>0</v>
      </c>
      <c r="W2109" s="49">
        <f t="shared" si="323"/>
        <v>0</v>
      </c>
      <c r="X2109" s="50">
        <f t="shared" si="324"/>
        <v>0</v>
      </c>
      <c r="Y2109"/>
      <c r="Z2109"/>
      <c r="AA2109"/>
    </row>
    <row r="2110" spans="1:27" s="51" customFormat="1" ht="18.600000000000001" hidden="1" customHeight="1" x14ac:dyDescent="0.25">
      <c r="A2110" s="80" t="s">
        <v>2653</v>
      </c>
      <c r="B2110" s="20" t="s">
        <v>5054</v>
      </c>
      <c r="C2110" s="21"/>
      <c r="D2110" s="20" t="s">
        <v>5250</v>
      </c>
      <c r="E2110" s="22" t="s">
        <v>5251</v>
      </c>
      <c r="F2110" s="22" t="s">
        <v>1937</v>
      </c>
      <c r="G2110" s="22" t="s">
        <v>4274</v>
      </c>
      <c r="H2110" s="83" t="s">
        <v>5252</v>
      </c>
      <c r="I2110" s="23" t="s">
        <v>24</v>
      </c>
      <c r="J2110" s="24">
        <v>100</v>
      </c>
      <c r="K2110" s="25">
        <v>0.25</v>
      </c>
      <c r="L2110" s="26">
        <f t="shared" si="316"/>
        <v>25</v>
      </c>
      <c r="M2110" s="27">
        <f t="shared" si="317"/>
        <v>75</v>
      </c>
      <c r="N2110" s="28">
        <v>0.16</v>
      </c>
      <c r="O2110" s="29">
        <f t="shared" si="318"/>
        <v>12</v>
      </c>
      <c r="P2110" s="30">
        <f t="shared" si="319"/>
        <v>87</v>
      </c>
      <c r="Q2110" s="23"/>
      <c r="R2110" s="52"/>
      <c r="S2110" s="53"/>
      <c r="T2110" s="54">
        <f t="shared" si="320"/>
        <v>0</v>
      </c>
      <c r="U2110" s="26">
        <f t="shared" si="321"/>
        <v>0</v>
      </c>
      <c r="V2110" s="55">
        <f t="shared" si="322"/>
        <v>0</v>
      </c>
      <c r="W2110" s="29">
        <f t="shared" si="323"/>
        <v>0</v>
      </c>
      <c r="X2110" s="30">
        <f t="shared" si="324"/>
        <v>0</v>
      </c>
      <c r="Y2110"/>
      <c r="Z2110"/>
      <c r="AA2110"/>
    </row>
    <row r="2111" spans="1:27" s="51" customFormat="1" ht="18.600000000000001" hidden="1" customHeight="1" x14ac:dyDescent="0.25">
      <c r="A2111" s="81" t="s">
        <v>2653</v>
      </c>
      <c r="B2111" s="31" t="s">
        <v>5054</v>
      </c>
      <c r="C2111" s="32"/>
      <c r="D2111" s="31" t="s">
        <v>5253</v>
      </c>
      <c r="E2111" s="33" t="s">
        <v>5254</v>
      </c>
      <c r="F2111" s="33" t="s">
        <v>1937</v>
      </c>
      <c r="G2111" s="33" t="s">
        <v>4274</v>
      </c>
      <c r="H2111" s="84" t="s">
        <v>5255</v>
      </c>
      <c r="I2111" s="23" t="s">
        <v>24</v>
      </c>
      <c r="J2111" s="34">
        <v>100</v>
      </c>
      <c r="K2111" s="35">
        <v>0.25</v>
      </c>
      <c r="L2111" s="36">
        <f t="shared" si="316"/>
        <v>25</v>
      </c>
      <c r="M2111" s="37">
        <f t="shared" si="317"/>
        <v>75</v>
      </c>
      <c r="N2111" s="38">
        <v>0.16</v>
      </c>
      <c r="O2111" s="39">
        <f t="shared" si="318"/>
        <v>12</v>
      </c>
      <c r="P2111" s="40">
        <f t="shared" si="319"/>
        <v>87</v>
      </c>
      <c r="Q2111" s="23"/>
      <c r="R2111" s="56"/>
      <c r="S2111" s="57"/>
      <c r="T2111" s="58">
        <f t="shared" si="320"/>
        <v>0</v>
      </c>
      <c r="U2111" s="36">
        <f t="shared" si="321"/>
        <v>0</v>
      </c>
      <c r="V2111" s="59">
        <f t="shared" si="322"/>
        <v>0</v>
      </c>
      <c r="W2111" s="39">
        <f t="shared" si="323"/>
        <v>0</v>
      </c>
      <c r="X2111" s="40">
        <f t="shared" si="324"/>
        <v>0</v>
      </c>
      <c r="Y2111"/>
      <c r="Z2111"/>
      <c r="AA2111"/>
    </row>
    <row r="2112" spans="1:27" s="51" customFormat="1" ht="18.600000000000001" hidden="1" customHeight="1" x14ac:dyDescent="0.25">
      <c r="A2112" s="82" t="s">
        <v>2653</v>
      </c>
      <c r="B2112" s="41" t="s">
        <v>5054</v>
      </c>
      <c r="C2112" s="42"/>
      <c r="D2112" s="41" t="s">
        <v>5256</v>
      </c>
      <c r="E2112" s="43" t="s">
        <v>5257</v>
      </c>
      <c r="F2112" s="43" t="s">
        <v>1937</v>
      </c>
      <c r="G2112" s="43" t="s">
        <v>4274</v>
      </c>
      <c r="H2112" s="85" t="s">
        <v>5258</v>
      </c>
      <c r="I2112" s="23" t="s">
        <v>24</v>
      </c>
      <c r="J2112" s="44">
        <v>100</v>
      </c>
      <c r="K2112" s="45">
        <v>0.25</v>
      </c>
      <c r="L2112" s="46">
        <f t="shared" si="316"/>
        <v>25</v>
      </c>
      <c r="M2112" s="47">
        <f t="shared" si="317"/>
        <v>75</v>
      </c>
      <c r="N2112" s="48">
        <v>0.16</v>
      </c>
      <c r="O2112" s="49">
        <f t="shared" si="318"/>
        <v>12</v>
      </c>
      <c r="P2112" s="50">
        <f t="shared" si="319"/>
        <v>87</v>
      </c>
      <c r="Q2112" s="23"/>
      <c r="R2112" s="60"/>
      <c r="S2112" s="61"/>
      <c r="T2112" s="62">
        <f t="shared" si="320"/>
        <v>0</v>
      </c>
      <c r="U2112" s="46">
        <f t="shared" si="321"/>
        <v>0</v>
      </c>
      <c r="V2112" s="63">
        <f t="shared" si="322"/>
        <v>0</v>
      </c>
      <c r="W2112" s="49">
        <f t="shared" si="323"/>
        <v>0</v>
      </c>
      <c r="X2112" s="50">
        <f t="shared" si="324"/>
        <v>0</v>
      </c>
      <c r="Y2112"/>
      <c r="Z2112"/>
      <c r="AA2112"/>
    </row>
    <row r="2113" spans="1:27" s="51" customFormat="1" ht="18.600000000000001" hidden="1" customHeight="1" x14ac:dyDescent="0.25">
      <c r="A2113" s="80" t="s">
        <v>2653</v>
      </c>
      <c r="B2113" s="20" t="s">
        <v>5054</v>
      </c>
      <c r="C2113" s="21"/>
      <c r="D2113" s="20" t="s">
        <v>5259</v>
      </c>
      <c r="E2113" s="22" t="s">
        <v>5260</v>
      </c>
      <c r="F2113" s="22" t="s">
        <v>1937</v>
      </c>
      <c r="G2113" s="22" t="s">
        <v>4274</v>
      </c>
      <c r="H2113" s="83" t="s">
        <v>5261</v>
      </c>
      <c r="I2113" s="23" t="s">
        <v>24</v>
      </c>
      <c r="J2113" s="24">
        <v>100</v>
      </c>
      <c r="K2113" s="25">
        <v>0.25</v>
      </c>
      <c r="L2113" s="26">
        <f t="shared" si="316"/>
        <v>25</v>
      </c>
      <c r="M2113" s="27">
        <f t="shared" si="317"/>
        <v>75</v>
      </c>
      <c r="N2113" s="28">
        <v>0.16</v>
      </c>
      <c r="O2113" s="29">
        <f t="shared" si="318"/>
        <v>12</v>
      </c>
      <c r="P2113" s="30">
        <f t="shared" si="319"/>
        <v>87</v>
      </c>
      <c r="Q2113" s="23"/>
      <c r="R2113" s="52"/>
      <c r="S2113" s="53"/>
      <c r="T2113" s="54">
        <f t="shared" si="320"/>
        <v>0</v>
      </c>
      <c r="U2113" s="26">
        <f t="shared" si="321"/>
        <v>0</v>
      </c>
      <c r="V2113" s="55">
        <f t="shared" si="322"/>
        <v>0</v>
      </c>
      <c r="W2113" s="29">
        <f t="shared" si="323"/>
        <v>0</v>
      </c>
      <c r="X2113" s="30">
        <f t="shared" si="324"/>
        <v>0</v>
      </c>
      <c r="Y2113"/>
      <c r="Z2113"/>
      <c r="AA2113"/>
    </row>
    <row r="2114" spans="1:27" s="51" customFormat="1" ht="18.600000000000001" hidden="1" customHeight="1" x14ac:dyDescent="0.25">
      <c r="A2114" s="81" t="s">
        <v>2653</v>
      </c>
      <c r="B2114" s="31" t="s">
        <v>5054</v>
      </c>
      <c r="C2114" s="32"/>
      <c r="D2114" s="31" t="s">
        <v>5262</v>
      </c>
      <c r="E2114" s="33" t="s">
        <v>5263</v>
      </c>
      <c r="F2114" s="33" t="s">
        <v>1937</v>
      </c>
      <c r="G2114" s="33" t="s">
        <v>4274</v>
      </c>
      <c r="H2114" s="84" t="s">
        <v>5264</v>
      </c>
      <c r="I2114" s="23" t="s">
        <v>24</v>
      </c>
      <c r="J2114" s="34">
        <v>100</v>
      </c>
      <c r="K2114" s="35">
        <v>0.25</v>
      </c>
      <c r="L2114" s="36">
        <f t="shared" si="316"/>
        <v>25</v>
      </c>
      <c r="M2114" s="37">
        <f t="shared" si="317"/>
        <v>75</v>
      </c>
      <c r="N2114" s="38">
        <v>0.16</v>
      </c>
      <c r="O2114" s="39">
        <f t="shared" si="318"/>
        <v>12</v>
      </c>
      <c r="P2114" s="40">
        <f t="shared" si="319"/>
        <v>87</v>
      </c>
      <c r="Q2114" s="23"/>
      <c r="R2114" s="56"/>
      <c r="S2114" s="57"/>
      <c r="T2114" s="58">
        <f t="shared" si="320"/>
        <v>0</v>
      </c>
      <c r="U2114" s="36">
        <f t="shared" si="321"/>
        <v>0</v>
      </c>
      <c r="V2114" s="59">
        <f t="shared" si="322"/>
        <v>0</v>
      </c>
      <c r="W2114" s="39">
        <f t="shared" si="323"/>
        <v>0</v>
      </c>
      <c r="X2114" s="40">
        <f t="shared" si="324"/>
        <v>0</v>
      </c>
      <c r="Y2114"/>
      <c r="Z2114"/>
      <c r="AA2114"/>
    </row>
    <row r="2115" spans="1:27" s="51" customFormat="1" ht="18.600000000000001" hidden="1" customHeight="1" x14ac:dyDescent="0.25">
      <c r="A2115" s="82" t="s">
        <v>2653</v>
      </c>
      <c r="B2115" s="41" t="s">
        <v>5054</v>
      </c>
      <c r="C2115" s="42"/>
      <c r="D2115" s="41" t="s">
        <v>5265</v>
      </c>
      <c r="E2115" s="43" t="s">
        <v>5266</v>
      </c>
      <c r="F2115" s="43" t="s">
        <v>1937</v>
      </c>
      <c r="G2115" s="43" t="s">
        <v>4274</v>
      </c>
      <c r="H2115" s="85" t="s">
        <v>162</v>
      </c>
      <c r="I2115" s="23" t="s">
        <v>24</v>
      </c>
      <c r="J2115" s="44">
        <v>100</v>
      </c>
      <c r="K2115" s="45">
        <v>0.25</v>
      </c>
      <c r="L2115" s="46">
        <f t="shared" si="316"/>
        <v>25</v>
      </c>
      <c r="M2115" s="47">
        <f t="shared" si="317"/>
        <v>75</v>
      </c>
      <c r="N2115" s="48">
        <v>0.16</v>
      </c>
      <c r="O2115" s="49">
        <f t="shared" si="318"/>
        <v>12</v>
      </c>
      <c r="P2115" s="50">
        <f t="shared" si="319"/>
        <v>87</v>
      </c>
      <c r="Q2115" s="23"/>
      <c r="R2115" s="60"/>
      <c r="S2115" s="61"/>
      <c r="T2115" s="62">
        <f t="shared" si="320"/>
        <v>0</v>
      </c>
      <c r="U2115" s="46">
        <f t="shared" si="321"/>
        <v>0</v>
      </c>
      <c r="V2115" s="63">
        <f t="shared" si="322"/>
        <v>0</v>
      </c>
      <c r="W2115" s="49">
        <f t="shared" si="323"/>
        <v>0</v>
      </c>
      <c r="X2115" s="50">
        <f t="shared" si="324"/>
        <v>0</v>
      </c>
      <c r="Y2115"/>
      <c r="Z2115"/>
      <c r="AA2115"/>
    </row>
    <row r="2116" spans="1:27" s="51" customFormat="1" ht="18.600000000000001" hidden="1" customHeight="1" x14ac:dyDescent="0.25">
      <c r="A2116" s="80" t="s">
        <v>2653</v>
      </c>
      <c r="B2116" s="20" t="s">
        <v>5054</v>
      </c>
      <c r="C2116" s="21"/>
      <c r="D2116" s="20" t="s">
        <v>5267</v>
      </c>
      <c r="E2116" s="22" t="s">
        <v>5268</v>
      </c>
      <c r="F2116" s="22" t="s">
        <v>1937</v>
      </c>
      <c r="G2116" s="22" t="s">
        <v>4274</v>
      </c>
      <c r="H2116" s="83" t="s">
        <v>5269</v>
      </c>
      <c r="I2116" s="23" t="s">
        <v>24</v>
      </c>
      <c r="J2116" s="24">
        <v>100</v>
      </c>
      <c r="K2116" s="25">
        <v>0.25</v>
      </c>
      <c r="L2116" s="26">
        <f t="shared" si="316"/>
        <v>25</v>
      </c>
      <c r="M2116" s="27">
        <f t="shared" si="317"/>
        <v>75</v>
      </c>
      <c r="N2116" s="28">
        <v>0.16</v>
      </c>
      <c r="O2116" s="29">
        <f t="shared" si="318"/>
        <v>12</v>
      </c>
      <c r="P2116" s="30">
        <f t="shared" si="319"/>
        <v>87</v>
      </c>
      <c r="Q2116" s="23"/>
      <c r="R2116" s="52"/>
      <c r="S2116" s="53"/>
      <c r="T2116" s="54">
        <f t="shared" si="320"/>
        <v>0</v>
      </c>
      <c r="U2116" s="26">
        <f t="shared" si="321"/>
        <v>0</v>
      </c>
      <c r="V2116" s="55">
        <f t="shared" si="322"/>
        <v>0</v>
      </c>
      <c r="W2116" s="29">
        <f t="shared" si="323"/>
        <v>0</v>
      </c>
      <c r="X2116" s="30">
        <f t="shared" si="324"/>
        <v>0</v>
      </c>
      <c r="Y2116"/>
      <c r="Z2116"/>
      <c r="AA2116"/>
    </row>
    <row r="2117" spans="1:27" s="51" customFormat="1" ht="18.600000000000001" hidden="1" customHeight="1" x14ac:dyDescent="0.25">
      <c r="A2117" s="81" t="s">
        <v>2653</v>
      </c>
      <c r="B2117" s="31" t="s">
        <v>5054</v>
      </c>
      <c r="C2117" s="32"/>
      <c r="D2117" s="31" t="s">
        <v>5270</v>
      </c>
      <c r="E2117" s="33" t="s">
        <v>5271</v>
      </c>
      <c r="F2117" s="33" t="s">
        <v>1937</v>
      </c>
      <c r="G2117" s="33" t="s">
        <v>4274</v>
      </c>
      <c r="H2117" s="84" t="s">
        <v>5272</v>
      </c>
      <c r="I2117" s="23" t="s">
        <v>24</v>
      </c>
      <c r="J2117" s="34">
        <v>100</v>
      </c>
      <c r="K2117" s="35">
        <v>0.25</v>
      </c>
      <c r="L2117" s="36">
        <f t="shared" si="316"/>
        <v>25</v>
      </c>
      <c r="M2117" s="37">
        <f t="shared" si="317"/>
        <v>75</v>
      </c>
      <c r="N2117" s="38">
        <v>0.16</v>
      </c>
      <c r="O2117" s="39">
        <f t="shared" si="318"/>
        <v>12</v>
      </c>
      <c r="P2117" s="40">
        <f t="shared" si="319"/>
        <v>87</v>
      </c>
      <c r="Q2117" s="23"/>
      <c r="R2117" s="56"/>
      <c r="S2117" s="57"/>
      <c r="T2117" s="58">
        <f t="shared" si="320"/>
        <v>0</v>
      </c>
      <c r="U2117" s="36">
        <f t="shared" si="321"/>
        <v>0</v>
      </c>
      <c r="V2117" s="59">
        <f t="shared" si="322"/>
        <v>0</v>
      </c>
      <c r="W2117" s="39">
        <f t="shared" si="323"/>
        <v>0</v>
      </c>
      <c r="X2117" s="40">
        <f t="shared" si="324"/>
        <v>0</v>
      </c>
      <c r="Y2117"/>
      <c r="Z2117"/>
      <c r="AA2117"/>
    </row>
    <row r="2118" spans="1:27" s="51" customFormat="1" ht="18.600000000000001" hidden="1" customHeight="1" x14ac:dyDescent="0.25">
      <c r="A2118" s="82" t="s">
        <v>2653</v>
      </c>
      <c r="B2118" s="41" t="s">
        <v>5054</v>
      </c>
      <c r="C2118" s="42"/>
      <c r="D2118" s="41" t="s">
        <v>5273</v>
      </c>
      <c r="E2118" s="43" t="s">
        <v>5274</v>
      </c>
      <c r="F2118" s="43" t="s">
        <v>1937</v>
      </c>
      <c r="G2118" s="43" t="s">
        <v>4274</v>
      </c>
      <c r="H2118" s="85" t="s">
        <v>5275</v>
      </c>
      <c r="I2118" s="23" t="s">
        <v>24</v>
      </c>
      <c r="J2118" s="44">
        <v>100</v>
      </c>
      <c r="K2118" s="45">
        <v>0.25</v>
      </c>
      <c r="L2118" s="46">
        <f t="shared" si="316"/>
        <v>25</v>
      </c>
      <c r="M2118" s="47">
        <f t="shared" si="317"/>
        <v>75</v>
      </c>
      <c r="N2118" s="48">
        <v>0.16</v>
      </c>
      <c r="O2118" s="49">
        <f t="shared" si="318"/>
        <v>12</v>
      </c>
      <c r="P2118" s="50">
        <f t="shared" si="319"/>
        <v>87</v>
      </c>
      <c r="Q2118" s="23"/>
      <c r="R2118" s="60"/>
      <c r="S2118" s="61"/>
      <c r="T2118" s="62">
        <f t="shared" si="320"/>
        <v>0</v>
      </c>
      <c r="U2118" s="46">
        <f t="shared" si="321"/>
        <v>0</v>
      </c>
      <c r="V2118" s="63">
        <f t="shared" si="322"/>
        <v>0</v>
      </c>
      <c r="W2118" s="49">
        <f t="shared" si="323"/>
        <v>0</v>
      </c>
      <c r="X2118" s="50">
        <f t="shared" si="324"/>
        <v>0</v>
      </c>
      <c r="Y2118"/>
      <c r="Z2118"/>
      <c r="AA2118"/>
    </row>
    <row r="2119" spans="1:27" s="51" customFormat="1" ht="18.600000000000001" hidden="1" customHeight="1" x14ac:dyDescent="0.25">
      <c r="A2119" s="80" t="s">
        <v>2653</v>
      </c>
      <c r="B2119" s="20" t="s">
        <v>5054</v>
      </c>
      <c r="C2119" s="21"/>
      <c r="D2119" s="20" t="s">
        <v>5276</v>
      </c>
      <c r="E2119" s="22" t="s">
        <v>5277</v>
      </c>
      <c r="F2119" s="22" t="s">
        <v>1937</v>
      </c>
      <c r="G2119" s="22" t="s">
        <v>4274</v>
      </c>
      <c r="H2119" s="83" t="s">
        <v>5278</v>
      </c>
      <c r="I2119" s="23" t="s">
        <v>24</v>
      </c>
      <c r="J2119" s="24">
        <v>100</v>
      </c>
      <c r="K2119" s="25">
        <v>0.25</v>
      </c>
      <c r="L2119" s="26">
        <f t="shared" si="316"/>
        <v>25</v>
      </c>
      <c r="M2119" s="27">
        <f t="shared" si="317"/>
        <v>75</v>
      </c>
      <c r="N2119" s="28">
        <v>0.16</v>
      </c>
      <c r="O2119" s="29">
        <f t="shared" si="318"/>
        <v>12</v>
      </c>
      <c r="P2119" s="30">
        <f t="shared" si="319"/>
        <v>87</v>
      </c>
      <c r="Q2119" s="23"/>
      <c r="R2119" s="52"/>
      <c r="S2119" s="53"/>
      <c r="T2119" s="54">
        <f t="shared" si="320"/>
        <v>0</v>
      </c>
      <c r="U2119" s="26">
        <f t="shared" si="321"/>
        <v>0</v>
      </c>
      <c r="V2119" s="55">
        <f t="shared" si="322"/>
        <v>0</v>
      </c>
      <c r="W2119" s="29">
        <f t="shared" si="323"/>
        <v>0</v>
      </c>
      <c r="X2119" s="30">
        <f t="shared" si="324"/>
        <v>0</v>
      </c>
      <c r="Y2119"/>
      <c r="Z2119"/>
      <c r="AA2119"/>
    </row>
    <row r="2120" spans="1:27" s="51" customFormat="1" ht="18.600000000000001" hidden="1" customHeight="1" x14ac:dyDescent="0.25">
      <c r="A2120" s="81" t="s">
        <v>2653</v>
      </c>
      <c r="B2120" s="31" t="s">
        <v>5054</v>
      </c>
      <c r="C2120" s="32"/>
      <c r="D2120" s="31" t="s">
        <v>5279</v>
      </c>
      <c r="E2120" s="33" t="s">
        <v>5280</v>
      </c>
      <c r="F2120" s="33" t="s">
        <v>1937</v>
      </c>
      <c r="G2120" s="33" t="s">
        <v>4274</v>
      </c>
      <c r="H2120" s="84" t="s">
        <v>693</v>
      </c>
      <c r="I2120" s="23" t="s">
        <v>24</v>
      </c>
      <c r="J2120" s="34">
        <v>100</v>
      </c>
      <c r="K2120" s="35">
        <v>0.25</v>
      </c>
      <c r="L2120" s="36">
        <f t="shared" si="316"/>
        <v>25</v>
      </c>
      <c r="M2120" s="37">
        <f t="shared" si="317"/>
        <v>75</v>
      </c>
      <c r="N2120" s="38">
        <v>0.16</v>
      </c>
      <c r="O2120" s="39">
        <f t="shared" si="318"/>
        <v>12</v>
      </c>
      <c r="P2120" s="40">
        <f t="shared" si="319"/>
        <v>87</v>
      </c>
      <c r="Q2120" s="23"/>
      <c r="R2120" s="56"/>
      <c r="S2120" s="57"/>
      <c r="T2120" s="58">
        <f t="shared" si="320"/>
        <v>0</v>
      </c>
      <c r="U2120" s="36">
        <f t="shared" si="321"/>
        <v>0</v>
      </c>
      <c r="V2120" s="59">
        <f t="shared" si="322"/>
        <v>0</v>
      </c>
      <c r="W2120" s="39">
        <f t="shared" si="323"/>
        <v>0</v>
      </c>
      <c r="X2120" s="40">
        <f t="shared" si="324"/>
        <v>0</v>
      </c>
      <c r="Y2120"/>
      <c r="Z2120"/>
      <c r="AA2120"/>
    </row>
    <row r="2121" spans="1:27" s="51" customFormat="1" ht="18.600000000000001" hidden="1" customHeight="1" x14ac:dyDescent="0.25">
      <c r="A2121" s="82" t="s">
        <v>2653</v>
      </c>
      <c r="B2121" s="41" t="s">
        <v>5054</v>
      </c>
      <c r="C2121" s="42"/>
      <c r="D2121" s="41" t="s">
        <v>5281</v>
      </c>
      <c r="E2121" s="43" t="s">
        <v>5282</v>
      </c>
      <c r="F2121" s="43" t="s">
        <v>1937</v>
      </c>
      <c r="G2121" s="43" t="s">
        <v>4274</v>
      </c>
      <c r="H2121" s="85" t="s">
        <v>5283</v>
      </c>
      <c r="I2121" s="23" t="s">
        <v>24</v>
      </c>
      <c r="J2121" s="44">
        <v>100</v>
      </c>
      <c r="K2121" s="45">
        <v>0.25</v>
      </c>
      <c r="L2121" s="46">
        <f t="shared" si="316"/>
        <v>25</v>
      </c>
      <c r="M2121" s="47">
        <f t="shared" si="317"/>
        <v>75</v>
      </c>
      <c r="N2121" s="48">
        <v>0.16</v>
      </c>
      <c r="O2121" s="49">
        <f t="shared" si="318"/>
        <v>12</v>
      </c>
      <c r="P2121" s="50">
        <f t="shared" si="319"/>
        <v>87</v>
      </c>
      <c r="Q2121" s="23"/>
      <c r="R2121" s="60"/>
      <c r="S2121" s="61"/>
      <c r="T2121" s="62">
        <f t="shared" si="320"/>
        <v>0</v>
      </c>
      <c r="U2121" s="46">
        <f t="shared" si="321"/>
        <v>0</v>
      </c>
      <c r="V2121" s="63">
        <f t="shared" si="322"/>
        <v>0</v>
      </c>
      <c r="W2121" s="49">
        <f t="shared" si="323"/>
        <v>0</v>
      </c>
      <c r="X2121" s="50">
        <f t="shared" si="324"/>
        <v>0</v>
      </c>
      <c r="Y2121"/>
      <c r="Z2121"/>
      <c r="AA2121"/>
    </row>
    <row r="2122" spans="1:27" s="51" customFormat="1" ht="18.600000000000001" hidden="1" customHeight="1" x14ac:dyDescent="0.25">
      <c r="A2122" s="80" t="s">
        <v>2653</v>
      </c>
      <c r="B2122" s="20" t="s">
        <v>5054</v>
      </c>
      <c r="C2122" s="21"/>
      <c r="D2122" s="20" t="s">
        <v>5284</v>
      </c>
      <c r="E2122" s="22" t="s">
        <v>5285</v>
      </c>
      <c r="F2122" s="22" t="s">
        <v>1937</v>
      </c>
      <c r="G2122" s="22" t="s">
        <v>4274</v>
      </c>
      <c r="H2122" s="83" t="s">
        <v>5286</v>
      </c>
      <c r="I2122" s="23" t="s">
        <v>24</v>
      </c>
      <c r="J2122" s="24">
        <v>100</v>
      </c>
      <c r="K2122" s="25">
        <v>0.25</v>
      </c>
      <c r="L2122" s="26">
        <f t="shared" si="316"/>
        <v>25</v>
      </c>
      <c r="M2122" s="27">
        <f t="shared" si="317"/>
        <v>75</v>
      </c>
      <c r="N2122" s="28">
        <v>0.16</v>
      </c>
      <c r="O2122" s="29">
        <f t="shared" si="318"/>
        <v>12</v>
      </c>
      <c r="P2122" s="30">
        <f t="shared" si="319"/>
        <v>87</v>
      </c>
      <c r="Q2122" s="23"/>
      <c r="R2122" s="52"/>
      <c r="S2122" s="53"/>
      <c r="T2122" s="54">
        <f t="shared" si="320"/>
        <v>0</v>
      </c>
      <c r="U2122" s="26">
        <f t="shared" si="321"/>
        <v>0</v>
      </c>
      <c r="V2122" s="55">
        <f t="shared" si="322"/>
        <v>0</v>
      </c>
      <c r="W2122" s="29">
        <f t="shared" si="323"/>
        <v>0</v>
      </c>
      <c r="X2122" s="30">
        <f t="shared" si="324"/>
        <v>0</v>
      </c>
      <c r="Y2122"/>
      <c r="Z2122"/>
      <c r="AA2122"/>
    </row>
    <row r="2123" spans="1:27" s="51" customFormat="1" ht="18.600000000000001" customHeight="1" x14ac:dyDescent="0.25">
      <c r="A2123" s="81" t="s">
        <v>2653</v>
      </c>
      <c r="B2123" s="31" t="s">
        <v>5054</v>
      </c>
      <c r="C2123" s="32" t="s">
        <v>9321</v>
      </c>
      <c r="D2123" s="31" t="s">
        <v>5287</v>
      </c>
      <c r="E2123" s="33" t="s">
        <v>5288</v>
      </c>
      <c r="F2123" s="33" t="s">
        <v>1937</v>
      </c>
      <c r="G2123" s="33" t="s">
        <v>4274</v>
      </c>
      <c r="H2123" s="84" t="s">
        <v>5289</v>
      </c>
      <c r="I2123" s="23" t="s">
        <v>24</v>
      </c>
      <c r="J2123" s="34">
        <v>100</v>
      </c>
      <c r="K2123" s="35">
        <v>0.25</v>
      </c>
      <c r="L2123" s="36">
        <f t="shared" si="316"/>
        <v>25</v>
      </c>
      <c r="M2123" s="37">
        <f t="shared" si="317"/>
        <v>75</v>
      </c>
      <c r="N2123" s="38">
        <v>0.16</v>
      </c>
      <c r="O2123" s="39">
        <f t="shared" si="318"/>
        <v>12</v>
      </c>
      <c r="P2123" s="40">
        <f t="shared" si="319"/>
        <v>87</v>
      </c>
      <c r="Q2123" s="23"/>
      <c r="R2123" s="56"/>
      <c r="S2123" s="57">
        <v>1</v>
      </c>
      <c r="T2123" s="58">
        <f t="shared" si="320"/>
        <v>100</v>
      </c>
      <c r="U2123" s="36">
        <f t="shared" si="321"/>
        <v>25</v>
      </c>
      <c r="V2123" s="59">
        <f t="shared" si="322"/>
        <v>75</v>
      </c>
      <c r="W2123" s="39">
        <f t="shared" si="323"/>
        <v>12</v>
      </c>
      <c r="X2123" s="40">
        <f t="shared" si="324"/>
        <v>87</v>
      </c>
      <c r="Y2123"/>
      <c r="Z2123"/>
      <c r="AA2123"/>
    </row>
    <row r="2124" spans="1:27" s="51" customFormat="1" ht="18.600000000000001" hidden="1" customHeight="1" x14ac:dyDescent="0.25">
      <c r="A2124" s="82" t="s">
        <v>2653</v>
      </c>
      <c r="B2124" s="41" t="s">
        <v>5054</v>
      </c>
      <c r="C2124" s="42" t="s">
        <v>9321</v>
      </c>
      <c r="D2124" s="41" t="s">
        <v>5290</v>
      </c>
      <c r="E2124" s="43" t="s">
        <v>5291</v>
      </c>
      <c r="F2124" s="43" t="s">
        <v>1937</v>
      </c>
      <c r="G2124" s="43" t="s">
        <v>5292</v>
      </c>
      <c r="H2124" s="85" t="s">
        <v>5293</v>
      </c>
      <c r="I2124" s="23" t="s">
        <v>24</v>
      </c>
      <c r="J2124" s="44">
        <v>270</v>
      </c>
      <c r="K2124" s="45">
        <v>0.25</v>
      </c>
      <c r="L2124" s="46">
        <f t="shared" si="316"/>
        <v>67.5</v>
      </c>
      <c r="M2124" s="47">
        <f t="shared" si="317"/>
        <v>202.5</v>
      </c>
      <c r="N2124" s="48">
        <v>0.16</v>
      </c>
      <c r="O2124" s="49">
        <f t="shared" si="318"/>
        <v>32.4</v>
      </c>
      <c r="P2124" s="50">
        <f t="shared" si="319"/>
        <v>234.9</v>
      </c>
      <c r="Q2124" s="23"/>
      <c r="R2124" s="60"/>
      <c r="S2124" s="61"/>
      <c r="T2124" s="62">
        <f t="shared" si="320"/>
        <v>0</v>
      </c>
      <c r="U2124" s="46">
        <f t="shared" si="321"/>
        <v>0</v>
      </c>
      <c r="V2124" s="63">
        <f t="shared" si="322"/>
        <v>0</v>
      </c>
      <c r="W2124" s="49">
        <f t="shared" si="323"/>
        <v>0</v>
      </c>
      <c r="X2124" s="50">
        <f t="shared" si="324"/>
        <v>0</v>
      </c>
      <c r="Y2124"/>
      <c r="Z2124"/>
      <c r="AA2124"/>
    </row>
    <row r="2125" spans="1:27" s="51" customFormat="1" ht="18.600000000000001" hidden="1" customHeight="1" x14ac:dyDescent="0.25">
      <c r="A2125" s="80" t="s">
        <v>2653</v>
      </c>
      <c r="B2125" s="20" t="s">
        <v>5054</v>
      </c>
      <c r="C2125" s="21" t="s">
        <v>9322</v>
      </c>
      <c r="D2125" s="20" t="s">
        <v>5294</v>
      </c>
      <c r="E2125" s="22" t="s">
        <v>5295</v>
      </c>
      <c r="F2125" s="22" t="s">
        <v>1937</v>
      </c>
      <c r="G2125" s="22" t="s">
        <v>5296</v>
      </c>
      <c r="H2125" s="83" t="s">
        <v>5297</v>
      </c>
      <c r="I2125" s="23" t="s">
        <v>24</v>
      </c>
      <c r="J2125" s="24">
        <v>300</v>
      </c>
      <c r="K2125" s="25">
        <v>0.25</v>
      </c>
      <c r="L2125" s="26">
        <f t="shared" si="316"/>
        <v>75</v>
      </c>
      <c r="M2125" s="27">
        <f t="shared" si="317"/>
        <v>225</v>
      </c>
      <c r="N2125" s="28">
        <v>0.16</v>
      </c>
      <c r="O2125" s="29">
        <f t="shared" si="318"/>
        <v>36</v>
      </c>
      <c r="P2125" s="30">
        <f t="shared" si="319"/>
        <v>261</v>
      </c>
      <c r="Q2125" s="23"/>
      <c r="R2125" s="52"/>
      <c r="S2125" s="53"/>
      <c r="T2125" s="54">
        <f t="shared" si="320"/>
        <v>0</v>
      </c>
      <c r="U2125" s="26">
        <f t="shared" si="321"/>
        <v>0</v>
      </c>
      <c r="V2125" s="55">
        <f t="shared" si="322"/>
        <v>0</v>
      </c>
      <c r="W2125" s="29">
        <f t="shared" si="323"/>
        <v>0</v>
      </c>
      <c r="X2125" s="30">
        <f t="shared" si="324"/>
        <v>0</v>
      </c>
      <c r="Y2125"/>
      <c r="Z2125"/>
      <c r="AA2125"/>
    </row>
    <row r="2126" spans="1:27" s="51" customFormat="1" ht="18.600000000000001" hidden="1" customHeight="1" x14ac:dyDescent="0.25">
      <c r="A2126" s="81" t="s">
        <v>2653</v>
      </c>
      <c r="B2126" s="31" t="s">
        <v>5054</v>
      </c>
      <c r="C2126" s="32" t="s">
        <v>9322</v>
      </c>
      <c r="D2126" s="31" t="s">
        <v>5298</v>
      </c>
      <c r="E2126" s="33" t="s">
        <v>5299</v>
      </c>
      <c r="F2126" s="33" t="s">
        <v>1937</v>
      </c>
      <c r="G2126" s="33" t="s">
        <v>5296</v>
      </c>
      <c r="H2126" s="84" t="s">
        <v>5300</v>
      </c>
      <c r="I2126" s="23" t="s">
        <v>24</v>
      </c>
      <c r="J2126" s="34">
        <v>300</v>
      </c>
      <c r="K2126" s="35">
        <v>0.25</v>
      </c>
      <c r="L2126" s="36">
        <f t="shared" si="316"/>
        <v>75</v>
      </c>
      <c r="M2126" s="37">
        <f t="shared" si="317"/>
        <v>225</v>
      </c>
      <c r="N2126" s="38">
        <v>0.16</v>
      </c>
      <c r="O2126" s="39">
        <f t="shared" si="318"/>
        <v>36</v>
      </c>
      <c r="P2126" s="40">
        <f t="shared" si="319"/>
        <v>261</v>
      </c>
      <c r="Q2126" s="23"/>
      <c r="R2126" s="56"/>
      <c r="S2126" s="57"/>
      <c r="T2126" s="58">
        <f t="shared" si="320"/>
        <v>0</v>
      </c>
      <c r="U2126" s="36">
        <f t="shared" si="321"/>
        <v>0</v>
      </c>
      <c r="V2126" s="59">
        <f t="shared" si="322"/>
        <v>0</v>
      </c>
      <c r="W2126" s="39">
        <f t="shared" si="323"/>
        <v>0</v>
      </c>
      <c r="X2126" s="40">
        <f t="shared" si="324"/>
        <v>0</v>
      </c>
      <c r="Y2126"/>
      <c r="Z2126"/>
      <c r="AA2126"/>
    </row>
    <row r="2127" spans="1:27" s="51" customFormat="1" ht="18.600000000000001" hidden="1" customHeight="1" x14ac:dyDescent="0.25">
      <c r="A2127" s="82" t="s">
        <v>2653</v>
      </c>
      <c r="B2127" s="41" t="s">
        <v>5054</v>
      </c>
      <c r="C2127" s="42" t="s">
        <v>9322</v>
      </c>
      <c r="D2127" s="41" t="s">
        <v>5301</v>
      </c>
      <c r="E2127" s="43" t="s">
        <v>5302</v>
      </c>
      <c r="F2127" s="43" t="s">
        <v>1937</v>
      </c>
      <c r="G2127" s="43" t="s">
        <v>5296</v>
      </c>
      <c r="H2127" s="85" t="s">
        <v>5303</v>
      </c>
      <c r="I2127" s="23" t="s">
        <v>24</v>
      </c>
      <c r="J2127" s="44">
        <v>300</v>
      </c>
      <c r="K2127" s="45">
        <v>0.25</v>
      </c>
      <c r="L2127" s="46">
        <f t="shared" si="316"/>
        <v>75</v>
      </c>
      <c r="M2127" s="47">
        <f t="shared" si="317"/>
        <v>225</v>
      </c>
      <c r="N2127" s="48">
        <v>0.16</v>
      </c>
      <c r="O2127" s="49">
        <f t="shared" si="318"/>
        <v>36</v>
      </c>
      <c r="P2127" s="50">
        <f t="shared" si="319"/>
        <v>261</v>
      </c>
      <c r="Q2127" s="23"/>
      <c r="R2127" s="60"/>
      <c r="S2127" s="61"/>
      <c r="T2127" s="62">
        <f t="shared" si="320"/>
        <v>0</v>
      </c>
      <c r="U2127" s="46">
        <f t="shared" si="321"/>
        <v>0</v>
      </c>
      <c r="V2127" s="63">
        <f t="shared" si="322"/>
        <v>0</v>
      </c>
      <c r="W2127" s="49">
        <f t="shared" si="323"/>
        <v>0</v>
      </c>
      <c r="X2127" s="50">
        <f t="shared" si="324"/>
        <v>0</v>
      </c>
      <c r="Y2127"/>
      <c r="Z2127"/>
      <c r="AA2127"/>
    </row>
    <row r="2128" spans="1:27" s="51" customFormat="1" ht="18.600000000000001" hidden="1" customHeight="1" x14ac:dyDescent="0.25">
      <c r="A2128" s="80" t="s">
        <v>2653</v>
      </c>
      <c r="B2128" s="20" t="s">
        <v>5054</v>
      </c>
      <c r="C2128" s="21" t="s">
        <v>9322</v>
      </c>
      <c r="D2128" s="20" t="s">
        <v>5304</v>
      </c>
      <c r="E2128" s="22" t="s">
        <v>5305</v>
      </c>
      <c r="F2128" s="22" t="s">
        <v>1937</v>
      </c>
      <c r="G2128" s="22" t="s">
        <v>5296</v>
      </c>
      <c r="H2128" s="83" t="s">
        <v>5306</v>
      </c>
      <c r="I2128" s="23" t="s">
        <v>24</v>
      </c>
      <c r="J2128" s="24">
        <v>300</v>
      </c>
      <c r="K2128" s="25">
        <v>0.25</v>
      </c>
      <c r="L2128" s="26">
        <f t="shared" si="316"/>
        <v>75</v>
      </c>
      <c r="M2128" s="27">
        <f t="shared" si="317"/>
        <v>225</v>
      </c>
      <c r="N2128" s="28">
        <v>0.16</v>
      </c>
      <c r="O2128" s="29">
        <f t="shared" si="318"/>
        <v>36</v>
      </c>
      <c r="P2128" s="30">
        <f t="shared" si="319"/>
        <v>261</v>
      </c>
      <c r="Q2128" s="23"/>
      <c r="R2128" s="52"/>
      <c r="S2128" s="53"/>
      <c r="T2128" s="54">
        <f t="shared" si="320"/>
        <v>0</v>
      </c>
      <c r="U2128" s="26">
        <f t="shared" si="321"/>
        <v>0</v>
      </c>
      <c r="V2128" s="55">
        <f t="shared" si="322"/>
        <v>0</v>
      </c>
      <c r="W2128" s="29">
        <f t="shared" si="323"/>
        <v>0</v>
      </c>
      <c r="X2128" s="30">
        <f t="shared" si="324"/>
        <v>0</v>
      </c>
      <c r="Y2128"/>
      <c r="Z2128"/>
      <c r="AA2128"/>
    </row>
    <row r="2129" spans="1:27" s="51" customFormat="1" ht="18.600000000000001" hidden="1" customHeight="1" x14ac:dyDescent="0.25">
      <c r="A2129" s="81" t="s">
        <v>2653</v>
      </c>
      <c r="B2129" s="31" t="s">
        <v>5054</v>
      </c>
      <c r="C2129" s="32" t="s">
        <v>9322</v>
      </c>
      <c r="D2129" s="31" t="s">
        <v>5307</v>
      </c>
      <c r="E2129" s="33" t="s">
        <v>5308</v>
      </c>
      <c r="F2129" s="33" t="s">
        <v>1937</v>
      </c>
      <c r="G2129" s="33" t="s">
        <v>5296</v>
      </c>
      <c r="H2129" s="84" t="s">
        <v>5309</v>
      </c>
      <c r="I2129" s="23" t="s">
        <v>24</v>
      </c>
      <c r="J2129" s="34">
        <v>300</v>
      </c>
      <c r="K2129" s="35">
        <v>0.25</v>
      </c>
      <c r="L2129" s="36">
        <f t="shared" si="316"/>
        <v>75</v>
      </c>
      <c r="M2129" s="37">
        <f t="shared" si="317"/>
        <v>225</v>
      </c>
      <c r="N2129" s="38">
        <v>0.16</v>
      </c>
      <c r="O2129" s="39">
        <f t="shared" si="318"/>
        <v>36</v>
      </c>
      <c r="P2129" s="40">
        <f t="shared" si="319"/>
        <v>261</v>
      </c>
      <c r="Q2129" s="23"/>
      <c r="R2129" s="56"/>
      <c r="S2129" s="57"/>
      <c r="T2129" s="58">
        <f t="shared" si="320"/>
        <v>0</v>
      </c>
      <c r="U2129" s="36">
        <f t="shared" si="321"/>
        <v>0</v>
      </c>
      <c r="V2129" s="59">
        <f t="shared" si="322"/>
        <v>0</v>
      </c>
      <c r="W2129" s="39">
        <f t="shared" si="323"/>
        <v>0</v>
      </c>
      <c r="X2129" s="40">
        <f t="shared" si="324"/>
        <v>0</v>
      </c>
      <c r="Y2129"/>
      <c r="Z2129"/>
      <c r="AA2129"/>
    </row>
    <row r="2130" spans="1:27" s="51" customFormat="1" ht="18.600000000000001" hidden="1" customHeight="1" x14ac:dyDescent="0.25">
      <c r="A2130" s="82" t="s">
        <v>2653</v>
      </c>
      <c r="B2130" s="41" t="s">
        <v>5054</v>
      </c>
      <c r="C2130" s="42" t="s">
        <v>9322</v>
      </c>
      <c r="D2130" s="41" t="s">
        <v>5310</v>
      </c>
      <c r="E2130" s="43" t="s">
        <v>5311</v>
      </c>
      <c r="F2130" s="43" t="s">
        <v>1937</v>
      </c>
      <c r="G2130" s="43" t="s">
        <v>5312</v>
      </c>
      <c r="H2130" s="85" t="s">
        <v>5313</v>
      </c>
      <c r="I2130" s="23" t="s">
        <v>24</v>
      </c>
      <c r="J2130" s="44">
        <v>400</v>
      </c>
      <c r="K2130" s="45">
        <v>0.25</v>
      </c>
      <c r="L2130" s="46">
        <f t="shared" si="316"/>
        <v>100</v>
      </c>
      <c r="M2130" s="47">
        <f t="shared" si="317"/>
        <v>300</v>
      </c>
      <c r="N2130" s="48">
        <v>0.16</v>
      </c>
      <c r="O2130" s="49">
        <f t="shared" si="318"/>
        <v>48</v>
      </c>
      <c r="P2130" s="50">
        <f t="shared" si="319"/>
        <v>348</v>
      </c>
      <c r="Q2130" s="23"/>
      <c r="R2130" s="60"/>
      <c r="S2130" s="61"/>
      <c r="T2130" s="62">
        <f t="shared" si="320"/>
        <v>0</v>
      </c>
      <c r="U2130" s="46">
        <f t="shared" si="321"/>
        <v>0</v>
      </c>
      <c r="V2130" s="63">
        <f t="shared" si="322"/>
        <v>0</v>
      </c>
      <c r="W2130" s="49">
        <f t="shared" si="323"/>
        <v>0</v>
      </c>
      <c r="X2130" s="50">
        <f t="shared" si="324"/>
        <v>0</v>
      </c>
      <c r="Y2130"/>
      <c r="Z2130"/>
      <c r="AA2130"/>
    </row>
    <row r="2131" spans="1:27" s="51" customFormat="1" ht="18.600000000000001" hidden="1" customHeight="1" x14ac:dyDescent="0.25">
      <c r="A2131" s="80" t="s">
        <v>2653</v>
      </c>
      <c r="B2131" s="20" t="s">
        <v>5054</v>
      </c>
      <c r="C2131" s="21" t="s">
        <v>9322</v>
      </c>
      <c r="D2131" s="20" t="s">
        <v>5314</v>
      </c>
      <c r="E2131" s="22" t="s">
        <v>5315</v>
      </c>
      <c r="F2131" s="22" t="s">
        <v>1937</v>
      </c>
      <c r="G2131" s="22" t="s">
        <v>5312</v>
      </c>
      <c r="H2131" s="83" t="s">
        <v>5316</v>
      </c>
      <c r="I2131" s="23" t="s">
        <v>24</v>
      </c>
      <c r="J2131" s="24">
        <v>400</v>
      </c>
      <c r="K2131" s="25">
        <v>0.25</v>
      </c>
      <c r="L2131" s="26">
        <f t="shared" si="316"/>
        <v>100</v>
      </c>
      <c r="M2131" s="27">
        <f t="shared" si="317"/>
        <v>300</v>
      </c>
      <c r="N2131" s="28">
        <v>0.16</v>
      </c>
      <c r="O2131" s="29">
        <f t="shared" si="318"/>
        <v>48</v>
      </c>
      <c r="P2131" s="30">
        <f t="shared" si="319"/>
        <v>348</v>
      </c>
      <c r="Q2131" s="23"/>
      <c r="R2131" s="52"/>
      <c r="S2131" s="53"/>
      <c r="T2131" s="54">
        <f t="shared" si="320"/>
        <v>0</v>
      </c>
      <c r="U2131" s="26">
        <f t="shared" si="321"/>
        <v>0</v>
      </c>
      <c r="V2131" s="55">
        <f t="shared" si="322"/>
        <v>0</v>
      </c>
      <c r="W2131" s="29">
        <f t="shared" si="323"/>
        <v>0</v>
      </c>
      <c r="X2131" s="30">
        <f t="shared" si="324"/>
        <v>0</v>
      </c>
      <c r="Y2131"/>
      <c r="Z2131"/>
      <c r="AA2131"/>
    </row>
    <row r="2132" spans="1:27" s="51" customFormat="1" ht="18.600000000000001" hidden="1" customHeight="1" x14ac:dyDescent="0.25">
      <c r="A2132" s="81" t="s">
        <v>2653</v>
      </c>
      <c r="B2132" s="31" t="s">
        <v>5054</v>
      </c>
      <c r="C2132" s="32" t="s">
        <v>9322</v>
      </c>
      <c r="D2132" s="31" t="s">
        <v>5317</v>
      </c>
      <c r="E2132" s="33" t="s">
        <v>5318</v>
      </c>
      <c r="F2132" s="33" t="s">
        <v>1937</v>
      </c>
      <c r="G2132" s="33" t="s">
        <v>5312</v>
      </c>
      <c r="H2132" s="84" t="s">
        <v>5319</v>
      </c>
      <c r="I2132" s="23" t="s">
        <v>24</v>
      </c>
      <c r="J2132" s="34">
        <v>400</v>
      </c>
      <c r="K2132" s="35">
        <v>0.25</v>
      </c>
      <c r="L2132" s="36">
        <f t="shared" si="316"/>
        <v>100</v>
      </c>
      <c r="M2132" s="37">
        <f t="shared" si="317"/>
        <v>300</v>
      </c>
      <c r="N2132" s="38">
        <v>0.16</v>
      </c>
      <c r="O2132" s="39">
        <f t="shared" si="318"/>
        <v>48</v>
      </c>
      <c r="P2132" s="40">
        <f t="shared" si="319"/>
        <v>348</v>
      </c>
      <c r="Q2132" s="23"/>
      <c r="R2132" s="56"/>
      <c r="S2132" s="57"/>
      <c r="T2132" s="58">
        <f t="shared" si="320"/>
        <v>0</v>
      </c>
      <c r="U2132" s="36">
        <f t="shared" si="321"/>
        <v>0</v>
      </c>
      <c r="V2132" s="59">
        <f t="shared" si="322"/>
        <v>0</v>
      </c>
      <c r="W2132" s="39">
        <f t="shared" si="323"/>
        <v>0</v>
      </c>
      <c r="X2132" s="40">
        <f t="shared" si="324"/>
        <v>0</v>
      </c>
      <c r="Y2132"/>
      <c r="Z2132"/>
      <c r="AA2132"/>
    </row>
    <row r="2133" spans="1:27" s="51" customFormat="1" ht="18.600000000000001" hidden="1" customHeight="1" x14ac:dyDescent="0.25">
      <c r="A2133" s="82" t="s">
        <v>2653</v>
      </c>
      <c r="B2133" s="41" t="s">
        <v>5054</v>
      </c>
      <c r="C2133" s="42" t="s">
        <v>9322</v>
      </c>
      <c r="D2133" s="41" t="s">
        <v>5320</v>
      </c>
      <c r="E2133" s="43" t="s">
        <v>5321</v>
      </c>
      <c r="F2133" s="43" t="s">
        <v>1937</v>
      </c>
      <c r="G2133" s="43" t="s">
        <v>5312</v>
      </c>
      <c r="H2133" s="85" t="s">
        <v>5322</v>
      </c>
      <c r="I2133" s="23" t="s">
        <v>24</v>
      </c>
      <c r="J2133" s="44">
        <v>400</v>
      </c>
      <c r="K2133" s="45">
        <v>0.25</v>
      </c>
      <c r="L2133" s="46">
        <f t="shared" si="316"/>
        <v>100</v>
      </c>
      <c r="M2133" s="47">
        <f t="shared" si="317"/>
        <v>300</v>
      </c>
      <c r="N2133" s="48">
        <v>0.16</v>
      </c>
      <c r="O2133" s="49">
        <f t="shared" si="318"/>
        <v>48</v>
      </c>
      <c r="P2133" s="50">
        <f t="shared" si="319"/>
        <v>348</v>
      </c>
      <c r="Q2133" s="23"/>
      <c r="R2133" s="60"/>
      <c r="S2133" s="61"/>
      <c r="T2133" s="62">
        <f t="shared" si="320"/>
        <v>0</v>
      </c>
      <c r="U2133" s="46">
        <f t="shared" si="321"/>
        <v>0</v>
      </c>
      <c r="V2133" s="63">
        <f t="shared" si="322"/>
        <v>0</v>
      </c>
      <c r="W2133" s="49">
        <f t="shared" si="323"/>
        <v>0</v>
      </c>
      <c r="X2133" s="50">
        <f t="shared" si="324"/>
        <v>0</v>
      </c>
      <c r="Y2133"/>
      <c r="Z2133"/>
      <c r="AA2133"/>
    </row>
    <row r="2134" spans="1:27" s="51" customFormat="1" ht="18.600000000000001" hidden="1" customHeight="1" x14ac:dyDescent="0.25">
      <c r="A2134" s="80" t="s">
        <v>2653</v>
      </c>
      <c r="B2134" s="20" t="s">
        <v>5054</v>
      </c>
      <c r="C2134" s="21" t="s">
        <v>9322</v>
      </c>
      <c r="D2134" s="20" t="s">
        <v>5323</v>
      </c>
      <c r="E2134" s="22" t="s">
        <v>5324</v>
      </c>
      <c r="F2134" s="22" t="s">
        <v>1937</v>
      </c>
      <c r="G2134" s="22" t="s">
        <v>5312</v>
      </c>
      <c r="H2134" s="83" t="s">
        <v>5325</v>
      </c>
      <c r="I2134" s="23" t="s">
        <v>24</v>
      </c>
      <c r="J2134" s="24">
        <v>400</v>
      </c>
      <c r="K2134" s="25">
        <v>0.25</v>
      </c>
      <c r="L2134" s="26">
        <f t="shared" si="316"/>
        <v>100</v>
      </c>
      <c r="M2134" s="27">
        <f t="shared" si="317"/>
        <v>300</v>
      </c>
      <c r="N2134" s="28">
        <v>0.16</v>
      </c>
      <c r="O2134" s="29">
        <f t="shared" si="318"/>
        <v>48</v>
      </c>
      <c r="P2134" s="30">
        <f t="shared" si="319"/>
        <v>348</v>
      </c>
      <c r="Q2134" s="23"/>
      <c r="R2134" s="52"/>
      <c r="S2134" s="53"/>
      <c r="T2134" s="54">
        <f t="shared" si="320"/>
        <v>0</v>
      </c>
      <c r="U2134" s="26">
        <f t="shared" si="321"/>
        <v>0</v>
      </c>
      <c r="V2134" s="55">
        <f t="shared" si="322"/>
        <v>0</v>
      </c>
      <c r="W2134" s="29">
        <f t="shared" si="323"/>
        <v>0</v>
      </c>
      <c r="X2134" s="30">
        <f t="shared" si="324"/>
        <v>0</v>
      </c>
      <c r="Y2134"/>
      <c r="Z2134"/>
      <c r="AA2134"/>
    </row>
    <row r="2135" spans="1:27" s="51" customFormat="1" ht="18.600000000000001" hidden="1" customHeight="1" x14ac:dyDescent="0.25">
      <c r="A2135" s="81" t="s">
        <v>2653</v>
      </c>
      <c r="B2135" s="31" t="s">
        <v>5054</v>
      </c>
      <c r="C2135" s="32" t="s">
        <v>9322</v>
      </c>
      <c r="D2135" s="31" t="s">
        <v>5326</v>
      </c>
      <c r="E2135" s="33" t="s">
        <v>5327</v>
      </c>
      <c r="F2135" s="33" t="s">
        <v>1937</v>
      </c>
      <c r="G2135" s="33" t="s">
        <v>5312</v>
      </c>
      <c r="H2135" s="84" t="s">
        <v>5328</v>
      </c>
      <c r="I2135" s="23" t="s">
        <v>24</v>
      </c>
      <c r="J2135" s="34">
        <v>400</v>
      </c>
      <c r="K2135" s="35">
        <v>0.25</v>
      </c>
      <c r="L2135" s="36">
        <f t="shared" ref="L2135:L2198" si="325">+J2135*K2135</f>
        <v>100</v>
      </c>
      <c r="M2135" s="37">
        <f t="shared" ref="M2135:M2198" si="326">+J2135-L2135</f>
        <v>300</v>
      </c>
      <c r="N2135" s="38">
        <v>0.16</v>
      </c>
      <c r="O2135" s="39">
        <f t="shared" ref="O2135:O2198" si="327">+M2135*N2135</f>
        <v>48</v>
      </c>
      <c r="P2135" s="40">
        <f t="shared" ref="P2135:P2198" si="328">+M2135+O2135</f>
        <v>348</v>
      </c>
      <c r="Q2135" s="23"/>
      <c r="R2135" s="56"/>
      <c r="S2135" s="57"/>
      <c r="T2135" s="58">
        <f t="shared" ref="T2135:T2198" si="329">+S2135*J2135</f>
        <v>0</v>
      </c>
      <c r="U2135" s="36">
        <f t="shared" ref="U2135:U2198" si="330">+T2135*K2135</f>
        <v>0</v>
      </c>
      <c r="V2135" s="59">
        <f t="shared" ref="V2135:V2198" si="331">+T2135-U2135</f>
        <v>0</v>
      </c>
      <c r="W2135" s="39">
        <f t="shared" ref="W2135:W2198" si="332">+V2135*N2135</f>
        <v>0</v>
      </c>
      <c r="X2135" s="40">
        <f t="shared" ref="X2135:X2198" si="333">+V2135+W2135</f>
        <v>0</v>
      </c>
      <c r="Y2135"/>
      <c r="Z2135"/>
      <c r="AA2135"/>
    </row>
    <row r="2136" spans="1:27" s="51" customFormat="1" ht="18.600000000000001" hidden="1" customHeight="1" x14ac:dyDescent="0.25">
      <c r="A2136" s="82" t="s">
        <v>2653</v>
      </c>
      <c r="B2136" s="41" t="s">
        <v>5054</v>
      </c>
      <c r="C2136" s="42" t="s">
        <v>9322</v>
      </c>
      <c r="D2136" s="41" t="s">
        <v>5329</v>
      </c>
      <c r="E2136" s="43" t="s">
        <v>5330</v>
      </c>
      <c r="F2136" s="43" t="s">
        <v>1937</v>
      </c>
      <c r="G2136" s="43" t="s">
        <v>5312</v>
      </c>
      <c r="H2136" s="85" t="s">
        <v>5331</v>
      </c>
      <c r="I2136" s="23" t="s">
        <v>24</v>
      </c>
      <c r="J2136" s="44">
        <v>400</v>
      </c>
      <c r="K2136" s="45">
        <v>0.25</v>
      </c>
      <c r="L2136" s="46">
        <f t="shared" si="325"/>
        <v>100</v>
      </c>
      <c r="M2136" s="47">
        <f t="shared" si="326"/>
        <v>300</v>
      </c>
      <c r="N2136" s="48">
        <v>0.16</v>
      </c>
      <c r="O2136" s="49">
        <f t="shared" si="327"/>
        <v>48</v>
      </c>
      <c r="P2136" s="50">
        <f t="shared" si="328"/>
        <v>348</v>
      </c>
      <c r="Q2136" s="23"/>
      <c r="R2136" s="60"/>
      <c r="S2136" s="61"/>
      <c r="T2136" s="62">
        <f t="shared" si="329"/>
        <v>0</v>
      </c>
      <c r="U2136" s="46">
        <f t="shared" si="330"/>
        <v>0</v>
      </c>
      <c r="V2136" s="63">
        <f t="shared" si="331"/>
        <v>0</v>
      </c>
      <c r="W2136" s="49">
        <f t="shared" si="332"/>
        <v>0</v>
      </c>
      <c r="X2136" s="50">
        <f t="shared" si="333"/>
        <v>0</v>
      </c>
      <c r="Y2136"/>
      <c r="Z2136"/>
      <c r="AA2136"/>
    </row>
    <row r="2137" spans="1:27" s="51" customFormat="1" ht="18.600000000000001" hidden="1" customHeight="1" x14ac:dyDescent="0.25">
      <c r="A2137" s="80" t="s">
        <v>2653</v>
      </c>
      <c r="B2137" s="20" t="s">
        <v>5054</v>
      </c>
      <c r="C2137" s="21" t="s">
        <v>9322</v>
      </c>
      <c r="D2137" s="20" t="s">
        <v>5332</v>
      </c>
      <c r="E2137" s="22" t="s">
        <v>5333</v>
      </c>
      <c r="F2137" s="22" t="s">
        <v>1937</v>
      </c>
      <c r="G2137" s="22" t="s">
        <v>5296</v>
      </c>
      <c r="H2137" s="83" t="s">
        <v>5334</v>
      </c>
      <c r="I2137" s="23" t="s">
        <v>24</v>
      </c>
      <c r="J2137" s="24">
        <v>300</v>
      </c>
      <c r="K2137" s="25">
        <v>0.25</v>
      </c>
      <c r="L2137" s="26">
        <f t="shared" si="325"/>
        <v>75</v>
      </c>
      <c r="M2137" s="27">
        <f t="shared" si="326"/>
        <v>225</v>
      </c>
      <c r="N2137" s="28">
        <v>0.16</v>
      </c>
      <c r="O2137" s="29">
        <f t="shared" si="327"/>
        <v>36</v>
      </c>
      <c r="P2137" s="30">
        <f t="shared" si="328"/>
        <v>261</v>
      </c>
      <c r="Q2137" s="23"/>
      <c r="R2137" s="52"/>
      <c r="S2137" s="53"/>
      <c r="T2137" s="54">
        <f t="shared" si="329"/>
        <v>0</v>
      </c>
      <c r="U2137" s="26">
        <f t="shared" si="330"/>
        <v>0</v>
      </c>
      <c r="V2137" s="55">
        <f t="shared" si="331"/>
        <v>0</v>
      </c>
      <c r="W2137" s="29">
        <f t="shared" si="332"/>
        <v>0</v>
      </c>
      <c r="X2137" s="30">
        <f t="shared" si="333"/>
        <v>0</v>
      </c>
      <c r="Y2137"/>
      <c r="Z2137"/>
      <c r="AA2137"/>
    </row>
    <row r="2138" spans="1:27" s="51" customFormat="1" ht="18.600000000000001" hidden="1" customHeight="1" x14ac:dyDescent="0.25">
      <c r="A2138" s="81" t="s">
        <v>2653</v>
      </c>
      <c r="B2138" s="31" t="s">
        <v>5054</v>
      </c>
      <c r="C2138" s="32" t="s">
        <v>9322</v>
      </c>
      <c r="D2138" s="31" t="s">
        <v>5335</v>
      </c>
      <c r="E2138" s="33" t="s">
        <v>5336</v>
      </c>
      <c r="F2138" s="33" t="s">
        <v>1937</v>
      </c>
      <c r="G2138" s="33" t="s">
        <v>5296</v>
      </c>
      <c r="H2138" s="84" t="s">
        <v>5337</v>
      </c>
      <c r="I2138" s="23" t="s">
        <v>24</v>
      </c>
      <c r="J2138" s="34">
        <v>300</v>
      </c>
      <c r="K2138" s="35">
        <v>0.25</v>
      </c>
      <c r="L2138" s="36">
        <f t="shared" si="325"/>
        <v>75</v>
      </c>
      <c r="M2138" s="37">
        <f t="shared" si="326"/>
        <v>225</v>
      </c>
      <c r="N2138" s="38">
        <v>0.16</v>
      </c>
      <c r="O2138" s="39">
        <f t="shared" si="327"/>
        <v>36</v>
      </c>
      <c r="P2138" s="40">
        <f t="shared" si="328"/>
        <v>261</v>
      </c>
      <c r="Q2138" s="23"/>
      <c r="R2138" s="56"/>
      <c r="S2138" s="57"/>
      <c r="T2138" s="58">
        <f t="shared" si="329"/>
        <v>0</v>
      </c>
      <c r="U2138" s="36">
        <f t="shared" si="330"/>
        <v>0</v>
      </c>
      <c r="V2138" s="59">
        <f t="shared" si="331"/>
        <v>0</v>
      </c>
      <c r="W2138" s="39">
        <f t="shared" si="332"/>
        <v>0</v>
      </c>
      <c r="X2138" s="40">
        <f t="shared" si="333"/>
        <v>0</v>
      </c>
      <c r="Y2138"/>
      <c r="Z2138"/>
      <c r="AA2138"/>
    </row>
    <row r="2139" spans="1:27" s="51" customFormat="1" ht="18.600000000000001" hidden="1" customHeight="1" x14ac:dyDescent="0.25">
      <c r="A2139" s="82" t="s">
        <v>2653</v>
      </c>
      <c r="B2139" s="41" t="s">
        <v>5054</v>
      </c>
      <c r="C2139" s="42" t="s">
        <v>9322</v>
      </c>
      <c r="D2139" s="41" t="s">
        <v>5338</v>
      </c>
      <c r="E2139" s="43" t="s">
        <v>5339</v>
      </c>
      <c r="F2139" s="43" t="s">
        <v>1937</v>
      </c>
      <c r="G2139" s="43" t="s">
        <v>5312</v>
      </c>
      <c r="H2139" s="85" t="s">
        <v>5340</v>
      </c>
      <c r="I2139" s="23" t="s">
        <v>24</v>
      </c>
      <c r="J2139" s="44">
        <v>400</v>
      </c>
      <c r="K2139" s="45">
        <v>0.25</v>
      </c>
      <c r="L2139" s="46">
        <f t="shared" si="325"/>
        <v>100</v>
      </c>
      <c r="M2139" s="47">
        <f t="shared" si="326"/>
        <v>300</v>
      </c>
      <c r="N2139" s="48">
        <v>0.16</v>
      </c>
      <c r="O2139" s="49">
        <f t="shared" si="327"/>
        <v>48</v>
      </c>
      <c r="P2139" s="50">
        <f t="shared" si="328"/>
        <v>348</v>
      </c>
      <c r="Q2139" s="23"/>
      <c r="R2139" s="60"/>
      <c r="S2139" s="61"/>
      <c r="T2139" s="62">
        <f t="shared" si="329"/>
        <v>0</v>
      </c>
      <c r="U2139" s="46">
        <f t="shared" si="330"/>
        <v>0</v>
      </c>
      <c r="V2139" s="63">
        <f t="shared" si="331"/>
        <v>0</v>
      </c>
      <c r="W2139" s="49">
        <f t="shared" si="332"/>
        <v>0</v>
      </c>
      <c r="X2139" s="50">
        <f t="shared" si="333"/>
        <v>0</v>
      </c>
      <c r="Y2139"/>
      <c r="Z2139"/>
      <c r="AA2139"/>
    </row>
    <row r="2140" spans="1:27" s="51" customFormat="1" ht="18.600000000000001" hidden="1" customHeight="1" x14ac:dyDescent="0.25">
      <c r="A2140" s="80" t="s">
        <v>2653</v>
      </c>
      <c r="B2140" s="20" t="s">
        <v>5054</v>
      </c>
      <c r="C2140" s="21" t="s">
        <v>9322</v>
      </c>
      <c r="D2140" s="20" t="s">
        <v>5341</v>
      </c>
      <c r="E2140" s="22" t="s">
        <v>5342</v>
      </c>
      <c r="F2140" s="22" t="s">
        <v>1937</v>
      </c>
      <c r="G2140" s="22" t="s">
        <v>5312</v>
      </c>
      <c r="H2140" s="83" t="s">
        <v>5343</v>
      </c>
      <c r="I2140" s="23" t="s">
        <v>24</v>
      </c>
      <c r="J2140" s="24">
        <v>400</v>
      </c>
      <c r="K2140" s="25">
        <v>0.25</v>
      </c>
      <c r="L2140" s="26">
        <f t="shared" si="325"/>
        <v>100</v>
      </c>
      <c r="M2140" s="27">
        <f t="shared" si="326"/>
        <v>300</v>
      </c>
      <c r="N2140" s="28">
        <v>0.16</v>
      </c>
      <c r="O2140" s="29">
        <f t="shared" si="327"/>
        <v>48</v>
      </c>
      <c r="P2140" s="30">
        <f t="shared" si="328"/>
        <v>348</v>
      </c>
      <c r="Q2140" s="23"/>
      <c r="R2140" s="52"/>
      <c r="S2140" s="53"/>
      <c r="T2140" s="54">
        <f t="shared" si="329"/>
        <v>0</v>
      </c>
      <c r="U2140" s="26">
        <f t="shared" si="330"/>
        <v>0</v>
      </c>
      <c r="V2140" s="55">
        <f t="shared" si="331"/>
        <v>0</v>
      </c>
      <c r="W2140" s="29">
        <f t="shared" si="332"/>
        <v>0</v>
      </c>
      <c r="X2140" s="30">
        <f t="shared" si="333"/>
        <v>0</v>
      </c>
      <c r="Y2140"/>
      <c r="Z2140"/>
      <c r="AA2140"/>
    </row>
    <row r="2141" spans="1:27" s="51" customFormat="1" ht="18.600000000000001" hidden="1" customHeight="1" x14ac:dyDescent="0.25">
      <c r="A2141" s="81" t="s">
        <v>2653</v>
      </c>
      <c r="B2141" s="31" t="s">
        <v>5054</v>
      </c>
      <c r="C2141" s="32" t="s">
        <v>9322</v>
      </c>
      <c r="D2141" s="31" t="s">
        <v>5344</v>
      </c>
      <c r="E2141" s="33" t="s">
        <v>5345</v>
      </c>
      <c r="F2141" s="33" t="s">
        <v>1937</v>
      </c>
      <c r="G2141" s="33" t="s">
        <v>5312</v>
      </c>
      <c r="H2141" s="84" t="s">
        <v>5346</v>
      </c>
      <c r="I2141" s="23" t="s">
        <v>24</v>
      </c>
      <c r="J2141" s="34">
        <v>400</v>
      </c>
      <c r="K2141" s="35">
        <v>0.25</v>
      </c>
      <c r="L2141" s="36">
        <f t="shared" si="325"/>
        <v>100</v>
      </c>
      <c r="M2141" s="37">
        <f t="shared" si="326"/>
        <v>300</v>
      </c>
      <c r="N2141" s="38">
        <v>0.16</v>
      </c>
      <c r="O2141" s="39">
        <f t="shared" si="327"/>
        <v>48</v>
      </c>
      <c r="P2141" s="40">
        <f t="shared" si="328"/>
        <v>348</v>
      </c>
      <c r="Q2141" s="23"/>
      <c r="R2141" s="56"/>
      <c r="S2141" s="57"/>
      <c r="T2141" s="58">
        <f t="shared" si="329"/>
        <v>0</v>
      </c>
      <c r="U2141" s="36">
        <f t="shared" si="330"/>
        <v>0</v>
      </c>
      <c r="V2141" s="59">
        <f t="shared" si="331"/>
        <v>0</v>
      </c>
      <c r="W2141" s="39">
        <f t="shared" si="332"/>
        <v>0</v>
      </c>
      <c r="X2141" s="40">
        <f t="shared" si="333"/>
        <v>0</v>
      </c>
      <c r="Y2141"/>
      <c r="Z2141"/>
      <c r="AA2141"/>
    </row>
    <row r="2142" spans="1:27" s="51" customFormat="1" ht="18.600000000000001" hidden="1" customHeight="1" x14ac:dyDescent="0.25">
      <c r="A2142" s="82" t="s">
        <v>2653</v>
      </c>
      <c r="B2142" s="41" t="s">
        <v>5054</v>
      </c>
      <c r="C2142" s="42" t="s">
        <v>9322</v>
      </c>
      <c r="D2142" s="41" t="s">
        <v>5347</v>
      </c>
      <c r="E2142" s="43" t="s">
        <v>5348</v>
      </c>
      <c r="F2142" s="43" t="s">
        <v>1937</v>
      </c>
      <c r="G2142" s="43" t="s">
        <v>5312</v>
      </c>
      <c r="H2142" s="85" t="s">
        <v>5349</v>
      </c>
      <c r="I2142" s="23" t="s">
        <v>24</v>
      </c>
      <c r="J2142" s="44">
        <v>400</v>
      </c>
      <c r="K2142" s="45">
        <v>0.25</v>
      </c>
      <c r="L2142" s="46">
        <f t="shared" si="325"/>
        <v>100</v>
      </c>
      <c r="M2142" s="47">
        <f t="shared" si="326"/>
        <v>300</v>
      </c>
      <c r="N2142" s="48">
        <v>0.16</v>
      </c>
      <c r="O2142" s="49">
        <f t="shared" si="327"/>
        <v>48</v>
      </c>
      <c r="P2142" s="50">
        <f t="shared" si="328"/>
        <v>348</v>
      </c>
      <c r="Q2142" s="23"/>
      <c r="R2142" s="60"/>
      <c r="S2142" s="61"/>
      <c r="T2142" s="62">
        <f t="shared" si="329"/>
        <v>0</v>
      </c>
      <c r="U2142" s="46">
        <f t="shared" si="330"/>
        <v>0</v>
      </c>
      <c r="V2142" s="63">
        <f t="shared" si="331"/>
        <v>0</v>
      </c>
      <c r="W2142" s="49">
        <f t="shared" si="332"/>
        <v>0</v>
      </c>
      <c r="X2142" s="50">
        <f t="shared" si="333"/>
        <v>0</v>
      </c>
      <c r="Y2142"/>
      <c r="Z2142"/>
      <c r="AA2142"/>
    </row>
    <row r="2143" spans="1:27" s="51" customFormat="1" ht="18.600000000000001" hidden="1" customHeight="1" x14ac:dyDescent="0.25">
      <c r="A2143" s="80" t="s">
        <v>2653</v>
      </c>
      <c r="B2143" s="20" t="s">
        <v>5054</v>
      </c>
      <c r="C2143" s="21" t="s">
        <v>9322</v>
      </c>
      <c r="D2143" s="20" t="s">
        <v>5350</v>
      </c>
      <c r="E2143" s="22" t="s">
        <v>5351</v>
      </c>
      <c r="F2143" s="22" t="s">
        <v>1937</v>
      </c>
      <c r="G2143" s="22" t="s">
        <v>5312</v>
      </c>
      <c r="H2143" s="83" t="s">
        <v>5352</v>
      </c>
      <c r="I2143" s="23" t="s">
        <v>24</v>
      </c>
      <c r="J2143" s="24">
        <v>400</v>
      </c>
      <c r="K2143" s="25">
        <v>0.25</v>
      </c>
      <c r="L2143" s="26">
        <f t="shared" si="325"/>
        <v>100</v>
      </c>
      <c r="M2143" s="27">
        <f t="shared" si="326"/>
        <v>300</v>
      </c>
      <c r="N2143" s="28">
        <v>0.16</v>
      </c>
      <c r="O2143" s="29">
        <f t="shared" si="327"/>
        <v>48</v>
      </c>
      <c r="P2143" s="30">
        <f t="shared" si="328"/>
        <v>348</v>
      </c>
      <c r="Q2143" s="23"/>
      <c r="R2143" s="52"/>
      <c r="S2143" s="53"/>
      <c r="T2143" s="54">
        <f t="shared" si="329"/>
        <v>0</v>
      </c>
      <c r="U2143" s="26">
        <f t="shared" si="330"/>
        <v>0</v>
      </c>
      <c r="V2143" s="55">
        <f t="shared" si="331"/>
        <v>0</v>
      </c>
      <c r="W2143" s="29">
        <f t="shared" si="332"/>
        <v>0</v>
      </c>
      <c r="X2143" s="30">
        <f t="shared" si="333"/>
        <v>0</v>
      </c>
      <c r="Y2143"/>
      <c r="Z2143"/>
      <c r="AA2143"/>
    </row>
    <row r="2144" spans="1:27" s="51" customFormat="1" ht="18.600000000000001" hidden="1" customHeight="1" x14ac:dyDescent="0.25">
      <c r="A2144" s="81" t="s">
        <v>2653</v>
      </c>
      <c r="B2144" s="31" t="s">
        <v>5054</v>
      </c>
      <c r="C2144" s="32" t="s">
        <v>9322</v>
      </c>
      <c r="D2144" s="31" t="s">
        <v>5353</v>
      </c>
      <c r="E2144" s="33" t="s">
        <v>5354</v>
      </c>
      <c r="F2144" s="33" t="s">
        <v>1937</v>
      </c>
      <c r="G2144" s="33" t="s">
        <v>5312</v>
      </c>
      <c r="H2144" s="84" t="s">
        <v>5355</v>
      </c>
      <c r="I2144" s="23" t="s">
        <v>24</v>
      </c>
      <c r="J2144" s="34">
        <v>400</v>
      </c>
      <c r="K2144" s="35">
        <v>0.25</v>
      </c>
      <c r="L2144" s="36">
        <f t="shared" si="325"/>
        <v>100</v>
      </c>
      <c r="M2144" s="37">
        <f t="shared" si="326"/>
        <v>300</v>
      </c>
      <c r="N2144" s="38">
        <v>0.16</v>
      </c>
      <c r="O2144" s="39">
        <f t="shared" si="327"/>
        <v>48</v>
      </c>
      <c r="P2144" s="40">
        <f t="shared" si="328"/>
        <v>348</v>
      </c>
      <c r="Q2144" s="23"/>
      <c r="R2144" s="56"/>
      <c r="S2144" s="57"/>
      <c r="T2144" s="58">
        <f t="shared" si="329"/>
        <v>0</v>
      </c>
      <c r="U2144" s="36">
        <f t="shared" si="330"/>
        <v>0</v>
      </c>
      <c r="V2144" s="59">
        <f t="shared" si="331"/>
        <v>0</v>
      </c>
      <c r="W2144" s="39">
        <f t="shared" si="332"/>
        <v>0</v>
      </c>
      <c r="X2144" s="40">
        <f t="shared" si="333"/>
        <v>0</v>
      </c>
      <c r="Y2144"/>
      <c r="Z2144"/>
      <c r="AA2144"/>
    </row>
    <row r="2145" spans="1:27" s="51" customFormat="1" ht="18.600000000000001" hidden="1" customHeight="1" x14ac:dyDescent="0.25">
      <c r="A2145" s="82" t="s">
        <v>2653</v>
      </c>
      <c r="B2145" s="41" t="s">
        <v>5054</v>
      </c>
      <c r="C2145" s="42" t="s">
        <v>9322</v>
      </c>
      <c r="D2145" s="41" t="s">
        <v>5356</v>
      </c>
      <c r="E2145" s="43" t="s">
        <v>5357</v>
      </c>
      <c r="F2145" s="43" t="s">
        <v>1937</v>
      </c>
      <c r="G2145" s="43" t="s">
        <v>5296</v>
      </c>
      <c r="H2145" s="85" t="s">
        <v>5358</v>
      </c>
      <c r="I2145" s="23" t="s">
        <v>24</v>
      </c>
      <c r="J2145" s="44">
        <v>300</v>
      </c>
      <c r="K2145" s="45">
        <v>0.25</v>
      </c>
      <c r="L2145" s="46">
        <f t="shared" si="325"/>
        <v>75</v>
      </c>
      <c r="M2145" s="47">
        <f t="shared" si="326"/>
        <v>225</v>
      </c>
      <c r="N2145" s="48">
        <v>0.16</v>
      </c>
      <c r="O2145" s="49">
        <f t="shared" si="327"/>
        <v>36</v>
      </c>
      <c r="P2145" s="50">
        <f t="shared" si="328"/>
        <v>261</v>
      </c>
      <c r="Q2145" s="23"/>
      <c r="R2145" s="60"/>
      <c r="S2145" s="61"/>
      <c r="T2145" s="62">
        <f t="shared" si="329"/>
        <v>0</v>
      </c>
      <c r="U2145" s="46">
        <f t="shared" si="330"/>
        <v>0</v>
      </c>
      <c r="V2145" s="63">
        <f t="shared" si="331"/>
        <v>0</v>
      </c>
      <c r="W2145" s="49">
        <f t="shared" si="332"/>
        <v>0</v>
      </c>
      <c r="X2145" s="50">
        <f t="shared" si="333"/>
        <v>0</v>
      </c>
      <c r="Y2145"/>
      <c r="Z2145"/>
      <c r="AA2145"/>
    </row>
    <row r="2146" spans="1:27" s="51" customFormat="1" ht="18.600000000000001" hidden="1" customHeight="1" x14ac:dyDescent="0.25">
      <c r="A2146" s="80" t="s">
        <v>2653</v>
      </c>
      <c r="B2146" s="20" t="s">
        <v>5054</v>
      </c>
      <c r="C2146" s="21" t="s">
        <v>9322</v>
      </c>
      <c r="D2146" s="20" t="s">
        <v>5359</v>
      </c>
      <c r="E2146" s="22" t="s">
        <v>5360</v>
      </c>
      <c r="F2146" s="22" t="s">
        <v>1937</v>
      </c>
      <c r="G2146" s="22" t="s">
        <v>5361</v>
      </c>
      <c r="H2146" s="83" t="s">
        <v>5362</v>
      </c>
      <c r="I2146" s="23" t="s">
        <v>24</v>
      </c>
      <c r="J2146" s="24">
        <v>600</v>
      </c>
      <c r="K2146" s="25">
        <v>0.25</v>
      </c>
      <c r="L2146" s="26">
        <f t="shared" si="325"/>
        <v>150</v>
      </c>
      <c r="M2146" s="27">
        <f t="shared" si="326"/>
        <v>450</v>
      </c>
      <c r="N2146" s="28">
        <v>0.16</v>
      </c>
      <c r="O2146" s="29">
        <f t="shared" si="327"/>
        <v>72</v>
      </c>
      <c r="P2146" s="30">
        <f t="shared" si="328"/>
        <v>522</v>
      </c>
      <c r="Q2146" s="23"/>
      <c r="R2146" s="52"/>
      <c r="S2146" s="53"/>
      <c r="T2146" s="54">
        <f t="shared" si="329"/>
        <v>0</v>
      </c>
      <c r="U2146" s="26">
        <f t="shared" si="330"/>
        <v>0</v>
      </c>
      <c r="V2146" s="55">
        <f t="shared" si="331"/>
        <v>0</v>
      </c>
      <c r="W2146" s="29">
        <f t="shared" si="332"/>
        <v>0</v>
      </c>
      <c r="X2146" s="30">
        <f t="shared" si="333"/>
        <v>0</v>
      </c>
      <c r="Y2146"/>
      <c r="Z2146"/>
      <c r="AA2146"/>
    </row>
    <row r="2147" spans="1:27" s="51" customFormat="1" ht="18.600000000000001" hidden="1" customHeight="1" x14ac:dyDescent="0.25">
      <c r="A2147" s="81" t="s">
        <v>2653</v>
      </c>
      <c r="B2147" s="31" t="s">
        <v>5054</v>
      </c>
      <c r="C2147" s="32" t="s">
        <v>9322</v>
      </c>
      <c r="D2147" s="31" t="s">
        <v>5363</v>
      </c>
      <c r="E2147" s="33" t="s">
        <v>5364</v>
      </c>
      <c r="F2147" s="33" t="s">
        <v>1937</v>
      </c>
      <c r="G2147" s="33" t="s">
        <v>5312</v>
      </c>
      <c r="H2147" s="84" t="s">
        <v>5365</v>
      </c>
      <c r="I2147" s="23" t="s">
        <v>24</v>
      </c>
      <c r="J2147" s="34">
        <v>400</v>
      </c>
      <c r="K2147" s="35">
        <v>0.25</v>
      </c>
      <c r="L2147" s="36">
        <f t="shared" si="325"/>
        <v>100</v>
      </c>
      <c r="M2147" s="37">
        <f t="shared" si="326"/>
        <v>300</v>
      </c>
      <c r="N2147" s="38">
        <v>0.16</v>
      </c>
      <c r="O2147" s="39">
        <f t="shared" si="327"/>
        <v>48</v>
      </c>
      <c r="P2147" s="40">
        <f t="shared" si="328"/>
        <v>348</v>
      </c>
      <c r="Q2147" s="23"/>
      <c r="R2147" s="56"/>
      <c r="S2147" s="57"/>
      <c r="T2147" s="58">
        <f t="shared" si="329"/>
        <v>0</v>
      </c>
      <c r="U2147" s="36">
        <f t="shared" si="330"/>
        <v>0</v>
      </c>
      <c r="V2147" s="59">
        <f t="shared" si="331"/>
        <v>0</v>
      </c>
      <c r="W2147" s="39">
        <f t="shared" si="332"/>
        <v>0</v>
      </c>
      <c r="X2147" s="40">
        <f t="shared" si="333"/>
        <v>0</v>
      </c>
      <c r="Y2147"/>
      <c r="Z2147"/>
      <c r="AA2147"/>
    </row>
    <row r="2148" spans="1:27" s="51" customFormat="1" ht="18.600000000000001" hidden="1" customHeight="1" x14ac:dyDescent="0.25">
      <c r="A2148" s="82" t="s">
        <v>2653</v>
      </c>
      <c r="B2148" s="41" t="s">
        <v>5054</v>
      </c>
      <c r="C2148" s="42" t="s">
        <v>9322</v>
      </c>
      <c r="D2148" s="41" t="s">
        <v>5366</v>
      </c>
      <c r="E2148" s="43" t="s">
        <v>5367</v>
      </c>
      <c r="F2148" s="43" t="s">
        <v>1937</v>
      </c>
      <c r="G2148" s="43" t="s">
        <v>5312</v>
      </c>
      <c r="H2148" s="85" t="s">
        <v>5368</v>
      </c>
      <c r="I2148" s="23" t="s">
        <v>24</v>
      </c>
      <c r="J2148" s="44">
        <v>400</v>
      </c>
      <c r="K2148" s="45">
        <v>0.25</v>
      </c>
      <c r="L2148" s="46">
        <f t="shared" si="325"/>
        <v>100</v>
      </c>
      <c r="M2148" s="47">
        <f t="shared" si="326"/>
        <v>300</v>
      </c>
      <c r="N2148" s="48">
        <v>0.16</v>
      </c>
      <c r="O2148" s="49">
        <f t="shared" si="327"/>
        <v>48</v>
      </c>
      <c r="P2148" s="50">
        <f t="shared" si="328"/>
        <v>348</v>
      </c>
      <c r="Q2148" s="23"/>
      <c r="R2148" s="60"/>
      <c r="S2148" s="61"/>
      <c r="T2148" s="62">
        <f t="shared" si="329"/>
        <v>0</v>
      </c>
      <c r="U2148" s="46">
        <f t="shared" si="330"/>
        <v>0</v>
      </c>
      <c r="V2148" s="63">
        <f t="shared" si="331"/>
        <v>0</v>
      </c>
      <c r="W2148" s="49">
        <f t="shared" si="332"/>
        <v>0</v>
      </c>
      <c r="X2148" s="50">
        <f t="shared" si="333"/>
        <v>0</v>
      </c>
      <c r="Y2148"/>
      <c r="Z2148"/>
      <c r="AA2148"/>
    </row>
    <row r="2149" spans="1:27" s="51" customFormat="1" ht="18.600000000000001" hidden="1" customHeight="1" x14ac:dyDescent="0.25">
      <c r="A2149" s="80" t="s">
        <v>2653</v>
      </c>
      <c r="B2149" s="20" t="s">
        <v>5054</v>
      </c>
      <c r="C2149" s="21" t="s">
        <v>9322</v>
      </c>
      <c r="D2149" s="20" t="s">
        <v>5369</v>
      </c>
      <c r="E2149" s="22" t="s">
        <v>5370</v>
      </c>
      <c r="F2149" s="22" t="s">
        <v>1937</v>
      </c>
      <c r="G2149" s="22" t="s">
        <v>5371</v>
      </c>
      <c r="H2149" s="83" t="s">
        <v>5372</v>
      </c>
      <c r="I2149" s="23" t="s">
        <v>24</v>
      </c>
      <c r="J2149" s="24">
        <v>900</v>
      </c>
      <c r="K2149" s="25">
        <v>0.25</v>
      </c>
      <c r="L2149" s="26">
        <f t="shared" si="325"/>
        <v>225</v>
      </c>
      <c r="M2149" s="27">
        <f t="shared" si="326"/>
        <v>675</v>
      </c>
      <c r="N2149" s="28">
        <v>0.16</v>
      </c>
      <c r="O2149" s="29">
        <f t="shared" si="327"/>
        <v>108</v>
      </c>
      <c r="P2149" s="30">
        <f t="shared" si="328"/>
        <v>783</v>
      </c>
      <c r="Q2149" s="23"/>
      <c r="R2149" s="52"/>
      <c r="S2149" s="53"/>
      <c r="T2149" s="54">
        <f t="shared" si="329"/>
        <v>0</v>
      </c>
      <c r="U2149" s="26">
        <f t="shared" si="330"/>
        <v>0</v>
      </c>
      <c r="V2149" s="55">
        <f t="shared" si="331"/>
        <v>0</v>
      </c>
      <c r="W2149" s="29">
        <f t="shared" si="332"/>
        <v>0</v>
      </c>
      <c r="X2149" s="30">
        <f t="shared" si="333"/>
        <v>0</v>
      </c>
      <c r="Y2149"/>
      <c r="Z2149"/>
      <c r="AA2149"/>
    </row>
    <row r="2150" spans="1:27" s="51" customFormat="1" ht="18.600000000000001" hidden="1" customHeight="1" x14ac:dyDescent="0.25">
      <c r="A2150" s="81" t="s">
        <v>2653</v>
      </c>
      <c r="B2150" s="31" t="s">
        <v>5054</v>
      </c>
      <c r="C2150" s="32" t="s">
        <v>9322</v>
      </c>
      <c r="D2150" s="31" t="s">
        <v>5373</v>
      </c>
      <c r="E2150" s="33" t="s">
        <v>5374</v>
      </c>
      <c r="F2150" s="33" t="s">
        <v>1937</v>
      </c>
      <c r="G2150" s="33" t="s">
        <v>5375</v>
      </c>
      <c r="H2150" s="84" t="s">
        <v>5376</v>
      </c>
      <c r="I2150" s="23" t="s">
        <v>24</v>
      </c>
      <c r="J2150" s="34">
        <v>3800</v>
      </c>
      <c r="K2150" s="35">
        <v>0.25</v>
      </c>
      <c r="L2150" s="36">
        <f t="shared" si="325"/>
        <v>950</v>
      </c>
      <c r="M2150" s="37">
        <f t="shared" si="326"/>
        <v>2850</v>
      </c>
      <c r="N2150" s="38">
        <v>0.16</v>
      </c>
      <c r="O2150" s="39">
        <f t="shared" si="327"/>
        <v>456</v>
      </c>
      <c r="P2150" s="40">
        <f t="shared" si="328"/>
        <v>3306</v>
      </c>
      <c r="Q2150" s="23"/>
      <c r="R2150" s="56"/>
      <c r="S2150" s="57"/>
      <c r="T2150" s="58">
        <f t="shared" si="329"/>
        <v>0</v>
      </c>
      <c r="U2150" s="36">
        <f t="shared" si="330"/>
        <v>0</v>
      </c>
      <c r="V2150" s="59">
        <f t="shared" si="331"/>
        <v>0</v>
      </c>
      <c r="W2150" s="39">
        <f t="shared" si="332"/>
        <v>0</v>
      </c>
      <c r="X2150" s="40">
        <f t="shared" si="333"/>
        <v>0</v>
      </c>
      <c r="Y2150"/>
      <c r="Z2150"/>
      <c r="AA2150"/>
    </row>
    <row r="2151" spans="1:27" s="51" customFormat="1" ht="18.600000000000001" hidden="1" customHeight="1" x14ac:dyDescent="0.25">
      <c r="A2151" s="82" t="s">
        <v>2653</v>
      </c>
      <c r="B2151" s="41" t="s">
        <v>5054</v>
      </c>
      <c r="C2151" s="42" t="s">
        <v>9322</v>
      </c>
      <c r="D2151" s="41" t="s">
        <v>5377</v>
      </c>
      <c r="E2151" s="43" t="s">
        <v>5378</v>
      </c>
      <c r="F2151" s="43" t="s">
        <v>1937</v>
      </c>
      <c r="G2151" s="43" t="s">
        <v>5379</v>
      </c>
      <c r="H2151" s="85" t="s">
        <v>5380</v>
      </c>
      <c r="I2151" s="23" t="s">
        <v>24</v>
      </c>
      <c r="J2151" s="44">
        <v>7460</v>
      </c>
      <c r="K2151" s="45">
        <v>0.25</v>
      </c>
      <c r="L2151" s="46">
        <f t="shared" si="325"/>
        <v>1865</v>
      </c>
      <c r="M2151" s="47">
        <f t="shared" si="326"/>
        <v>5595</v>
      </c>
      <c r="N2151" s="48">
        <v>0.16</v>
      </c>
      <c r="O2151" s="49">
        <f t="shared" si="327"/>
        <v>895.2</v>
      </c>
      <c r="P2151" s="50">
        <f t="shared" si="328"/>
        <v>6490.2</v>
      </c>
      <c r="Q2151" s="23"/>
      <c r="R2151" s="60"/>
      <c r="S2151" s="61"/>
      <c r="T2151" s="62">
        <f t="shared" si="329"/>
        <v>0</v>
      </c>
      <c r="U2151" s="46">
        <f t="shared" si="330"/>
        <v>0</v>
      </c>
      <c r="V2151" s="63">
        <f t="shared" si="331"/>
        <v>0</v>
      </c>
      <c r="W2151" s="49">
        <f t="shared" si="332"/>
        <v>0</v>
      </c>
      <c r="X2151" s="50">
        <f t="shared" si="333"/>
        <v>0</v>
      </c>
      <c r="Y2151"/>
      <c r="Z2151"/>
      <c r="AA2151"/>
    </row>
    <row r="2152" spans="1:27" s="51" customFormat="1" ht="18.600000000000001" hidden="1" customHeight="1" x14ac:dyDescent="0.25">
      <c r="A2152" s="80" t="s">
        <v>2653</v>
      </c>
      <c r="B2152" s="20" t="s">
        <v>5054</v>
      </c>
      <c r="C2152" s="21" t="s">
        <v>9322</v>
      </c>
      <c r="D2152" s="20" t="s">
        <v>5381</v>
      </c>
      <c r="E2152" s="22" t="s">
        <v>5382</v>
      </c>
      <c r="F2152" s="22" t="s">
        <v>1937</v>
      </c>
      <c r="G2152" s="22" t="s">
        <v>5383</v>
      </c>
      <c r="H2152" s="83" t="s">
        <v>5384</v>
      </c>
      <c r="I2152" s="23" t="s">
        <v>24</v>
      </c>
      <c r="J2152" s="24">
        <v>10200</v>
      </c>
      <c r="K2152" s="25">
        <v>0.25</v>
      </c>
      <c r="L2152" s="26">
        <f t="shared" si="325"/>
        <v>2550</v>
      </c>
      <c r="M2152" s="27">
        <f t="shared" si="326"/>
        <v>7650</v>
      </c>
      <c r="N2152" s="28">
        <v>0.16</v>
      </c>
      <c r="O2152" s="29">
        <f t="shared" si="327"/>
        <v>1224</v>
      </c>
      <c r="P2152" s="30">
        <f t="shared" si="328"/>
        <v>8874</v>
      </c>
      <c r="Q2152" s="23"/>
      <c r="R2152" s="52"/>
      <c r="S2152" s="53"/>
      <c r="T2152" s="54">
        <f t="shared" si="329"/>
        <v>0</v>
      </c>
      <c r="U2152" s="26">
        <f t="shared" si="330"/>
        <v>0</v>
      </c>
      <c r="V2152" s="55">
        <f t="shared" si="331"/>
        <v>0</v>
      </c>
      <c r="W2152" s="29">
        <f t="shared" si="332"/>
        <v>0</v>
      </c>
      <c r="X2152" s="30">
        <f t="shared" si="333"/>
        <v>0</v>
      </c>
      <c r="Y2152"/>
      <c r="Z2152"/>
      <c r="AA2152"/>
    </row>
    <row r="2153" spans="1:27" s="51" customFormat="1" ht="18.600000000000001" hidden="1" customHeight="1" x14ac:dyDescent="0.25">
      <c r="A2153" s="81" t="s">
        <v>2653</v>
      </c>
      <c r="B2153" s="31" t="s">
        <v>9323</v>
      </c>
      <c r="C2153" s="32" t="s">
        <v>9324</v>
      </c>
      <c r="D2153" s="31" t="s">
        <v>9427</v>
      </c>
      <c r="E2153" s="33" t="s">
        <v>9516</v>
      </c>
      <c r="F2153" s="33" t="s">
        <v>1937</v>
      </c>
      <c r="G2153" s="33"/>
      <c r="H2153" s="84" t="s">
        <v>9645</v>
      </c>
      <c r="I2153" s="23" t="s">
        <v>24</v>
      </c>
      <c r="J2153" s="34">
        <v>1800</v>
      </c>
      <c r="K2153" s="35">
        <v>0.25</v>
      </c>
      <c r="L2153" s="36">
        <f t="shared" si="325"/>
        <v>450</v>
      </c>
      <c r="M2153" s="37">
        <f t="shared" si="326"/>
        <v>1350</v>
      </c>
      <c r="N2153" s="38">
        <v>0.16</v>
      </c>
      <c r="O2153" s="39">
        <f t="shared" si="327"/>
        <v>216</v>
      </c>
      <c r="P2153" s="40">
        <f t="shared" si="328"/>
        <v>1566</v>
      </c>
      <c r="Q2153" s="23"/>
      <c r="R2153" s="56"/>
      <c r="S2153" s="57"/>
      <c r="T2153" s="58">
        <f t="shared" si="329"/>
        <v>0</v>
      </c>
      <c r="U2153" s="36">
        <f t="shared" si="330"/>
        <v>0</v>
      </c>
      <c r="V2153" s="59">
        <f t="shared" si="331"/>
        <v>0</v>
      </c>
      <c r="W2153" s="39">
        <f t="shared" si="332"/>
        <v>0</v>
      </c>
      <c r="X2153" s="40">
        <f t="shared" si="333"/>
        <v>0</v>
      </c>
      <c r="Y2153"/>
      <c r="Z2153"/>
      <c r="AA2153"/>
    </row>
    <row r="2154" spans="1:27" s="51" customFormat="1" ht="18.600000000000001" customHeight="1" x14ac:dyDescent="0.25">
      <c r="A2154" s="82" t="s">
        <v>2653</v>
      </c>
      <c r="B2154" s="41" t="s">
        <v>9323</v>
      </c>
      <c r="C2154" s="42"/>
      <c r="D2154" s="41" t="s">
        <v>9428</v>
      </c>
      <c r="E2154" s="43" t="s">
        <v>9517</v>
      </c>
      <c r="F2154" s="43" t="s">
        <v>1937</v>
      </c>
      <c r="G2154" s="43"/>
      <c r="H2154" s="85" t="s">
        <v>9646</v>
      </c>
      <c r="I2154" s="23" t="s">
        <v>24</v>
      </c>
      <c r="J2154" s="44">
        <v>100</v>
      </c>
      <c r="K2154" s="45">
        <v>0.25</v>
      </c>
      <c r="L2154" s="46">
        <f t="shared" si="325"/>
        <v>25</v>
      </c>
      <c r="M2154" s="47">
        <f t="shared" si="326"/>
        <v>75</v>
      </c>
      <c r="N2154" s="48">
        <v>0.16</v>
      </c>
      <c r="O2154" s="49">
        <f t="shared" si="327"/>
        <v>12</v>
      </c>
      <c r="P2154" s="50">
        <f t="shared" si="328"/>
        <v>87</v>
      </c>
      <c r="Q2154" s="23"/>
      <c r="R2154" s="60"/>
      <c r="S2154" s="61">
        <v>1</v>
      </c>
      <c r="T2154" s="62">
        <f t="shared" si="329"/>
        <v>100</v>
      </c>
      <c r="U2154" s="46">
        <f t="shared" si="330"/>
        <v>25</v>
      </c>
      <c r="V2154" s="63">
        <f t="shared" si="331"/>
        <v>75</v>
      </c>
      <c r="W2154" s="49">
        <f t="shared" si="332"/>
        <v>12</v>
      </c>
      <c r="X2154" s="50">
        <f t="shared" si="333"/>
        <v>87</v>
      </c>
      <c r="Y2154"/>
      <c r="Z2154"/>
      <c r="AA2154"/>
    </row>
    <row r="2155" spans="1:27" s="51" customFormat="1" ht="18.600000000000001" hidden="1" customHeight="1" x14ac:dyDescent="0.25">
      <c r="A2155" s="80" t="s">
        <v>2653</v>
      </c>
      <c r="B2155" s="20" t="s">
        <v>9323</v>
      </c>
      <c r="C2155" s="21"/>
      <c r="D2155" s="20" t="s">
        <v>9429</v>
      </c>
      <c r="E2155" s="22" t="s">
        <v>9518</v>
      </c>
      <c r="F2155" s="22" t="s">
        <v>1937</v>
      </c>
      <c r="G2155" s="22"/>
      <c r="H2155" s="83" t="s">
        <v>9647</v>
      </c>
      <c r="I2155" s="23" t="s">
        <v>24</v>
      </c>
      <c r="J2155" s="24">
        <v>100</v>
      </c>
      <c r="K2155" s="25">
        <v>0.25</v>
      </c>
      <c r="L2155" s="26">
        <f t="shared" si="325"/>
        <v>25</v>
      </c>
      <c r="M2155" s="27">
        <f t="shared" si="326"/>
        <v>75</v>
      </c>
      <c r="N2155" s="28">
        <v>0.16</v>
      </c>
      <c r="O2155" s="29">
        <f t="shared" si="327"/>
        <v>12</v>
      </c>
      <c r="P2155" s="30">
        <f t="shared" si="328"/>
        <v>87</v>
      </c>
      <c r="Q2155" s="23"/>
      <c r="R2155" s="52"/>
      <c r="S2155" s="53"/>
      <c r="T2155" s="54">
        <f t="shared" si="329"/>
        <v>0</v>
      </c>
      <c r="U2155" s="26">
        <f t="shared" si="330"/>
        <v>0</v>
      </c>
      <c r="V2155" s="55">
        <f t="shared" si="331"/>
        <v>0</v>
      </c>
      <c r="W2155" s="29">
        <f t="shared" si="332"/>
        <v>0</v>
      </c>
      <c r="X2155" s="30">
        <f t="shared" si="333"/>
        <v>0</v>
      </c>
      <c r="Y2155"/>
      <c r="Z2155"/>
      <c r="AA2155"/>
    </row>
    <row r="2156" spans="1:27" s="51" customFormat="1" ht="18.600000000000001" customHeight="1" x14ac:dyDescent="0.25">
      <c r="A2156" s="81" t="s">
        <v>2653</v>
      </c>
      <c r="B2156" s="31" t="s">
        <v>9323</v>
      </c>
      <c r="C2156" s="32"/>
      <c r="D2156" s="31" t="s">
        <v>9430</v>
      </c>
      <c r="E2156" s="33" t="s">
        <v>9519</v>
      </c>
      <c r="F2156" s="33" t="s">
        <v>1937</v>
      </c>
      <c r="G2156" s="33"/>
      <c r="H2156" s="84" t="s">
        <v>9648</v>
      </c>
      <c r="I2156" s="23" t="s">
        <v>24</v>
      </c>
      <c r="J2156" s="34">
        <v>100</v>
      </c>
      <c r="K2156" s="35">
        <v>0.25</v>
      </c>
      <c r="L2156" s="36">
        <f t="shared" si="325"/>
        <v>25</v>
      </c>
      <c r="M2156" s="37">
        <f t="shared" si="326"/>
        <v>75</v>
      </c>
      <c r="N2156" s="38">
        <v>0.16</v>
      </c>
      <c r="O2156" s="39">
        <f t="shared" si="327"/>
        <v>12</v>
      </c>
      <c r="P2156" s="40">
        <f t="shared" si="328"/>
        <v>87</v>
      </c>
      <c r="Q2156" s="23"/>
      <c r="R2156" s="56"/>
      <c r="S2156" s="57">
        <v>1</v>
      </c>
      <c r="T2156" s="58">
        <f t="shared" si="329"/>
        <v>100</v>
      </c>
      <c r="U2156" s="36">
        <f t="shared" si="330"/>
        <v>25</v>
      </c>
      <c r="V2156" s="59">
        <f t="shared" si="331"/>
        <v>75</v>
      </c>
      <c r="W2156" s="39">
        <f t="shared" si="332"/>
        <v>12</v>
      </c>
      <c r="X2156" s="40">
        <f t="shared" si="333"/>
        <v>87</v>
      </c>
      <c r="Y2156"/>
      <c r="Z2156"/>
      <c r="AA2156"/>
    </row>
    <row r="2157" spans="1:27" s="51" customFormat="1" ht="18.600000000000001" hidden="1" customHeight="1" x14ac:dyDescent="0.25">
      <c r="A2157" s="82" t="s">
        <v>2653</v>
      </c>
      <c r="B2157" s="41" t="s">
        <v>9323</v>
      </c>
      <c r="C2157" s="42"/>
      <c r="D2157" s="41" t="s">
        <v>9431</v>
      </c>
      <c r="E2157" s="43" t="s">
        <v>9520</v>
      </c>
      <c r="F2157" s="43" t="s">
        <v>1937</v>
      </c>
      <c r="G2157" s="43"/>
      <c r="H2157" s="85" t="s">
        <v>9649</v>
      </c>
      <c r="I2157" s="23" t="s">
        <v>24</v>
      </c>
      <c r="J2157" s="44">
        <v>100</v>
      </c>
      <c r="K2157" s="45">
        <v>0.25</v>
      </c>
      <c r="L2157" s="46">
        <f t="shared" si="325"/>
        <v>25</v>
      </c>
      <c r="M2157" s="47">
        <f t="shared" si="326"/>
        <v>75</v>
      </c>
      <c r="N2157" s="48">
        <v>0.16</v>
      </c>
      <c r="O2157" s="49">
        <f t="shared" si="327"/>
        <v>12</v>
      </c>
      <c r="P2157" s="50">
        <f t="shared" si="328"/>
        <v>87</v>
      </c>
      <c r="Q2157" s="23"/>
      <c r="R2157" s="60"/>
      <c r="S2157" s="61"/>
      <c r="T2157" s="62">
        <f t="shared" si="329"/>
        <v>0</v>
      </c>
      <c r="U2157" s="46">
        <f t="shared" si="330"/>
        <v>0</v>
      </c>
      <c r="V2157" s="63">
        <f t="shared" si="331"/>
        <v>0</v>
      </c>
      <c r="W2157" s="49">
        <f t="shared" si="332"/>
        <v>0</v>
      </c>
      <c r="X2157" s="50">
        <f t="shared" si="333"/>
        <v>0</v>
      </c>
      <c r="Y2157"/>
      <c r="Z2157"/>
      <c r="AA2157"/>
    </row>
    <row r="2158" spans="1:27" s="51" customFormat="1" ht="18.600000000000001" hidden="1" customHeight="1" x14ac:dyDescent="0.25">
      <c r="A2158" s="80" t="s">
        <v>2653</v>
      </c>
      <c r="B2158" s="20" t="s">
        <v>9323</v>
      </c>
      <c r="C2158" s="21"/>
      <c r="D2158" s="20" t="s">
        <v>9432</v>
      </c>
      <c r="E2158" s="22" t="s">
        <v>9521</v>
      </c>
      <c r="F2158" s="22" t="s">
        <v>1937</v>
      </c>
      <c r="G2158" s="22"/>
      <c r="H2158" s="83" t="s">
        <v>9650</v>
      </c>
      <c r="I2158" s="23" t="s">
        <v>24</v>
      </c>
      <c r="J2158" s="24">
        <v>100</v>
      </c>
      <c r="K2158" s="25">
        <v>0.25</v>
      </c>
      <c r="L2158" s="26">
        <f t="shared" si="325"/>
        <v>25</v>
      </c>
      <c r="M2158" s="27">
        <f t="shared" si="326"/>
        <v>75</v>
      </c>
      <c r="N2158" s="28">
        <v>0.16</v>
      </c>
      <c r="O2158" s="29">
        <f t="shared" si="327"/>
        <v>12</v>
      </c>
      <c r="P2158" s="30">
        <f t="shared" si="328"/>
        <v>87</v>
      </c>
      <c r="Q2158" s="23"/>
      <c r="R2158" s="52"/>
      <c r="S2158" s="53"/>
      <c r="T2158" s="54">
        <f t="shared" si="329"/>
        <v>0</v>
      </c>
      <c r="U2158" s="26">
        <f t="shared" si="330"/>
        <v>0</v>
      </c>
      <c r="V2158" s="55">
        <f t="shared" si="331"/>
        <v>0</v>
      </c>
      <c r="W2158" s="29">
        <f t="shared" si="332"/>
        <v>0</v>
      </c>
      <c r="X2158" s="30">
        <f t="shared" si="333"/>
        <v>0</v>
      </c>
      <c r="Y2158"/>
      <c r="Z2158"/>
      <c r="AA2158"/>
    </row>
    <row r="2159" spans="1:27" s="51" customFormat="1" ht="18.600000000000001" hidden="1" customHeight="1" x14ac:dyDescent="0.25">
      <c r="A2159" s="81" t="s">
        <v>2653</v>
      </c>
      <c r="B2159" s="31" t="s">
        <v>9323</v>
      </c>
      <c r="C2159" s="32"/>
      <c r="D2159" s="31" t="s">
        <v>9433</v>
      </c>
      <c r="E2159" s="33" t="s">
        <v>9522</v>
      </c>
      <c r="F2159" s="33" t="s">
        <v>1937</v>
      </c>
      <c r="G2159" s="33"/>
      <c r="H2159" s="84" t="s">
        <v>9651</v>
      </c>
      <c r="I2159" s="23" t="s">
        <v>24</v>
      </c>
      <c r="J2159" s="34">
        <v>100</v>
      </c>
      <c r="K2159" s="35">
        <v>0.25</v>
      </c>
      <c r="L2159" s="36">
        <f t="shared" si="325"/>
        <v>25</v>
      </c>
      <c r="M2159" s="37">
        <f t="shared" si="326"/>
        <v>75</v>
      </c>
      <c r="N2159" s="38">
        <v>0.16</v>
      </c>
      <c r="O2159" s="39">
        <f t="shared" si="327"/>
        <v>12</v>
      </c>
      <c r="P2159" s="40">
        <f t="shared" si="328"/>
        <v>87</v>
      </c>
      <c r="Q2159" s="23"/>
      <c r="R2159" s="56"/>
      <c r="S2159" s="57"/>
      <c r="T2159" s="58">
        <f t="shared" si="329"/>
        <v>0</v>
      </c>
      <c r="U2159" s="36">
        <f t="shared" si="330"/>
        <v>0</v>
      </c>
      <c r="V2159" s="59">
        <f t="shared" si="331"/>
        <v>0</v>
      </c>
      <c r="W2159" s="39">
        <f t="shared" si="332"/>
        <v>0</v>
      </c>
      <c r="X2159" s="40">
        <f t="shared" si="333"/>
        <v>0</v>
      </c>
      <c r="Y2159"/>
      <c r="Z2159"/>
      <c r="AA2159"/>
    </row>
    <row r="2160" spans="1:27" s="51" customFormat="1" ht="18.600000000000001" hidden="1" customHeight="1" x14ac:dyDescent="0.25">
      <c r="A2160" s="82" t="s">
        <v>2653</v>
      </c>
      <c r="B2160" s="41" t="s">
        <v>9323</v>
      </c>
      <c r="C2160" s="42"/>
      <c r="D2160" s="41" t="s">
        <v>9434</v>
      </c>
      <c r="E2160" s="43" t="s">
        <v>9523</v>
      </c>
      <c r="F2160" s="43" t="s">
        <v>1937</v>
      </c>
      <c r="G2160" s="43"/>
      <c r="H2160" s="85" t="s">
        <v>9652</v>
      </c>
      <c r="I2160" s="23" t="s">
        <v>24</v>
      </c>
      <c r="J2160" s="44">
        <v>100</v>
      </c>
      <c r="K2160" s="45">
        <v>0.25</v>
      </c>
      <c r="L2160" s="46">
        <f t="shared" si="325"/>
        <v>25</v>
      </c>
      <c r="M2160" s="47">
        <f t="shared" si="326"/>
        <v>75</v>
      </c>
      <c r="N2160" s="48">
        <v>0.16</v>
      </c>
      <c r="O2160" s="49">
        <f t="shared" si="327"/>
        <v>12</v>
      </c>
      <c r="P2160" s="50">
        <f t="shared" si="328"/>
        <v>87</v>
      </c>
      <c r="Q2160" s="23"/>
      <c r="R2160" s="60"/>
      <c r="S2160" s="61"/>
      <c r="T2160" s="62">
        <f t="shared" si="329"/>
        <v>0</v>
      </c>
      <c r="U2160" s="46">
        <f t="shared" si="330"/>
        <v>0</v>
      </c>
      <c r="V2160" s="63">
        <f t="shared" si="331"/>
        <v>0</v>
      </c>
      <c r="W2160" s="49">
        <f t="shared" si="332"/>
        <v>0</v>
      </c>
      <c r="X2160" s="50">
        <f t="shared" si="333"/>
        <v>0</v>
      </c>
      <c r="Y2160"/>
      <c r="Z2160"/>
      <c r="AA2160"/>
    </row>
    <row r="2161" spans="1:27" s="51" customFormat="1" ht="18.600000000000001" hidden="1" customHeight="1" x14ac:dyDescent="0.25">
      <c r="A2161" s="80" t="s">
        <v>2653</v>
      </c>
      <c r="B2161" s="20" t="s">
        <v>9323</v>
      </c>
      <c r="C2161" s="21"/>
      <c r="D2161" s="20" t="s">
        <v>9435</v>
      </c>
      <c r="E2161" s="22" t="s">
        <v>9524</v>
      </c>
      <c r="F2161" s="22" t="s">
        <v>1937</v>
      </c>
      <c r="G2161" s="22"/>
      <c r="H2161" s="83" t="s">
        <v>9653</v>
      </c>
      <c r="I2161" s="23" t="s">
        <v>24</v>
      </c>
      <c r="J2161" s="24">
        <v>100</v>
      </c>
      <c r="K2161" s="25">
        <v>0.25</v>
      </c>
      <c r="L2161" s="26">
        <f t="shared" si="325"/>
        <v>25</v>
      </c>
      <c r="M2161" s="27">
        <f t="shared" si="326"/>
        <v>75</v>
      </c>
      <c r="N2161" s="28">
        <v>0.16</v>
      </c>
      <c r="O2161" s="29">
        <f t="shared" si="327"/>
        <v>12</v>
      </c>
      <c r="P2161" s="30">
        <f t="shared" si="328"/>
        <v>87</v>
      </c>
      <c r="Q2161" s="23"/>
      <c r="R2161" s="52"/>
      <c r="S2161" s="53"/>
      <c r="T2161" s="54">
        <f t="shared" si="329"/>
        <v>0</v>
      </c>
      <c r="U2161" s="26">
        <f t="shared" si="330"/>
        <v>0</v>
      </c>
      <c r="V2161" s="55">
        <f t="shared" si="331"/>
        <v>0</v>
      </c>
      <c r="W2161" s="29">
        <f t="shared" si="332"/>
        <v>0</v>
      </c>
      <c r="X2161" s="30">
        <f t="shared" si="333"/>
        <v>0</v>
      </c>
      <c r="Y2161"/>
      <c r="Z2161"/>
      <c r="AA2161"/>
    </row>
    <row r="2162" spans="1:27" s="51" customFormat="1" ht="18.600000000000001" hidden="1" customHeight="1" x14ac:dyDescent="0.25">
      <c r="A2162" s="81" t="s">
        <v>2653</v>
      </c>
      <c r="B2162" s="31" t="s">
        <v>9323</v>
      </c>
      <c r="C2162" s="32"/>
      <c r="D2162" s="31" t="s">
        <v>9436</v>
      </c>
      <c r="E2162" s="33" t="s">
        <v>9525</v>
      </c>
      <c r="F2162" s="33" t="s">
        <v>1937</v>
      </c>
      <c r="G2162" s="33"/>
      <c r="H2162" s="84" t="s">
        <v>9654</v>
      </c>
      <c r="I2162" s="23" t="s">
        <v>24</v>
      </c>
      <c r="J2162" s="34">
        <v>100</v>
      </c>
      <c r="K2162" s="35">
        <v>0.25</v>
      </c>
      <c r="L2162" s="36">
        <f t="shared" si="325"/>
        <v>25</v>
      </c>
      <c r="M2162" s="37">
        <f t="shared" si="326"/>
        <v>75</v>
      </c>
      <c r="N2162" s="38">
        <v>0.16</v>
      </c>
      <c r="O2162" s="39">
        <f t="shared" si="327"/>
        <v>12</v>
      </c>
      <c r="P2162" s="40">
        <f t="shared" si="328"/>
        <v>87</v>
      </c>
      <c r="Q2162" s="23"/>
      <c r="R2162" s="56"/>
      <c r="S2162" s="57"/>
      <c r="T2162" s="58">
        <f t="shared" si="329"/>
        <v>0</v>
      </c>
      <c r="U2162" s="36">
        <f t="shared" si="330"/>
        <v>0</v>
      </c>
      <c r="V2162" s="59">
        <f t="shared" si="331"/>
        <v>0</v>
      </c>
      <c r="W2162" s="39">
        <f t="shared" si="332"/>
        <v>0</v>
      </c>
      <c r="X2162" s="40">
        <f t="shared" si="333"/>
        <v>0</v>
      </c>
      <c r="Y2162"/>
      <c r="Z2162"/>
      <c r="AA2162"/>
    </row>
    <row r="2163" spans="1:27" s="51" customFormat="1" ht="18.600000000000001" hidden="1" customHeight="1" x14ac:dyDescent="0.25">
      <c r="A2163" s="82" t="s">
        <v>2653</v>
      </c>
      <c r="B2163" s="41" t="s">
        <v>9323</v>
      </c>
      <c r="C2163" s="42"/>
      <c r="D2163" s="41" t="s">
        <v>9437</v>
      </c>
      <c r="E2163" s="43" t="s">
        <v>9526</v>
      </c>
      <c r="F2163" s="43" t="s">
        <v>1937</v>
      </c>
      <c r="G2163" s="43"/>
      <c r="H2163" s="85" t="s">
        <v>9655</v>
      </c>
      <c r="I2163" s="23" t="s">
        <v>24</v>
      </c>
      <c r="J2163" s="44">
        <v>100</v>
      </c>
      <c r="K2163" s="45">
        <v>0.25</v>
      </c>
      <c r="L2163" s="46">
        <f t="shared" si="325"/>
        <v>25</v>
      </c>
      <c r="M2163" s="47">
        <f t="shared" si="326"/>
        <v>75</v>
      </c>
      <c r="N2163" s="48">
        <v>0.16</v>
      </c>
      <c r="O2163" s="49">
        <f t="shared" si="327"/>
        <v>12</v>
      </c>
      <c r="P2163" s="50">
        <f t="shared" si="328"/>
        <v>87</v>
      </c>
      <c r="Q2163" s="23"/>
      <c r="R2163" s="60"/>
      <c r="S2163" s="61"/>
      <c r="T2163" s="62">
        <f t="shared" si="329"/>
        <v>0</v>
      </c>
      <c r="U2163" s="46">
        <f t="shared" si="330"/>
        <v>0</v>
      </c>
      <c r="V2163" s="63">
        <f t="shared" si="331"/>
        <v>0</v>
      </c>
      <c r="W2163" s="49">
        <f t="shared" si="332"/>
        <v>0</v>
      </c>
      <c r="X2163" s="50">
        <f t="shared" si="333"/>
        <v>0</v>
      </c>
      <c r="Y2163"/>
      <c r="Z2163"/>
      <c r="AA2163"/>
    </row>
    <row r="2164" spans="1:27" s="51" customFormat="1" ht="18.600000000000001" hidden="1" customHeight="1" x14ac:dyDescent="0.25">
      <c r="A2164" s="80" t="s">
        <v>2653</v>
      </c>
      <c r="B2164" s="20" t="s">
        <v>9323</v>
      </c>
      <c r="C2164" s="21"/>
      <c r="D2164" s="20" t="s">
        <v>9438</v>
      </c>
      <c r="E2164" s="22" t="s">
        <v>9527</v>
      </c>
      <c r="F2164" s="22" t="s">
        <v>1937</v>
      </c>
      <c r="G2164" s="22"/>
      <c r="H2164" s="83" t="s">
        <v>9656</v>
      </c>
      <c r="I2164" s="23" t="s">
        <v>24</v>
      </c>
      <c r="J2164" s="24">
        <v>100</v>
      </c>
      <c r="K2164" s="25">
        <v>0.25</v>
      </c>
      <c r="L2164" s="26">
        <f t="shared" si="325"/>
        <v>25</v>
      </c>
      <c r="M2164" s="27">
        <f t="shared" si="326"/>
        <v>75</v>
      </c>
      <c r="N2164" s="28">
        <v>0.16</v>
      </c>
      <c r="O2164" s="29">
        <f t="shared" si="327"/>
        <v>12</v>
      </c>
      <c r="P2164" s="30">
        <f t="shared" si="328"/>
        <v>87</v>
      </c>
      <c r="Q2164" s="23"/>
      <c r="R2164" s="52"/>
      <c r="S2164" s="53"/>
      <c r="T2164" s="54">
        <f t="shared" si="329"/>
        <v>0</v>
      </c>
      <c r="U2164" s="26">
        <f t="shared" si="330"/>
        <v>0</v>
      </c>
      <c r="V2164" s="55">
        <f t="shared" si="331"/>
        <v>0</v>
      </c>
      <c r="W2164" s="29">
        <f t="shared" si="332"/>
        <v>0</v>
      </c>
      <c r="X2164" s="30">
        <f t="shared" si="333"/>
        <v>0</v>
      </c>
      <c r="Y2164"/>
      <c r="Z2164"/>
      <c r="AA2164"/>
    </row>
    <row r="2165" spans="1:27" s="51" customFormat="1" ht="18.600000000000001" hidden="1" customHeight="1" x14ac:dyDescent="0.25">
      <c r="A2165" s="81" t="s">
        <v>2653</v>
      </c>
      <c r="B2165" s="31" t="s">
        <v>9323</v>
      </c>
      <c r="C2165" s="32"/>
      <c r="D2165" s="31" t="s">
        <v>9439</v>
      </c>
      <c r="E2165" s="33" t="s">
        <v>9528</v>
      </c>
      <c r="F2165" s="33" t="s">
        <v>1937</v>
      </c>
      <c r="G2165" s="33"/>
      <c r="H2165" s="84" t="s">
        <v>9657</v>
      </c>
      <c r="I2165" s="23" t="s">
        <v>24</v>
      </c>
      <c r="J2165" s="34">
        <v>100</v>
      </c>
      <c r="K2165" s="35">
        <v>0.25</v>
      </c>
      <c r="L2165" s="36">
        <f t="shared" si="325"/>
        <v>25</v>
      </c>
      <c r="M2165" s="37">
        <f t="shared" si="326"/>
        <v>75</v>
      </c>
      <c r="N2165" s="38">
        <v>0.16</v>
      </c>
      <c r="O2165" s="39">
        <f t="shared" si="327"/>
        <v>12</v>
      </c>
      <c r="P2165" s="40">
        <f t="shared" si="328"/>
        <v>87</v>
      </c>
      <c r="Q2165" s="23"/>
      <c r="R2165" s="56"/>
      <c r="S2165" s="57"/>
      <c r="T2165" s="58">
        <f t="shared" si="329"/>
        <v>0</v>
      </c>
      <c r="U2165" s="36">
        <f t="shared" si="330"/>
        <v>0</v>
      </c>
      <c r="V2165" s="59">
        <f t="shared" si="331"/>
        <v>0</v>
      </c>
      <c r="W2165" s="39">
        <f t="shared" si="332"/>
        <v>0</v>
      </c>
      <c r="X2165" s="40">
        <f t="shared" si="333"/>
        <v>0</v>
      </c>
      <c r="Y2165"/>
      <c r="Z2165"/>
      <c r="AA2165"/>
    </row>
    <row r="2166" spans="1:27" s="51" customFormat="1" ht="18.600000000000001" hidden="1" customHeight="1" x14ac:dyDescent="0.25">
      <c r="A2166" s="82" t="s">
        <v>2653</v>
      </c>
      <c r="B2166" s="41" t="s">
        <v>9323</v>
      </c>
      <c r="C2166" s="42"/>
      <c r="D2166" s="41" t="s">
        <v>9440</v>
      </c>
      <c r="E2166" s="43" t="s">
        <v>9529</v>
      </c>
      <c r="F2166" s="43" t="s">
        <v>1937</v>
      </c>
      <c r="G2166" s="43"/>
      <c r="H2166" s="85" t="s">
        <v>9658</v>
      </c>
      <c r="I2166" s="23" t="s">
        <v>24</v>
      </c>
      <c r="J2166" s="44">
        <v>100</v>
      </c>
      <c r="K2166" s="45">
        <v>0.25</v>
      </c>
      <c r="L2166" s="46">
        <f t="shared" si="325"/>
        <v>25</v>
      </c>
      <c r="M2166" s="47">
        <f t="shared" si="326"/>
        <v>75</v>
      </c>
      <c r="N2166" s="48">
        <v>0.16</v>
      </c>
      <c r="O2166" s="49">
        <f t="shared" si="327"/>
        <v>12</v>
      </c>
      <c r="P2166" s="50">
        <f t="shared" si="328"/>
        <v>87</v>
      </c>
      <c r="Q2166" s="23"/>
      <c r="R2166" s="60"/>
      <c r="S2166" s="61"/>
      <c r="T2166" s="62">
        <f t="shared" si="329"/>
        <v>0</v>
      </c>
      <c r="U2166" s="46">
        <f t="shared" si="330"/>
        <v>0</v>
      </c>
      <c r="V2166" s="63">
        <f t="shared" si="331"/>
        <v>0</v>
      </c>
      <c r="W2166" s="49">
        <f t="shared" si="332"/>
        <v>0</v>
      </c>
      <c r="X2166" s="50">
        <f t="shared" si="333"/>
        <v>0</v>
      </c>
      <c r="Y2166"/>
      <c r="Z2166"/>
      <c r="AA2166"/>
    </row>
    <row r="2167" spans="1:27" s="51" customFormat="1" ht="18.600000000000001" hidden="1" customHeight="1" x14ac:dyDescent="0.25">
      <c r="A2167" s="80" t="s">
        <v>2653</v>
      </c>
      <c r="B2167" s="20" t="s">
        <v>9323</v>
      </c>
      <c r="C2167" s="21"/>
      <c r="D2167" s="20" t="s">
        <v>9441</v>
      </c>
      <c r="E2167" s="22" t="s">
        <v>9530</v>
      </c>
      <c r="F2167" s="22" t="s">
        <v>1937</v>
      </c>
      <c r="G2167" s="22"/>
      <c r="H2167" s="83" t="s">
        <v>9659</v>
      </c>
      <c r="I2167" s="23" t="s">
        <v>24</v>
      </c>
      <c r="J2167" s="24">
        <v>100</v>
      </c>
      <c r="K2167" s="25">
        <v>0.25</v>
      </c>
      <c r="L2167" s="26">
        <f t="shared" si="325"/>
        <v>25</v>
      </c>
      <c r="M2167" s="27">
        <f t="shared" si="326"/>
        <v>75</v>
      </c>
      <c r="N2167" s="28">
        <v>0.16</v>
      </c>
      <c r="O2167" s="29">
        <f t="shared" si="327"/>
        <v>12</v>
      </c>
      <c r="P2167" s="30">
        <f t="shared" si="328"/>
        <v>87</v>
      </c>
      <c r="Q2167" s="23"/>
      <c r="R2167" s="52"/>
      <c r="S2167" s="53"/>
      <c r="T2167" s="54">
        <f t="shared" si="329"/>
        <v>0</v>
      </c>
      <c r="U2167" s="26">
        <f t="shared" si="330"/>
        <v>0</v>
      </c>
      <c r="V2167" s="55">
        <f t="shared" si="331"/>
        <v>0</v>
      </c>
      <c r="W2167" s="29">
        <f t="shared" si="332"/>
        <v>0</v>
      </c>
      <c r="X2167" s="30">
        <f t="shared" si="333"/>
        <v>0</v>
      </c>
      <c r="Y2167"/>
      <c r="Z2167"/>
      <c r="AA2167"/>
    </row>
    <row r="2168" spans="1:27" s="51" customFormat="1" ht="18.600000000000001" hidden="1" customHeight="1" x14ac:dyDescent="0.25">
      <c r="A2168" s="81" t="s">
        <v>2653</v>
      </c>
      <c r="B2168" s="31" t="s">
        <v>9323</v>
      </c>
      <c r="C2168" s="32"/>
      <c r="D2168" s="31" t="s">
        <v>9442</v>
      </c>
      <c r="E2168" s="33" t="s">
        <v>9531</v>
      </c>
      <c r="F2168" s="33" t="s">
        <v>1937</v>
      </c>
      <c r="G2168" s="33"/>
      <c r="H2168" s="84" t="s">
        <v>9660</v>
      </c>
      <c r="I2168" s="23" t="s">
        <v>24</v>
      </c>
      <c r="J2168" s="34">
        <v>100</v>
      </c>
      <c r="K2168" s="35">
        <v>0.25</v>
      </c>
      <c r="L2168" s="36">
        <f t="shared" si="325"/>
        <v>25</v>
      </c>
      <c r="M2168" s="37">
        <f t="shared" si="326"/>
        <v>75</v>
      </c>
      <c r="N2168" s="38">
        <v>0.16</v>
      </c>
      <c r="O2168" s="39">
        <f t="shared" si="327"/>
        <v>12</v>
      </c>
      <c r="P2168" s="40">
        <f t="shared" si="328"/>
        <v>87</v>
      </c>
      <c r="Q2168" s="23"/>
      <c r="R2168" s="56"/>
      <c r="S2168" s="57"/>
      <c r="T2168" s="58">
        <f t="shared" si="329"/>
        <v>0</v>
      </c>
      <c r="U2168" s="36">
        <f t="shared" si="330"/>
        <v>0</v>
      </c>
      <c r="V2168" s="59">
        <f t="shared" si="331"/>
        <v>0</v>
      </c>
      <c r="W2168" s="39">
        <f t="shared" si="332"/>
        <v>0</v>
      </c>
      <c r="X2168" s="40">
        <f t="shared" si="333"/>
        <v>0</v>
      </c>
      <c r="Y2168"/>
      <c r="Z2168"/>
      <c r="AA2168"/>
    </row>
    <row r="2169" spans="1:27" s="51" customFormat="1" ht="18.600000000000001" hidden="1" customHeight="1" x14ac:dyDescent="0.25">
      <c r="A2169" s="82" t="s">
        <v>2653</v>
      </c>
      <c r="B2169" s="41" t="s">
        <v>9323</v>
      </c>
      <c r="C2169" s="42"/>
      <c r="D2169" s="41" t="s">
        <v>9443</v>
      </c>
      <c r="E2169" s="43" t="s">
        <v>9532</v>
      </c>
      <c r="F2169" s="43" t="s">
        <v>1937</v>
      </c>
      <c r="G2169" s="43"/>
      <c r="H2169" s="85" t="s">
        <v>9661</v>
      </c>
      <c r="I2169" s="23" t="s">
        <v>24</v>
      </c>
      <c r="J2169" s="44">
        <v>100</v>
      </c>
      <c r="K2169" s="45">
        <v>0.25</v>
      </c>
      <c r="L2169" s="46">
        <f t="shared" si="325"/>
        <v>25</v>
      </c>
      <c r="M2169" s="47">
        <f t="shared" si="326"/>
        <v>75</v>
      </c>
      <c r="N2169" s="48">
        <v>0.16</v>
      </c>
      <c r="O2169" s="49">
        <f t="shared" si="327"/>
        <v>12</v>
      </c>
      <c r="P2169" s="50">
        <f t="shared" si="328"/>
        <v>87</v>
      </c>
      <c r="Q2169" s="23"/>
      <c r="R2169" s="60"/>
      <c r="S2169" s="61"/>
      <c r="T2169" s="62">
        <f t="shared" si="329"/>
        <v>0</v>
      </c>
      <c r="U2169" s="46">
        <f t="shared" si="330"/>
        <v>0</v>
      </c>
      <c r="V2169" s="63">
        <f t="shared" si="331"/>
        <v>0</v>
      </c>
      <c r="W2169" s="49">
        <f t="shared" si="332"/>
        <v>0</v>
      </c>
      <c r="X2169" s="50">
        <f t="shared" si="333"/>
        <v>0</v>
      </c>
      <c r="Y2169"/>
      <c r="Z2169"/>
      <c r="AA2169"/>
    </row>
    <row r="2170" spans="1:27" s="51" customFormat="1" ht="18.600000000000001" hidden="1" customHeight="1" x14ac:dyDescent="0.25">
      <c r="A2170" s="80" t="s">
        <v>2653</v>
      </c>
      <c r="B2170" s="20" t="s">
        <v>9323</v>
      </c>
      <c r="C2170" s="21"/>
      <c r="D2170" s="20" t="s">
        <v>9444</v>
      </c>
      <c r="E2170" s="22" t="s">
        <v>9533</v>
      </c>
      <c r="F2170" s="22" t="s">
        <v>1937</v>
      </c>
      <c r="G2170" s="22"/>
      <c r="H2170" s="83" t="s">
        <v>9662</v>
      </c>
      <c r="I2170" s="23" t="s">
        <v>24</v>
      </c>
      <c r="J2170" s="24">
        <v>100</v>
      </c>
      <c r="K2170" s="25">
        <v>0.25</v>
      </c>
      <c r="L2170" s="26">
        <f t="shared" si="325"/>
        <v>25</v>
      </c>
      <c r="M2170" s="27">
        <f t="shared" si="326"/>
        <v>75</v>
      </c>
      <c r="N2170" s="28">
        <v>0.16</v>
      </c>
      <c r="O2170" s="29">
        <f t="shared" si="327"/>
        <v>12</v>
      </c>
      <c r="P2170" s="30">
        <f t="shared" si="328"/>
        <v>87</v>
      </c>
      <c r="Q2170" s="23"/>
      <c r="R2170" s="52"/>
      <c r="S2170" s="53"/>
      <c r="T2170" s="54">
        <f t="shared" si="329"/>
        <v>0</v>
      </c>
      <c r="U2170" s="26">
        <f t="shared" si="330"/>
        <v>0</v>
      </c>
      <c r="V2170" s="55">
        <f t="shared" si="331"/>
        <v>0</v>
      </c>
      <c r="W2170" s="29">
        <f t="shared" si="332"/>
        <v>0</v>
      </c>
      <c r="X2170" s="30">
        <f t="shared" si="333"/>
        <v>0</v>
      </c>
      <c r="Y2170"/>
      <c r="Z2170"/>
      <c r="AA2170"/>
    </row>
    <row r="2171" spans="1:27" s="51" customFormat="1" ht="18.600000000000001" hidden="1" customHeight="1" x14ac:dyDescent="0.25">
      <c r="A2171" s="81" t="s">
        <v>2653</v>
      </c>
      <c r="B2171" s="31" t="s">
        <v>9323</v>
      </c>
      <c r="C2171" s="32"/>
      <c r="D2171" s="31" t="s">
        <v>9445</v>
      </c>
      <c r="E2171" s="33" t="s">
        <v>9534</v>
      </c>
      <c r="F2171" s="33" t="s">
        <v>1937</v>
      </c>
      <c r="G2171" s="33"/>
      <c r="H2171" s="84" t="s">
        <v>9663</v>
      </c>
      <c r="I2171" s="23" t="s">
        <v>24</v>
      </c>
      <c r="J2171" s="34">
        <v>100</v>
      </c>
      <c r="K2171" s="35">
        <v>0.25</v>
      </c>
      <c r="L2171" s="36">
        <f t="shared" si="325"/>
        <v>25</v>
      </c>
      <c r="M2171" s="37">
        <f t="shared" si="326"/>
        <v>75</v>
      </c>
      <c r="N2171" s="38">
        <v>0.16</v>
      </c>
      <c r="O2171" s="39">
        <f t="shared" si="327"/>
        <v>12</v>
      </c>
      <c r="P2171" s="40">
        <f t="shared" si="328"/>
        <v>87</v>
      </c>
      <c r="Q2171" s="23"/>
      <c r="R2171" s="56"/>
      <c r="S2171" s="57"/>
      <c r="T2171" s="58">
        <f t="shared" si="329"/>
        <v>0</v>
      </c>
      <c r="U2171" s="36">
        <f t="shared" si="330"/>
        <v>0</v>
      </c>
      <c r="V2171" s="59">
        <f t="shared" si="331"/>
        <v>0</v>
      </c>
      <c r="W2171" s="39">
        <f t="shared" si="332"/>
        <v>0</v>
      </c>
      <c r="X2171" s="40">
        <f t="shared" si="333"/>
        <v>0</v>
      </c>
      <c r="Y2171"/>
      <c r="Z2171"/>
      <c r="AA2171"/>
    </row>
    <row r="2172" spans="1:27" s="51" customFormat="1" ht="18.600000000000001" hidden="1" customHeight="1" x14ac:dyDescent="0.25">
      <c r="A2172" s="82" t="s">
        <v>2653</v>
      </c>
      <c r="B2172" s="41" t="s">
        <v>9325</v>
      </c>
      <c r="C2172" s="42" t="s">
        <v>9326</v>
      </c>
      <c r="D2172" s="41" t="s">
        <v>5385</v>
      </c>
      <c r="E2172" s="43" t="s">
        <v>5386</v>
      </c>
      <c r="F2172" s="43" t="s">
        <v>1937</v>
      </c>
      <c r="G2172" s="43" t="s">
        <v>5387</v>
      </c>
      <c r="H2172" s="85" t="s">
        <v>5388</v>
      </c>
      <c r="I2172" s="23" t="s">
        <v>24</v>
      </c>
      <c r="J2172" s="44">
        <v>4900</v>
      </c>
      <c r="K2172" s="45">
        <v>0.25</v>
      </c>
      <c r="L2172" s="46">
        <f t="shared" si="325"/>
        <v>1225</v>
      </c>
      <c r="M2172" s="47">
        <f t="shared" si="326"/>
        <v>3675</v>
      </c>
      <c r="N2172" s="48">
        <v>0.16</v>
      </c>
      <c r="O2172" s="49">
        <f t="shared" si="327"/>
        <v>588</v>
      </c>
      <c r="P2172" s="50">
        <f t="shared" si="328"/>
        <v>4263</v>
      </c>
      <c r="Q2172" s="23"/>
      <c r="R2172" s="60"/>
      <c r="S2172" s="61"/>
      <c r="T2172" s="62">
        <f t="shared" si="329"/>
        <v>0</v>
      </c>
      <c r="U2172" s="46">
        <f t="shared" si="330"/>
        <v>0</v>
      </c>
      <c r="V2172" s="63">
        <f t="shared" si="331"/>
        <v>0</v>
      </c>
      <c r="W2172" s="49">
        <f t="shared" si="332"/>
        <v>0</v>
      </c>
      <c r="X2172" s="50">
        <f t="shared" si="333"/>
        <v>0</v>
      </c>
      <c r="Y2172"/>
      <c r="Z2172"/>
      <c r="AA2172"/>
    </row>
    <row r="2173" spans="1:27" s="51" customFormat="1" ht="18.600000000000001" hidden="1" customHeight="1" x14ac:dyDescent="0.25">
      <c r="A2173" s="80" t="s">
        <v>2653</v>
      </c>
      <c r="B2173" s="20" t="s">
        <v>9325</v>
      </c>
      <c r="C2173" s="21" t="s">
        <v>9327</v>
      </c>
      <c r="D2173" s="20" t="s">
        <v>5389</v>
      </c>
      <c r="E2173" s="22" t="s">
        <v>5390</v>
      </c>
      <c r="F2173" s="22" t="s">
        <v>1937</v>
      </c>
      <c r="G2173" s="22" t="s">
        <v>5391</v>
      </c>
      <c r="H2173" s="83" t="s">
        <v>5392</v>
      </c>
      <c r="I2173" s="23" t="s">
        <v>24</v>
      </c>
      <c r="J2173" s="24">
        <v>180</v>
      </c>
      <c r="K2173" s="25">
        <v>0.25</v>
      </c>
      <c r="L2173" s="26">
        <f t="shared" si="325"/>
        <v>45</v>
      </c>
      <c r="M2173" s="27">
        <f t="shared" si="326"/>
        <v>135</v>
      </c>
      <c r="N2173" s="28">
        <v>0.16</v>
      </c>
      <c r="O2173" s="29">
        <f t="shared" si="327"/>
        <v>21.6</v>
      </c>
      <c r="P2173" s="30">
        <f t="shared" si="328"/>
        <v>156.6</v>
      </c>
      <c r="Q2173" s="23"/>
      <c r="R2173" s="52"/>
      <c r="S2173" s="53"/>
      <c r="T2173" s="54">
        <f t="shared" si="329"/>
        <v>0</v>
      </c>
      <c r="U2173" s="26">
        <f t="shared" si="330"/>
        <v>0</v>
      </c>
      <c r="V2173" s="55">
        <f t="shared" si="331"/>
        <v>0</v>
      </c>
      <c r="W2173" s="29">
        <f t="shared" si="332"/>
        <v>0</v>
      </c>
      <c r="X2173" s="30">
        <f t="shared" si="333"/>
        <v>0</v>
      </c>
      <c r="Y2173"/>
      <c r="Z2173"/>
      <c r="AA2173"/>
    </row>
    <row r="2174" spans="1:27" s="51" customFormat="1" ht="18.600000000000001" hidden="1" customHeight="1" x14ac:dyDescent="0.25">
      <c r="A2174" s="81" t="s">
        <v>2653</v>
      </c>
      <c r="B2174" s="31" t="s">
        <v>9325</v>
      </c>
      <c r="C2174" s="32" t="s">
        <v>9327</v>
      </c>
      <c r="D2174" s="31" t="s">
        <v>5393</v>
      </c>
      <c r="E2174" s="33" t="s">
        <v>5394</v>
      </c>
      <c r="F2174" s="33" t="s">
        <v>1937</v>
      </c>
      <c r="G2174" s="33" t="s">
        <v>5391</v>
      </c>
      <c r="H2174" s="84" t="s">
        <v>189</v>
      </c>
      <c r="I2174" s="23" t="s">
        <v>24</v>
      </c>
      <c r="J2174" s="34">
        <v>180</v>
      </c>
      <c r="K2174" s="35">
        <v>0.25</v>
      </c>
      <c r="L2174" s="36">
        <f t="shared" si="325"/>
        <v>45</v>
      </c>
      <c r="M2174" s="37">
        <f t="shared" si="326"/>
        <v>135</v>
      </c>
      <c r="N2174" s="38">
        <v>0.16</v>
      </c>
      <c r="O2174" s="39">
        <f t="shared" si="327"/>
        <v>21.6</v>
      </c>
      <c r="P2174" s="40">
        <f t="shared" si="328"/>
        <v>156.6</v>
      </c>
      <c r="Q2174" s="23"/>
      <c r="R2174" s="56"/>
      <c r="S2174" s="57"/>
      <c r="T2174" s="58">
        <f t="shared" si="329"/>
        <v>0</v>
      </c>
      <c r="U2174" s="36">
        <f t="shared" si="330"/>
        <v>0</v>
      </c>
      <c r="V2174" s="59">
        <f t="shared" si="331"/>
        <v>0</v>
      </c>
      <c r="W2174" s="39">
        <f t="shared" si="332"/>
        <v>0</v>
      </c>
      <c r="X2174" s="40">
        <f t="shared" si="333"/>
        <v>0</v>
      </c>
      <c r="Y2174"/>
      <c r="Z2174"/>
      <c r="AA2174"/>
    </row>
    <row r="2175" spans="1:27" s="51" customFormat="1" ht="18.600000000000001" hidden="1" customHeight="1" x14ac:dyDescent="0.25">
      <c r="A2175" s="82" t="s">
        <v>2653</v>
      </c>
      <c r="B2175" s="41" t="s">
        <v>9325</v>
      </c>
      <c r="C2175" s="42" t="s">
        <v>9327</v>
      </c>
      <c r="D2175" s="41" t="s">
        <v>5395</v>
      </c>
      <c r="E2175" s="43" t="s">
        <v>5396</v>
      </c>
      <c r="F2175" s="43" t="s">
        <v>1937</v>
      </c>
      <c r="G2175" s="43" t="s">
        <v>5391</v>
      </c>
      <c r="H2175" s="85" t="s">
        <v>5397</v>
      </c>
      <c r="I2175" s="23" t="s">
        <v>24</v>
      </c>
      <c r="J2175" s="44">
        <v>180</v>
      </c>
      <c r="K2175" s="45">
        <v>0.25</v>
      </c>
      <c r="L2175" s="46">
        <f t="shared" si="325"/>
        <v>45</v>
      </c>
      <c r="M2175" s="47">
        <f t="shared" si="326"/>
        <v>135</v>
      </c>
      <c r="N2175" s="48">
        <v>0.16</v>
      </c>
      <c r="O2175" s="49">
        <f t="shared" si="327"/>
        <v>21.6</v>
      </c>
      <c r="P2175" s="50">
        <f t="shared" si="328"/>
        <v>156.6</v>
      </c>
      <c r="Q2175" s="23"/>
      <c r="R2175" s="60"/>
      <c r="S2175" s="61"/>
      <c r="T2175" s="62">
        <f t="shared" si="329"/>
        <v>0</v>
      </c>
      <c r="U2175" s="46">
        <f t="shared" si="330"/>
        <v>0</v>
      </c>
      <c r="V2175" s="63">
        <f t="shared" si="331"/>
        <v>0</v>
      </c>
      <c r="W2175" s="49">
        <f t="shared" si="332"/>
        <v>0</v>
      </c>
      <c r="X2175" s="50">
        <f t="shared" si="333"/>
        <v>0</v>
      </c>
      <c r="Y2175"/>
      <c r="Z2175"/>
      <c r="AA2175"/>
    </row>
    <row r="2176" spans="1:27" s="51" customFormat="1" ht="18.600000000000001" hidden="1" customHeight="1" x14ac:dyDescent="0.25">
      <c r="A2176" s="80" t="s">
        <v>2653</v>
      </c>
      <c r="B2176" s="20" t="s">
        <v>9325</v>
      </c>
      <c r="C2176" s="21" t="s">
        <v>9327</v>
      </c>
      <c r="D2176" s="20" t="s">
        <v>5398</v>
      </c>
      <c r="E2176" s="22" t="s">
        <v>5399</v>
      </c>
      <c r="F2176" s="22" t="s">
        <v>1937</v>
      </c>
      <c r="G2176" s="22" t="s">
        <v>5391</v>
      </c>
      <c r="H2176" s="83" t="s">
        <v>5400</v>
      </c>
      <c r="I2176" s="23" t="s">
        <v>24</v>
      </c>
      <c r="J2176" s="24">
        <v>180</v>
      </c>
      <c r="K2176" s="25">
        <v>0.25</v>
      </c>
      <c r="L2176" s="26">
        <f t="shared" si="325"/>
        <v>45</v>
      </c>
      <c r="M2176" s="27">
        <f t="shared" si="326"/>
        <v>135</v>
      </c>
      <c r="N2176" s="28">
        <v>0.16</v>
      </c>
      <c r="O2176" s="29">
        <f t="shared" si="327"/>
        <v>21.6</v>
      </c>
      <c r="P2176" s="30">
        <f t="shared" si="328"/>
        <v>156.6</v>
      </c>
      <c r="Q2176" s="23"/>
      <c r="R2176" s="52"/>
      <c r="S2176" s="53"/>
      <c r="T2176" s="54">
        <f t="shared" si="329"/>
        <v>0</v>
      </c>
      <c r="U2176" s="26">
        <f t="shared" si="330"/>
        <v>0</v>
      </c>
      <c r="V2176" s="55">
        <f t="shared" si="331"/>
        <v>0</v>
      </c>
      <c r="W2176" s="29">
        <f t="shared" si="332"/>
        <v>0</v>
      </c>
      <c r="X2176" s="30">
        <f t="shared" si="333"/>
        <v>0</v>
      </c>
      <c r="Y2176"/>
      <c r="Z2176"/>
      <c r="AA2176"/>
    </row>
    <row r="2177" spans="1:27" s="51" customFormat="1" ht="18.600000000000001" hidden="1" customHeight="1" x14ac:dyDescent="0.25">
      <c r="A2177" s="81" t="s">
        <v>2653</v>
      </c>
      <c r="B2177" s="31" t="s">
        <v>9325</v>
      </c>
      <c r="C2177" s="32" t="s">
        <v>9327</v>
      </c>
      <c r="D2177" s="31" t="s">
        <v>5401</v>
      </c>
      <c r="E2177" s="33" t="s">
        <v>5402</v>
      </c>
      <c r="F2177" s="33" t="s">
        <v>1937</v>
      </c>
      <c r="G2177" s="33" t="s">
        <v>5391</v>
      </c>
      <c r="H2177" s="84" t="s">
        <v>23</v>
      </c>
      <c r="I2177" s="23" t="s">
        <v>24</v>
      </c>
      <c r="J2177" s="34">
        <v>180</v>
      </c>
      <c r="K2177" s="35">
        <v>0.25</v>
      </c>
      <c r="L2177" s="36">
        <f t="shared" si="325"/>
        <v>45</v>
      </c>
      <c r="M2177" s="37">
        <f t="shared" si="326"/>
        <v>135</v>
      </c>
      <c r="N2177" s="38">
        <v>0.16</v>
      </c>
      <c r="O2177" s="39">
        <f t="shared" si="327"/>
        <v>21.6</v>
      </c>
      <c r="P2177" s="40">
        <f t="shared" si="328"/>
        <v>156.6</v>
      </c>
      <c r="Q2177" s="23"/>
      <c r="R2177" s="56"/>
      <c r="S2177" s="57"/>
      <c r="T2177" s="58">
        <f t="shared" si="329"/>
        <v>0</v>
      </c>
      <c r="U2177" s="36">
        <f t="shared" si="330"/>
        <v>0</v>
      </c>
      <c r="V2177" s="59">
        <f t="shared" si="331"/>
        <v>0</v>
      </c>
      <c r="W2177" s="39">
        <f t="shared" si="332"/>
        <v>0</v>
      </c>
      <c r="X2177" s="40">
        <f t="shared" si="333"/>
        <v>0</v>
      </c>
      <c r="Y2177"/>
      <c r="Z2177"/>
      <c r="AA2177"/>
    </row>
    <row r="2178" spans="1:27" s="51" customFormat="1" ht="18.600000000000001" hidden="1" customHeight="1" x14ac:dyDescent="0.25">
      <c r="A2178" s="82" t="s">
        <v>2653</v>
      </c>
      <c r="B2178" s="41" t="s">
        <v>9325</v>
      </c>
      <c r="C2178" s="42" t="s">
        <v>9327</v>
      </c>
      <c r="D2178" s="41" t="s">
        <v>5403</v>
      </c>
      <c r="E2178" s="43" t="s">
        <v>5404</v>
      </c>
      <c r="F2178" s="43" t="s">
        <v>1937</v>
      </c>
      <c r="G2178" s="43" t="s">
        <v>5391</v>
      </c>
      <c r="H2178" s="85" t="s">
        <v>1011</v>
      </c>
      <c r="I2178" s="23" t="s">
        <v>24</v>
      </c>
      <c r="J2178" s="44">
        <v>180</v>
      </c>
      <c r="K2178" s="45">
        <v>0.25</v>
      </c>
      <c r="L2178" s="46">
        <f t="shared" si="325"/>
        <v>45</v>
      </c>
      <c r="M2178" s="47">
        <f t="shared" si="326"/>
        <v>135</v>
      </c>
      <c r="N2178" s="48">
        <v>0.16</v>
      </c>
      <c r="O2178" s="49">
        <f t="shared" si="327"/>
        <v>21.6</v>
      </c>
      <c r="P2178" s="50">
        <f t="shared" si="328"/>
        <v>156.6</v>
      </c>
      <c r="Q2178" s="23"/>
      <c r="R2178" s="60"/>
      <c r="S2178" s="61"/>
      <c r="T2178" s="62">
        <f t="shared" si="329"/>
        <v>0</v>
      </c>
      <c r="U2178" s="46">
        <f t="shared" si="330"/>
        <v>0</v>
      </c>
      <c r="V2178" s="63">
        <f t="shared" si="331"/>
        <v>0</v>
      </c>
      <c r="W2178" s="49">
        <f t="shared" si="332"/>
        <v>0</v>
      </c>
      <c r="X2178" s="50">
        <f t="shared" si="333"/>
        <v>0</v>
      </c>
      <c r="Y2178"/>
      <c r="Z2178"/>
      <c r="AA2178"/>
    </row>
    <row r="2179" spans="1:27" s="51" customFormat="1" ht="18.600000000000001" hidden="1" customHeight="1" x14ac:dyDescent="0.25">
      <c r="A2179" s="80" t="s">
        <v>2653</v>
      </c>
      <c r="B2179" s="20" t="s">
        <v>9325</v>
      </c>
      <c r="C2179" s="21" t="s">
        <v>9327</v>
      </c>
      <c r="D2179" s="20" t="s">
        <v>5405</v>
      </c>
      <c r="E2179" s="22" t="s">
        <v>5406</v>
      </c>
      <c r="F2179" s="22" t="s">
        <v>1937</v>
      </c>
      <c r="G2179" s="22" t="s">
        <v>5391</v>
      </c>
      <c r="H2179" s="83" t="s">
        <v>5407</v>
      </c>
      <c r="I2179" s="23" t="s">
        <v>24</v>
      </c>
      <c r="J2179" s="24">
        <v>180</v>
      </c>
      <c r="K2179" s="25">
        <v>0.25</v>
      </c>
      <c r="L2179" s="26">
        <f t="shared" si="325"/>
        <v>45</v>
      </c>
      <c r="M2179" s="27">
        <f t="shared" si="326"/>
        <v>135</v>
      </c>
      <c r="N2179" s="28">
        <v>0.16</v>
      </c>
      <c r="O2179" s="29">
        <f t="shared" si="327"/>
        <v>21.6</v>
      </c>
      <c r="P2179" s="30">
        <f t="shared" si="328"/>
        <v>156.6</v>
      </c>
      <c r="Q2179" s="23"/>
      <c r="R2179" s="52"/>
      <c r="S2179" s="53"/>
      <c r="T2179" s="54">
        <f t="shared" si="329"/>
        <v>0</v>
      </c>
      <c r="U2179" s="26">
        <f t="shared" si="330"/>
        <v>0</v>
      </c>
      <c r="V2179" s="55">
        <f t="shared" si="331"/>
        <v>0</v>
      </c>
      <c r="W2179" s="29">
        <f t="shared" si="332"/>
        <v>0</v>
      </c>
      <c r="X2179" s="30">
        <f t="shared" si="333"/>
        <v>0</v>
      </c>
      <c r="Y2179"/>
      <c r="Z2179"/>
      <c r="AA2179"/>
    </row>
    <row r="2180" spans="1:27" s="51" customFormat="1" ht="18.600000000000001" hidden="1" customHeight="1" x14ac:dyDescent="0.25">
      <c r="A2180" s="81" t="s">
        <v>2653</v>
      </c>
      <c r="B2180" s="31" t="s">
        <v>9325</v>
      </c>
      <c r="C2180" s="32" t="s">
        <v>9327</v>
      </c>
      <c r="D2180" s="31" t="s">
        <v>5408</v>
      </c>
      <c r="E2180" s="33" t="s">
        <v>5409</v>
      </c>
      <c r="F2180" s="33" t="s">
        <v>1937</v>
      </c>
      <c r="G2180" s="33" t="s">
        <v>5391</v>
      </c>
      <c r="H2180" s="84" t="s">
        <v>5410</v>
      </c>
      <c r="I2180" s="23" t="s">
        <v>24</v>
      </c>
      <c r="J2180" s="34">
        <v>180</v>
      </c>
      <c r="K2180" s="35">
        <v>0.25</v>
      </c>
      <c r="L2180" s="36">
        <f t="shared" si="325"/>
        <v>45</v>
      </c>
      <c r="M2180" s="37">
        <f t="shared" si="326"/>
        <v>135</v>
      </c>
      <c r="N2180" s="38">
        <v>0.16</v>
      </c>
      <c r="O2180" s="39">
        <f t="shared" si="327"/>
        <v>21.6</v>
      </c>
      <c r="P2180" s="40">
        <f t="shared" si="328"/>
        <v>156.6</v>
      </c>
      <c r="Q2180" s="23"/>
      <c r="R2180" s="56"/>
      <c r="S2180" s="57"/>
      <c r="T2180" s="58">
        <f t="shared" si="329"/>
        <v>0</v>
      </c>
      <c r="U2180" s="36">
        <f t="shared" si="330"/>
        <v>0</v>
      </c>
      <c r="V2180" s="59">
        <f t="shared" si="331"/>
        <v>0</v>
      </c>
      <c r="W2180" s="39">
        <f t="shared" si="332"/>
        <v>0</v>
      </c>
      <c r="X2180" s="40">
        <f t="shared" si="333"/>
        <v>0</v>
      </c>
      <c r="Y2180"/>
      <c r="Z2180"/>
      <c r="AA2180"/>
    </row>
    <row r="2181" spans="1:27" s="51" customFormat="1" ht="18.600000000000001" hidden="1" customHeight="1" x14ac:dyDescent="0.25">
      <c r="A2181" s="82" t="s">
        <v>2653</v>
      </c>
      <c r="B2181" s="41" t="s">
        <v>9325</v>
      </c>
      <c r="C2181" s="42" t="s">
        <v>9327</v>
      </c>
      <c r="D2181" s="41" t="s">
        <v>5411</v>
      </c>
      <c r="E2181" s="43" t="s">
        <v>5412</v>
      </c>
      <c r="F2181" s="43" t="s">
        <v>1937</v>
      </c>
      <c r="G2181" s="43" t="s">
        <v>5391</v>
      </c>
      <c r="H2181" s="85" t="s">
        <v>5413</v>
      </c>
      <c r="I2181" s="23" t="s">
        <v>24</v>
      </c>
      <c r="J2181" s="44">
        <v>180</v>
      </c>
      <c r="K2181" s="45">
        <v>0.25</v>
      </c>
      <c r="L2181" s="46">
        <f t="shared" si="325"/>
        <v>45</v>
      </c>
      <c r="M2181" s="47">
        <f t="shared" si="326"/>
        <v>135</v>
      </c>
      <c r="N2181" s="48">
        <v>0.16</v>
      </c>
      <c r="O2181" s="49">
        <f t="shared" si="327"/>
        <v>21.6</v>
      </c>
      <c r="P2181" s="50">
        <f t="shared" si="328"/>
        <v>156.6</v>
      </c>
      <c r="Q2181" s="23"/>
      <c r="R2181" s="60"/>
      <c r="S2181" s="61"/>
      <c r="T2181" s="62">
        <f t="shared" si="329"/>
        <v>0</v>
      </c>
      <c r="U2181" s="46">
        <f t="shared" si="330"/>
        <v>0</v>
      </c>
      <c r="V2181" s="63">
        <f t="shared" si="331"/>
        <v>0</v>
      </c>
      <c r="W2181" s="49">
        <f t="shared" si="332"/>
        <v>0</v>
      </c>
      <c r="X2181" s="50">
        <f t="shared" si="333"/>
        <v>0</v>
      </c>
      <c r="Y2181"/>
      <c r="Z2181"/>
      <c r="AA2181"/>
    </row>
    <row r="2182" spans="1:27" s="51" customFormat="1" ht="18.600000000000001" hidden="1" customHeight="1" x14ac:dyDescent="0.25">
      <c r="A2182" s="80" t="s">
        <v>2653</v>
      </c>
      <c r="B2182" s="20" t="s">
        <v>9325</v>
      </c>
      <c r="C2182" s="21" t="s">
        <v>9327</v>
      </c>
      <c r="D2182" s="20" t="s">
        <v>5414</v>
      </c>
      <c r="E2182" s="22" t="s">
        <v>5415</v>
      </c>
      <c r="F2182" s="22" t="s">
        <v>1937</v>
      </c>
      <c r="G2182" s="22" t="s">
        <v>5391</v>
      </c>
      <c r="H2182" s="83" t="s">
        <v>5416</v>
      </c>
      <c r="I2182" s="23" t="s">
        <v>24</v>
      </c>
      <c r="J2182" s="24">
        <v>180</v>
      </c>
      <c r="K2182" s="25">
        <v>0.25</v>
      </c>
      <c r="L2182" s="26">
        <f t="shared" si="325"/>
        <v>45</v>
      </c>
      <c r="M2182" s="27">
        <f t="shared" si="326"/>
        <v>135</v>
      </c>
      <c r="N2182" s="28">
        <v>0.16</v>
      </c>
      <c r="O2182" s="29">
        <f t="shared" si="327"/>
        <v>21.6</v>
      </c>
      <c r="P2182" s="30">
        <f t="shared" si="328"/>
        <v>156.6</v>
      </c>
      <c r="Q2182" s="23"/>
      <c r="R2182" s="52"/>
      <c r="S2182" s="53"/>
      <c r="T2182" s="54">
        <f t="shared" si="329"/>
        <v>0</v>
      </c>
      <c r="U2182" s="26">
        <f t="shared" si="330"/>
        <v>0</v>
      </c>
      <c r="V2182" s="55">
        <f t="shared" si="331"/>
        <v>0</v>
      </c>
      <c r="W2182" s="29">
        <f t="shared" si="332"/>
        <v>0</v>
      </c>
      <c r="X2182" s="30">
        <f t="shared" si="333"/>
        <v>0</v>
      </c>
      <c r="Y2182"/>
      <c r="Z2182"/>
      <c r="AA2182"/>
    </row>
    <row r="2183" spans="1:27" s="51" customFormat="1" ht="18.600000000000001" hidden="1" customHeight="1" x14ac:dyDescent="0.25">
      <c r="A2183" s="81" t="s">
        <v>2653</v>
      </c>
      <c r="B2183" s="31" t="s">
        <v>9325</v>
      </c>
      <c r="C2183" s="32" t="s">
        <v>9327</v>
      </c>
      <c r="D2183" s="31" t="s">
        <v>5417</v>
      </c>
      <c r="E2183" s="33" t="s">
        <v>5418</v>
      </c>
      <c r="F2183" s="33" t="s">
        <v>1937</v>
      </c>
      <c r="G2183" s="33" t="s">
        <v>5391</v>
      </c>
      <c r="H2183" s="84" t="s">
        <v>5419</v>
      </c>
      <c r="I2183" s="23" t="s">
        <v>24</v>
      </c>
      <c r="J2183" s="34">
        <v>180</v>
      </c>
      <c r="K2183" s="35">
        <v>0.25</v>
      </c>
      <c r="L2183" s="36">
        <f t="shared" si="325"/>
        <v>45</v>
      </c>
      <c r="M2183" s="37">
        <f t="shared" si="326"/>
        <v>135</v>
      </c>
      <c r="N2183" s="38">
        <v>0.16</v>
      </c>
      <c r="O2183" s="39">
        <f t="shared" si="327"/>
        <v>21.6</v>
      </c>
      <c r="P2183" s="40">
        <f t="shared" si="328"/>
        <v>156.6</v>
      </c>
      <c r="Q2183" s="23"/>
      <c r="R2183" s="56"/>
      <c r="S2183" s="57"/>
      <c r="T2183" s="58">
        <f t="shared" si="329"/>
        <v>0</v>
      </c>
      <c r="U2183" s="36">
        <f t="shared" si="330"/>
        <v>0</v>
      </c>
      <c r="V2183" s="59">
        <f t="shared" si="331"/>
        <v>0</v>
      </c>
      <c r="W2183" s="39">
        <f t="shared" si="332"/>
        <v>0</v>
      </c>
      <c r="X2183" s="40">
        <f t="shared" si="333"/>
        <v>0</v>
      </c>
      <c r="Y2183"/>
      <c r="Z2183"/>
      <c r="AA2183"/>
    </row>
    <row r="2184" spans="1:27" s="51" customFormat="1" ht="18.600000000000001" hidden="1" customHeight="1" x14ac:dyDescent="0.25">
      <c r="A2184" s="82" t="s">
        <v>2653</v>
      </c>
      <c r="B2184" s="41" t="s">
        <v>9325</v>
      </c>
      <c r="C2184" s="42" t="s">
        <v>9327</v>
      </c>
      <c r="D2184" s="41" t="s">
        <v>5420</v>
      </c>
      <c r="E2184" s="43" t="s">
        <v>5421</v>
      </c>
      <c r="F2184" s="43" t="s">
        <v>1937</v>
      </c>
      <c r="G2184" s="43" t="s">
        <v>5391</v>
      </c>
      <c r="H2184" s="85" t="s">
        <v>5422</v>
      </c>
      <c r="I2184" s="23" t="s">
        <v>24</v>
      </c>
      <c r="J2184" s="44">
        <v>180</v>
      </c>
      <c r="K2184" s="45">
        <v>0.25</v>
      </c>
      <c r="L2184" s="46">
        <f t="shared" si="325"/>
        <v>45</v>
      </c>
      <c r="M2184" s="47">
        <f t="shared" si="326"/>
        <v>135</v>
      </c>
      <c r="N2184" s="48">
        <v>0.16</v>
      </c>
      <c r="O2184" s="49">
        <f t="shared" si="327"/>
        <v>21.6</v>
      </c>
      <c r="P2184" s="50">
        <f t="shared" si="328"/>
        <v>156.6</v>
      </c>
      <c r="Q2184" s="23"/>
      <c r="R2184" s="60"/>
      <c r="S2184" s="61"/>
      <c r="T2184" s="62">
        <f t="shared" si="329"/>
        <v>0</v>
      </c>
      <c r="U2184" s="46">
        <f t="shared" si="330"/>
        <v>0</v>
      </c>
      <c r="V2184" s="63">
        <f t="shared" si="331"/>
        <v>0</v>
      </c>
      <c r="W2184" s="49">
        <f t="shared" si="332"/>
        <v>0</v>
      </c>
      <c r="X2184" s="50">
        <f t="shared" si="333"/>
        <v>0</v>
      </c>
      <c r="Y2184"/>
      <c r="Z2184"/>
      <c r="AA2184"/>
    </row>
    <row r="2185" spans="1:27" s="51" customFormat="1" ht="18.600000000000001" hidden="1" customHeight="1" x14ac:dyDescent="0.25">
      <c r="A2185" s="80" t="s">
        <v>2653</v>
      </c>
      <c r="B2185" s="20" t="s">
        <v>9325</v>
      </c>
      <c r="C2185" s="21" t="s">
        <v>9327</v>
      </c>
      <c r="D2185" s="20" t="s">
        <v>5423</v>
      </c>
      <c r="E2185" s="22" t="s">
        <v>5424</v>
      </c>
      <c r="F2185" s="22" t="s">
        <v>1937</v>
      </c>
      <c r="G2185" s="22" t="s">
        <v>5391</v>
      </c>
      <c r="H2185" s="83" t="s">
        <v>5425</v>
      </c>
      <c r="I2185" s="23" t="s">
        <v>24</v>
      </c>
      <c r="J2185" s="24">
        <v>180</v>
      </c>
      <c r="K2185" s="25">
        <v>0.25</v>
      </c>
      <c r="L2185" s="26">
        <f t="shared" si="325"/>
        <v>45</v>
      </c>
      <c r="M2185" s="27">
        <f t="shared" si="326"/>
        <v>135</v>
      </c>
      <c r="N2185" s="28">
        <v>0.16</v>
      </c>
      <c r="O2185" s="29">
        <f t="shared" si="327"/>
        <v>21.6</v>
      </c>
      <c r="P2185" s="30">
        <f t="shared" si="328"/>
        <v>156.6</v>
      </c>
      <c r="Q2185" s="23"/>
      <c r="R2185" s="52"/>
      <c r="S2185" s="53"/>
      <c r="T2185" s="54">
        <f t="shared" si="329"/>
        <v>0</v>
      </c>
      <c r="U2185" s="26">
        <f t="shared" si="330"/>
        <v>0</v>
      </c>
      <c r="V2185" s="55">
        <f t="shared" si="331"/>
        <v>0</v>
      </c>
      <c r="W2185" s="29">
        <f t="shared" si="332"/>
        <v>0</v>
      </c>
      <c r="X2185" s="30">
        <f t="shared" si="333"/>
        <v>0</v>
      </c>
      <c r="Y2185"/>
      <c r="Z2185"/>
      <c r="AA2185"/>
    </row>
    <row r="2186" spans="1:27" s="51" customFormat="1" ht="18.600000000000001" hidden="1" customHeight="1" x14ac:dyDescent="0.25">
      <c r="A2186" s="81" t="s">
        <v>2653</v>
      </c>
      <c r="B2186" s="31" t="s">
        <v>9325</v>
      </c>
      <c r="C2186" s="32" t="s">
        <v>9327</v>
      </c>
      <c r="D2186" s="31" t="s">
        <v>5426</v>
      </c>
      <c r="E2186" s="33" t="s">
        <v>5427</v>
      </c>
      <c r="F2186" s="33" t="s">
        <v>1937</v>
      </c>
      <c r="G2186" s="33" t="s">
        <v>5391</v>
      </c>
      <c r="H2186" s="84" t="s">
        <v>722</v>
      </c>
      <c r="I2186" s="23" t="s">
        <v>24</v>
      </c>
      <c r="J2186" s="34">
        <v>180</v>
      </c>
      <c r="K2186" s="35">
        <v>0.25</v>
      </c>
      <c r="L2186" s="36">
        <f t="shared" si="325"/>
        <v>45</v>
      </c>
      <c r="M2186" s="37">
        <f t="shared" si="326"/>
        <v>135</v>
      </c>
      <c r="N2186" s="38">
        <v>0.16</v>
      </c>
      <c r="O2186" s="39">
        <f t="shared" si="327"/>
        <v>21.6</v>
      </c>
      <c r="P2186" s="40">
        <f t="shared" si="328"/>
        <v>156.6</v>
      </c>
      <c r="Q2186" s="23"/>
      <c r="R2186" s="56"/>
      <c r="S2186" s="57"/>
      <c r="T2186" s="58">
        <f t="shared" si="329"/>
        <v>0</v>
      </c>
      <c r="U2186" s="36">
        <f t="shared" si="330"/>
        <v>0</v>
      </c>
      <c r="V2186" s="59">
        <f t="shared" si="331"/>
        <v>0</v>
      </c>
      <c r="W2186" s="39">
        <f t="shared" si="332"/>
        <v>0</v>
      </c>
      <c r="X2186" s="40">
        <f t="shared" si="333"/>
        <v>0</v>
      </c>
      <c r="Y2186"/>
      <c r="Z2186"/>
      <c r="AA2186"/>
    </row>
    <row r="2187" spans="1:27" s="51" customFormat="1" ht="18.600000000000001" hidden="1" customHeight="1" x14ac:dyDescent="0.25">
      <c r="A2187" s="82" t="s">
        <v>2653</v>
      </c>
      <c r="B2187" s="41" t="s">
        <v>9325</v>
      </c>
      <c r="C2187" s="42" t="s">
        <v>9327</v>
      </c>
      <c r="D2187" s="41" t="s">
        <v>5428</v>
      </c>
      <c r="E2187" s="43" t="s">
        <v>5429</v>
      </c>
      <c r="F2187" s="43" t="s">
        <v>1937</v>
      </c>
      <c r="G2187" s="43" t="s">
        <v>5391</v>
      </c>
      <c r="H2187" s="85" t="s">
        <v>5430</v>
      </c>
      <c r="I2187" s="23" t="s">
        <v>24</v>
      </c>
      <c r="J2187" s="44">
        <v>180</v>
      </c>
      <c r="K2187" s="45">
        <v>0.25</v>
      </c>
      <c r="L2187" s="46">
        <f t="shared" si="325"/>
        <v>45</v>
      </c>
      <c r="M2187" s="47">
        <f t="shared" si="326"/>
        <v>135</v>
      </c>
      <c r="N2187" s="48">
        <v>0.16</v>
      </c>
      <c r="O2187" s="49">
        <f t="shared" si="327"/>
        <v>21.6</v>
      </c>
      <c r="P2187" s="50">
        <f t="shared" si="328"/>
        <v>156.6</v>
      </c>
      <c r="Q2187" s="23"/>
      <c r="R2187" s="60"/>
      <c r="S2187" s="61"/>
      <c r="T2187" s="62">
        <f t="shared" si="329"/>
        <v>0</v>
      </c>
      <c r="U2187" s="46">
        <f t="shared" si="330"/>
        <v>0</v>
      </c>
      <c r="V2187" s="63">
        <f t="shared" si="331"/>
        <v>0</v>
      </c>
      <c r="W2187" s="49">
        <f t="shared" si="332"/>
        <v>0</v>
      </c>
      <c r="X2187" s="50">
        <f t="shared" si="333"/>
        <v>0</v>
      </c>
      <c r="Y2187"/>
      <c r="Z2187"/>
      <c r="AA2187"/>
    </row>
    <row r="2188" spans="1:27" s="51" customFormat="1" ht="18.600000000000001" hidden="1" customHeight="1" x14ac:dyDescent="0.25">
      <c r="A2188" s="80" t="s">
        <v>2653</v>
      </c>
      <c r="B2188" s="20" t="s">
        <v>9325</v>
      </c>
      <c r="C2188" s="21" t="s">
        <v>9327</v>
      </c>
      <c r="D2188" s="20" t="s">
        <v>5431</v>
      </c>
      <c r="E2188" s="22" t="s">
        <v>5432</v>
      </c>
      <c r="F2188" s="22" t="s">
        <v>1937</v>
      </c>
      <c r="G2188" s="22" t="s">
        <v>5391</v>
      </c>
      <c r="H2188" s="83" t="s">
        <v>5433</v>
      </c>
      <c r="I2188" s="23" t="s">
        <v>24</v>
      </c>
      <c r="J2188" s="24">
        <v>180</v>
      </c>
      <c r="K2188" s="25">
        <v>0.25</v>
      </c>
      <c r="L2188" s="26">
        <f t="shared" si="325"/>
        <v>45</v>
      </c>
      <c r="M2188" s="27">
        <f t="shared" si="326"/>
        <v>135</v>
      </c>
      <c r="N2188" s="28">
        <v>0.16</v>
      </c>
      <c r="O2188" s="29">
        <f t="shared" si="327"/>
        <v>21.6</v>
      </c>
      <c r="P2188" s="30">
        <f t="shared" si="328"/>
        <v>156.6</v>
      </c>
      <c r="Q2188" s="23"/>
      <c r="R2188" s="52"/>
      <c r="S2188" s="53"/>
      <c r="T2188" s="54">
        <f t="shared" si="329"/>
        <v>0</v>
      </c>
      <c r="U2188" s="26">
        <f t="shared" si="330"/>
        <v>0</v>
      </c>
      <c r="V2188" s="55">
        <f t="shared" si="331"/>
        <v>0</v>
      </c>
      <c r="W2188" s="29">
        <f t="shared" si="332"/>
        <v>0</v>
      </c>
      <c r="X2188" s="30">
        <f t="shared" si="333"/>
        <v>0</v>
      </c>
      <c r="Y2188"/>
      <c r="Z2188"/>
      <c r="AA2188"/>
    </row>
    <row r="2189" spans="1:27" s="51" customFormat="1" ht="18.600000000000001" hidden="1" customHeight="1" x14ac:dyDescent="0.25">
      <c r="A2189" s="81" t="s">
        <v>2653</v>
      </c>
      <c r="B2189" s="31" t="s">
        <v>9325</v>
      </c>
      <c r="C2189" s="32" t="s">
        <v>9327</v>
      </c>
      <c r="D2189" s="31" t="s">
        <v>5434</v>
      </c>
      <c r="E2189" s="33" t="s">
        <v>5435</v>
      </c>
      <c r="F2189" s="33" t="s">
        <v>1937</v>
      </c>
      <c r="G2189" s="33" t="s">
        <v>5391</v>
      </c>
      <c r="H2189" s="84" t="s">
        <v>5436</v>
      </c>
      <c r="I2189" s="23" t="s">
        <v>24</v>
      </c>
      <c r="J2189" s="34">
        <v>180</v>
      </c>
      <c r="K2189" s="35">
        <v>0.25</v>
      </c>
      <c r="L2189" s="36">
        <f t="shared" si="325"/>
        <v>45</v>
      </c>
      <c r="M2189" s="37">
        <f t="shared" si="326"/>
        <v>135</v>
      </c>
      <c r="N2189" s="38">
        <v>0.16</v>
      </c>
      <c r="O2189" s="39">
        <f t="shared" si="327"/>
        <v>21.6</v>
      </c>
      <c r="P2189" s="40">
        <f t="shared" si="328"/>
        <v>156.6</v>
      </c>
      <c r="Q2189" s="23"/>
      <c r="R2189" s="56"/>
      <c r="S2189" s="57"/>
      <c r="T2189" s="58">
        <f t="shared" si="329"/>
        <v>0</v>
      </c>
      <c r="U2189" s="36">
        <f t="shared" si="330"/>
        <v>0</v>
      </c>
      <c r="V2189" s="59">
        <f t="shared" si="331"/>
        <v>0</v>
      </c>
      <c r="W2189" s="39">
        <f t="shared" si="332"/>
        <v>0</v>
      </c>
      <c r="X2189" s="40">
        <f t="shared" si="333"/>
        <v>0</v>
      </c>
      <c r="Y2189"/>
      <c r="Z2189"/>
      <c r="AA2189"/>
    </row>
    <row r="2190" spans="1:27" s="51" customFormat="1" ht="18.600000000000001" hidden="1" customHeight="1" x14ac:dyDescent="0.25">
      <c r="A2190" s="82" t="s">
        <v>2653</v>
      </c>
      <c r="B2190" s="41" t="s">
        <v>9325</v>
      </c>
      <c r="C2190" s="42" t="s">
        <v>9327</v>
      </c>
      <c r="D2190" s="41" t="s">
        <v>5437</v>
      </c>
      <c r="E2190" s="43" t="s">
        <v>5438</v>
      </c>
      <c r="F2190" s="43" t="s">
        <v>1937</v>
      </c>
      <c r="G2190" s="43" t="s">
        <v>5391</v>
      </c>
      <c r="H2190" s="85" t="s">
        <v>5439</v>
      </c>
      <c r="I2190" s="23" t="s">
        <v>24</v>
      </c>
      <c r="J2190" s="44">
        <v>180</v>
      </c>
      <c r="K2190" s="45">
        <v>0.25</v>
      </c>
      <c r="L2190" s="46">
        <f t="shared" si="325"/>
        <v>45</v>
      </c>
      <c r="M2190" s="47">
        <f t="shared" si="326"/>
        <v>135</v>
      </c>
      <c r="N2190" s="48">
        <v>0.16</v>
      </c>
      <c r="O2190" s="49">
        <f t="shared" si="327"/>
        <v>21.6</v>
      </c>
      <c r="P2190" s="50">
        <f t="shared" si="328"/>
        <v>156.6</v>
      </c>
      <c r="Q2190" s="23"/>
      <c r="R2190" s="60"/>
      <c r="S2190" s="61"/>
      <c r="T2190" s="62">
        <f t="shared" si="329"/>
        <v>0</v>
      </c>
      <c r="U2190" s="46">
        <f t="shared" si="330"/>
        <v>0</v>
      </c>
      <c r="V2190" s="63">
        <f t="shared" si="331"/>
        <v>0</v>
      </c>
      <c r="W2190" s="49">
        <f t="shared" si="332"/>
        <v>0</v>
      </c>
      <c r="X2190" s="50">
        <f t="shared" si="333"/>
        <v>0</v>
      </c>
      <c r="Y2190"/>
      <c r="Z2190"/>
      <c r="AA2190"/>
    </row>
    <row r="2191" spans="1:27" s="51" customFormat="1" ht="18.600000000000001" hidden="1" customHeight="1" x14ac:dyDescent="0.25">
      <c r="A2191" s="80" t="s">
        <v>2653</v>
      </c>
      <c r="B2191" s="20" t="s">
        <v>9325</v>
      </c>
      <c r="C2191" s="21" t="s">
        <v>9327</v>
      </c>
      <c r="D2191" s="20" t="s">
        <v>5440</v>
      </c>
      <c r="E2191" s="22" t="s">
        <v>5441</v>
      </c>
      <c r="F2191" s="22" t="s">
        <v>1937</v>
      </c>
      <c r="G2191" s="22" t="s">
        <v>5391</v>
      </c>
      <c r="H2191" s="83" t="s">
        <v>5442</v>
      </c>
      <c r="I2191" s="23" t="s">
        <v>24</v>
      </c>
      <c r="J2191" s="24">
        <v>180</v>
      </c>
      <c r="K2191" s="25">
        <v>0.25</v>
      </c>
      <c r="L2191" s="26">
        <f t="shared" si="325"/>
        <v>45</v>
      </c>
      <c r="M2191" s="27">
        <f t="shared" si="326"/>
        <v>135</v>
      </c>
      <c r="N2191" s="28">
        <v>0.16</v>
      </c>
      <c r="O2191" s="29">
        <f t="shared" si="327"/>
        <v>21.6</v>
      </c>
      <c r="P2191" s="30">
        <f t="shared" si="328"/>
        <v>156.6</v>
      </c>
      <c r="Q2191" s="23"/>
      <c r="R2191" s="52"/>
      <c r="S2191" s="53"/>
      <c r="T2191" s="54">
        <f t="shared" si="329"/>
        <v>0</v>
      </c>
      <c r="U2191" s="26">
        <f t="shared" si="330"/>
        <v>0</v>
      </c>
      <c r="V2191" s="55">
        <f t="shared" si="331"/>
        <v>0</v>
      </c>
      <c r="W2191" s="29">
        <f t="shared" si="332"/>
        <v>0</v>
      </c>
      <c r="X2191" s="30">
        <f t="shared" si="333"/>
        <v>0</v>
      </c>
      <c r="Y2191"/>
      <c r="Z2191"/>
      <c r="AA2191"/>
    </row>
    <row r="2192" spans="1:27" s="51" customFormat="1" ht="18.600000000000001" hidden="1" customHeight="1" x14ac:dyDescent="0.25">
      <c r="A2192" s="81" t="s">
        <v>2653</v>
      </c>
      <c r="B2192" s="31" t="s">
        <v>9325</v>
      </c>
      <c r="C2192" s="32" t="s">
        <v>9327</v>
      </c>
      <c r="D2192" s="31" t="s">
        <v>5443</v>
      </c>
      <c r="E2192" s="33" t="s">
        <v>5444</v>
      </c>
      <c r="F2192" s="33" t="s">
        <v>1937</v>
      </c>
      <c r="G2192" s="33" t="s">
        <v>5391</v>
      </c>
      <c r="H2192" s="84" t="s">
        <v>5445</v>
      </c>
      <c r="I2192" s="23" t="s">
        <v>24</v>
      </c>
      <c r="J2192" s="34">
        <v>180</v>
      </c>
      <c r="K2192" s="35">
        <v>0.25</v>
      </c>
      <c r="L2192" s="36">
        <f t="shared" si="325"/>
        <v>45</v>
      </c>
      <c r="M2192" s="37">
        <f t="shared" si="326"/>
        <v>135</v>
      </c>
      <c r="N2192" s="38">
        <v>0.16</v>
      </c>
      <c r="O2192" s="39">
        <f t="shared" si="327"/>
        <v>21.6</v>
      </c>
      <c r="P2192" s="40">
        <f t="shared" si="328"/>
        <v>156.6</v>
      </c>
      <c r="Q2192" s="23"/>
      <c r="R2192" s="56"/>
      <c r="S2192" s="57"/>
      <c r="T2192" s="58">
        <f t="shared" si="329"/>
        <v>0</v>
      </c>
      <c r="U2192" s="36">
        <f t="shared" si="330"/>
        <v>0</v>
      </c>
      <c r="V2192" s="59">
        <f t="shared" si="331"/>
        <v>0</v>
      </c>
      <c r="W2192" s="39">
        <f t="shared" si="332"/>
        <v>0</v>
      </c>
      <c r="X2192" s="40">
        <f t="shared" si="333"/>
        <v>0</v>
      </c>
      <c r="Y2192"/>
      <c r="Z2192"/>
      <c r="AA2192"/>
    </row>
    <row r="2193" spans="1:27" s="51" customFormat="1" ht="18.600000000000001" hidden="1" customHeight="1" x14ac:dyDescent="0.25">
      <c r="A2193" s="82" t="s">
        <v>2653</v>
      </c>
      <c r="B2193" s="41" t="s">
        <v>9325</v>
      </c>
      <c r="C2193" s="42" t="s">
        <v>9327</v>
      </c>
      <c r="D2193" s="41" t="s">
        <v>5446</v>
      </c>
      <c r="E2193" s="43" t="s">
        <v>5447</v>
      </c>
      <c r="F2193" s="43" t="s">
        <v>1937</v>
      </c>
      <c r="G2193" s="43" t="s">
        <v>5391</v>
      </c>
      <c r="H2193" s="85" t="s">
        <v>5448</v>
      </c>
      <c r="I2193" s="23" t="s">
        <v>24</v>
      </c>
      <c r="J2193" s="44">
        <v>180</v>
      </c>
      <c r="K2193" s="45">
        <v>0.25</v>
      </c>
      <c r="L2193" s="46">
        <f t="shared" si="325"/>
        <v>45</v>
      </c>
      <c r="M2193" s="47">
        <f t="shared" si="326"/>
        <v>135</v>
      </c>
      <c r="N2193" s="48">
        <v>0.16</v>
      </c>
      <c r="O2193" s="49">
        <f t="shared" si="327"/>
        <v>21.6</v>
      </c>
      <c r="P2193" s="50">
        <f t="shared" si="328"/>
        <v>156.6</v>
      </c>
      <c r="Q2193" s="23"/>
      <c r="R2193" s="60"/>
      <c r="S2193" s="61"/>
      <c r="T2193" s="62">
        <f t="shared" si="329"/>
        <v>0</v>
      </c>
      <c r="U2193" s="46">
        <f t="shared" si="330"/>
        <v>0</v>
      </c>
      <c r="V2193" s="63">
        <f t="shared" si="331"/>
        <v>0</v>
      </c>
      <c r="W2193" s="49">
        <f t="shared" si="332"/>
        <v>0</v>
      </c>
      <c r="X2193" s="50">
        <f t="shared" si="333"/>
        <v>0</v>
      </c>
      <c r="Y2193"/>
      <c r="Z2193"/>
      <c r="AA2193"/>
    </row>
    <row r="2194" spans="1:27" s="51" customFormat="1" ht="18.600000000000001" hidden="1" customHeight="1" x14ac:dyDescent="0.25">
      <c r="A2194" s="80" t="s">
        <v>2653</v>
      </c>
      <c r="B2194" s="20" t="s">
        <v>9325</v>
      </c>
      <c r="C2194" s="21" t="s">
        <v>9327</v>
      </c>
      <c r="D2194" s="20" t="s">
        <v>5449</v>
      </c>
      <c r="E2194" s="22" t="s">
        <v>5450</v>
      </c>
      <c r="F2194" s="22" t="s">
        <v>1937</v>
      </c>
      <c r="G2194" s="22" t="s">
        <v>5391</v>
      </c>
      <c r="H2194" s="83" t="s">
        <v>1021</v>
      </c>
      <c r="I2194" s="23" t="s">
        <v>24</v>
      </c>
      <c r="J2194" s="24">
        <v>180</v>
      </c>
      <c r="K2194" s="25">
        <v>0.25</v>
      </c>
      <c r="L2194" s="26">
        <f t="shared" si="325"/>
        <v>45</v>
      </c>
      <c r="M2194" s="27">
        <f t="shared" si="326"/>
        <v>135</v>
      </c>
      <c r="N2194" s="28">
        <v>0.16</v>
      </c>
      <c r="O2194" s="29">
        <f t="shared" si="327"/>
        <v>21.6</v>
      </c>
      <c r="P2194" s="30">
        <f t="shared" si="328"/>
        <v>156.6</v>
      </c>
      <c r="Q2194" s="23"/>
      <c r="R2194" s="52"/>
      <c r="S2194" s="53"/>
      <c r="T2194" s="54">
        <f t="shared" si="329"/>
        <v>0</v>
      </c>
      <c r="U2194" s="26">
        <f t="shared" si="330"/>
        <v>0</v>
      </c>
      <c r="V2194" s="55">
        <f t="shared" si="331"/>
        <v>0</v>
      </c>
      <c r="W2194" s="29">
        <f t="shared" si="332"/>
        <v>0</v>
      </c>
      <c r="X2194" s="30">
        <f t="shared" si="333"/>
        <v>0</v>
      </c>
      <c r="Y2194"/>
      <c r="Z2194"/>
      <c r="AA2194"/>
    </row>
    <row r="2195" spans="1:27" s="51" customFormat="1" ht="18.600000000000001" hidden="1" customHeight="1" x14ac:dyDescent="0.25">
      <c r="A2195" s="81" t="s">
        <v>2653</v>
      </c>
      <c r="B2195" s="31" t="s">
        <v>9325</v>
      </c>
      <c r="C2195" s="32" t="s">
        <v>9327</v>
      </c>
      <c r="D2195" s="31" t="s">
        <v>5451</v>
      </c>
      <c r="E2195" s="33" t="s">
        <v>5452</v>
      </c>
      <c r="F2195" s="33" t="s">
        <v>1937</v>
      </c>
      <c r="G2195" s="33" t="s">
        <v>5391</v>
      </c>
      <c r="H2195" s="84" t="s">
        <v>5453</v>
      </c>
      <c r="I2195" s="23" t="s">
        <v>24</v>
      </c>
      <c r="J2195" s="34">
        <v>180</v>
      </c>
      <c r="K2195" s="35">
        <v>0.25</v>
      </c>
      <c r="L2195" s="36">
        <f t="shared" si="325"/>
        <v>45</v>
      </c>
      <c r="M2195" s="37">
        <f t="shared" si="326"/>
        <v>135</v>
      </c>
      <c r="N2195" s="38">
        <v>0.16</v>
      </c>
      <c r="O2195" s="39">
        <f t="shared" si="327"/>
        <v>21.6</v>
      </c>
      <c r="P2195" s="40">
        <f t="shared" si="328"/>
        <v>156.6</v>
      </c>
      <c r="Q2195" s="23"/>
      <c r="R2195" s="56"/>
      <c r="S2195" s="57"/>
      <c r="T2195" s="58">
        <f t="shared" si="329"/>
        <v>0</v>
      </c>
      <c r="U2195" s="36">
        <f t="shared" si="330"/>
        <v>0</v>
      </c>
      <c r="V2195" s="59">
        <f t="shared" si="331"/>
        <v>0</v>
      </c>
      <c r="W2195" s="39">
        <f t="shared" si="332"/>
        <v>0</v>
      </c>
      <c r="X2195" s="40">
        <f t="shared" si="333"/>
        <v>0</v>
      </c>
      <c r="Y2195"/>
      <c r="Z2195"/>
      <c r="AA2195"/>
    </row>
    <row r="2196" spans="1:27" s="51" customFormat="1" ht="18.600000000000001" hidden="1" customHeight="1" x14ac:dyDescent="0.25">
      <c r="A2196" s="82" t="s">
        <v>2653</v>
      </c>
      <c r="B2196" s="41" t="s">
        <v>9325</v>
      </c>
      <c r="C2196" s="42" t="s">
        <v>9327</v>
      </c>
      <c r="D2196" s="41" t="s">
        <v>5454</v>
      </c>
      <c r="E2196" s="43" t="s">
        <v>5455</v>
      </c>
      <c r="F2196" s="43" t="s">
        <v>1937</v>
      </c>
      <c r="G2196" s="43" t="s">
        <v>5391</v>
      </c>
      <c r="H2196" s="85" t="s">
        <v>925</v>
      </c>
      <c r="I2196" s="23" t="s">
        <v>24</v>
      </c>
      <c r="J2196" s="44">
        <v>180</v>
      </c>
      <c r="K2196" s="45">
        <v>0.25</v>
      </c>
      <c r="L2196" s="46">
        <f t="shared" si="325"/>
        <v>45</v>
      </c>
      <c r="M2196" s="47">
        <f t="shared" si="326"/>
        <v>135</v>
      </c>
      <c r="N2196" s="48">
        <v>0.16</v>
      </c>
      <c r="O2196" s="49">
        <f t="shared" si="327"/>
        <v>21.6</v>
      </c>
      <c r="P2196" s="50">
        <f t="shared" si="328"/>
        <v>156.6</v>
      </c>
      <c r="Q2196" s="23"/>
      <c r="R2196" s="60"/>
      <c r="S2196" s="61"/>
      <c r="T2196" s="62">
        <f t="shared" si="329"/>
        <v>0</v>
      </c>
      <c r="U2196" s="46">
        <f t="shared" si="330"/>
        <v>0</v>
      </c>
      <c r="V2196" s="63">
        <f t="shared" si="331"/>
        <v>0</v>
      </c>
      <c r="W2196" s="49">
        <f t="shared" si="332"/>
        <v>0</v>
      </c>
      <c r="X2196" s="50">
        <f t="shared" si="333"/>
        <v>0</v>
      </c>
      <c r="Y2196"/>
      <c r="Z2196"/>
      <c r="AA2196"/>
    </row>
    <row r="2197" spans="1:27" s="51" customFormat="1" ht="18.600000000000001" hidden="1" customHeight="1" x14ac:dyDescent="0.25">
      <c r="A2197" s="80" t="s">
        <v>2653</v>
      </c>
      <c r="B2197" s="20" t="s">
        <v>9325</v>
      </c>
      <c r="C2197" s="21" t="s">
        <v>9327</v>
      </c>
      <c r="D2197" s="20" t="s">
        <v>5456</v>
      </c>
      <c r="E2197" s="22" t="s">
        <v>5457</v>
      </c>
      <c r="F2197" s="22" t="s">
        <v>1937</v>
      </c>
      <c r="G2197" s="22" t="s">
        <v>5391</v>
      </c>
      <c r="H2197" s="83" t="s">
        <v>5458</v>
      </c>
      <c r="I2197" s="23" t="s">
        <v>24</v>
      </c>
      <c r="J2197" s="24">
        <v>180</v>
      </c>
      <c r="K2197" s="25">
        <v>0.25</v>
      </c>
      <c r="L2197" s="26">
        <f t="shared" si="325"/>
        <v>45</v>
      </c>
      <c r="M2197" s="27">
        <f t="shared" si="326"/>
        <v>135</v>
      </c>
      <c r="N2197" s="28">
        <v>0.16</v>
      </c>
      <c r="O2197" s="29">
        <f t="shared" si="327"/>
        <v>21.6</v>
      </c>
      <c r="P2197" s="30">
        <f t="shared" si="328"/>
        <v>156.6</v>
      </c>
      <c r="Q2197" s="23"/>
      <c r="R2197" s="52"/>
      <c r="S2197" s="53"/>
      <c r="T2197" s="54">
        <f t="shared" si="329"/>
        <v>0</v>
      </c>
      <c r="U2197" s="26">
        <f t="shared" si="330"/>
        <v>0</v>
      </c>
      <c r="V2197" s="55">
        <f t="shared" si="331"/>
        <v>0</v>
      </c>
      <c r="W2197" s="29">
        <f t="shared" si="332"/>
        <v>0</v>
      </c>
      <c r="X2197" s="30">
        <f t="shared" si="333"/>
        <v>0</v>
      </c>
      <c r="Y2197"/>
      <c r="Z2197"/>
      <c r="AA2197"/>
    </row>
    <row r="2198" spans="1:27" s="51" customFormat="1" ht="18.600000000000001" hidden="1" customHeight="1" x14ac:dyDescent="0.25">
      <c r="A2198" s="81" t="s">
        <v>2653</v>
      </c>
      <c r="B2198" s="31" t="s">
        <v>9325</v>
      </c>
      <c r="C2198" s="32" t="s">
        <v>9327</v>
      </c>
      <c r="D2198" s="31" t="s">
        <v>5459</v>
      </c>
      <c r="E2198" s="33" t="s">
        <v>5460</v>
      </c>
      <c r="F2198" s="33" t="s">
        <v>1937</v>
      </c>
      <c r="G2198" s="33" t="s">
        <v>5391</v>
      </c>
      <c r="H2198" s="84" t="s">
        <v>5461</v>
      </c>
      <c r="I2198" s="23" t="s">
        <v>24</v>
      </c>
      <c r="J2198" s="34">
        <v>180</v>
      </c>
      <c r="K2198" s="35">
        <v>0.25</v>
      </c>
      <c r="L2198" s="36">
        <f t="shared" si="325"/>
        <v>45</v>
      </c>
      <c r="M2198" s="37">
        <f t="shared" si="326"/>
        <v>135</v>
      </c>
      <c r="N2198" s="38">
        <v>0.16</v>
      </c>
      <c r="O2198" s="39">
        <f t="shared" si="327"/>
        <v>21.6</v>
      </c>
      <c r="P2198" s="40">
        <f t="shared" si="328"/>
        <v>156.6</v>
      </c>
      <c r="Q2198" s="23"/>
      <c r="R2198" s="56"/>
      <c r="S2198" s="57"/>
      <c r="T2198" s="58">
        <f t="shared" si="329"/>
        <v>0</v>
      </c>
      <c r="U2198" s="36">
        <f t="shared" si="330"/>
        <v>0</v>
      </c>
      <c r="V2198" s="59">
        <f t="shared" si="331"/>
        <v>0</v>
      </c>
      <c r="W2198" s="39">
        <f t="shared" si="332"/>
        <v>0</v>
      </c>
      <c r="X2198" s="40">
        <f t="shared" si="333"/>
        <v>0</v>
      </c>
      <c r="Y2198"/>
      <c r="Z2198"/>
      <c r="AA2198"/>
    </row>
    <row r="2199" spans="1:27" s="51" customFormat="1" ht="18.600000000000001" hidden="1" customHeight="1" x14ac:dyDescent="0.25">
      <c r="A2199" s="82" t="s">
        <v>2653</v>
      </c>
      <c r="B2199" s="41" t="s">
        <v>9325</v>
      </c>
      <c r="C2199" s="42" t="s">
        <v>9327</v>
      </c>
      <c r="D2199" s="41" t="s">
        <v>5462</v>
      </c>
      <c r="E2199" s="43" t="s">
        <v>5463</v>
      </c>
      <c r="F2199" s="43" t="s">
        <v>1937</v>
      </c>
      <c r="G2199" s="43" t="s">
        <v>5391</v>
      </c>
      <c r="H2199" s="85" t="s">
        <v>5464</v>
      </c>
      <c r="I2199" s="23" t="s">
        <v>24</v>
      </c>
      <c r="J2199" s="44">
        <v>180</v>
      </c>
      <c r="K2199" s="45">
        <v>0.25</v>
      </c>
      <c r="L2199" s="46">
        <f t="shared" ref="L2199:L2262" si="334">+J2199*K2199</f>
        <v>45</v>
      </c>
      <c r="M2199" s="47">
        <f t="shared" ref="M2199:M2262" si="335">+J2199-L2199</f>
        <v>135</v>
      </c>
      <c r="N2199" s="48">
        <v>0.16</v>
      </c>
      <c r="O2199" s="49">
        <f t="shared" ref="O2199:O2262" si="336">+M2199*N2199</f>
        <v>21.6</v>
      </c>
      <c r="P2199" s="50">
        <f t="shared" ref="P2199:P2262" si="337">+M2199+O2199</f>
        <v>156.6</v>
      </c>
      <c r="Q2199" s="23"/>
      <c r="R2199" s="60"/>
      <c r="S2199" s="61"/>
      <c r="T2199" s="62">
        <f t="shared" ref="T2199:T2262" si="338">+S2199*J2199</f>
        <v>0</v>
      </c>
      <c r="U2199" s="46">
        <f t="shared" ref="U2199:U2262" si="339">+T2199*K2199</f>
        <v>0</v>
      </c>
      <c r="V2199" s="63">
        <f t="shared" ref="V2199:V2262" si="340">+T2199-U2199</f>
        <v>0</v>
      </c>
      <c r="W2199" s="49">
        <f t="shared" ref="W2199:W2262" si="341">+V2199*N2199</f>
        <v>0</v>
      </c>
      <c r="X2199" s="50">
        <f t="shared" ref="X2199:X2262" si="342">+V2199+W2199</f>
        <v>0</v>
      </c>
      <c r="Y2199"/>
      <c r="Z2199"/>
      <c r="AA2199"/>
    </row>
    <row r="2200" spans="1:27" s="51" customFormat="1" ht="18.600000000000001" hidden="1" customHeight="1" x14ac:dyDescent="0.25">
      <c r="A2200" s="80" t="s">
        <v>2653</v>
      </c>
      <c r="B2200" s="20" t="s">
        <v>9325</v>
      </c>
      <c r="C2200" s="21" t="s">
        <v>9327</v>
      </c>
      <c r="D2200" s="20" t="s">
        <v>5465</v>
      </c>
      <c r="E2200" s="22" t="s">
        <v>5466</v>
      </c>
      <c r="F2200" s="22" t="s">
        <v>1937</v>
      </c>
      <c r="G2200" s="22" t="s">
        <v>5391</v>
      </c>
      <c r="H2200" s="83" t="s">
        <v>5467</v>
      </c>
      <c r="I2200" s="23" t="s">
        <v>24</v>
      </c>
      <c r="J2200" s="24">
        <v>180</v>
      </c>
      <c r="K2200" s="25">
        <v>0.25</v>
      </c>
      <c r="L2200" s="26">
        <f t="shared" si="334"/>
        <v>45</v>
      </c>
      <c r="M2200" s="27">
        <f t="shared" si="335"/>
        <v>135</v>
      </c>
      <c r="N2200" s="28">
        <v>0.16</v>
      </c>
      <c r="O2200" s="29">
        <f t="shared" si="336"/>
        <v>21.6</v>
      </c>
      <c r="P2200" s="30">
        <f t="shared" si="337"/>
        <v>156.6</v>
      </c>
      <c r="Q2200" s="23"/>
      <c r="R2200" s="52"/>
      <c r="S2200" s="53"/>
      <c r="T2200" s="54">
        <f t="shared" si="338"/>
        <v>0</v>
      </c>
      <c r="U2200" s="26">
        <f t="shared" si="339"/>
        <v>0</v>
      </c>
      <c r="V2200" s="55">
        <f t="shared" si="340"/>
        <v>0</v>
      </c>
      <c r="W2200" s="29">
        <f t="shared" si="341"/>
        <v>0</v>
      </c>
      <c r="X2200" s="30">
        <f t="shared" si="342"/>
        <v>0</v>
      </c>
      <c r="Y2200"/>
      <c r="Z2200"/>
      <c r="AA2200"/>
    </row>
    <row r="2201" spans="1:27" s="51" customFormat="1" ht="18.600000000000001" hidden="1" customHeight="1" x14ac:dyDescent="0.25">
      <c r="A2201" s="81" t="s">
        <v>2653</v>
      </c>
      <c r="B2201" s="31" t="s">
        <v>9325</v>
      </c>
      <c r="C2201" s="32" t="s">
        <v>9328</v>
      </c>
      <c r="D2201" s="31" t="s">
        <v>5468</v>
      </c>
      <c r="E2201" s="33" t="s">
        <v>5469</v>
      </c>
      <c r="F2201" s="33" t="s">
        <v>1937</v>
      </c>
      <c r="G2201" s="33" t="s">
        <v>5470</v>
      </c>
      <c r="H2201" s="84" t="s">
        <v>5471</v>
      </c>
      <c r="I2201" s="23" t="s">
        <v>24</v>
      </c>
      <c r="J2201" s="34">
        <v>540</v>
      </c>
      <c r="K2201" s="35">
        <v>0.25</v>
      </c>
      <c r="L2201" s="36">
        <f t="shared" si="334"/>
        <v>135</v>
      </c>
      <c r="M2201" s="37">
        <f t="shared" si="335"/>
        <v>405</v>
      </c>
      <c r="N2201" s="38">
        <v>0.16</v>
      </c>
      <c r="O2201" s="39">
        <f t="shared" si="336"/>
        <v>64.8</v>
      </c>
      <c r="P2201" s="40">
        <f t="shared" si="337"/>
        <v>469.8</v>
      </c>
      <c r="Q2201" s="23"/>
      <c r="R2201" s="56"/>
      <c r="S2201" s="57"/>
      <c r="T2201" s="58">
        <f t="shared" si="338"/>
        <v>0</v>
      </c>
      <c r="U2201" s="36">
        <f t="shared" si="339"/>
        <v>0</v>
      </c>
      <c r="V2201" s="59">
        <f t="shared" si="340"/>
        <v>0</v>
      </c>
      <c r="W2201" s="39">
        <f t="shared" si="341"/>
        <v>0</v>
      </c>
      <c r="X2201" s="40">
        <f t="shared" si="342"/>
        <v>0</v>
      </c>
      <c r="Y2201"/>
      <c r="Z2201"/>
      <c r="AA2201"/>
    </row>
    <row r="2202" spans="1:27" s="51" customFormat="1" ht="18.600000000000001" hidden="1" customHeight="1" x14ac:dyDescent="0.25">
      <c r="A2202" s="82" t="s">
        <v>2653</v>
      </c>
      <c r="B2202" s="41" t="s">
        <v>9325</v>
      </c>
      <c r="C2202" s="42" t="s">
        <v>9328</v>
      </c>
      <c r="D2202" s="41" t="s">
        <v>5472</v>
      </c>
      <c r="E2202" s="43" t="s">
        <v>5473</v>
      </c>
      <c r="F2202" s="43" t="s">
        <v>1937</v>
      </c>
      <c r="G2202" s="43" t="s">
        <v>5470</v>
      </c>
      <c r="H2202" s="85" t="s">
        <v>5474</v>
      </c>
      <c r="I2202" s="23" t="s">
        <v>24</v>
      </c>
      <c r="J2202" s="44">
        <v>540</v>
      </c>
      <c r="K2202" s="45">
        <v>0.25</v>
      </c>
      <c r="L2202" s="46">
        <f t="shared" si="334"/>
        <v>135</v>
      </c>
      <c r="M2202" s="47">
        <f t="shared" si="335"/>
        <v>405</v>
      </c>
      <c r="N2202" s="48">
        <v>0.16</v>
      </c>
      <c r="O2202" s="49">
        <f t="shared" si="336"/>
        <v>64.8</v>
      </c>
      <c r="P2202" s="50">
        <f t="shared" si="337"/>
        <v>469.8</v>
      </c>
      <c r="Q2202" s="23"/>
      <c r="R2202" s="60"/>
      <c r="S2202" s="61"/>
      <c r="T2202" s="62">
        <f t="shared" si="338"/>
        <v>0</v>
      </c>
      <c r="U2202" s="46">
        <f t="shared" si="339"/>
        <v>0</v>
      </c>
      <c r="V2202" s="63">
        <f t="shared" si="340"/>
        <v>0</v>
      </c>
      <c r="W2202" s="49">
        <f t="shared" si="341"/>
        <v>0</v>
      </c>
      <c r="X2202" s="50">
        <f t="shared" si="342"/>
        <v>0</v>
      </c>
      <c r="Y2202"/>
      <c r="Z2202"/>
      <c r="AA2202"/>
    </row>
    <row r="2203" spans="1:27" s="51" customFormat="1" ht="18.600000000000001" hidden="1" customHeight="1" x14ac:dyDescent="0.25">
      <c r="A2203" s="80" t="s">
        <v>2653</v>
      </c>
      <c r="B2203" s="20" t="s">
        <v>9325</v>
      </c>
      <c r="C2203" s="21" t="s">
        <v>9328</v>
      </c>
      <c r="D2203" s="20" t="s">
        <v>5475</v>
      </c>
      <c r="E2203" s="22" t="s">
        <v>5476</v>
      </c>
      <c r="F2203" s="22" t="s">
        <v>1937</v>
      </c>
      <c r="G2203" s="22" t="s">
        <v>5470</v>
      </c>
      <c r="H2203" s="83" t="s">
        <v>5477</v>
      </c>
      <c r="I2203" s="23" t="s">
        <v>24</v>
      </c>
      <c r="J2203" s="24">
        <v>540</v>
      </c>
      <c r="K2203" s="25">
        <v>0.25</v>
      </c>
      <c r="L2203" s="26">
        <f t="shared" si="334"/>
        <v>135</v>
      </c>
      <c r="M2203" s="27">
        <f t="shared" si="335"/>
        <v>405</v>
      </c>
      <c r="N2203" s="28">
        <v>0.16</v>
      </c>
      <c r="O2203" s="29">
        <f t="shared" si="336"/>
        <v>64.8</v>
      </c>
      <c r="P2203" s="30">
        <f t="shared" si="337"/>
        <v>469.8</v>
      </c>
      <c r="Q2203" s="23"/>
      <c r="R2203" s="52"/>
      <c r="S2203" s="53"/>
      <c r="T2203" s="54">
        <f t="shared" si="338"/>
        <v>0</v>
      </c>
      <c r="U2203" s="26">
        <f t="shared" si="339"/>
        <v>0</v>
      </c>
      <c r="V2203" s="55">
        <f t="shared" si="340"/>
        <v>0</v>
      </c>
      <c r="W2203" s="29">
        <f t="shared" si="341"/>
        <v>0</v>
      </c>
      <c r="X2203" s="30">
        <f t="shared" si="342"/>
        <v>0</v>
      </c>
      <c r="Y2203"/>
      <c r="Z2203"/>
      <c r="AA2203"/>
    </row>
    <row r="2204" spans="1:27" s="51" customFormat="1" ht="18.600000000000001" hidden="1" customHeight="1" x14ac:dyDescent="0.25">
      <c r="A2204" s="81" t="s">
        <v>2653</v>
      </c>
      <c r="B2204" s="31" t="s">
        <v>9325</v>
      </c>
      <c r="C2204" s="32" t="s">
        <v>9328</v>
      </c>
      <c r="D2204" s="31" t="s">
        <v>5478</v>
      </c>
      <c r="E2204" s="33" t="s">
        <v>5479</v>
      </c>
      <c r="F2204" s="33" t="s">
        <v>1937</v>
      </c>
      <c r="G2204" s="33" t="s">
        <v>5470</v>
      </c>
      <c r="H2204" s="84" t="s">
        <v>5480</v>
      </c>
      <c r="I2204" s="23" t="s">
        <v>24</v>
      </c>
      <c r="J2204" s="34">
        <v>540</v>
      </c>
      <c r="K2204" s="35">
        <v>0.25</v>
      </c>
      <c r="L2204" s="36">
        <f t="shared" si="334"/>
        <v>135</v>
      </c>
      <c r="M2204" s="37">
        <f t="shared" si="335"/>
        <v>405</v>
      </c>
      <c r="N2204" s="38">
        <v>0.16</v>
      </c>
      <c r="O2204" s="39">
        <f t="shared" si="336"/>
        <v>64.8</v>
      </c>
      <c r="P2204" s="40">
        <f t="shared" si="337"/>
        <v>469.8</v>
      </c>
      <c r="Q2204" s="23"/>
      <c r="R2204" s="56"/>
      <c r="S2204" s="57"/>
      <c r="T2204" s="58">
        <f t="shared" si="338"/>
        <v>0</v>
      </c>
      <c r="U2204" s="36">
        <f t="shared" si="339"/>
        <v>0</v>
      </c>
      <c r="V2204" s="59">
        <f t="shared" si="340"/>
        <v>0</v>
      </c>
      <c r="W2204" s="39">
        <f t="shared" si="341"/>
        <v>0</v>
      </c>
      <c r="X2204" s="40">
        <f t="shared" si="342"/>
        <v>0</v>
      </c>
      <c r="Y2204"/>
      <c r="Z2204"/>
      <c r="AA2204"/>
    </row>
    <row r="2205" spans="1:27" s="51" customFormat="1" ht="18.600000000000001" hidden="1" customHeight="1" x14ac:dyDescent="0.25">
      <c r="A2205" s="82" t="s">
        <v>2653</v>
      </c>
      <c r="B2205" s="41" t="s">
        <v>9325</v>
      </c>
      <c r="C2205" s="42" t="s">
        <v>9328</v>
      </c>
      <c r="D2205" s="41" t="s">
        <v>5481</v>
      </c>
      <c r="E2205" s="43" t="s">
        <v>5482</v>
      </c>
      <c r="F2205" s="43" t="s">
        <v>1937</v>
      </c>
      <c r="G2205" s="43" t="s">
        <v>5470</v>
      </c>
      <c r="H2205" s="85" t="s">
        <v>5483</v>
      </c>
      <c r="I2205" s="23" t="s">
        <v>24</v>
      </c>
      <c r="J2205" s="44">
        <v>540</v>
      </c>
      <c r="K2205" s="45">
        <v>0.25</v>
      </c>
      <c r="L2205" s="46">
        <f t="shared" si="334"/>
        <v>135</v>
      </c>
      <c r="M2205" s="47">
        <f t="shared" si="335"/>
        <v>405</v>
      </c>
      <c r="N2205" s="48">
        <v>0.16</v>
      </c>
      <c r="O2205" s="49">
        <f t="shared" si="336"/>
        <v>64.8</v>
      </c>
      <c r="P2205" s="50">
        <f t="shared" si="337"/>
        <v>469.8</v>
      </c>
      <c r="Q2205" s="23"/>
      <c r="R2205" s="60"/>
      <c r="S2205" s="61"/>
      <c r="T2205" s="62">
        <f t="shared" si="338"/>
        <v>0</v>
      </c>
      <c r="U2205" s="46">
        <f t="shared" si="339"/>
        <v>0</v>
      </c>
      <c r="V2205" s="63">
        <f t="shared" si="340"/>
        <v>0</v>
      </c>
      <c r="W2205" s="49">
        <f t="shared" si="341"/>
        <v>0</v>
      </c>
      <c r="X2205" s="50">
        <f t="shared" si="342"/>
        <v>0</v>
      </c>
      <c r="Y2205"/>
      <c r="Z2205"/>
      <c r="AA2205"/>
    </row>
    <row r="2206" spans="1:27" s="51" customFormat="1" ht="18.600000000000001" hidden="1" customHeight="1" x14ac:dyDescent="0.25">
      <c r="A2206" s="80" t="s">
        <v>2653</v>
      </c>
      <c r="B2206" s="20" t="s">
        <v>9325</v>
      </c>
      <c r="C2206" s="21" t="s">
        <v>9328</v>
      </c>
      <c r="D2206" s="20" t="s">
        <v>5484</v>
      </c>
      <c r="E2206" s="22" t="s">
        <v>5485</v>
      </c>
      <c r="F2206" s="22" t="s">
        <v>1937</v>
      </c>
      <c r="G2206" s="22" t="s">
        <v>5470</v>
      </c>
      <c r="H2206" s="83" t="s">
        <v>5486</v>
      </c>
      <c r="I2206" s="23" t="s">
        <v>24</v>
      </c>
      <c r="J2206" s="24">
        <v>540</v>
      </c>
      <c r="K2206" s="25">
        <v>0.25</v>
      </c>
      <c r="L2206" s="26">
        <f t="shared" si="334"/>
        <v>135</v>
      </c>
      <c r="M2206" s="27">
        <f t="shared" si="335"/>
        <v>405</v>
      </c>
      <c r="N2206" s="28">
        <v>0.16</v>
      </c>
      <c r="O2206" s="29">
        <f t="shared" si="336"/>
        <v>64.8</v>
      </c>
      <c r="P2206" s="30">
        <f t="shared" si="337"/>
        <v>469.8</v>
      </c>
      <c r="Q2206" s="23"/>
      <c r="R2206" s="52"/>
      <c r="S2206" s="53"/>
      <c r="T2206" s="54">
        <f t="shared" si="338"/>
        <v>0</v>
      </c>
      <c r="U2206" s="26">
        <f t="shared" si="339"/>
        <v>0</v>
      </c>
      <c r="V2206" s="55">
        <f t="shared" si="340"/>
        <v>0</v>
      </c>
      <c r="W2206" s="29">
        <f t="shared" si="341"/>
        <v>0</v>
      </c>
      <c r="X2206" s="30">
        <f t="shared" si="342"/>
        <v>0</v>
      </c>
      <c r="Y2206"/>
      <c r="Z2206"/>
      <c r="AA2206"/>
    </row>
    <row r="2207" spans="1:27" s="51" customFormat="1" ht="18.600000000000001" hidden="1" customHeight="1" x14ac:dyDescent="0.25">
      <c r="A2207" s="81" t="s">
        <v>2653</v>
      </c>
      <c r="B2207" s="31" t="s">
        <v>9325</v>
      </c>
      <c r="C2207" s="32" t="s">
        <v>9328</v>
      </c>
      <c r="D2207" s="31" t="s">
        <v>5487</v>
      </c>
      <c r="E2207" s="33" t="s">
        <v>5488</v>
      </c>
      <c r="F2207" s="33" t="s">
        <v>1937</v>
      </c>
      <c r="G2207" s="33" t="s">
        <v>5470</v>
      </c>
      <c r="H2207" s="84" t="s">
        <v>5489</v>
      </c>
      <c r="I2207" s="23" t="s">
        <v>24</v>
      </c>
      <c r="J2207" s="34">
        <v>540</v>
      </c>
      <c r="K2207" s="35">
        <v>0.25</v>
      </c>
      <c r="L2207" s="36">
        <f t="shared" si="334"/>
        <v>135</v>
      </c>
      <c r="M2207" s="37">
        <f t="shared" si="335"/>
        <v>405</v>
      </c>
      <c r="N2207" s="38">
        <v>0.16</v>
      </c>
      <c r="O2207" s="39">
        <f t="shared" si="336"/>
        <v>64.8</v>
      </c>
      <c r="P2207" s="40">
        <f t="shared" si="337"/>
        <v>469.8</v>
      </c>
      <c r="Q2207" s="23"/>
      <c r="R2207" s="56"/>
      <c r="S2207" s="57"/>
      <c r="T2207" s="58">
        <f t="shared" si="338"/>
        <v>0</v>
      </c>
      <c r="U2207" s="36">
        <f t="shared" si="339"/>
        <v>0</v>
      </c>
      <c r="V2207" s="59">
        <f t="shared" si="340"/>
        <v>0</v>
      </c>
      <c r="W2207" s="39">
        <f t="shared" si="341"/>
        <v>0</v>
      </c>
      <c r="X2207" s="40">
        <f t="shared" si="342"/>
        <v>0</v>
      </c>
      <c r="Y2207"/>
      <c r="Z2207"/>
      <c r="AA2207"/>
    </row>
    <row r="2208" spans="1:27" s="51" customFormat="1" ht="18.600000000000001" hidden="1" customHeight="1" x14ac:dyDescent="0.25">
      <c r="A2208" s="82" t="s">
        <v>2653</v>
      </c>
      <c r="B2208" s="41" t="s">
        <v>9325</v>
      </c>
      <c r="C2208" s="42" t="s">
        <v>9328</v>
      </c>
      <c r="D2208" s="41" t="s">
        <v>5490</v>
      </c>
      <c r="E2208" s="43" t="s">
        <v>5491</v>
      </c>
      <c r="F2208" s="43" t="s">
        <v>1937</v>
      </c>
      <c r="G2208" s="43" t="s">
        <v>5470</v>
      </c>
      <c r="H2208" s="85" t="s">
        <v>5492</v>
      </c>
      <c r="I2208" s="23" t="s">
        <v>24</v>
      </c>
      <c r="J2208" s="44">
        <v>540</v>
      </c>
      <c r="K2208" s="45">
        <v>0.25</v>
      </c>
      <c r="L2208" s="46">
        <f t="shared" si="334"/>
        <v>135</v>
      </c>
      <c r="M2208" s="47">
        <f t="shared" si="335"/>
        <v>405</v>
      </c>
      <c r="N2208" s="48">
        <v>0.16</v>
      </c>
      <c r="O2208" s="49">
        <f t="shared" si="336"/>
        <v>64.8</v>
      </c>
      <c r="P2208" s="50">
        <f t="shared" si="337"/>
        <v>469.8</v>
      </c>
      <c r="Q2208" s="23"/>
      <c r="R2208" s="60"/>
      <c r="S2208" s="61"/>
      <c r="T2208" s="62">
        <f t="shared" si="338"/>
        <v>0</v>
      </c>
      <c r="U2208" s="46">
        <f t="shared" si="339"/>
        <v>0</v>
      </c>
      <c r="V2208" s="63">
        <f t="shared" si="340"/>
        <v>0</v>
      </c>
      <c r="W2208" s="49">
        <f t="shared" si="341"/>
        <v>0</v>
      </c>
      <c r="X2208" s="50">
        <f t="shared" si="342"/>
        <v>0</v>
      </c>
      <c r="Y2208"/>
      <c r="Z2208"/>
      <c r="AA2208"/>
    </row>
    <row r="2209" spans="1:27" s="51" customFormat="1" ht="18.600000000000001" hidden="1" customHeight="1" x14ac:dyDescent="0.25">
      <c r="A2209" s="80" t="s">
        <v>2653</v>
      </c>
      <c r="B2209" s="20" t="s">
        <v>9325</v>
      </c>
      <c r="C2209" s="21" t="s">
        <v>9328</v>
      </c>
      <c r="D2209" s="20" t="s">
        <v>5493</v>
      </c>
      <c r="E2209" s="22" t="s">
        <v>5494</v>
      </c>
      <c r="F2209" s="22" t="s">
        <v>1937</v>
      </c>
      <c r="G2209" s="22" t="s">
        <v>5470</v>
      </c>
      <c r="H2209" s="83" t="s">
        <v>5495</v>
      </c>
      <c r="I2209" s="23" t="s">
        <v>24</v>
      </c>
      <c r="J2209" s="24">
        <v>540</v>
      </c>
      <c r="K2209" s="25">
        <v>0.25</v>
      </c>
      <c r="L2209" s="26">
        <f t="shared" si="334"/>
        <v>135</v>
      </c>
      <c r="M2209" s="27">
        <f t="shared" si="335"/>
        <v>405</v>
      </c>
      <c r="N2209" s="28">
        <v>0.16</v>
      </c>
      <c r="O2209" s="29">
        <f t="shared" si="336"/>
        <v>64.8</v>
      </c>
      <c r="P2209" s="30">
        <f t="shared" si="337"/>
        <v>469.8</v>
      </c>
      <c r="Q2209" s="23"/>
      <c r="R2209" s="52"/>
      <c r="S2209" s="53"/>
      <c r="T2209" s="54">
        <f t="shared" si="338"/>
        <v>0</v>
      </c>
      <c r="U2209" s="26">
        <f t="shared" si="339"/>
        <v>0</v>
      </c>
      <c r="V2209" s="55">
        <f t="shared" si="340"/>
        <v>0</v>
      </c>
      <c r="W2209" s="29">
        <f t="shared" si="341"/>
        <v>0</v>
      </c>
      <c r="X2209" s="30">
        <f t="shared" si="342"/>
        <v>0</v>
      </c>
      <c r="Y2209"/>
      <c r="Z2209"/>
      <c r="AA2209"/>
    </row>
    <row r="2210" spans="1:27" s="51" customFormat="1" ht="18.600000000000001" hidden="1" customHeight="1" x14ac:dyDescent="0.25">
      <c r="A2210" s="81" t="s">
        <v>2653</v>
      </c>
      <c r="B2210" s="31" t="s">
        <v>9325</v>
      </c>
      <c r="C2210" s="32" t="s">
        <v>9328</v>
      </c>
      <c r="D2210" s="31" t="s">
        <v>5496</v>
      </c>
      <c r="E2210" s="33" t="s">
        <v>5497</v>
      </c>
      <c r="F2210" s="33" t="s">
        <v>1937</v>
      </c>
      <c r="G2210" s="33" t="s">
        <v>5470</v>
      </c>
      <c r="H2210" s="84" t="s">
        <v>5498</v>
      </c>
      <c r="I2210" s="23" t="s">
        <v>24</v>
      </c>
      <c r="J2210" s="34">
        <v>540</v>
      </c>
      <c r="K2210" s="35">
        <v>0.25</v>
      </c>
      <c r="L2210" s="36">
        <f t="shared" si="334"/>
        <v>135</v>
      </c>
      <c r="M2210" s="37">
        <f t="shared" si="335"/>
        <v>405</v>
      </c>
      <c r="N2210" s="38">
        <v>0.16</v>
      </c>
      <c r="O2210" s="39">
        <f t="shared" si="336"/>
        <v>64.8</v>
      </c>
      <c r="P2210" s="40">
        <f t="shared" si="337"/>
        <v>469.8</v>
      </c>
      <c r="Q2210" s="23"/>
      <c r="R2210" s="56"/>
      <c r="S2210" s="57"/>
      <c r="T2210" s="58">
        <f t="shared" si="338"/>
        <v>0</v>
      </c>
      <c r="U2210" s="36">
        <f t="shared" si="339"/>
        <v>0</v>
      </c>
      <c r="V2210" s="59">
        <f t="shared" si="340"/>
        <v>0</v>
      </c>
      <c r="W2210" s="39">
        <f t="shared" si="341"/>
        <v>0</v>
      </c>
      <c r="X2210" s="40">
        <f t="shared" si="342"/>
        <v>0</v>
      </c>
      <c r="Y2210"/>
      <c r="Z2210"/>
      <c r="AA2210"/>
    </row>
    <row r="2211" spans="1:27" s="51" customFormat="1" ht="18.600000000000001" hidden="1" customHeight="1" x14ac:dyDescent="0.25">
      <c r="A2211" s="82" t="s">
        <v>2653</v>
      </c>
      <c r="B2211" s="41" t="s">
        <v>9325</v>
      </c>
      <c r="C2211" s="42" t="s">
        <v>9328</v>
      </c>
      <c r="D2211" s="41" t="s">
        <v>5499</v>
      </c>
      <c r="E2211" s="43" t="s">
        <v>5500</v>
      </c>
      <c r="F2211" s="43" t="s">
        <v>1937</v>
      </c>
      <c r="G2211" s="43" t="s">
        <v>5470</v>
      </c>
      <c r="H2211" s="85" t="s">
        <v>5501</v>
      </c>
      <c r="I2211" s="23" t="s">
        <v>24</v>
      </c>
      <c r="J2211" s="44">
        <v>540</v>
      </c>
      <c r="K2211" s="45">
        <v>0.25</v>
      </c>
      <c r="L2211" s="46">
        <f t="shared" si="334"/>
        <v>135</v>
      </c>
      <c r="M2211" s="47">
        <f t="shared" si="335"/>
        <v>405</v>
      </c>
      <c r="N2211" s="48">
        <v>0.16</v>
      </c>
      <c r="O2211" s="49">
        <f t="shared" si="336"/>
        <v>64.8</v>
      </c>
      <c r="P2211" s="50">
        <f t="shared" si="337"/>
        <v>469.8</v>
      </c>
      <c r="Q2211" s="23"/>
      <c r="R2211" s="60"/>
      <c r="S2211" s="61"/>
      <c r="T2211" s="62">
        <f t="shared" si="338"/>
        <v>0</v>
      </c>
      <c r="U2211" s="46">
        <f t="shared" si="339"/>
        <v>0</v>
      </c>
      <c r="V2211" s="63">
        <f t="shared" si="340"/>
        <v>0</v>
      </c>
      <c r="W2211" s="49">
        <f t="shared" si="341"/>
        <v>0</v>
      </c>
      <c r="X2211" s="50">
        <f t="shared" si="342"/>
        <v>0</v>
      </c>
      <c r="Y2211"/>
      <c r="Z2211"/>
      <c r="AA2211"/>
    </row>
    <row r="2212" spans="1:27" s="51" customFormat="1" ht="18.600000000000001" hidden="1" customHeight="1" x14ac:dyDescent="0.25">
      <c r="A2212" s="80" t="s">
        <v>2653</v>
      </c>
      <c r="B2212" s="20" t="s">
        <v>5502</v>
      </c>
      <c r="C2212" s="21" t="s">
        <v>5502</v>
      </c>
      <c r="D2212" s="20" t="s">
        <v>5503</v>
      </c>
      <c r="E2212" s="22" t="s">
        <v>5504</v>
      </c>
      <c r="F2212" s="22" t="s">
        <v>1937</v>
      </c>
      <c r="G2212" s="22" t="s">
        <v>5292</v>
      </c>
      <c r="H2212" s="83" t="s">
        <v>5505</v>
      </c>
      <c r="I2212" s="23" t="s">
        <v>24</v>
      </c>
      <c r="J2212" s="24">
        <v>135</v>
      </c>
      <c r="K2212" s="25">
        <v>0.25</v>
      </c>
      <c r="L2212" s="26">
        <f t="shared" si="334"/>
        <v>33.75</v>
      </c>
      <c r="M2212" s="27">
        <f t="shared" si="335"/>
        <v>101.25</v>
      </c>
      <c r="N2212" s="28">
        <v>0.16</v>
      </c>
      <c r="O2212" s="29">
        <f t="shared" si="336"/>
        <v>16.2</v>
      </c>
      <c r="P2212" s="30">
        <f t="shared" si="337"/>
        <v>117.45</v>
      </c>
      <c r="Q2212" s="23"/>
      <c r="R2212" s="52"/>
      <c r="S2212" s="53"/>
      <c r="T2212" s="54">
        <f t="shared" si="338"/>
        <v>0</v>
      </c>
      <c r="U2212" s="26">
        <f t="shared" si="339"/>
        <v>0</v>
      </c>
      <c r="V2212" s="55">
        <f t="shared" si="340"/>
        <v>0</v>
      </c>
      <c r="W2212" s="29">
        <f t="shared" si="341"/>
        <v>0</v>
      </c>
      <c r="X2212" s="30">
        <f t="shared" si="342"/>
        <v>0</v>
      </c>
      <c r="Y2212"/>
      <c r="Z2212"/>
      <c r="AA2212"/>
    </row>
    <row r="2213" spans="1:27" s="51" customFormat="1" ht="18.600000000000001" hidden="1" customHeight="1" x14ac:dyDescent="0.25">
      <c r="A2213" s="81" t="s">
        <v>2653</v>
      </c>
      <c r="B2213" s="31" t="s">
        <v>5502</v>
      </c>
      <c r="C2213" s="32" t="s">
        <v>5502</v>
      </c>
      <c r="D2213" s="31" t="s">
        <v>5506</v>
      </c>
      <c r="E2213" s="33" t="s">
        <v>5507</v>
      </c>
      <c r="F2213" s="33" t="s">
        <v>1937</v>
      </c>
      <c r="G2213" s="33" t="s">
        <v>5292</v>
      </c>
      <c r="H2213" s="84" t="s">
        <v>5508</v>
      </c>
      <c r="I2213" s="23" t="s">
        <v>24</v>
      </c>
      <c r="J2213" s="34">
        <v>135</v>
      </c>
      <c r="K2213" s="35">
        <v>0.25</v>
      </c>
      <c r="L2213" s="36">
        <f t="shared" si="334"/>
        <v>33.75</v>
      </c>
      <c r="M2213" s="37">
        <f t="shared" si="335"/>
        <v>101.25</v>
      </c>
      <c r="N2213" s="38">
        <v>0.16</v>
      </c>
      <c r="O2213" s="39">
        <f t="shared" si="336"/>
        <v>16.2</v>
      </c>
      <c r="P2213" s="40">
        <f t="shared" si="337"/>
        <v>117.45</v>
      </c>
      <c r="Q2213" s="23"/>
      <c r="R2213" s="56"/>
      <c r="S2213" s="57"/>
      <c r="T2213" s="58">
        <f t="shared" si="338"/>
        <v>0</v>
      </c>
      <c r="U2213" s="36">
        <f t="shared" si="339"/>
        <v>0</v>
      </c>
      <c r="V2213" s="59">
        <f t="shared" si="340"/>
        <v>0</v>
      </c>
      <c r="W2213" s="39">
        <f t="shared" si="341"/>
        <v>0</v>
      </c>
      <c r="X2213" s="40">
        <f t="shared" si="342"/>
        <v>0</v>
      </c>
      <c r="Y2213"/>
      <c r="Z2213"/>
      <c r="AA2213"/>
    </row>
    <row r="2214" spans="1:27" s="51" customFormat="1" ht="18.600000000000001" hidden="1" customHeight="1" x14ac:dyDescent="0.25">
      <c r="A2214" s="82" t="s">
        <v>2653</v>
      </c>
      <c r="B2214" s="41" t="s">
        <v>5502</v>
      </c>
      <c r="C2214" s="42" t="s">
        <v>5502</v>
      </c>
      <c r="D2214" s="41" t="s">
        <v>5509</v>
      </c>
      <c r="E2214" s="43" t="s">
        <v>5510</v>
      </c>
      <c r="F2214" s="43" t="s">
        <v>1937</v>
      </c>
      <c r="G2214" s="43" t="s">
        <v>5292</v>
      </c>
      <c r="H2214" s="85" t="s">
        <v>5511</v>
      </c>
      <c r="I2214" s="23" t="s">
        <v>24</v>
      </c>
      <c r="J2214" s="44">
        <v>135</v>
      </c>
      <c r="K2214" s="45">
        <v>0.25</v>
      </c>
      <c r="L2214" s="46">
        <f t="shared" si="334"/>
        <v>33.75</v>
      </c>
      <c r="M2214" s="47">
        <f t="shared" si="335"/>
        <v>101.25</v>
      </c>
      <c r="N2214" s="48">
        <v>0.16</v>
      </c>
      <c r="O2214" s="49">
        <f t="shared" si="336"/>
        <v>16.2</v>
      </c>
      <c r="P2214" s="50">
        <f t="shared" si="337"/>
        <v>117.45</v>
      </c>
      <c r="Q2214" s="23"/>
      <c r="R2214" s="60"/>
      <c r="S2214" s="61"/>
      <c r="T2214" s="62">
        <f t="shared" si="338"/>
        <v>0</v>
      </c>
      <c r="U2214" s="46">
        <f t="shared" si="339"/>
        <v>0</v>
      </c>
      <c r="V2214" s="63">
        <f t="shared" si="340"/>
        <v>0</v>
      </c>
      <c r="W2214" s="49">
        <f t="shared" si="341"/>
        <v>0</v>
      </c>
      <c r="X2214" s="50">
        <f t="shared" si="342"/>
        <v>0</v>
      </c>
      <c r="Y2214"/>
      <c r="Z2214"/>
      <c r="AA2214"/>
    </row>
    <row r="2215" spans="1:27" s="51" customFormat="1" ht="18.600000000000001" hidden="1" customHeight="1" x14ac:dyDescent="0.25">
      <c r="A2215" s="80" t="s">
        <v>2653</v>
      </c>
      <c r="B2215" s="20" t="s">
        <v>5502</v>
      </c>
      <c r="C2215" s="21" t="s">
        <v>5502</v>
      </c>
      <c r="D2215" s="20" t="s">
        <v>5512</v>
      </c>
      <c r="E2215" s="22" t="s">
        <v>5513</v>
      </c>
      <c r="F2215" s="22" t="s">
        <v>1937</v>
      </c>
      <c r="G2215" s="22" t="s">
        <v>5292</v>
      </c>
      <c r="H2215" s="83" t="s">
        <v>5514</v>
      </c>
      <c r="I2215" s="23" t="s">
        <v>24</v>
      </c>
      <c r="J2215" s="24">
        <v>135</v>
      </c>
      <c r="K2215" s="25">
        <v>0.25</v>
      </c>
      <c r="L2215" s="26">
        <f t="shared" si="334"/>
        <v>33.75</v>
      </c>
      <c r="M2215" s="27">
        <f t="shared" si="335"/>
        <v>101.25</v>
      </c>
      <c r="N2215" s="28">
        <v>0.16</v>
      </c>
      <c r="O2215" s="29">
        <f t="shared" si="336"/>
        <v>16.2</v>
      </c>
      <c r="P2215" s="30">
        <f t="shared" si="337"/>
        <v>117.45</v>
      </c>
      <c r="Q2215" s="23"/>
      <c r="R2215" s="52"/>
      <c r="S2215" s="53"/>
      <c r="T2215" s="54">
        <f t="shared" si="338"/>
        <v>0</v>
      </c>
      <c r="U2215" s="26">
        <f t="shared" si="339"/>
        <v>0</v>
      </c>
      <c r="V2215" s="55">
        <f t="shared" si="340"/>
        <v>0</v>
      </c>
      <c r="W2215" s="29">
        <f t="shared" si="341"/>
        <v>0</v>
      </c>
      <c r="X2215" s="30">
        <f t="shared" si="342"/>
        <v>0</v>
      </c>
      <c r="Y2215"/>
      <c r="Z2215"/>
      <c r="AA2215"/>
    </row>
    <row r="2216" spans="1:27" s="51" customFormat="1" ht="18.600000000000001" hidden="1" customHeight="1" x14ac:dyDescent="0.25">
      <c r="A2216" s="81" t="s">
        <v>2653</v>
      </c>
      <c r="B2216" s="31" t="s">
        <v>5502</v>
      </c>
      <c r="C2216" s="32" t="s">
        <v>5502</v>
      </c>
      <c r="D2216" s="31" t="s">
        <v>5515</v>
      </c>
      <c r="E2216" s="33" t="s">
        <v>5516</v>
      </c>
      <c r="F2216" s="33" t="s">
        <v>1937</v>
      </c>
      <c r="G2216" s="33" t="s">
        <v>5292</v>
      </c>
      <c r="H2216" s="84" t="s">
        <v>5517</v>
      </c>
      <c r="I2216" s="23" t="s">
        <v>24</v>
      </c>
      <c r="J2216" s="34">
        <v>135</v>
      </c>
      <c r="K2216" s="35">
        <v>0.25</v>
      </c>
      <c r="L2216" s="36">
        <f t="shared" si="334"/>
        <v>33.75</v>
      </c>
      <c r="M2216" s="37">
        <f t="shared" si="335"/>
        <v>101.25</v>
      </c>
      <c r="N2216" s="38">
        <v>0.16</v>
      </c>
      <c r="O2216" s="39">
        <f t="shared" si="336"/>
        <v>16.2</v>
      </c>
      <c r="P2216" s="40">
        <f t="shared" si="337"/>
        <v>117.45</v>
      </c>
      <c r="Q2216" s="23"/>
      <c r="R2216" s="56"/>
      <c r="S2216" s="57"/>
      <c r="T2216" s="58">
        <f t="shared" si="338"/>
        <v>0</v>
      </c>
      <c r="U2216" s="36">
        <f t="shared" si="339"/>
        <v>0</v>
      </c>
      <c r="V2216" s="59">
        <f t="shared" si="340"/>
        <v>0</v>
      </c>
      <c r="W2216" s="39">
        <f t="shared" si="341"/>
        <v>0</v>
      </c>
      <c r="X2216" s="40">
        <f t="shared" si="342"/>
        <v>0</v>
      </c>
      <c r="Y2216"/>
      <c r="Z2216"/>
      <c r="AA2216"/>
    </row>
    <row r="2217" spans="1:27" s="51" customFormat="1" ht="18.600000000000001" hidden="1" customHeight="1" x14ac:dyDescent="0.25">
      <c r="A2217" s="82" t="s">
        <v>2653</v>
      </c>
      <c r="B2217" s="41" t="s">
        <v>5502</v>
      </c>
      <c r="C2217" s="42" t="s">
        <v>5502</v>
      </c>
      <c r="D2217" s="41" t="s">
        <v>5518</v>
      </c>
      <c r="E2217" s="43" t="s">
        <v>5519</v>
      </c>
      <c r="F2217" s="43" t="s">
        <v>1937</v>
      </c>
      <c r="G2217" s="43" t="s">
        <v>5292</v>
      </c>
      <c r="H2217" s="85" t="s">
        <v>5520</v>
      </c>
      <c r="I2217" s="23" t="s">
        <v>24</v>
      </c>
      <c r="J2217" s="44">
        <v>135</v>
      </c>
      <c r="K2217" s="45">
        <v>0.25</v>
      </c>
      <c r="L2217" s="46">
        <f t="shared" si="334"/>
        <v>33.75</v>
      </c>
      <c r="M2217" s="47">
        <f t="shared" si="335"/>
        <v>101.25</v>
      </c>
      <c r="N2217" s="48">
        <v>0.16</v>
      </c>
      <c r="O2217" s="49">
        <f t="shared" si="336"/>
        <v>16.2</v>
      </c>
      <c r="P2217" s="50">
        <f t="shared" si="337"/>
        <v>117.45</v>
      </c>
      <c r="Q2217" s="23"/>
      <c r="R2217" s="60"/>
      <c r="S2217" s="61"/>
      <c r="T2217" s="62">
        <f t="shared" si="338"/>
        <v>0</v>
      </c>
      <c r="U2217" s="46">
        <f t="shared" si="339"/>
        <v>0</v>
      </c>
      <c r="V2217" s="63">
        <f t="shared" si="340"/>
        <v>0</v>
      </c>
      <c r="W2217" s="49">
        <f t="shared" si="341"/>
        <v>0</v>
      </c>
      <c r="X2217" s="50">
        <f t="shared" si="342"/>
        <v>0</v>
      </c>
      <c r="Y2217"/>
      <c r="Z2217"/>
      <c r="AA2217"/>
    </row>
    <row r="2218" spans="1:27" s="51" customFormat="1" ht="18.600000000000001" hidden="1" customHeight="1" x14ac:dyDescent="0.25">
      <c r="A2218" s="80" t="s">
        <v>2653</v>
      </c>
      <c r="B2218" s="20" t="s">
        <v>5502</v>
      </c>
      <c r="C2218" s="21" t="s">
        <v>5502</v>
      </c>
      <c r="D2218" s="20" t="s">
        <v>5521</v>
      </c>
      <c r="E2218" s="22" t="s">
        <v>5522</v>
      </c>
      <c r="F2218" s="22" t="s">
        <v>1937</v>
      </c>
      <c r="G2218" s="22" t="s">
        <v>5292</v>
      </c>
      <c r="H2218" s="83" t="s">
        <v>5523</v>
      </c>
      <c r="I2218" s="23" t="s">
        <v>24</v>
      </c>
      <c r="J2218" s="24">
        <v>135</v>
      </c>
      <c r="K2218" s="25">
        <v>0.25</v>
      </c>
      <c r="L2218" s="26">
        <f t="shared" si="334"/>
        <v>33.75</v>
      </c>
      <c r="M2218" s="27">
        <f t="shared" si="335"/>
        <v>101.25</v>
      </c>
      <c r="N2218" s="28">
        <v>0.16</v>
      </c>
      <c r="O2218" s="29">
        <f t="shared" si="336"/>
        <v>16.2</v>
      </c>
      <c r="P2218" s="30">
        <f t="shared" si="337"/>
        <v>117.45</v>
      </c>
      <c r="Q2218" s="23"/>
      <c r="R2218" s="52"/>
      <c r="S2218" s="53"/>
      <c r="T2218" s="54">
        <f t="shared" si="338"/>
        <v>0</v>
      </c>
      <c r="U2218" s="26">
        <f t="shared" si="339"/>
        <v>0</v>
      </c>
      <c r="V2218" s="55">
        <f t="shared" si="340"/>
        <v>0</v>
      </c>
      <c r="W2218" s="29">
        <f t="shared" si="341"/>
        <v>0</v>
      </c>
      <c r="X2218" s="30">
        <f t="shared" si="342"/>
        <v>0</v>
      </c>
      <c r="Y2218"/>
      <c r="Z2218"/>
      <c r="AA2218"/>
    </row>
    <row r="2219" spans="1:27" s="51" customFormat="1" ht="18.600000000000001" hidden="1" customHeight="1" x14ac:dyDescent="0.25">
      <c r="A2219" s="81" t="s">
        <v>2653</v>
      </c>
      <c r="B2219" s="31" t="s">
        <v>5502</v>
      </c>
      <c r="C2219" s="32" t="s">
        <v>5502</v>
      </c>
      <c r="D2219" s="31" t="s">
        <v>5524</v>
      </c>
      <c r="E2219" s="33" t="s">
        <v>5525</v>
      </c>
      <c r="F2219" s="33" t="s">
        <v>1937</v>
      </c>
      <c r="G2219" s="33" t="s">
        <v>5292</v>
      </c>
      <c r="H2219" s="84" t="s">
        <v>5526</v>
      </c>
      <c r="I2219" s="23" t="s">
        <v>24</v>
      </c>
      <c r="J2219" s="34">
        <v>135</v>
      </c>
      <c r="K2219" s="35">
        <v>0.25</v>
      </c>
      <c r="L2219" s="36">
        <f t="shared" si="334"/>
        <v>33.75</v>
      </c>
      <c r="M2219" s="37">
        <f t="shared" si="335"/>
        <v>101.25</v>
      </c>
      <c r="N2219" s="38">
        <v>0.16</v>
      </c>
      <c r="O2219" s="39">
        <f t="shared" si="336"/>
        <v>16.2</v>
      </c>
      <c r="P2219" s="40">
        <f t="shared" si="337"/>
        <v>117.45</v>
      </c>
      <c r="Q2219" s="23"/>
      <c r="R2219" s="56"/>
      <c r="S2219" s="57"/>
      <c r="T2219" s="58">
        <f t="shared" si="338"/>
        <v>0</v>
      </c>
      <c r="U2219" s="36">
        <f t="shared" si="339"/>
        <v>0</v>
      </c>
      <c r="V2219" s="59">
        <f t="shared" si="340"/>
        <v>0</v>
      </c>
      <c r="W2219" s="39">
        <f t="shared" si="341"/>
        <v>0</v>
      </c>
      <c r="X2219" s="40">
        <f t="shared" si="342"/>
        <v>0</v>
      </c>
      <c r="Y2219"/>
      <c r="Z2219"/>
      <c r="AA2219"/>
    </row>
    <row r="2220" spans="1:27" s="51" customFormat="1" ht="18.600000000000001" hidden="1" customHeight="1" x14ac:dyDescent="0.25">
      <c r="A2220" s="82" t="s">
        <v>2653</v>
      </c>
      <c r="B2220" s="41" t="s">
        <v>5502</v>
      </c>
      <c r="C2220" s="42" t="s">
        <v>5502</v>
      </c>
      <c r="D2220" s="41" t="s">
        <v>5527</v>
      </c>
      <c r="E2220" s="43" t="s">
        <v>5528</v>
      </c>
      <c r="F2220" s="43" t="s">
        <v>1937</v>
      </c>
      <c r="G2220" s="43" t="s">
        <v>5292</v>
      </c>
      <c r="H2220" s="85" t="s">
        <v>5529</v>
      </c>
      <c r="I2220" s="23" t="s">
        <v>24</v>
      </c>
      <c r="J2220" s="44">
        <v>135</v>
      </c>
      <c r="K2220" s="45">
        <v>0.25</v>
      </c>
      <c r="L2220" s="46">
        <f t="shared" si="334"/>
        <v>33.75</v>
      </c>
      <c r="M2220" s="47">
        <f t="shared" si="335"/>
        <v>101.25</v>
      </c>
      <c r="N2220" s="48">
        <v>0.16</v>
      </c>
      <c r="O2220" s="49">
        <f t="shared" si="336"/>
        <v>16.2</v>
      </c>
      <c r="P2220" s="50">
        <f t="shared" si="337"/>
        <v>117.45</v>
      </c>
      <c r="Q2220" s="23"/>
      <c r="R2220" s="60"/>
      <c r="S2220" s="61"/>
      <c r="T2220" s="62">
        <f t="shared" si="338"/>
        <v>0</v>
      </c>
      <c r="U2220" s="46">
        <f t="shared" si="339"/>
        <v>0</v>
      </c>
      <c r="V2220" s="63">
        <f t="shared" si="340"/>
        <v>0</v>
      </c>
      <c r="W2220" s="49">
        <f t="shared" si="341"/>
        <v>0</v>
      </c>
      <c r="X2220" s="50">
        <f t="shared" si="342"/>
        <v>0</v>
      </c>
      <c r="Y2220"/>
      <c r="Z2220"/>
      <c r="AA2220"/>
    </row>
    <row r="2221" spans="1:27" s="51" customFormat="1" ht="18.600000000000001" hidden="1" customHeight="1" x14ac:dyDescent="0.25">
      <c r="A2221" s="80" t="s">
        <v>2653</v>
      </c>
      <c r="B2221" s="20" t="s">
        <v>5502</v>
      </c>
      <c r="C2221" s="21" t="s">
        <v>5502</v>
      </c>
      <c r="D2221" s="20" t="s">
        <v>5530</v>
      </c>
      <c r="E2221" s="22" t="s">
        <v>5531</v>
      </c>
      <c r="F2221" s="22" t="s">
        <v>1937</v>
      </c>
      <c r="G2221" s="22" t="s">
        <v>5292</v>
      </c>
      <c r="H2221" s="83" t="s">
        <v>5532</v>
      </c>
      <c r="I2221" s="23" t="s">
        <v>24</v>
      </c>
      <c r="J2221" s="24">
        <v>135</v>
      </c>
      <c r="K2221" s="25">
        <v>0.25</v>
      </c>
      <c r="L2221" s="26">
        <f t="shared" si="334"/>
        <v>33.75</v>
      </c>
      <c r="M2221" s="27">
        <f t="shared" si="335"/>
        <v>101.25</v>
      </c>
      <c r="N2221" s="28">
        <v>0.16</v>
      </c>
      <c r="O2221" s="29">
        <f t="shared" si="336"/>
        <v>16.2</v>
      </c>
      <c r="P2221" s="30">
        <f t="shared" si="337"/>
        <v>117.45</v>
      </c>
      <c r="Q2221" s="23"/>
      <c r="R2221" s="52"/>
      <c r="S2221" s="53"/>
      <c r="T2221" s="54">
        <f t="shared" si="338"/>
        <v>0</v>
      </c>
      <c r="U2221" s="26">
        <f t="shared" si="339"/>
        <v>0</v>
      </c>
      <c r="V2221" s="55">
        <f t="shared" si="340"/>
        <v>0</v>
      </c>
      <c r="W2221" s="29">
        <f t="shared" si="341"/>
        <v>0</v>
      </c>
      <c r="X2221" s="30">
        <f t="shared" si="342"/>
        <v>0</v>
      </c>
      <c r="Y2221"/>
      <c r="Z2221"/>
      <c r="AA2221"/>
    </row>
    <row r="2222" spans="1:27" s="51" customFormat="1" ht="18.600000000000001" hidden="1" customHeight="1" x14ac:dyDescent="0.25">
      <c r="A2222" s="81" t="s">
        <v>2653</v>
      </c>
      <c r="B2222" s="31" t="s">
        <v>5502</v>
      </c>
      <c r="C2222" s="32" t="s">
        <v>5502</v>
      </c>
      <c r="D2222" s="31" t="s">
        <v>5533</v>
      </c>
      <c r="E2222" s="33" t="s">
        <v>5534</v>
      </c>
      <c r="F2222" s="33" t="s">
        <v>1937</v>
      </c>
      <c r="G2222" s="33" t="s">
        <v>5292</v>
      </c>
      <c r="H2222" s="84" t="s">
        <v>5535</v>
      </c>
      <c r="I2222" s="23" t="s">
        <v>24</v>
      </c>
      <c r="J2222" s="34">
        <v>135</v>
      </c>
      <c r="K2222" s="35">
        <v>0.25</v>
      </c>
      <c r="L2222" s="36">
        <f t="shared" si="334"/>
        <v>33.75</v>
      </c>
      <c r="M2222" s="37">
        <f t="shared" si="335"/>
        <v>101.25</v>
      </c>
      <c r="N2222" s="38">
        <v>0.16</v>
      </c>
      <c r="O2222" s="39">
        <f t="shared" si="336"/>
        <v>16.2</v>
      </c>
      <c r="P2222" s="40">
        <f t="shared" si="337"/>
        <v>117.45</v>
      </c>
      <c r="Q2222" s="23"/>
      <c r="R2222" s="56"/>
      <c r="S2222" s="57"/>
      <c r="T2222" s="58">
        <f t="shared" si="338"/>
        <v>0</v>
      </c>
      <c r="U2222" s="36">
        <f t="shared" si="339"/>
        <v>0</v>
      </c>
      <c r="V2222" s="59">
        <f t="shared" si="340"/>
        <v>0</v>
      </c>
      <c r="W2222" s="39">
        <f t="shared" si="341"/>
        <v>0</v>
      </c>
      <c r="X2222" s="40">
        <f t="shared" si="342"/>
        <v>0</v>
      </c>
      <c r="Y2222"/>
      <c r="Z2222"/>
      <c r="AA2222"/>
    </row>
    <row r="2223" spans="1:27" s="51" customFormat="1" ht="18.600000000000001" hidden="1" customHeight="1" x14ac:dyDescent="0.25">
      <c r="A2223" s="82" t="s">
        <v>2653</v>
      </c>
      <c r="B2223" s="41" t="s">
        <v>5502</v>
      </c>
      <c r="C2223" s="42" t="s">
        <v>5502</v>
      </c>
      <c r="D2223" s="41" t="s">
        <v>5536</v>
      </c>
      <c r="E2223" s="43" t="s">
        <v>5537</v>
      </c>
      <c r="F2223" s="43" t="s">
        <v>1937</v>
      </c>
      <c r="G2223" s="43" t="s">
        <v>5292</v>
      </c>
      <c r="H2223" s="85" t="s">
        <v>5538</v>
      </c>
      <c r="I2223" s="23" t="s">
        <v>24</v>
      </c>
      <c r="J2223" s="44">
        <v>135</v>
      </c>
      <c r="K2223" s="45">
        <v>0.25</v>
      </c>
      <c r="L2223" s="46">
        <f t="shared" si="334"/>
        <v>33.75</v>
      </c>
      <c r="M2223" s="47">
        <f t="shared" si="335"/>
        <v>101.25</v>
      </c>
      <c r="N2223" s="48">
        <v>0.16</v>
      </c>
      <c r="O2223" s="49">
        <f t="shared" si="336"/>
        <v>16.2</v>
      </c>
      <c r="P2223" s="50">
        <f t="shared" si="337"/>
        <v>117.45</v>
      </c>
      <c r="Q2223" s="23"/>
      <c r="R2223" s="60"/>
      <c r="S2223" s="61"/>
      <c r="T2223" s="62">
        <f t="shared" si="338"/>
        <v>0</v>
      </c>
      <c r="U2223" s="46">
        <f t="shared" si="339"/>
        <v>0</v>
      </c>
      <c r="V2223" s="63">
        <f t="shared" si="340"/>
        <v>0</v>
      </c>
      <c r="W2223" s="49">
        <f t="shared" si="341"/>
        <v>0</v>
      </c>
      <c r="X2223" s="50">
        <f t="shared" si="342"/>
        <v>0</v>
      </c>
      <c r="Y2223"/>
      <c r="Z2223"/>
      <c r="AA2223"/>
    </row>
    <row r="2224" spans="1:27" s="51" customFormat="1" ht="18.600000000000001" hidden="1" customHeight="1" x14ac:dyDescent="0.25">
      <c r="A2224" s="80" t="s">
        <v>2653</v>
      </c>
      <c r="B2224" s="20" t="s">
        <v>5502</v>
      </c>
      <c r="C2224" s="21" t="s">
        <v>5502</v>
      </c>
      <c r="D2224" s="20" t="s">
        <v>5539</v>
      </c>
      <c r="E2224" s="22" t="s">
        <v>5540</v>
      </c>
      <c r="F2224" s="22" t="s">
        <v>1937</v>
      </c>
      <c r="G2224" s="22" t="s">
        <v>5292</v>
      </c>
      <c r="H2224" s="83" t="s">
        <v>5541</v>
      </c>
      <c r="I2224" s="23" t="s">
        <v>24</v>
      </c>
      <c r="J2224" s="24">
        <v>135</v>
      </c>
      <c r="K2224" s="25">
        <v>0.25</v>
      </c>
      <c r="L2224" s="26">
        <f t="shared" si="334"/>
        <v>33.75</v>
      </c>
      <c r="M2224" s="27">
        <f t="shared" si="335"/>
        <v>101.25</v>
      </c>
      <c r="N2224" s="28">
        <v>0.16</v>
      </c>
      <c r="O2224" s="29">
        <f t="shared" si="336"/>
        <v>16.2</v>
      </c>
      <c r="P2224" s="30">
        <f t="shared" si="337"/>
        <v>117.45</v>
      </c>
      <c r="Q2224" s="23"/>
      <c r="R2224" s="52"/>
      <c r="S2224" s="53"/>
      <c r="T2224" s="54">
        <f t="shared" si="338"/>
        <v>0</v>
      </c>
      <c r="U2224" s="26">
        <f t="shared" si="339"/>
        <v>0</v>
      </c>
      <c r="V2224" s="55">
        <f t="shared" si="340"/>
        <v>0</v>
      </c>
      <c r="W2224" s="29">
        <f t="shared" si="341"/>
        <v>0</v>
      </c>
      <c r="X2224" s="30">
        <f t="shared" si="342"/>
        <v>0</v>
      </c>
      <c r="Y2224"/>
      <c r="Z2224"/>
      <c r="AA2224"/>
    </row>
    <row r="2225" spans="1:27" s="51" customFormat="1" ht="18.600000000000001" hidden="1" customHeight="1" x14ac:dyDescent="0.25">
      <c r="A2225" s="81" t="s">
        <v>2653</v>
      </c>
      <c r="B2225" s="31" t="s">
        <v>5502</v>
      </c>
      <c r="C2225" s="32" t="s">
        <v>5502</v>
      </c>
      <c r="D2225" s="31" t="s">
        <v>5542</v>
      </c>
      <c r="E2225" s="33" t="s">
        <v>5543</v>
      </c>
      <c r="F2225" s="33" t="s">
        <v>1937</v>
      </c>
      <c r="G2225" s="33" t="s">
        <v>5292</v>
      </c>
      <c r="H2225" s="84" t="s">
        <v>5544</v>
      </c>
      <c r="I2225" s="23" t="s">
        <v>24</v>
      </c>
      <c r="J2225" s="34">
        <v>135</v>
      </c>
      <c r="K2225" s="35">
        <v>0.25</v>
      </c>
      <c r="L2225" s="36">
        <f t="shared" si="334"/>
        <v>33.75</v>
      </c>
      <c r="M2225" s="37">
        <f t="shared" si="335"/>
        <v>101.25</v>
      </c>
      <c r="N2225" s="38">
        <v>0.16</v>
      </c>
      <c r="O2225" s="39">
        <f t="shared" si="336"/>
        <v>16.2</v>
      </c>
      <c r="P2225" s="40">
        <f t="shared" si="337"/>
        <v>117.45</v>
      </c>
      <c r="Q2225" s="23"/>
      <c r="R2225" s="56"/>
      <c r="S2225" s="57"/>
      <c r="T2225" s="58">
        <f t="shared" si="338"/>
        <v>0</v>
      </c>
      <c r="U2225" s="36">
        <f t="shared" si="339"/>
        <v>0</v>
      </c>
      <c r="V2225" s="59">
        <f t="shared" si="340"/>
        <v>0</v>
      </c>
      <c r="W2225" s="39">
        <f t="shared" si="341"/>
        <v>0</v>
      </c>
      <c r="X2225" s="40">
        <f t="shared" si="342"/>
        <v>0</v>
      </c>
      <c r="Y2225"/>
      <c r="Z2225"/>
      <c r="AA2225"/>
    </row>
    <row r="2226" spans="1:27" s="51" customFormat="1" ht="18.600000000000001" hidden="1" customHeight="1" x14ac:dyDescent="0.25">
      <c r="A2226" s="82" t="s">
        <v>2653</v>
      </c>
      <c r="B2226" s="41" t="s">
        <v>5502</v>
      </c>
      <c r="C2226" s="42" t="s">
        <v>5502</v>
      </c>
      <c r="D2226" s="41" t="s">
        <v>5545</v>
      </c>
      <c r="E2226" s="43" t="s">
        <v>5546</v>
      </c>
      <c r="F2226" s="43" t="s">
        <v>1937</v>
      </c>
      <c r="G2226" s="43" t="s">
        <v>5292</v>
      </c>
      <c r="H2226" s="85" t="s">
        <v>5547</v>
      </c>
      <c r="I2226" s="23" t="s">
        <v>24</v>
      </c>
      <c r="J2226" s="44">
        <v>135</v>
      </c>
      <c r="K2226" s="45">
        <v>0.25</v>
      </c>
      <c r="L2226" s="46">
        <f t="shared" si="334"/>
        <v>33.75</v>
      </c>
      <c r="M2226" s="47">
        <f t="shared" si="335"/>
        <v>101.25</v>
      </c>
      <c r="N2226" s="48">
        <v>0.16</v>
      </c>
      <c r="O2226" s="49">
        <f t="shared" si="336"/>
        <v>16.2</v>
      </c>
      <c r="P2226" s="50">
        <f t="shared" si="337"/>
        <v>117.45</v>
      </c>
      <c r="Q2226" s="23"/>
      <c r="R2226" s="60"/>
      <c r="S2226" s="61"/>
      <c r="T2226" s="62">
        <f t="shared" si="338"/>
        <v>0</v>
      </c>
      <c r="U2226" s="46">
        <f t="shared" si="339"/>
        <v>0</v>
      </c>
      <c r="V2226" s="63">
        <f t="shared" si="340"/>
        <v>0</v>
      </c>
      <c r="W2226" s="49">
        <f t="shared" si="341"/>
        <v>0</v>
      </c>
      <c r="X2226" s="50">
        <f t="shared" si="342"/>
        <v>0</v>
      </c>
      <c r="Y2226"/>
      <c r="Z2226"/>
      <c r="AA2226"/>
    </row>
    <row r="2227" spans="1:27" s="51" customFormat="1" ht="18.600000000000001" hidden="1" customHeight="1" x14ac:dyDescent="0.25">
      <c r="A2227" s="80" t="s">
        <v>2653</v>
      </c>
      <c r="B2227" s="20" t="s">
        <v>5502</v>
      </c>
      <c r="C2227" s="21" t="s">
        <v>5502</v>
      </c>
      <c r="D2227" s="20" t="s">
        <v>5548</v>
      </c>
      <c r="E2227" s="22" t="s">
        <v>5549</v>
      </c>
      <c r="F2227" s="22" t="s">
        <v>1937</v>
      </c>
      <c r="G2227" s="22" t="s">
        <v>5292</v>
      </c>
      <c r="H2227" s="83" t="s">
        <v>5550</v>
      </c>
      <c r="I2227" s="23" t="s">
        <v>24</v>
      </c>
      <c r="J2227" s="24">
        <v>135</v>
      </c>
      <c r="K2227" s="25">
        <v>0.25</v>
      </c>
      <c r="L2227" s="26">
        <f t="shared" si="334"/>
        <v>33.75</v>
      </c>
      <c r="M2227" s="27">
        <f t="shared" si="335"/>
        <v>101.25</v>
      </c>
      <c r="N2227" s="28">
        <v>0.16</v>
      </c>
      <c r="O2227" s="29">
        <f t="shared" si="336"/>
        <v>16.2</v>
      </c>
      <c r="P2227" s="30">
        <f t="shared" si="337"/>
        <v>117.45</v>
      </c>
      <c r="Q2227" s="23"/>
      <c r="R2227" s="52"/>
      <c r="S2227" s="53"/>
      <c r="T2227" s="54">
        <f t="shared" si="338"/>
        <v>0</v>
      </c>
      <c r="U2227" s="26">
        <f t="shared" si="339"/>
        <v>0</v>
      </c>
      <c r="V2227" s="55">
        <f t="shared" si="340"/>
        <v>0</v>
      </c>
      <c r="W2227" s="29">
        <f t="shared" si="341"/>
        <v>0</v>
      </c>
      <c r="X2227" s="30">
        <f t="shared" si="342"/>
        <v>0</v>
      </c>
      <c r="Y2227"/>
      <c r="Z2227"/>
      <c r="AA2227"/>
    </row>
    <row r="2228" spans="1:27" s="51" customFormat="1" ht="18.600000000000001" hidden="1" customHeight="1" x14ac:dyDescent="0.25">
      <c r="A2228" s="81" t="s">
        <v>2653</v>
      </c>
      <c r="B2228" s="31" t="s">
        <v>5502</v>
      </c>
      <c r="C2228" s="32" t="s">
        <v>5502</v>
      </c>
      <c r="D2228" s="31" t="s">
        <v>5551</v>
      </c>
      <c r="E2228" s="33" t="s">
        <v>5552</v>
      </c>
      <c r="F2228" s="33" t="s">
        <v>1937</v>
      </c>
      <c r="G2228" s="33" t="s">
        <v>5292</v>
      </c>
      <c r="H2228" s="84" t="s">
        <v>5553</v>
      </c>
      <c r="I2228" s="23" t="s">
        <v>24</v>
      </c>
      <c r="J2228" s="34">
        <v>135</v>
      </c>
      <c r="K2228" s="35">
        <v>0.25</v>
      </c>
      <c r="L2228" s="36">
        <f t="shared" si="334"/>
        <v>33.75</v>
      </c>
      <c r="M2228" s="37">
        <f t="shared" si="335"/>
        <v>101.25</v>
      </c>
      <c r="N2228" s="38">
        <v>0.16</v>
      </c>
      <c r="O2228" s="39">
        <f t="shared" si="336"/>
        <v>16.2</v>
      </c>
      <c r="P2228" s="40">
        <f t="shared" si="337"/>
        <v>117.45</v>
      </c>
      <c r="Q2228" s="23"/>
      <c r="R2228" s="56"/>
      <c r="S2228" s="57"/>
      <c r="T2228" s="58">
        <f t="shared" si="338"/>
        <v>0</v>
      </c>
      <c r="U2228" s="36">
        <f t="shared" si="339"/>
        <v>0</v>
      </c>
      <c r="V2228" s="59">
        <f t="shared" si="340"/>
        <v>0</v>
      </c>
      <c r="W2228" s="39">
        <f t="shared" si="341"/>
        <v>0</v>
      </c>
      <c r="X2228" s="40">
        <f t="shared" si="342"/>
        <v>0</v>
      </c>
      <c r="Y2228"/>
      <c r="Z2228"/>
      <c r="AA2228"/>
    </row>
    <row r="2229" spans="1:27" s="51" customFormat="1" ht="18.600000000000001" hidden="1" customHeight="1" x14ac:dyDescent="0.25">
      <c r="A2229" s="82" t="s">
        <v>2653</v>
      </c>
      <c r="B2229" s="41" t="s">
        <v>5502</v>
      </c>
      <c r="C2229" s="42" t="s">
        <v>5502</v>
      </c>
      <c r="D2229" s="41" t="s">
        <v>5554</v>
      </c>
      <c r="E2229" s="43" t="s">
        <v>5555</v>
      </c>
      <c r="F2229" s="43" t="s">
        <v>1937</v>
      </c>
      <c r="G2229" s="43" t="s">
        <v>5292</v>
      </c>
      <c r="H2229" s="85" t="s">
        <v>5556</v>
      </c>
      <c r="I2229" s="23" t="s">
        <v>24</v>
      </c>
      <c r="J2229" s="44">
        <v>135</v>
      </c>
      <c r="K2229" s="45">
        <v>0.25</v>
      </c>
      <c r="L2229" s="46">
        <f t="shared" si="334"/>
        <v>33.75</v>
      </c>
      <c r="M2229" s="47">
        <f t="shared" si="335"/>
        <v>101.25</v>
      </c>
      <c r="N2229" s="48">
        <v>0.16</v>
      </c>
      <c r="O2229" s="49">
        <f t="shared" si="336"/>
        <v>16.2</v>
      </c>
      <c r="P2229" s="50">
        <f t="shared" si="337"/>
        <v>117.45</v>
      </c>
      <c r="Q2229" s="23"/>
      <c r="R2229" s="60"/>
      <c r="S2229" s="61"/>
      <c r="T2229" s="62">
        <f t="shared" si="338"/>
        <v>0</v>
      </c>
      <c r="U2229" s="46">
        <f t="shared" si="339"/>
        <v>0</v>
      </c>
      <c r="V2229" s="63">
        <f t="shared" si="340"/>
        <v>0</v>
      </c>
      <c r="W2229" s="49">
        <f t="shared" si="341"/>
        <v>0</v>
      </c>
      <c r="X2229" s="50">
        <f t="shared" si="342"/>
        <v>0</v>
      </c>
      <c r="Y2229"/>
      <c r="Z2229"/>
      <c r="AA2229"/>
    </row>
    <row r="2230" spans="1:27" s="51" customFormat="1" ht="18.600000000000001" hidden="1" customHeight="1" x14ac:dyDescent="0.25">
      <c r="A2230" s="80" t="s">
        <v>2653</v>
      </c>
      <c r="B2230" s="20" t="s">
        <v>5502</v>
      </c>
      <c r="C2230" s="21" t="s">
        <v>5502</v>
      </c>
      <c r="D2230" s="20" t="s">
        <v>5557</v>
      </c>
      <c r="E2230" s="22" t="s">
        <v>5558</v>
      </c>
      <c r="F2230" s="22" t="s">
        <v>1937</v>
      </c>
      <c r="G2230" s="22" t="s">
        <v>5292</v>
      </c>
      <c r="H2230" s="83" t="s">
        <v>5559</v>
      </c>
      <c r="I2230" s="23" t="s">
        <v>24</v>
      </c>
      <c r="J2230" s="24">
        <v>135</v>
      </c>
      <c r="K2230" s="25">
        <v>0.25</v>
      </c>
      <c r="L2230" s="26">
        <f t="shared" si="334"/>
        <v>33.75</v>
      </c>
      <c r="M2230" s="27">
        <f t="shared" si="335"/>
        <v>101.25</v>
      </c>
      <c r="N2230" s="28">
        <v>0.16</v>
      </c>
      <c r="O2230" s="29">
        <f t="shared" si="336"/>
        <v>16.2</v>
      </c>
      <c r="P2230" s="30">
        <f t="shared" si="337"/>
        <v>117.45</v>
      </c>
      <c r="Q2230" s="23"/>
      <c r="R2230" s="52"/>
      <c r="S2230" s="53"/>
      <c r="T2230" s="54">
        <f t="shared" si="338"/>
        <v>0</v>
      </c>
      <c r="U2230" s="26">
        <f t="shared" si="339"/>
        <v>0</v>
      </c>
      <c r="V2230" s="55">
        <f t="shared" si="340"/>
        <v>0</v>
      </c>
      <c r="W2230" s="29">
        <f t="shared" si="341"/>
        <v>0</v>
      </c>
      <c r="X2230" s="30">
        <f t="shared" si="342"/>
        <v>0</v>
      </c>
      <c r="Y2230"/>
      <c r="Z2230"/>
      <c r="AA2230"/>
    </row>
    <row r="2231" spans="1:27" s="51" customFormat="1" ht="18.600000000000001" hidden="1" customHeight="1" x14ac:dyDescent="0.25">
      <c r="A2231" s="81" t="s">
        <v>2653</v>
      </c>
      <c r="B2231" s="31" t="s">
        <v>5502</v>
      </c>
      <c r="C2231" s="32" t="s">
        <v>5502</v>
      </c>
      <c r="D2231" s="31" t="s">
        <v>5560</v>
      </c>
      <c r="E2231" s="33" t="s">
        <v>5561</v>
      </c>
      <c r="F2231" s="33" t="s">
        <v>1937</v>
      </c>
      <c r="G2231" s="33" t="s">
        <v>5292</v>
      </c>
      <c r="H2231" s="84" t="s">
        <v>5562</v>
      </c>
      <c r="I2231" s="23" t="s">
        <v>24</v>
      </c>
      <c r="J2231" s="34">
        <v>135</v>
      </c>
      <c r="K2231" s="35">
        <v>0.25</v>
      </c>
      <c r="L2231" s="36">
        <f t="shared" si="334"/>
        <v>33.75</v>
      </c>
      <c r="M2231" s="37">
        <f t="shared" si="335"/>
        <v>101.25</v>
      </c>
      <c r="N2231" s="38">
        <v>0.16</v>
      </c>
      <c r="O2231" s="39">
        <f t="shared" si="336"/>
        <v>16.2</v>
      </c>
      <c r="P2231" s="40">
        <f t="shared" si="337"/>
        <v>117.45</v>
      </c>
      <c r="Q2231" s="23"/>
      <c r="R2231" s="56"/>
      <c r="S2231" s="57"/>
      <c r="T2231" s="58">
        <f t="shared" si="338"/>
        <v>0</v>
      </c>
      <c r="U2231" s="36">
        <f t="shared" si="339"/>
        <v>0</v>
      </c>
      <c r="V2231" s="59">
        <f t="shared" si="340"/>
        <v>0</v>
      </c>
      <c r="W2231" s="39">
        <f t="shared" si="341"/>
        <v>0</v>
      </c>
      <c r="X2231" s="40">
        <f t="shared" si="342"/>
        <v>0</v>
      </c>
      <c r="Y2231"/>
      <c r="Z2231"/>
      <c r="AA2231"/>
    </row>
    <row r="2232" spans="1:27" s="51" customFormat="1" ht="18.600000000000001" hidden="1" customHeight="1" x14ac:dyDescent="0.25">
      <c r="A2232" s="82" t="s">
        <v>2653</v>
      </c>
      <c r="B2232" s="41" t="s">
        <v>5502</v>
      </c>
      <c r="C2232" s="42" t="s">
        <v>5502</v>
      </c>
      <c r="D2232" s="41" t="s">
        <v>5563</v>
      </c>
      <c r="E2232" s="43" t="s">
        <v>5564</v>
      </c>
      <c r="F2232" s="43" t="s">
        <v>1937</v>
      </c>
      <c r="G2232" s="43" t="s">
        <v>5292</v>
      </c>
      <c r="H2232" s="85" t="s">
        <v>5565</v>
      </c>
      <c r="I2232" s="23" t="s">
        <v>24</v>
      </c>
      <c r="J2232" s="44">
        <v>135</v>
      </c>
      <c r="K2232" s="45">
        <v>0.25</v>
      </c>
      <c r="L2232" s="46">
        <f t="shared" si="334"/>
        <v>33.75</v>
      </c>
      <c r="M2232" s="47">
        <f t="shared" si="335"/>
        <v>101.25</v>
      </c>
      <c r="N2232" s="48">
        <v>0.16</v>
      </c>
      <c r="O2232" s="49">
        <f t="shared" si="336"/>
        <v>16.2</v>
      </c>
      <c r="P2232" s="50">
        <f t="shared" si="337"/>
        <v>117.45</v>
      </c>
      <c r="Q2232" s="23"/>
      <c r="R2232" s="60"/>
      <c r="S2232" s="61"/>
      <c r="T2232" s="62">
        <f t="shared" si="338"/>
        <v>0</v>
      </c>
      <c r="U2232" s="46">
        <f t="shared" si="339"/>
        <v>0</v>
      </c>
      <c r="V2232" s="63">
        <f t="shared" si="340"/>
        <v>0</v>
      </c>
      <c r="W2232" s="49">
        <f t="shared" si="341"/>
        <v>0</v>
      </c>
      <c r="X2232" s="50">
        <f t="shared" si="342"/>
        <v>0</v>
      </c>
      <c r="Y2232"/>
      <c r="Z2232"/>
      <c r="AA2232"/>
    </row>
    <row r="2233" spans="1:27" s="51" customFormat="1" ht="18.600000000000001" hidden="1" customHeight="1" x14ac:dyDescent="0.25">
      <c r="A2233" s="80" t="s">
        <v>2653</v>
      </c>
      <c r="B2233" s="20" t="s">
        <v>5502</v>
      </c>
      <c r="C2233" s="21" t="s">
        <v>5502</v>
      </c>
      <c r="D2233" s="20" t="s">
        <v>5566</v>
      </c>
      <c r="E2233" s="22" t="s">
        <v>5567</v>
      </c>
      <c r="F2233" s="22" t="s">
        <v>1937</v>
      </c>
      <c r="G2233" s="22" t="s">
        <v>5292</v>
      </c>
      <c r="H2233" s="83" t="s">
        <v>5568</v>
      </c>
      <c r="I2233" s="23" t="s">
        <v>24</v>
      </c>
      <c r="J2233" s="24">
        <v>135</v>
      </c>
      <c r="K2233" s="25">
        <v>0.25</v>
      </c>
      <c r="L2233" s="26">
        <f t="shared" si="334"/>
        <v>33.75</v>
      </c>
      <c r="M2233" s="27">
        <f t="shared" si="335"/>
        <v>101.25</v>
      </c>
      <c r="N2233" s="28">
        <v>0.16</v>
      </c>
      <c r="O2233" s="29">
        <f t="shared" si="336"/>
        <v>16.2</v>
      </c>
      <c r="P2233" s="30">
        <f t="shared" si="337"/>
        <v>117.45</v>
      </c>
      <c r="Q2233" s="23"/>
      <c r="R2233" s="52"/>
      <c r="S2233" s="53"/>
      <c r="T2233" s="54">
        <f t="shared" si="338"/>
        <v>0</v>
      </c>
      <c r="U2233" s="26">
        <f t="shared" si="339"/>
        <v>0</v>
      </c>
      <c r="V2233" s="55">
        <f t="shared" si="340"/>
        <v>0</v>
      </c>
      <c r="W2233" s="29">
        <f t="shared" si="341"/>
        <v>0</v>
      </c>
      <c r="X2233" s="30">
        <f t="shared" si="342"/>
        <v>0</v>
      </c>
      <c r="Y2233"/>
      <c r="Z2233"/>
      <c r="AA2233"/>
    </row>
    <row r="2234" spans="1:27" s="51" customFormat="1" ht="18.600000000000001" hidden="1" customHeight="1" x14ac:dyDescent="0.25">
      <c r="A2234" s="81" t="s">
        <v>2653</v>
      </c>
      <c r="B2234" s="31" t="s">
        <v>5502</v>
      </c>
      <c r="C2234" s="32" t="s">
        <v>5502</v>
      </c>
      <c r="D2234" s="31" t="s">
        <v>5569</v>
      </c>
      <c r="E2234" s="33" t="s">
        <v>5570</v>
      </c>
      <c r="F2234" s="33" t="s">
        <v>1937</v>
      </c>
      <c r="G2234" s="33" t="s">
        <v>5292</v>
      </c>
      <c r="H2234" s="84" t="s">
        <v>5571</v>
      </c>
      <c r="I2234" s="23" t="s">
        <v>24</v>
      </c>
      <c r="J2234" s="34">
        <v>135</v>
      </c>
      <c r="K2234" s="35">
        <v>0.25</v>
      </c>
      <c r="L2234" s="36">
        <f t="shared" si="334"/>
        <v>33.75</v>
      </c>
      <c r="M2234" s="37">
        <f t="shared" si="335"/>
        <v>101.25</v>
      </c>
      <c r="N2234" s="38">
        <v>0.16</v>
      </c>
      <c r="O2234" s="39">
        <f t="shared" si="336"/>
        <v>16.2</v>
      </c>
      <c r="P2234" s="40">
        <f t="shared" si="337"/>
        <v>117.45</v>
      </c>
      <c r="Q2234" s="23"/>
      <c r="R2234" s="56"/>
      <c r="S2234" s="57"/>
      <c r="T2234" s="58">
        <f t="shared" si="338"/>
        <v>0</v>
      </c>
      <c r="U2234" s="36">
        <f t="shared" si="339"/>
        <v>0</v>
      </c>
      <c r="V2234" s="59">
        <f t="shared" si="340"/>
        <v>0</v>
      </c>
      <c r="W2234" s="39">
        <f t="shared" si="341"/>
        <v>0</v>
      </c>
      <c r="X2234" s="40">
        <f t="shared" si="342"/>
        <v>0</v>
      </c>
      <c r="Y2234"/>
      <c r="Z2234"/>
      <c r="AA2234"/>
    </row>
    <row r="2235" spans="1:27" s="51" customFormat="1" ht="18.600000000000001" hidden="1" customHeight="1" x14ac:dyDescent="0.25">
      <c r="A2235" s="82" t="s">
        <v>2653</v>
      </c>
      <c r="B2235" s="41" t="s">
        <v>5502</v>
      </c>
      <c r="C2235" s="42" t="s">
        <v>5502</v>
      </c>
      <c r="D2235" s="41" t="s">
        <v>5572</v>
      </c>
      <c r="E2235" s="43" t="s">
        <v>5573</v>
      </c>
      <c r="F2235" s="43" t="s">
        <v>1937</v>
      </c>
      <c r="G2235" s="43" t="s">
        <v>5292</v>
      </c>
      <c r="H2235" s="85" t="s">
        <v>5574</v>
      </c>
      <c r="I2235" s="23" t="s">
        <v>24</v>
      </c>
      <c r="J2235" s="44">
        <v>135</v>
      </c>
      <c r="K2235" s="45">
        <v>0.25</v>
      </c>
      <c r="L2235" s="46">
        <f t="shared" si="334"/>
        <v>33.75</v>
      </c>
      <c r="M2235" s="47">
        <f t="shared" si="335"/>
        <v>101.25</v>
      </c>
      <c r="N2235" s="48">
        <v>0.16</v>
      </c>
      <c r="O2235" s="49">
        <f t="shared" si="336"/>
        <v>16.2</v>
      </c>
      <c r="P2235" s="50">
        <f t="shared" si="337"/>
        <v>117.45</v>
      </c>
      <c r="Q2235" s="23"/>
      <c r="R2235" s="60"/>
      <c r="S2235" s="61"/>
      <c r="T2235" s="62">
        <f t="shared" si="338"/>
        <v>0</v>
      </c>
      <c r="U2235" s="46">
        <f t="shared" si="339"/>
        <v>0</v>
      </c>
      <c r="V2235" s="63">
        <f t="shared" si="340"/>
        <v>0</v>
      </c>
      <c r="W2235" s="49">
        <f t="shared" si="341"/>
        <v>0</v>
      </c>
      <c r="X2235" s="50">
        <f t="shared" si="342"/>
        <v>0</v>
      </c>
      <c r="Y2235"/>
      <c r="Z2235"/>
      <c r="AA2235"/>
    </row>
    <row r="2236" spans="1:27" s="51" customFormat="1" ht="18.600000000000001" hidden="1" customHeight="1" x14ac:dyDescent="0.25">
      <c r="A2236" s="80" t="s">
        <v>2653</v>
      </c>
      <c r="B2236" s="20" t="s">
        <v>5502</v>
      </c>
      <c r="C2236" s="21" t="s">
        <v>5502</v>
      </c>
      <c r="D2236" s="20" t="s">
        <v>5575</v>
      </c>
      <c r="E2236" s="22" t="s">
        <v>5576</v>
      </c>
      <c r="F2236" s="22" t="s">
        <v>1937</v>
      </c>
      <c r="G2236" s="22" t="s">
        <v>5292</v>
      </c>
      <c r="H2236" s="83" t="s">
        <v>5577</v>
      </c>
      <c r="I2236" s="23" t="s">
        <v>24</v>
      </c>
      <c r="J2236" s="24">
        <v>135</v>
      </c>
      <c r="K2236" s="25">
        <v>0.25</v>
      </c>
      <c r="L2236" s="26">
        <f t="shared" si="334"/>
        <v>33.75</v>
      </c>
      <c r="M2236" s="27">
        <f t="shared" si="335"/>
        <v>101.25</v>
      </c>
      <c r="N2236" s="28">
        <v>0.16</v>
      </c>
      <c r="O2236" s="29">
        <f t="shared" si="336"/>
        <v>16.2</v>
      </c>
      <c r="P2236" s="30">
        <f t="shared" si="337"/>
        <v>117.45</v>
      </c>
      <c r="Q2236" s="23"/>
      <c r="R2236" s="52"/>
      <c r="S2236" s="53"/>
      <c r="T2236" s="54">
        <f t="shared" si="338"/>
        <v>0</v>
      </c>
      <c r="U2236" s="26">
        <f t="shared" si="339"/>
        <v>0</v>
      </c>
      <c r="V2236" s="55">
        <f t="shared" si="340"/>
        <v>0</v>
      </c>
      <c r="W2236" s="29">
        <f t="shared" si="341"/>
        <v>0</v>
      </c>
      <c r="X2236" s="30">
        <f t="shared" si="342"/>
        <v>0</v>
      </c>
      <c r="Y2236"/>
      <c r="Z2236"/>
      <c r="AA2236"/>
    </row>
    <row r="2237" spans="1:27" s="51" customFormat="1" ht="18.600000000000001" hidden="1" customHeight="1" x14ac:dyDescent="0.25">
      <c r="A2237" s="81" t="s">
        <v>2653</v>
      </c>
      <c r="B2237" s="31" t="s">
        <v>5502</v>
      </c>
      <c r="C2237" s="32" t="s">
        <v>5502</v>
      </c>
      <c r="D2237" s="31" t="s">
        <v>5578</v>
      </c>
      <c r="E2237" s="33" t="s">
        <v>5579</v>
      </c>
      <c r="F2237" s="33" t="s">
        <v>1937</v>
      </c>
      <c r="G2237" s="33" t="s">
        <v>5292</v>
      </c>
      <c r="H2237" s="84" t="s">
        <v>5580</v>
      </c>
      <c r="I2237" s="23" t="s">
        <v>24</v>
      </c>
      <c r="J2237" s="34">
        <v>135</v>
      </c>
      <c r="K2237" s="35">
        <v>0.25</v>
      </c>
      <c r="L2237" s="36">
        <f t="shared" si="334"/>
        <v>33.75</v>
      </c>
      <c r="M2237" s="37">
        <f t="shared" si="335"/>
        <v>101.25</v>
      </c>
      <c r="N2237" s="38">
        <v>0.16</v>
      </c>
      <c r="O2237" s="39">
        <f t="shared" si="336"/>
        <v>16.2</v>
      </c>
      <c r="P2237" s="40">
        <f t="shared" si="337"/>
        <v>117.45</v>
      </c>
      <c r="Q2237" s="23"/>
      <c r="R2237" s="56"/>
      <c r="S2237" s="57"/>
      <c r="T2237" s="58">
        <f t="shared" si="338"/>
        <v>0</v>
      </c>
      <c r="U2237" s="36">
        <f t="shared" si="339"/>
        <v>0</v>
      </c>
      <c r="V2237" s="59">
        <f t="shared" si="340"/>
        <v>0</v>
      </c>
      <c r="W2237" s="39">
        <f t="shared" si="341"/>
        <v>0</v>
      </c>
      <c r="X2237" s="40">
        <f t="shared" si="342"/>
        <v>0</v>
      </c>
      <c r="Y2237"/>
      <c r="Z2237"/>
      <c r="AA2237"/>
    </row>
    <row r="2238" spans="1:27" s="51" customFormat="1" ht="18.600000000000001" hidden="1" customHeight="1" x14ac:dyDescent="0.25">
      <c r="A2238" s="82" t="s">
        <v>2653</v>
      </c>
      <c r="B2238" s="41" t="s">
        <v>5502</v>
      </c>
      <c r="C2238" s="42" t="s">
        <v>5502</v>
      </c>
      <c r="D2238" s="41" t="s">
        <v>5581</v>
      </c>
      <c r="E2238" s="43" t="s">
        <v>5582</v>
      </c>
      <c r="F2238" s="43" t="s">
        <v>1937</v>
      </c>
      <c r="G2238" s="43" t="s">
        <v>5292</v>
      </c>
      <c r="H2238" s="85" t="s">
        <v>5583</v>
      </c>
      <c r="I2238" s="23" t="s">
        <v>24</v>
      </c>
      <c r="J2238" s="44">
        <v>135</v>
      </c>
      <c r="K2238" s="45">
        <v>0.25</v>
      </c>
      <c r="L2238" s="46">
        <f t="shared" si="334"/>
        <v>33.75</v>
      </c>
      <c r="M2238" s="47">
        <f t="shared" si="335"/>
        <v>101.25</v>
      </c>
      <c r="N2238" s="48">
        <v>0.16</v>
      </c>
      <c r="O2238" s="49">
        <f t="shared" si="336"/>
        <v>16.2</v>
      </c>
      <c r="P2238" s="50">
        <f t="shared" si="337"/>
        <v>117.45</v>
      </c>
      <c r="Q2238" s="23"/>
      <c r="R2238" s="60"/>
      <c r="S2238" s="61"/>
      <c r="T2238" s="62">
        <f t="shared" si="338"/>
        <v>0</v>
      </c>
      <c r="U2238" s="46">
        <f t="shared" si="339"/>
        <v>0</v>
      </c>
      <c r="V2238" s="63">
        <f t="shared" si="340"/>
        <v>0</v>
      </c>
      <c r="W2238" s="49">
        <f t="shared" si="341"/>
        <v>0</v>
      </c>
      <c r="X2238" s="50">
        <f t="shared" si="342"/>
        <v>0</v>
      </c>
      <c r="Y2238"/>
      <c r="Z2238"/>
      <c r="AA2238"/>
    </row>
    <row r="2239" spans="1:27" s="51" customFormat="1" ht="18.600000000000001" hidden="1" customHeight="1" x14ac:dyDescent="0.25">
      <c r="A2239" s="80" t="s">
        <v>2653</v>
      </c>
      <c r="B2239" s="20" t="s">
        <v>5502</v>
      </c>
      <c r="C2239" s="21" t="s">
        <v>5502</v>
      </c>
      <c r="D2239" s="20" t="s">
        <v>5584</v>
      </c>
      <c r="E2239" s="22" t="s">
        <v>5585</v>
      </c>
      <c r="F2239" s="22" t="s">
        <v>1937</v>
      </c>
      <c r="G2239" s="22" t="s">
        <v>5292</v>
      </c>
      <c r="H2239" s="83" t="s">
        <v>5586</v>
      </c>
      <c r="I2239" s="23" t="s">
        <v>24</v>
      </c>
      <c r="J2239" s="24">
        <v>135</v>
      </c>
      <c r="K2239" s="25">
        <v>0.25</v>
      </c>
      <c r="L2239" s="26">
        <f t="shared" si="334"/>
        <v>33.75</v>
      </c>
      <c r="M2239" s="27">
        <f t="shared" si="335"/>
        <v>101.25</v>
      </c>
      <c r="N2239" s="28">
        <v>0.16</v>
      </c>
      <c r="O2239" s="29">
        <f t="shared" si="336"/>
        <v>16.2</v>
      </c>
      <c r="P2239" s="30">
        <f t="shared" si="337"/>
        <v>117.45</v>
      </c>
      <c r="Q2239" s="23"/>
      <c r="R2239" s="52"/>
      <c r="S2239" s="53"/>
      <c r="T2239" s="54">
        <f t="shared" si="338"/>
        <v>0</v>
      </c>
      <c r="U2239" s="26">
        <f t="shared" si="339"/>
        <v>0</v>
      </c>
      <c r="V2239" s="55">
        <f t="shared" si="340"/>
        <v>0</v>
      </c>
      <c r="W2239" s="29">
        <f t="shared" si="341"/>
        <v>0</v>
      </c>
      <c r="X2239" s="30">
        <f t="shared" si="342"/>
        <v>0</v>
      </c>
      <c r="Y2239"/>
      <c r="Z2239"/>
      <c r="AA2239"/>
    </row>
    <row r="2240" spans="1:27" s="51" customFormat="1" ht="18.600000000000001" hidden="1" customHeight="1" x14ac:dyDescent="0.25">
      <c r="A2240" s="81" t="s">
        <v>2653</v>
      </c>
      <c r="B2240" s="31" t="s">
        <v>5502</v>
      </c>
      <c r="C2240" s="32" t="s">
        <v>5502</v>
      </c>
      <c r="D2240" s="31" t="s">
        <v>5587</v>
      </c>
      <c r="E2240" s="33" t="s">
        <v>5588</v>
      </c>
      <c r="F2240" s="33" t="s">
        <v>1937</v>
      </c>
      <c r="G2240" s="33" t="s">
        <v>5292</v>
      </c>
      <c r="H2240" s="84" t="s">
        <v>5589</v>
      </c>
      <c r="I2240" s="23" t="s">
        <v>24</v>
      </c>
      <c r="J2240" s="34">
        <v>135</v>
      </c>
      <c r="K2240" s="35">
        <v>0.25</v>
      </c>
      <c r="L2240" s="36">
        <f t="shared" si="334"/>
        <v>33.75</v>
      </c>
      <c r="M2240" s="37">
        <f t="shared" si="335"/>
        <v>101.25</v>
      </c>
      <c r="N2240" s="38">
        <v>0.16</v>
      </c>
      <c r="O2240" s="39">
        <f t="shared" si="336"/>
        <v>16.2</v>
      </c>
      <c r="P2240" s="40">
        <f t="shared" si="337"/>
        <v>117.45</v>
      </c>
      <c r="Q2240" s="23"/>
      <c r="R2240" s="56"/>
      <c r="S2240" s="57"/>
      <c r="T2240" s="58">
        <f t="shared" si="338"/>
        <v>0</v>
      </c>
      <c r="U2240" s="36">
        <f t="shared" si="339"/>
        <v>0</v>
      </c>
      <c r="V2240" s="59">
        <f t="shared" si="340"/>
        <v>0</v>
      </c>
      <c r="W2240" s="39">
        <f t="shared" si="341"/>
        <v>0</v>
      </c>
      <c r="X2240" s="40">
        <f t="shared" si="342"/>
        <v>0</v>
      </c>
      <c r="Y2240"/>
      <c r="Z2240"/>
      <c r="AA2240"/>
    </row>
    <row r="2241" spans="1:27" s="51" customFormat="1" ht="18.600000000000001" hidden="1" customHeight="1" x14ac:dyDescent="0.25">
      <c r="A2241" s="82" t="s">
        <v>2653</v>
      </c>
      <c r="B2241" s="41" t="s">
        <v>5502</v>
      </c>
      <c r="C2241" s="42" t="s">
        <v>5502</v>
      </c>
      <c r="D2241" s="41" t="s">
        <v>5590</v>
      </c>
      <c r="E2241" s="43" t="s">
        <v>5591</v>
      </c>
      <c r="F2241" s="43" t="s">
        <v>1937</v>
      </c>
      <c r="G2241" s="43" t="s">
        <v>5292</v>
      </c>
      <c r="H2241" s="85" t="s">
        <v>5592</v>
      </c>
      <c r="I2241" s="23" t="s">
        <v>24</v>
      </c>
      <c r="J2241" s="44">
        <v>135</v>
      </c>
      <c r="K2241" s="45">
        <v>0.25</v>
      </c>
      <c r="L2241" s="46">
        <f t="shared" si="334"/>
        <v>33.75</v>
      </c>
      <c r="M2241" s="47">
        <f t="shared" si="335"/>
        <v>101.25</v>
      </c>
      <c r="N2241" s="48">
        <v>0.16</v>
      </c>
      <c r="O2241" s="49">
        <f t="shared" si="336"/>
        <v>16.2</v>
      </c>
      <c r="P2241" s="50">
        <f t="shared" si="337"/>
        <v>117.45</v>
      </c>
      <c r="Q2241" s="23"/>
      <c r="R2241" s="60"/>
      <c r="S2241" s="61"/>
      <c r="T2241" s="62">
        <f t="shared" si="338"/>
        <v>0</v>
      </c>
      <c r="U2241" s="46">
        <f t="shared" si="339"/>
        <v>0</v>
      </c>
      <c r="V2241" s="63">
        <f t="shared" si="340"/>
        <v>0</v>
      </c>
      <c r="W2241" s="49">
        <f t="shared" si="341"/>
        <v>0</v>
      </c>
      <c r="X2241" s="50">
        <f t="shared" si="342"/>
        <v>0</v>
      </c>
      <c r="Y2241"/>
      <c r="Z2241"/>
      <c r="AA2241"/>
    </row>
    <row r="2242" spans="1:27" s="51" customFormat="1" ht="18.600000000000001" hidden="1" customHeight="1" x14ac:dyDescent="0.25">
      <c r="A2242" s="80" t="s">
        <v>2653</v>
      </c>
      <c r="B2242" s="20" t="s">
        <v>5502</v>
      </c>
      <c r="C2242" s="21" t="s">
        <v>5502</v>
      </c>
      <c r="D2242" s="20" t="s">
        <v>5593</v>
      </c>
      <c r="E2242" s="22" t="s">
        <v>5594</v>
      </c>
      <c r="F2242" s="22" t="s">
        <v>1937</v>
      </c>
      <c r="G2242" s="22" t="s">
        <v>5292</v>
      </c>
      <c r="H2242" s="83" t="s">
        <v>5595</v>
      </c>
      <c r="I2242" s="23" t="s">
        <v>24</v>
      </c>
      <c r="J2242" s="24">
        <v>135</v>
      </c>
      <c r="K2242" s="25">
        <v>0.25</v>
      </c>
      <c r="L2242" s="26">
        <f t="shared" si="334"/>
        <v>33.75</v>
      </c>
      <c r="M2242" s="27">
        <f t="shared" si="335"/>
        <v>101.25</v>
      </c>
      <c r="N2242" s="28">
        <v>0.16</v>
      </c>
      <c r="O2242" s="29">
        <f t="shared" si="336"/>
        <v>16.2</v>
      </c>
      <c r="P2242" s="30">
        <f t="shared" si="337"/>
        <v>117.45</v>
      </c>
      <c r="Q2242" s="23"/>
      <c r="R2242" s="52"/>
      <c r="S2242" s="53"/>
      <c r="T2242" s="54">
        <f t="shared" si="338"/>
        <v>0</v>
      </c>
      <c r="U2242" s="26">
        <f t="shared" si="339"/>
        <v>0</v>
      </c>
      <c r="V2242" s="55">
        <f t="shared" si="340"/>
        <v>0</v>
      </c>
      <c r="W2242" s="29">
        <f t="shared" si="341"/>
        <v>0</v>
      </c>
      <c r="X2242" s="30">
        <f t="shared" si="342"/>
        <v>0</v>
      </c>
      <c r="Y2242"/>
      <c r="Z2242"/>
      <c r="AA2242"/>
    </row>
    <row r="2243" spans="1:27" s="51" customFormat="1" ht="18.600000000000001" hidden="1" customHeight="1" x14ac:dyDescent="0.25">
      <c r="A2243" s="81" t="s">
        <v>2653</v>
      </c>
      <c r="B2243" s="31" t="s">
        <v>5502</v>
      </c>
      <c r="C2243" s="32" t="s">
        <v>5502</v>
      </c>
      <c r="D2243" s="31" t="s">
        <v>5596</v>
      </c>
      <c r="E2243" s="33" t="s">
        <v>5597</v>
      </c>
      <c r="F2243" s="33" t="s">
        <v>1937</v>
      </c>
      <c r="G2243" s="33" t="s">
        <v>5292</v>
      </c>
      <c r="H2243" s="84" t="s">
        <v>5598</v>
      </c>
      <c r="I2243" s="23" t="s">
        <v>24</v>
      </c>
      <c r="J2243" s="34">
        <v>135</v>
      </c>
      <c r="K2243" s="35">
        <v>0.25</v>
      </c>
      <c r="L2243" s="36">
        <f t="shared" si="334"/>
        <v>33.75</v>
      </c>
      <c r="M2243" s="37">
        <f t="shared" si="335"/>
        <v>101.25</v>
      </c>
      <c r="N2243" s="38">
        <v>0.16</v>
      </c>
      <c r="O2243" s="39">
        <f t="shared" si="336"/>
        <v>16.2</v>
      </c>
      <c r="P2243" s="40">
        <f t="shared" si="337"/>
        <v>117.45</v>
      </c>
      <c r="Q2243" s="23"/>
      <c r="R2243" s="56"/>
      <c r="S2243" s="57"/>
      <c r="T2243" s="58">
        <f t="shared" si="338"/>
        <v>0</v>
      </c>
      <c r="U2243" s="36">
        <f t="shared" si="339"/>
        <v>0</v>
      </c>
      <c r="V2243" s="59">
        <f t="shared" si="340"/>
        <v>0</v>
      </c>
      <c r="W2243" s="39">
        <f t="shared" si="341"/>
        <v>0</v>
      </c>
      <c r="X2243" s="40">
        <f t="shared" si="342"/>
        <v>0</v>
      </c>
      <c r="Y2243"/>
      <c r="Z2243"/>
      <c r="AA2243"/>
    </row>
    <row r="2244" spans="1:27" s="51" customFormat="1" ht="18.600000000000001" hidden="1" customHeight="1" x14ac:dyDescent="0.25">
      <c r="A2244" s="82" t="s">
        <v>2653</v>
      </c>
      <c r="B2244" s="41" t="s">
        <v>5502</v>
      </c>
      <c r="C2244" s="42" t="s">
        <v>5502</v>
      </c>
      <c r="D2244" s="41" t="s">
        <v>5599</v>
      </c>
      <c r="E2244" s="43" t="s">
        <v>5600</v>
      </c>
      <c r="F2244" s="43" t="s">
        <v>1937</v>
      </c>
      <c r="G2244" s="43" t="s">
        <v>5292</v>
      </c>
      <c r="H2244" s="85" t="s">
        <v>5601</v>
      </c>
      <c r="I2244" s="23" t="s">
        <v>24</v>
      </c>
      <c r="J2244" s="44">
        <v>135</v>
      </c>
      <c r="K2244" s="45">
        <v>0.25</v>
      </c>
      <c r="L2244" s="46">
        <f t="shared" si="334"/>
        <v>33.75</v>
      </c>
      <c r="M2244" s="47">
        <f t="shared" si="335"/>
        <v>101.25</v>
      </c>
      <c r="N2244" s="48">
        <v>0.16</v>
      </c>
      <c r="O2244" s="49">
        <f t="shared" si="336"/>
        <v>16.2</v>
      </c>
      <c r="P2244" s="50">
        <f t="shared" si="337"/>
        <v>117.45</v>
      </c>
      <c r="Q2244" s="23"/>
      <c r="R2244" s="60"/>
      <c r="S2244" s="61"/>
      <c r="T2244" s="62">
        <f t="shared" si="338"/>
        <v>0</v>
      </c>
      <c r="U2244" s="46">
        <f t="shared" si="339"/>
        <v>0</v>
      </c>
      <c r="V2244" s="63">
        <f t="shared" si="340"/>
        <v>0</v>
      </c>
      <c r="W2244" s="49">
        <f t="shared" si="341"/>
        <v>0</v>
      </c>
      <c r="X2244" s="50">
        <f t="shared" si="342"/>
        <v>0</v>
      </c>
      <c r="Y2244"/>
      <c r="Z2244"/>
      <c r="AA2244"/>
    </row>
    <row r="2245" spans="1:27" s="51" customFormat="1" ht="18.600000000000001" hidden="1" customHeight="1" x14ac:dyDescent="0.25">
      <c r="A2245" s="80" t="s">
        <v>2653</v>
      </c>
      <c r="B2245" s="20" t="s">
        <v>5502</v>
      </c>
      <c r="C2245" s="21" t="s">
        <v>5502</v>
      </c>
      <c r="D2245" s="20" t="s">
        <v>5602</v>
      </c>
      <c r="E2245" s="22" t="s">
        <v>5603</v>
      </c>
      <c r="F2245" s="22" t="s">
        <v>1937</v>
      </c>
      <c r="G2245" s="22" t="s">
        <v>5292</v>
      </c>
      <c r="H2245" s="83" t="s">
        <v>5604</v>
      </c>
      <c r="I2245" s="23" t="s">
        <v>24</v>
      </c>
      <c r="J2245" s="24">
        <v>135</v>
      </c>
      <c r="K2245" s="25">
        <v>0.25</v>
      </c>
      <c r="L2245" s="26">
        <f t="shared" si="334"/>
        <v>33.75</v>
      </c>
      <c r="M2245" s="27">
        <f t="shared" si="335"/>
        <v>101.25</v>
      </c>
      <c r="N2245" s="28">
        <v>0.16</v>
      </c>
      <c r="O2245" s="29">
        <f t="shared" si="336"/>
        <v>16.2</v>
      </c>
      <c r="P2245" s="30">
        <f t="shared" si="337"/>
        <v>117.45</v>
      </c>
      <c r="Q2245" s="23"/>
      <c r="R2245" s="52"/>
      <c r="S2245" s="53"/>
      <c r="T2245" s="54">
        <f t="shared" si="338"/>
        <v>0</v>
      </c>
      <c r="U2245" s="26">
        <f t="shared" si="339"/>
        <v>0</v>
      </c>
      <c r="V2245" s="55">
        <f t="shared" si="340"/>
        <v>0</v>
      </c>
      <c r="W2245" s="29">
        <f t="shared" si="341"/>
        <v>0</v>
      </c>
      <c r="X2245" s="30">
        <f t="shared" si="342"/>
        <v>0</v>
      </c>
      <c r="Y2245"/>
      <c r="Z2245"/>
      <c r="AA2245"/>
    </row>
    <row r="2246" spans="1:27" s="51" customFormat="1" ht="18.600000000000001" hidden="1" customHeight="1" x14ac:dyDescent="0.25">
      <c r="A2246" s="81" t="s">
        <v>2653</v>
      </c>
      <c r="B2246" s="31" t="s">
        <v>5502</v>
      </c>
      <c r="C2246" s="32" t="s">
        <v>5502</v>
      </c>
      <c r="D2246" s="31" t="s">
        <v>5605</v>
      </c>
      <c r="E2246" s="33" t="s">
        <v>5606</v>
      </c>
      <c r="F2246" s="33" t="s">
        <v>1937</v>
      </c>
      <c r="G2246" s="33" t="s">
        <v>5292</v>
      </c>
      <c r="H2246" s="84" t="s">
        <v>5607</v>
      </c>
      <c r="I2246" s="23" t="s">
        <v>24</v>
      </c>
      <c r="J2246" s="34">
        <v>135</v>
      </c>
      <c r="K2246" s="35">
        <v>0.25</v>
      </c>
      <c r="L2246" s="36">
        <f t="shared" si="334"/>
        <v>33.75</v>
      </c>
      <c r="M2246" s="37">
        <f t="shared" si="335"/>
        <v>101.25</v>
      </c>
      <c r="N2246" s="38">
        <v>0.16</v>
      </c>
      <c r="O2246" s="39">
        <f t="shared" si="336"/>
        <v>16.2</v>
      </c>
      <c r="P2246" s="40">
        <f t="shared" si="337"/>
        <v>117.45</v>
      </c>
      <c r="Q2246" s="23"/>
      <c r="R2246" s="56"/>
      <c r="S2246" s="57"/>
      <c r="T2246" s="58">
        <f t="shared" si="338"/>
        <v>0</v>
      </c>
      <c r="U2246" s="36">
        <f t="shared" si="339"/>
        <v>0</v>
      </c>
      <c r="V2246" s="59">
        <f t="shared" si="340"/>
        <v>0</v>
      </c>
      <c r="W2246" s="39">
        <f t="shared" si="341"/>
        <v>0</v>
      </c>
      <c r="X2246" s="40">
        <f t="shared" si="342"/>
        <v>0</v>
      </c>
      <c r="Y2246"/>
      <c r="Z2246"/>
      <c r="AA2246"/>
    </row>
    <row r="2247" spans="1:27" s="51" customFormat="1" ht="18.600000000000001" hidden="1" customHeight="1" x14ac:dyDescent="0.25">
      <c r="A2247" s="82" t="s">
        <v>2653</v>
      </c>
      <c r="B2247" s="41" t="s">
        <v>5502</v>
      </c>
      <c r="C2247" s="42" t="s">
        <v>5502</v>
      </c>
      <c r="D2247" s="41" t="s">
        <v>5608</v>
      </c>
      <c r="E2247" s="43" t="s">
        <v>5609</v>
      </c>
      <c r="F2247" s="43" t="s">
        <v>1937</v>
      </c>
      <c r="G2247" s="43" t="s">
        <v>5292</v>
      </c>
      <c r="H2247" s="85" t="s">
        <v>5610</v>
      </c>
      <c r="I2247" s="23" t="s">
        <v>24</v>
      </c>
      <c r="J2247" s="44">
        <v>135</v>
      </c>
      <c r="K2247" s="45">
        <v>0.25</v>
      </c>
      <c r="L2247" s="46">
        <f t="shared" si="334"/>
        <v>33.75</v>
      </c>
      <c r="M2247" s="47">
        <f t="shared" si="335"/>
        <v>101.25</v>
      </c>
      <c r="N2247" s="48">
        <v>0.16</v>
      </c>
      <c r="O2247" s="49">
        <f t="shared" si="336"/>
        <v>16.2</v>
      </c>
      <c r="P2247" s="50">
        <f t="shared" si="337"/>
        <v>117.45</v>
      </c>
      <c r="Q2247" s="23"/>
      <c r="R2247" s="60"/>
      <c r="S2247" s="61"/>
      <c r="T2247" s="62">
        <f t="shared" si="338"/>
        <v>0</v>
      </c>
      <c r="U2247" s="46">
        <f t="shared" si="339"/>
        <v>0</v>
      </c>
      <c r="V2247" s="63">
        <f t="shared" si="340"/>
        <v>0</v>
      </c>
      <c r="W2247" s="49">
        <f t="shared" si="341"/>
        <v>0</v>
      </c>
      <c r="X2247" s="50">
        <f t="shared" si="342"/>
        <v>0</v>
      </c>
      <c r="Y2247"/>
      <c r="Z2247"/>
      <c r="AA2247"/>
    </row>
    <row r="2248" spans="1:27" s="51" customFormat="1" ht="18.600000000000001" hidden="1" customHeight="1" x14ac:dyDescent="0.25">
      <c r="A2248" s="80" t="s">
        <v>2653</v>
      </c>
      <c r="B2248" s="20" t="s">
        <v>5502</v>
      </c>
      <c r="C2248" s="21" t="s">
        <v>5502</v>
      </c>
      <c r="D2248" s="20" t="s">
        <v>5611</v>
      </c>
      <c r="E2248" s="22" t="s">
        <v>5612</v>
      </c>
      <c r="F2248" s="22" t="s">
        <v>1937</v>
      </c>
      <c r="G2248" s="22" t="s">
        <v>5292</v>
      </c>
      <c r="H2248" s="83" t="s">
        <v>5613</v>
      </c>
      <c r="I2248" s="23" t="s">
        <v>24</v>
      </c>
      <c r="J2248" s="24">
        <v>135</v>
      </c>
      <c r="K2248" s="25">
        <v>0.25</v>
      </c>
      <c r="L2248" s="26">
        <f t="shared" si="334"/>
        <v>33.75</v>
      </c>
      <c r="M2248" s="27">
        <f t="shared" si="335"/>
        <v>101.25</v>
      </c>
      <c r="N2248" s="28">
        <v>0.16</v>
      </c>
      <c r="O2248" s="29">
        <f t="shared" si="336"/>
        <v>16.2</v>
      </c>
      <c r="P2248" s="30">
        <f t="shared" si="337"/>
        <v>117.45</v>
      </c>
      <c r="Q2248" s="23"/>
      <c r="R2248" s="52"/>
      <c r="S2248" s="53"/>
      <c r="T2248" s="54">
        <f t="shared" si="338"/>
        <v>0</v>
      </c>
      <c r="U2248" s="26">
        <f t="shared" si="339"/>
        <v>0</v>
      </c>
      <c r="V2248" s="55">
        <f t="shared" si="340"/>
        <v>0</v>
      </c>
      <c r="W2248" s="29">
        <f t="shared" si="341"/>
        <v>0</v>
      </c>
      <c r="X2248" s="30">
        <f t="shared" si="342"/>
        <v>0</v>
      </c>
      <c r="Y2248"/>
      <c r="Z2248"/>
      <c r="AA2248"/>
    </row>
    <row r="2249" spans="1:27" s="51" customFormat="1" ht="18.600000000000001" hidden="1" customHeight="1" x14ac:dyDescent="0.25">
      <c r="A2249" s="81" t="s">
        <v>2653</v>
      </c>
      <c r="B2249" s="31" t="s">
        <v>5502</v>
      </c>
      <c r="C2249" s="32" t="s">
        <v>5502</v>
      </c>
      <c r="D2249" s="31" t="s">
        <v>5614</v>
      </c>
      <c r="E2249" s="33" t="s">
        <v>5615</v>
      </c>
      <c r="F2249" s="33" t="s">
        <v>1937</v>
      </c>
      <c r="G2249" s="33" t="s">
        <v>5292</v>
      </c>
      <c r="H2249" s="84" t="s">
        <v>5616</v>
      </c>
      <c r="I2249" s="23" t="s">
        <v>24</v>
      </c>
      <c r="J2249" s="34">
        <v>135</v>
      </c>
      <c r="K2249" s="35">
        <v>0.25</v>
      </c>
      <c r="L2249" s="36">
        <f t="shared" si="334"/>
        <v>33.75</v>
      </c>
      <c r="M2249" s="37">
        <f t="shared" si="335"/>
        <v>101.25</v>
      </c>
      <c r="N2249" s="38">
        <v>0.16</v>
      </c>
      <c r="O2249" s="39">
        <f t="shared" si="336"/>
        <v>16.2</v>
      </c>
      <c r="P2249" s="40">
        <f t="shared" si="337"/>
        <v>117.45</v>
      </c>
      <c r="Q2249" s="23"/>
      <c r="R2249" s="56"/>
      <c r="S2249" s="57"/>
      <c r="T2249" s="58">
        <f t="shared" si="338"/>
        <v>0</v>
      </c>
      <c r="U2249" s="36">
        <f t="shared" si="339"/>
        <v>0</v>
      </c>
      <c r="V2249" s="59">
        <f t="shared" si="340"/>
        <v>0</v>
      </c>
      <c r="W2249" s="39">
        <f t="shared" si="341"/>
        <v>0</v>
      </c>
      <c r="X2249" s="40">
        <f t="shared" si="342"/>
        <v>0</v>
      </c>
      <c r="Y2249"/>
      <c r="Z2249"/>
      <c r="AA2249"/>
    </row>
    <row r="2250" spans="1:27" s="51" customFormat="1" ht="18.600000000000001" hidden="1" customHeight="1" x14ac:dyDescent="0.25">
      <c r="A2250" s="82" t="s">
        <v>2653</v>
      </c>
      <c r="B2250" s="41" t="s">
        <v>5502</v>
      </c>
      <c r="C2250" s="42" t="s">
        <v>5502</v>
      </c>
      <c r="D2250" s="41" t="s">
        <v>5617</v>
      </c>
      <c r="E2250" s="43" t="s">
        <v>5618</v>
      </c>
      <c r="F2250" s="43" t="s">
        <v>1937</v>
      </c>
      <c r="G2250" s="43" t="s">
        <v>5292</v>
      </c>
      <c r="H2250" s="85" t="s">
        <v>5619</v>
      </c>
      <c r="I2250" s="23" t="s">
        <v>24</v>
      </c>
      <c r="J2250" s="44">
        <v>135</v>
      </c>
      <c r="K2250" s="45">
        <v>0.25</v>
      </c>
      <c r="L2250" s="46">
        <f t="shared" si="334"/>
        <v>33.75</v>
      </c>
      <c r="M2250" s="47">
        <f t="shared" si="335"/>
        <v>101.25</v>
      </c>
      <c r="N2250" s="48">
        <v>0.16</v>
      </c>
      <c r="O2250" s="49">
        <f t="shared" si="336"/>
        <v>16.2</v>
      </c>
      <c r="P2250" s="50">
        <f t="shared" si="337"/>
        <v>117.45</v>
      </c>
      <c r="Q2250" s="23"/>
      <c r="R2250" s="60"/>
      <c r="S2250" s="61"/>
      <c r="T2250" s="62">
        <f t="shared" si="338"/>
        <v>0</v>
      </c>
      <c r="U2250" s="46">
        <f t="shared" si="339"/>
        <v>0</v>
      </c>
      <c r="V2250" s="63">
        <f t="shared" si="340"/>
        <v>0</v>
      </c>
      <c r="W2250" s="49">
        <f t="shared" si="341"/>
        <v>0</v>
      </c>
      <c r="X2250" s="50">
        <f t="shared" si="342"/>
        <v>0</v>
      </c>
      <c r="Y2250"/>
      <c r="Z2250"/>
      <c r="AA2250"/>
    </row>
    <row r="2251" spans="1:27" s="51" customFormat="1" ht="18.600000000000001" hidden="1" customHeight="1" x14ac:dyDescent="0.25">
      <c r="A2251" s="80" t="s">
        <v>2653</v>
      </c>
      <c r="B2251" s="20" t="s">
        <v>5502</v>
      </c>
      <c r="C2251" s="21" t="s">
        <v>5502</v>
      </c>
      <c r="D2251" s="20" t="s">
        <v>5620</v>
      </c>
      <c r="E2251" s="22" t="s">
        <v>5621</v>
      </c>
      <c r="F2251" s="22" t="s">
        <v>1937</v>
      </c>
      <c r="G2251" s="22" t="s">
        <v>5292</v>
      </c>
      <c r="H2251" s="83" t="s">
        <v>5622</v>
      </c>
      <c r="I2251" s="23" t="s">
        <v>24</v>
      </c>
      <c r="J2251" s="24">
        <v>135</v>
      </c>
      <c r="K2251" s="25">
        <v>0.25</v>
      </c>
      <c r="L2251" s="26">
        <f t="shared" si="334"/>
        <v>33.75</v>
      </c>
      <c r="M2251" s="27">
        <f t="shared" si="335"/>
        <v>101.25</v>
      </c>
      <c r="N2251" s="28">
        <v>0.16</v>
      </c>
      <c r="O2251" s="29">
        <f t="shared" si="336"/>
        <v>16.2</v>
      </c>
      <c r="P2251" s="30">
        <f t="shared" si="337"/>
        <v>117.45</v>
      </c>
      <c r="Q2251" s="23"/>
      <c r="R2251" s="52"/>
      <c r="S2251" s="53"/>
      <c r="T2251" s="54">
        <f t="shared" si="338"/>
        <v>0</v>
      </c>
      <c r="U2251" s="26">
        <f t="shared" si="339"/>
        <v>0</v>
      </c>
      <c r="V2251" s="55">
        <f t="shared" si="340"/>
        <v>0</v>
      </c>
      <c r="W2251" s="29">
        <f t="shared" si="341"/>
        <v>0</v>
      </c>
      <c r="X2251" s="30">
        <f t="shared" si="342"/>
        <v>0</v>
      </c>
      <c r="Y2251"/>
      <c r="Z2251"/>
      <c r="AA2251"/>
    </row>
    <row r="2252" spans="1:27" s="51" customFormat="1" ht="18.600000000000001" hidden="1" customHeight="1" x14ac:dyDescent="0.25">
      <c r="A2252" s="81" t="s">
        <v>2653</v>
      </c>
      <c r="B2252" s="31" t="s">
        <v>5502</v>
      </c>
      <c r="C2252" s="32" t="s">
        <v>5502</v>
      </c>
      <c r="D2252" s="31" t="s">
        <v>5623</v>
      </c>
      <c r="E2252" s="33" t="s">
        <v>5624</v>
      </c>
      <c r="F2252" s="33" t="s">
        <v>1937</v>
      </c>
      <c r="G2252" s="33" t="s">
        <v>5292</v>
      </c>
      <c r="H2252" s="84" t="s">
        <v>5625</v>
      </c>
      <c r="I2252" s="23" t="s">
        <v>24</v>
      </c>
      <c r="J2252" s="34">
        <v>135</v>
      </c>
      <c r="K2252" s="35">
        <v>0.25</v>
      </c>
      <c r="L2252" s="36">
        <f t="shared" si="334"/>
        <v>33.75</v>
      </c>
      <c r="M2252" s="37">
        <f t="shared" si="335"/>
        <v>101.25</v>
      </c>
      <c r="N2252" s="38">
        <v>0.16</v>
      </c>
      <c r="O2252" s="39">
        <f t="shared" si="336"/>
        <v>16.2</v>
      </c>
      <c r="P2252" s="40">
        <f t="shared" si="337"/>
        <v>117.45</v>
      </c>
      <c r="Q2252" s="23"/>
      <c r="R2252" s="56"/>
      <c r="S2252" s="57"/>
      <c r="T2252" s="58">
        <f t="shared" si="338"/>
        <v>0</v>
      </c>
      <c r="U2252" s="36">
        <f t="shared" si="339"/>
        <v>0</v>
      </c>
      <c r="V2252" s="59">
        <f t="shared" si="340"/>
        <v>0</v>
      </c>
      <c r="W2252" s="39">
        <f t="shared" si="341"/>
        <v>0</v>
      </c>
      <c r="X2252" s="40">
        <f t="shared" si="342"/>
        <v>0</v>
      </c>
      <c r="Y2252"/>
      <c r="Z2252"/>
      <c r="AA2252"/>
    </row>
    <row r="2253" spans="1:27" s="51" customFormat="1" ht="18.600000000000001" hidden="1" customHeight="1" x14ac:dyDescent="0.25">
      <c r="A2253" s="82" t="s">
        <v>2653</v>
      </c>
      <c r="B2253" s="41" t="s">
        <v>5502</v>
      </c>
      <c r="C2253" s="42" t="s">
        <v>5502</v>
      </c>
      <c r="D2253" s="41" t="s">
        <v>5626</v>
      </c>
      <c r="E2253" s="43" t="s">
        <v>5627</v>
      </c>
      <c r="F2253" s="43" t="s">
        <v>1937</v>
      </c>
      <c r="G2253" s="43" t="s">
        <v>5292</v>
      </c>
      <c r="H2253" s="85" t="s">
        <v>5628</v>
      </c>
      <c r="I2253" s="23" t="s">
        <v>24</v>
      </c>
      <c r="J2253" s="44">
        <v>135</v>
      </c>
      <c r="K2253" s="45">
        <v>0.25</v>
      </c>
      <c r="L2253" s="46">
        <f t="shared" si="334"/>
        <v>33.75</v>
      </c>
      <c r="M2253" s="47">
        <f t="shared" si="335"/>
        <v>101.25</v>
      </c>
      <c r="N2253" s="48">
        <v>0.16</v>
      </c>
      <c r="O2253" s="49">
        <f t="shared" si="336"/>
        <v>16.2</v>
      </c>
      <c r="P2253" s="50">
        <f t="shared" si="337"/>
        <v>117.45</v>
      </c>
      <c r="Q2253" s="23"/>
      <c r="R2253" s="60"/>
      <c r="S2253" s="61"/>
      <c r="T2253" s="62">
        <f t="shared" si="338"/>
        <v>0</v>
      </c>
      <c r="U2253" s="46">
        <f t="shared" si="339"/>
        <v>0</v>
      </c>
      <c r="V2253" s="63">
        <f t="shared" si="340"/>
        <v>0</v>
      </c>
      <c r="W2253" s="49">
        <f t="shared" si="341"/>
        <v>0</v>
      </c>
      <c r="X2253" s="50">
        <f t="shared" si="342"/>
        <v>0</v>
      </c>
      <c r="Y2253"/>
      <c r="Z2253"/>
      <c r="AA2253"/>
    </row>
    <row r="2254" spans="1:27" s="51" customFormat="1" ht="18.600000000000001" hidden="1" customHeight="1" x14ac:dyDescent="0.25">
      <c r="A2254" s="80" t="s">
        <v>2653</v>
      </c>
      <c r="B2254" s="20" t="s">
        <v>5502</v>
      </c>
      <c r="C2254" s="21" t="s">
        <v>9329</v>
      </c>
      <c r="D2254" s="20" t="s">
        <v>5629</v>
      </c>
      <c r="E2254" s="22" t="s">
        <v>5630</v>
      </c>
      <c r="F2254" s="22" t="s">
        <v>1937</v>
      </c>
      <c r="G2254" s="22" t="s">
        <v>5292</v>
      </c>
      <c r="H2254" s="83" t="s">
        <v>5631</v>
      </c>
      <c r="I2254" s="23" t="s">
        <v>24</v>
      </c>
      <c r="J2254" s="24">
        <v>135</v>
      </c>
      <c r="K2254" s="25">
        <v>0.25</v>
      </c>
      <c r="L2254" s="26">
        <f t="shared" si="334"/>
        <v>33.75</v>
      </c>
      <c r="M2254" s="27">
        <f t="shared" si="335"/>
        <v>101.25</v>
      </c>
      <c r="N2254" s="28">
        <v>0.16</v>
      </c>
      <c r="O2254" s="29">
        <f t="shared" si="336"/>
        <v>16.2</v>
      </c>
      <c r="P2254" s="30">
        <f t="shared" si="337"/>
        <v>117.45</v>
      </c>
      <c r="Q2254" s="23"/>
      <c r="R2254" s="52"/>
      <c r="S2254" s="53"/>
      <c r="T2254" s="54">
        <f t="shared" si="338"/>
        <v>0</v>
      </c>
      <c r="U2254" s="26">
        <f t="shared" si="339"/>
        <v>0</v>
      </c>
      <c r="V2254" s="55">
        <f t="shared" si="340"/>
        <v>0</v>
      </c>
      <c r="W2254" s="29">
        <f t="shared" si="341"/>
        <v>0</v>
      </c>
      <c r="X2254" s="30">
        <f t="shared" si="342"/>
        <v>0</v>
      </c>
      <c r="Y2254"/>
      <c r="Z2254"/>
      <c r="AA2254"/>
    </row>
    <row r="2255" spans="1:27" s="51" customFormat="1" ht="18.600000000000001" hidden="1" customHeight="1" x14ac:dyDescent="0.25">
      <c r="A2255" s="81" t="s">
        <v>2653</v>
      </c>
      <c r="B2255" s="31" t="s">
        <v>5502</v>
      </c>
      <c r="C2255" s="32" t="s">
        <v>9330</v>
      </c>
      <c r="D2255" s="31" t="s">
        <v>5632</v>
      </c>
      <c r="E2255" s="33" t="s">
        <v>5633</v>
      </c>
      <c r="F2255" s="33" t="s">
        <v>1937</v>
      </c>
      <c r="G2255" s="33" t="s">
        <v>5292</v>
      </c>
      <c r="H2255" s="84" t="s">
        <v>5634</v>
      </c>
      <c r="I2255" s="23" t="s">
        <v>24</v>
      </c>
      <c r="J2255" s="34">
        <v>135</v>
      </c>
      <c r="K2255" s="35">
        <v>0.25</v>
      </c>
      <c r="L2255" s="36">
        <f t="shared" si="334"/>
        <v>33.75</v>
      </c>
      <c r="M2255" s="37">
        <f t="shared" si="335"/>
        <v>101.25</v>
      </c>
      <c r="N2255" s="38">
        <v>0.16</v>
      </c>
      <c r="O2255" s="39">
        <f t="shared" si="336"/>
        <v>16.2</v>
      </c>
      <c r="P2255" s="40">
        <f t="shared" si="337"/>
        <v>117.45</v>
      </c>
      <c r="Q2255" s="23"/>
      <c r="R2255" s="56"/>
      <c r="S2255" s="57"/>
      <c r="T2255" s="58">
        <f t="shared" si="338"/>
        <v>0</v>
      </c>
      <c r="U2255" s="36">
        <f t="shared" si="339"/>
        <v>0</v>
      </c>
      <c r="V2255" s="59">
        <f t="shared" si="340"/>
        <v>0</v>
      </c>
      <c r="W2255" s="39">
        <f t="shared" si="341"/>
        <v>0</v>
      </c>
      <c r="X2255" s="40">
        <f t="shared" si="342"/>
        <v>0</v>
      </c>
      <c r="Y2255"/>
      <c r="Z2255"/>
      <c r="AA2255"/>
    </row>
    <row r="2256" spans="1:27" s="51" customFormat="1" ht="18.600000000000001" hidden="1" customHeight="1" x14ac:dyDescent="0.25">
      <c r="A2256" s="82" t="s">
        <v>2653</v>
      </c>
      <c r="B2256" s="41" t="s">
        <v>5502</v>
      </c>
      <c r="C2256" s="42" t="s">
        <v>9330</v>
      </c>
      <c r="D2256" s="41" t="s">
        <v>5635</v>
      </c>
      <c r="E2256" s="43" t="s">
        <v>5636</v>
      </c>
      <c r="F2256" s="43" t="s">
        <v>1937</v>
      </c>
      <c r="G2256" s="43" t="s">
        <v>5292</v>
      </c>
      <c r="H2256" s="85" t="s">
        <v>5637</v>
      </c>
      <c r="I2256" s="23" t="s">
        <v>24</v>
      </c>
      <c r="J2256" s="44">
        <v>135</v>
      </c>
      <c r="K2256" s="45">
        <v>0.25</v>
      </c>
      <c r="L2256" s="46">
        <f t="shared" si="334"/>
        <v>33.75</v>
      </c>
      <c r="M2256" s="47">
        <f t="shared" si="335"/>
        <v>101.25</v>
      </c>
      <c r="N2256" s="48">
        <v>0.16</v>
      </c>
      <c r="O2256" s="49">
        <f t="shared" si="336"/>
        <v>16.2</v>
      </c>
      <c r="P2256" s="50">
        <f t="shared" si="337"/>
        <v>117.45</v>
      </c>
      <c r="Q2256" s="23"/>
      <c r="R2256" s="60"/>
      <c r="S2256" s="61"/>
      <c r="T2256" s="62">
        <f t="shared" si="338"/>
        <v>0</v>
      </c>
      <c r="U2256" s="46">
        <f t="shared" si="339"/>
        <v>0</v>
      </c>
      <c r="V2256" s="63">
        <f t="shared" si="340"/>
        <v>0</v>
      </c>
      <c r="W2256" s="49">
        <f t="shared" si="341"/>
        <v>0</v>
      </c>
      <c r="X2256" s="50">
        <f t="shared" si="342"/>
        <v>0</v>
      </c>
      <c r="Y2256"/>
      <c r="Z2256"/>
      <c r="AA2256"/>
    </row>
    <row r="2257" spans="1:27" s="51" customFormat="1" ht="18.600000000000001" hidden="1" customHeight="1" x14ac:dyDescent="0.25">
      <c r="A2257" s="80" t="s">
        <v>2653</v>
      </c>
      <c r="B2257" s="20" t="s">
        <v>5502</v>
      </c>
      <c r="C2257" s="21" t="s">
        <v>9330</v>
      </c>
      <c r="D2257" s="20" t="s">
        <v>5638</v>
      </c>
      <c r="E2257" s="22" t="s">
        <v>5639</v>
      </c>
      <c r="F2257" s="22" t="s">
        <v>1937</v>
      </c>
      <c r="G2257" s="22" t="s">
        <v>5292</v>
      </c>
      <c r="H2257" s="83" t="s">
        <v>5640</v>
      </c>
      <c r="I2257" s="23" t="s">
        <v>24</v>
      </c>
      <c r="J2257" s="24">
        <v>135</v>
      </c>
      <c r="K2257" s="25">
        <v>0.25</v>
      </c>
      <c r="L2257" s="26">
        <f t="shared" si="334"/>
        <v>33.75</v>
      </c>
      <c r="M2257" s="27">
        <f t="shared" si="335"/>
        <v>101.25</v>
      </c>
      <c r="N2257" s="28">
        <v>0.16</v>
      </c>
      <c r="O2257" s="29">
        <f t="shared" si="336"/>
        <v>16.2</v>
      </c>
      <c r="P2257" s="30">
        <f t="shared" si="337"/>
        <v>117.45</v>
      </c>
      <c r="Q2257" s="23"/>
      <c r="R2257" s="52"/>
      <c r="S2257" s="53"/>
      <c r="T2257" s="54">
        <f t="shared" si="338"/>
        <v>0</v>
      </c>
      <c r="U2257" s="26">
        <f t="shared" si="339"/>
        <v>0</v>
      </c>
      <c r="V2257" s="55">
        <f t="shared" si="340"/>
        <v>0</v>
      </c>
      <c r="W2257" s="29">
        <f t="shared" si="341"/>
        <v>0</v>
      </c>
      <c r="X2257" s="30">
        <f t="shared" si="342"/>
        <v>0</v>
      </c>
      <c r="Y2257"/>
      <c r="Z2257"/>
      <c r="AA2257"/>
    </row>
    <row r="2258" spans="1:27" s="51" customFormat="1" ht="18.600000000000001" hidden="1" customHeight="1" x14ac:dyDescent="0.25">
      <c r="A2258" s="81" t="s">
        <v>2653</v>
      </c>
      <c r="B2258" s="31" t="s">
        <v>5502</v>
      </c>
      <c r="C2258" s="32" t="s">
        <v>9330</v>
      </c>
      <c r="D2258" s="31" t="s">
        <v>5641</v>
      </c>
      <c r="E2258" s="33" t="s">
        <v>5642</v>
      </c>
      <c r="F2258" s="33" t="s">
        <v>1937</v>
      </c>
      <c r="G2258" s="33" t="s">
        <v>5292</v>
      </c>
      <c r="H2258" s="84" t="s">
        <v>5643</v>
      </c>
      <c r="I2258" s="23" t="s">
        <v>24</v>
      </c>
      <c r="J2258" s="34">
        <v>135</v>
      </c>
      <c r="K2258" s="35">
        <v>0.25</v>
      </c>
      <c r="L2258" s="36">
        <f t="shared" si="334"/>
        <v>33.75</v>
      </c>
      <c r="M2258" s="37">
        <f t="shared" si="335"/>
        <v>101.25</v>
      </c>
      <c r="N2258" s="38">
        <v>0.16</v>
      </c>
      <c r="O2258" s="39">
        <f t="shared" si="336"/>
        <v>16.2</v>
      </c>
      <c r="P2258" s="40">
        <f t="shared" si="337"/>
        <v>117.45</v>
      </c>
      <c r="Q2258" s="23"/>
      <c r="R2258" s="56"/>
      <c r="S2258" s="57"/>
      <c r="T2258" s="58">
        <f t="shared" si="338"/>
        <v>0</v>
      </c>
      <c r="U2258" s="36">
        <f t="shared" si="339"/>
        <v>0</v>
      </c>
      <c r="V2258" s="59">
        <f t="shared" si="340"/>
        <v>0</v>
      </c>
      <c r="W2258" s="39">
        <f t="shared" si="341"/>
        <v>0</v>
      </c>
      <c r="X2258" s="40">
        <f t="shared" si="342"/>
        <v>0</v>
      </c>
      <c r="Y2258"/>
      <c r="Z2258"/>
      <c r="AA2258"/>
    </row>
    <row r="2259" spans="1:27" s="51" customFormat="1" ht="18.600000000000001" hidden="1" customHeight="1" x14ac:dyDescent="0.25">
      <c r="A2259" s="82" t="s">
        <v>2653</v>
      </c>
      <c r="B2259" s="41" t="s">
        <v>5502</v>
      </c>
      <c r="C2259" s="42" t="s">
        <v>9330</v>
      </c>
      <c r="D2259" s="41" t="s">
        <v>5644</v>
      </c>
      <c r="E2259" s="43" t="s">
        <v>5645</v>
      </c>
      <c r="F2259" s="43" t="s">
        <v>1937</v>
      </c>
      <c r="G2259" s="43" t="s">
        <v>5292</v>
      </c>
      <c r="H2259" s="85" t="s">
        <v>5646</v>
      </c>
      <c r="I2259" s="23" t="s">
        <v>24</v>
      </c>
      <c r="J2259" s="44">
        <v>135</v>
      </c>
      <c r="K2259" s="45">
        <v>0.25</v>
      </c>
      <c r="L2259" s="46">
        <f t="shared" si="334"/>
        <v>33.75</v>
      </c>
      <c r="M2259" s="47">
        <f t="shared" si="335"/>
        <v>101.25</v>
      </c>
      <c r="N2259" s="48">
        <v>0.16</v>
      </c>
      <c r="O2259" s="49">
        <f t="shared" si="336"/>
        <v>16.2</v>
      </c>
      <c r="P2259" s="50">
        <f t="shared" si="337"/>
        <v>117.45</v>
      </c>
      <c r="Q2259" s="23"/>
      <c r="R2259" s="60"/>
      <c r="S2259" s="61"/>
      <c r="T2259" s="62">
        <f t="shared" si="338"/>
        <v>0</v>
      </c>
      <c r="U2259" s="46">
        <f t="shared" si="339"/>
        <v>0</v>
      </c>
      <c r="V2259" s="63">
        <f t="shared" si="340"/>
        <v>0</v>
      </c>
      <c r="W2259" s="49">
        <f t="shared" si="341"/>
        <v>0</v>
      </c>
      <c r="X2259" s="50">
        <f t="shared" si="342"/>
        <v>0</v>
      </c>
      <c r="Y2259"/>
      <c r="Z2259"/>
      <c r="AA2259"/>
    </row>
    <row r="2260" spans="1:27" s="51" customFormat="1" ht="18.600000000000001" hidden="1" customHeight="1" x14ac:dyDescent="0.25">
      <c r="A2260" s="80" t="s">
        <v>2653</v>
      </c>
      <c r="B2260" s="20" t="s">
        <v>5502</v>
      </c>
      <c r="C2260" s="21" t="s">
        <v>9330</v>
      </c>
      <c r="D2260" s="20" t="s">
        <v>5647</v>
      </c>
      <c r="E2260" s="22" t="s">
        <v>5648</v>
      </c>
      <c r="F2260" s="22" t="s">
        <v>1937</v>
      </c>
      <c r="G2260" s="22" t="s">
        <v>5292</v>
      </c>
      <c r="H2260" s="83" t="s">
        <v>5649</v>
      </c>
      <c r="I2260" s="23" t="s">
        <v>24</v>
      </c>
      <c r="J2260" s="24">
        <v>135</v>
      </c>
      <c r="K2260" s="25">
        <v>0.25</v>
      </c>
      <c r="L2260" s="26">
        <f t="shared" si="334"/>
        <v>33.75</v>
      </c>
      <c r="M2260" s="27">
        <f t="shared" si="335"/>
        <v>101.25</v>
      </c>
      <c r="N2260" s="28">
        <v>0.16</v>
      </c>
      <c r="O2260" s="29">
        <f t="shared" si="336"/>
        <v>16.2</v>
      </c>
      <c r="P2260" s="30">
        <f t="shared" si="337"/>
        <v>117.45</v>
      </c>
      <c r="Q2260" s="23"/>
      <c r="R2260" s="52"/>
      <c r="S2260" s="53"/>
      <c r="T2260" s="54">
        <f t="shared" si="338"/>
        <v>0</v>
      </c>
      <c r="U2260" s="26">
        <f t="shared" si="339"/>
        <v>0</v>
      </c>
      <c r="V2260" s="55">
        <f t="shared" si="340"/>
        <v>0</v>
      </c>
      <c r="W2260" s="29">
        <f t="shared" si="341"/>
        <v>0</v>
      </c>
      <c r="X2260" s="30">
        <f t="shared" si="342"/>
        <v>0</v>
      </c>
      <c r="Y2260"/>
      <c r="Z2260"/>
      <c r="AA2260"/>
    </row>
    <row r="2261" spans="1:27" s="51" customFormat="1" ht="18.600000000000001" hidden="1" customHeight="1" x14ac:dyDescent="0.25">
      <c r="A2261" s="81" t="s">
        <v>2653</v>
      </c>
      <c r="B2261" s="31" t="s">
        <v>5502</v>
      </c>
      <c r="C2261" s="32" t="s">
        <v>9330</v>
      </c>
      <c r="D2261" s="31" t="s">
        <v>5650</v>
      </c>
      <c r="E2261" s="33" t="s">
        <v>5651</v>
      </c>
      <c r="F2261" s="33" t="s">
        <v>1937</v>
      </c>
      <c r="G2261" s="33" t="s">
        <v>5292</v>
      </c>
      <c r="H2261" s="84" t="s">
        <v>5652</v>
      </c>
      <c r="I2261" s="23" t="s">
        <v>24</v>
      </c>
      <c r="J2261" s="34">
        <v>135</v>
      </c>
      <c r="K2261" s="35">
        <v>0.25</v>
      </c>
      <c r="L2261" s="36">
        <f t="shared" si="334"/>
        <v>33.75</v>
      </c>
      <c r="M2261" s="37">
        <f t="shared" si="335"/>
        <v>101.25</v>
      </c>
      <c r="N2261" s="38">
        <v>0.16</v>
      </c>
      <c r="O2261" s="39">
        <f t="shared" si="336"/>
        <v>16.2</v>
      </c>
      <c r="P2261" s="40">
        <f t="shared" si="337"/>
        <v>117.45</v>
      </c>
      <c r="Q2261" s="23"/>
      <c r="R2261" s="56"/>
      <c r="S2261" s="57"/>
      <c r="T2261" s="58">
        <f t="shared" si="338"/>
        <v>0</v>
      </c>
      <c r="U2261" s="36">
        <f t="shared" si="339"/>
        <v>0</v>
      </c>
      <c r="V2261" s="59">
        <f t="shared" si="340"/>
        <v>0</v>
      </c>
      <c r="W2261" s="39">
        <f t="shared" si="341"/>
        <v>0</v>
      </c>
      <c r="X2261" s="40">
        <f t="shared" si="342"/>
        <v>0</v>
      </c>
      <c r="Y2261"/>
      <c r="Z2261"/>
      <c r="AA2261"/>
    </row>
    <row r="2262" spans="1:27" s="51" customFormat="1" ht="18.600000000000001" hidden="1" customHeight="1" x14ac:dyDescent="0.25">
      <c r="A2262" s="82" t="s">
        <v>2653</v>
      </c>
      <c r="B2262" s="41" t="s">
        <v>5502</v>
      </c>
      <c r="C2262" s="42" t="s">
        <v>9330</v>
      </c>
      <c r="D2262" s="41" t="s">
        <v>5653</v>
      </c>
      <c r="E2262" s="43" t="s">
        <v>5654</v>
      </c>
      <c r="F2262" s="43" t="s">
        <v>1937</v>
      </c>
      <c r="G2262" s="43" t="s">
        <v>5292</v>
      </c>
      <c r="H2262" s="85" t="s">
        <v>5655</v>
      </c>
      <c r="I2262" s="23" t="s">
        <v>24</v>
      </c>
      <c r="J2262" s="44">
        <v>135</v>
      </c>
      <c r="K2262" s="45">
        <v>0.25</v>
      </c>
      <c r="L2262" s="46">
        <f t="shared" si="334"/>
        <v>33.75</v>
      </c>
      <c r="M2262" s="47">
        <f t="shared" si="335"/>
        <v>101.25</v>
      </c>
      <c r="N2262" s="48">
        <v>0.16</v>
      </c>
      <c r="O2262" s="49">
        <f t="shared" si="336"/>
        <v>16.2</v>
      </c>
      <c r="P2262" s="50">
        <f t="shared" si="337"/>
        <v>117.45</v>
      </c>
      <c r="Q2262" s="23"/>
      <c r="R2262" s="60"/>
      <c r="S2262" s="61"/>
      <c r="T2262" s="62">
        <f t="shared" si="338"/>
        <v>0</v>
      </c>
      <c r="U2262" s="46">
        <f t="shared" si="339"/>
        <v>0</v>
      </c>
      <c r="V2262" s="63">
        <f t="shared" si="340"/>
        <v>0</v>
      </c>
      <c r="W2262" s="49">
        <f t="shared" si="341"/>
        <v>0</v>
      </c>
      <c r="X2262" s="50">
        <f t="shared" si="342"/>
        <v>0</v>
      </c>
      <c r="Y2262"/>
      <c r="Z2262"/>
      <c r="AA2262"/>
    </row>
    <row r="2263" spans="1:27" s="51" customFormat="1" ht="18.600000000000001" hidden="1" customHeight="1" x14ac:dyDescent="0.25">
      <c r="A2263" s="80" t="s">
        <v>2653</v>
      </c>
      <c r="B2263" s="20" t="s">
        <v>5502</v>
      </c>
      <c r="C2263" s="21" t="s">
        <v>9330</v>
      </c>
      <c r="D2263" s="20" t="s">
        <v>5656</v>
      </c>
      <c r="E2263" s="22" t="s">
        <v>5657</v>
      </c>
      <c r="F2263" s="22" t="s">
        <v>1937</v>
      </c>
      <c r="G2263" s="22" t="s">
        <v>5292</v>
      </c>
      <c r="H2263" s="83" t="s">
        <v>5658</v>
      </c>
      <c r="I2263" s="23" t="s">
        <v>24</v>
      </c>
      <c r="J2263" s="24">
        <v>135</v>
      </c>
      <c r="K2263" s="25">
        <v>0.25</v>
      </c>
      <c r="L2263" s="26">
        <f t="shared" ref="L2263:L2326" si="343">+J2263*K2263</f>
        <v>33.75</v>
      </c>
      <c r="M2263" s="27">
        <f t="shared" ref="M2263:M2326" si="344">+J2263-L2263</f>
        <v>101.25</v>
      </c>
      <c r="N2263" s="28">
        <v>0.16</v>
      </c>
      <c r="O2263" s="29">
        <f t="shared" ref="O2263:O2326" si="345">+M2263*N2263</f>
        <v>16.2</v>
      </c>
      <c r="P2263" s="30">
        <f t="shared" ref="P2263:P2326" si="346">+M2263+O2263</f>
        <v>117.45</v>
      </c>
      <c r="Q2263" s="23"/>
      <c r="R2263" s="52"/>
      <c r="S2263" s="53"/>
      <c r="T2263" s="54">
        <f t="shared" ref="T2263:T2326" si="347">+S2263*J2263</f>
        <v>0</v>
      </c>
      <c r="U2263" s="26">
        <f t="shared" ref="U2263:U2326" si="348">+T2263*K2263</f>
        <v>0</v>
      </c>
      <c r="V2263" s="55">
        <f t="shared" ref="V2263:V2326" si="349">+T2263-U2263</f>
        <v>0</v>
      </c>
      <c r="W2263" s="29">
        <f t="shared" ref="W2263:W2326" si="350">+V2263*N2263</f>
        <v>0</v>
      </c>
      <c r="X2263" s="30">
        <f t="shared" ref="X2263:X2326" si="351">+V2263+W2263</f>
        <v>0</v>
      </c>
      <c r="Y2263"/>
      <c r="Z2263"/>
      <c r="AA2263"/>
    </row>
    <row r="2264" spans="1:27" s="51" customFormat="1" ht="18.600000000000001" hidden="1" customHeight="1" x14ac:dyDescent="0.25">
      <c r="A2264" s="81" t="s">
        <v>2653</v>
      </c>
      <c r="B2264" s="31" t="s">
        <v>5502</v>
      </c>
      <c r="C2264" s="32" t="s">
        <v>9330</v>
      </c>
      <c r="D2264" s="31" t="s">
        <v>5659</v>
      </c>
      <c r="E2264" s="33" t="s">
        <v>5660</v>
      </c>
      <c r="F2264" s="33" t="s">
        <v>1937</v>
      </c>
      <c r="G2264" s="33" t="s">
        <v>5292</v>
      </c>
      <c r="H2264" s="84" t="s">
        <v>5661</v>
      </c>
      <c r="I2264" s="23" t="s">
        <v>24</v>
      </c>
      <c r="J2264" s="34">
        <v>135</v>
      </c>
      <c r="K2264" s="35">
        <v>0.25</v>
      </c>
      <c r="L2264" s="36">
        <f t="shared" si="343"/>
        <v>33.75</v>
      </c>
      <c r="M2264" s="37">
        <f t="shared" si="344"/>
        <v>101.25</v>
      </c>
      <c r="N2264" s="38">
        <v>0.16</v>
      </c>
      <c r="O2264" s="39">
        <f t="shared" si="345"/>
        <v>16.2</v>
      </c>
      <c r="P2264" s="40">
        <f t="shared" si="346"/>
        <v>117.45</v>
      </c>
      <c r="Q2264" s="23"/>
      <c r="R2264" s="56"/>
      <c r="S2264" s="57"/>
      <c r="T2264" s="58">
        <f t="shared" si="347"/>
        <v>0</v>
      </c>
      <c r="U2264" s="36">
        <f t="shared" si="348"/>
        <v>0</v>
      </c>
      <c r="V2264" s="59">
        <f t="shared" si="349"/>
        <v>0</v>
      </c>
      <c r="W2264" s="39">
        <f t="shared" si="350"/>
        <v>0</v>
      </c>
      <c r="X2264" s="40">
        <f t="shared" si="351"/>
        <v>0</v>
      </c>
      <c r="Y2264"/>
      <c r="Z2264"/>
      <c r="AA2264"/>
    </row>
    <row r="2265" spans="1:27" s="51" customFormat="1" ht="18.600000000000001" hidden="1" customHeight="1" x14ac:dyDescent="0.25">
      <c r="A2265" s="82" t="s">
        <v>2653</v>
      </c>
      <c r="B2265" s="41" t="s">
        <v>5502</v>
      </c>
      <c r="C2265" s="42" t="s">
        <v>9330</v>
      </c>
      <c r="D2265" s="41" t="s">
        <v>5662</v>
      </c>
      <c r="E2265" s="43" t="s">
        <v>5663</v>
      </c>
      <c r="F2265" s="43" t="s">
        <v>1937</v>
      </c>
      <c r="G2265" s="43" t="s">
        <v>5292</v>
      </c>
      <c r="H2265" s="85" t="s">
        <v>5664</v>
      </c>
      <c r="I2265" s="23" t="s">
        <v>24</v>
      </c>
      <c r="J2265" s="44">
        <v>135</v>
      </c>
      <c r="K2265" s="45">
        <v>0.25</v>
      </c>
      <c r="L2265" s="46">
        <f t="shared" si="343"/>
        <v>33.75</v>
      </c>
      <c r="M2265" s="47">
        <f t="shared" si="344"/>
        <v>101.25</v>
      </c>
      <c r="N2265" s="48">
        <v>0.16</v>
      </c>
      <c r="O2265" s="49">
        <f t="shared" si="345"/>
        <v>16.2</v>
      </c>
      <c r="P2265" s="50">
        <f t="shared" si="346"/>
        <v>117.45</v>
      </c>
      <c r="Q2265" s="23"/>
      <c r="R2265" s="60"/>
      <c r="S2265" s="61"/>
      <c r="T2265" s="62">
        <f t="shared" si="347"/>
        <v>0</v>
      </c>
      <c r="U2265" s="46">
        <f t="shared" si="348"/>
        <v>0</v>
      </c>
      <c r="V2265" s="63">
        <f t="shared" si="349"/>
        <v>0</v>
      </c>
      <c r="W2265" s="49">
        <f t="shared" si="350"/>
        <v>0</v>
      </c>
      <c r="X2265" s="50">
        <f t="shared" si="351"/>
        <v>0</v>
      </c>
      <c r="Y2265"/>
      <c r="Z2265"/>
      <c r="AA2265"/>
    </row>
    <row r="2266" spans="1:27" s="51" customFormat="1" ht="18.600000000000001" hidden="1" customHeight="1" x14ac:dyDescent="0.25">
      <c r="A2266" s="80" t="s">
        <v>2653</v>
      </c>
      <c r="B2266" s="20" t="s">
        <v>5502</v>
      </c>
      <c r="C2266" s="21" t="s">
        <v>9330</v>
      </c>
      <c r="D2266" s="20" t="s">
        <v>5665</v>
      </c>
      <c r="E2266" s="22" t="s">
        <v>5666</v>
      </c>
      <c r="F2266" s="22" t="s">
        <v>1937</v>
      </c>
      <c r="G2266" s="22" t="s">
        <v>5292</v>
      </c>
      <c r="H2266" s="83" t="s">
        <v>5667</v>
      </c>
      <c r="I2266" s="23" t="s">
        <v>24</v>
      </c>
      <c r="J2266" s="24">
        <v>135</v>
      </c>
      <c r="K2266" s="25">
        <v>0.25</v>
      </c>
      <c r="L2266" s="26">
        <f t="shared" si="343"/>
        <v>33.75</v>
      </c>
      <c r="M2266" s="27">
        <f t="shared" si="344"/>
        <v>101.25</v>
      </c>
      <c r="N2266" s="28">
        <v>0.16</v>
      </c>
      <c r="O2266" s="29">
        <f t="shared" si="345"/>
        <v>16.2</v>
      </c>
      <c r="P2266" s="30">
        <f t="shared" si="346"/>
        <v>117.45</v>
      </c>
      <c r="Q2266" s="23"/>
      <c r="R2266" s="52"/>
      <c r="S2266" s="53"/>
      <c r="T2266" s="54">
        <f t="shared" si="347"/>
        <v>0</v>
      </c>
      <c r="U2266" s="26">
        <f t="shared" si="348"/>
        <v>0</v>
      </c>
      <c r="V2266" s="55">
        <f t="shared" si="349"/>
        <v>0</v>
      </c>
      <c r="W2266" s="29">
        <f t="shared" si="350"/>
        <v>0</v>
      </c>
      <c r="X2266" s="30">
        <f t="shared" si="351"/>
        <v>0</v>
      </c>
      <c r="Y2266"/>
      <c r="Z2266"/>
      <c r="AA2266"/>
    </row>
    <row r="2267" spans="1:27" s="51" customFormat="1" ht="18.600000000000001" hidden="1" customHeight="1" x14ac:dyDescent="0.25">
      <c r="A2267" s="81" t="s">
        <v>2653</v>
      </c>
      <c r="B2267" s="31" t="s">
        <v>5502</v>
      </c>
      <c r="C2267" s="32" t="s">
        <v>9331</v>
      </c>
      <c r="D2267" s="31" t="s">
        <v>5668</v>
      </c>
      <c r="E2267" s="33" t="s">
        <v>5669</v>
      </c>
      <c r="F2267" s="33" t="s">
        <v>1937</v>
      </c>
      <c r="G2267" s="33" t="s">
        <v>10002</v>
      </c>
      <c r="H2267" s="84" t="s">
        <v>5670</v>
      </c>
      <c r="I2267" s="23" t="s">
        <v>24</v>
      </c>
      <c r="J2267" s="34">
        <v>270</v>
      </c>
      <c r="K2267" s="35">
        <v>0.25</v>
      </c>
      <c r="L2267" s="36">
        <f t="shared" si="343"/>
        <v>67.5</v>
      </c>
      <c r="M2267" s="37">
        <f t="shared" si="344"/>
        <v>202.5</v>
      </c>
      <c r="N2267" s="38">
        <v>0.16</v>
      </c>
      <c r="O2267" s="39">
        <f t="shared" si="345"/>
        <v>32.4</v>
      </c>
      <c r="P2267" s="40">
        <f t="shared" si="346"/>
        <v>234.9</v>
      </c>
      <c r="Q2267" s="23"/>
      <c r="R2267" s="56"/>
      <c r="S2267" s="57"/>
      <c r="T2267" s="58">
        <f t="shared" si="347"/>
        <v>0</v>
      </c>
      <c r="U2267" s="36">
        <f t="shared" si="348"/>
        <v>0</v>
      </c>
      <c r="V2267" s="59">
        <f t="shared" si="349"/>
        <v>0</v>
      </c>
      <c r="W2267" s="39">
        <f t="shared" si="350"/>
        <v>0</v>
      </c>
      <c r="X2267" s="40">
        <f t="shared" si="351"/>
        <v>0</v>
      </c>
      <c r="Y2267"/>
      <c r="Z2267"/>
      <c r="AA2267"/>
    </row>
    <row r="2268" spans="1:27" s="51" customFormat="1" ht="18.600000000000001" hidden="1" customHeight="1" x14ac:dyDescent="0.25">
      <c r="A2268" s="82" t="s">
        <v>2653</v>
      </c>
      <c r="B2268" s="41" t="s">
        <v>5502</v>
      </c>
      <c r="C2268" s="42" t="s">
        <v>9331</v>
      </c>
      <c r="D2268" s="41" t="s">
        <v>5671</v>
      </c>
      <c r="E2268" s="43" t="s">
        <v>5672</v>
      </c>
      <c r="F2268" s="43" t="s">
        <v>1937</v>
      </c>
      <c r="G2268" s="43" t="s">
        <v>10002</v>
      </c>
      <c r="H2268" s="85" t="s">
        <v>5673</v>
      </c>
      <c r="I2268" s="23" t="s">
        <v>24</v>
      </c>
      <c r="J2268" s="44">
        <v>270</v>
      </c>
      <c r="K2268" s="45">
        <v>0.25</v>
      </c>
      <c r="L2268" s="46">
        <f t="shared" si="343"/>
        <v>67.5</v>
      </c>
      <c r="M2268" s="47">
        <f t="shared" si="344"/>
        <v>202.5</v>
      </c>
      <c r="N2268" s="48">
        <v>0.16</v>
      </c>
      <c r="O2268" s="49">
        <f t="shared" si="345"/>
        <v>32.4</v>
      </c>
      <c r="P2268" s="50">
        <f t="shared" si="346"/>
        <v>234.9</v>
      </c>
      <c r="Q2268" s="23"/>
      <c r="R2268" s="60"/>
      <c r="S2268" s="61"/>
      <c r="T2268" s="62">
        <f t="shared" si="347"/>
        <v>0</v>
      </c>
      <c r="U2268" s="46">
        <f t="shared" si="348"/>
        <v>0</v>
      </c>
      <c r="V2268" s="63">
        <f t="shared" si="349"/>
        <v>0</v>
      </c>
      <c r="W2268" s="49">
        <f t="shared" si="350"/>
        <v>0</v>
      </c>
      <c r="X2268" s="50">
        <f t="shared" si="351"/>
        <v>0</v>
      </c>
      <c r="Y2268"/>
      <c r="Z2268"/>
      <c r="AA2268"/>
    </row>
    <row r="2269" spans="1:27" s="51" customFormat="1" ht="18.600000000000001" hidden="1" customHeight="1" x14ac:dyDescent="0.25">
      <c r="A2269" s="80" t="s">
        <v>2653</v>
      </c>
      <c r="B2269" s="20" t="s">
        <v>5502</v>
      </c>
      <c r="C2269" s="21" t="s">
        <v>9331</v>
      </c>
      <c r="D2269" s="20" t="s">
        <v>5674</v>
      </c>
      <c r="E2269" s="22" t="s">
        <v>5675</v>
      </c>
      <c r="F2269" s="22" t="s">
        <v>1937</v>
      </c>
      <c r="G2269" s="22" t="s">
        <v>10002</v>
      </c>
      <c r="H2269" s="83" t="s">
        <v>5676</v>
      </c>
      <c r="I2269" s="23" t="s">
        <v>24</v>
      </c>
      <c r="J2269" s="24">
        <v>270</v>
      </c>
      <c r="K2269" s="25">
        <v>0.25</v>
      </c>
      <c r="L2269" s="26">
        <f t="shared" si="343"/>
        <v>67.5</v>
      </c>
      <c r="M2269" s="27">
        <f t="shared" si="344"/>
        <v>202.5</v>
      </c>
      <c r="N2269" s="28">
        <v>0.16</v>
      </c>
      <c r="O2269" s="29">
        <f t="shared" si="345"/>
        <v>32.4</v>
      </c>
      <c r="P2269" s="30">
        <f t="shared" si="346"/>
        <v>234.9</v>
      </c>
      <c r="Q2269" s="23"/>
      <c r="R2269" s="52"/>
      <c r="S2269" s="53"/>
      <c r="T2269" s="54">
        <f t="shared" si="347"/>
        <v>0</v>
      </c>
      <c r="U2269" s="26">
        <f t="shared" si="348"/>
        <v>0</v>
      </c>
      <c r="V2269" s="55">
        <f t="shared" si="349"/>
        <v>0</v>
      </c>
      <c r="W2269" s="29">
        <f t="shared" si="350"/>
        <v>0</v>
      </c>
      <c r="X2269" s="30">
        <f t="shared" si="351"/>
        <v>0</v>
      </c>
      <c r="Y2269"/>
      <c r="Z2269"/>
      <c r="AA2269"/>
    </row>
    <row r="2270" spans="1:27" s="51" customFormat="1" ht="18.600000000000001" hidden="1" customHeight="1" x14ac:dyDescent="0.25">
      <c r="A2270" s="81" t="s">
        <v>2653</v>
      </c>
      <c r="B2270" s="31" t="s">
        <v>5502</v>
      </c>
      <c r="C2270" s="32" t="s">
        <v>9331</v>
      </c>
      <c r="D2270" s="31" t="s">
        <v>5677</v>
      </c>
      <c r="E2270" s="33" t="s">
        <v>5678</v>
      </c>
      <c r="F2270" s="33" t="s">
        <v>1937</v>
      </c>
      <c r="G2270" s="33" t="s">
        <v>10002</v>
      </c>
      <c r="H2270" s="84" t="s">
        <v>5679</v>
      </c>
      <c r="I2270" s="23" t="s">
        <v>24</v>
      </c>
      <c r="J2270" s="34">
        <v>270</v>
      </c>
      <c r="K2270" s="35">
        <v>0.25</v>
      </c>
      <c r="L2270" s="36">
        <f t="shared" si="343"/>
        <v>67.5</v>
      </c>
      <c r="M2270" s="37">
        <f t="shared" si="344"/>
        <v>202.5</v>
      </c>
      <c r="N2270" s="38">
        <v>0.16</v>
      </c>
      <c r="O2270" s="39">
        <f t="shared" si="345"/>
        <v>32.4</v>
      </c>
      <c r="P2270" s="40">
        <f t="shared" si="346"/>
        <v>234.9</v>
      </c>
      <c r="Q2270" s="23"/>
      <c r="R2270" s="56"/>
      <c r="S2270" s="57"/>
      <c r="T2270" s="58">
        <f t="shared" si="347"/>
        <v>0</v>
      </c>
      <c r="U2270" s="36">
        <f t="shared" si="348"/>
        <v>0</v>
      </c>
      <c r="V2270" s="59">
        <f t="shared" si="349"/>
        <v>0</v>
      </c>
      <c r="W2270" s="39">
        <f t="shared" si="350"/>
        <v>0</v>
      </c>
      <c r="X2270" s="40">
        <f t="shared" si="351"/>
        <v>0</v>
      </c>
      <c r="Y2270"/>
      <c r="Z2270"/>
      <c r="AA2270"/>
    </row>
    <row r="2271" spans="1:27" s="51" customFormat="1" ht="18.600000000000001" hidden="1" customHeight="1" x14ac:dyDescent="0.25">
      <c r="A2271" s="82" t="s">
        <v>2653</v>
      </c>
      <c r="B2271" s="41" t="s">
        <v>5502</v>
      </c>
      <c r="C2271" s="42" t="s">
        <v>9331</v>
      </c>
      <c r="D2271" s="41" t="s">
        <v>5680</v>
      </c>
      <c r="E2271" s="43" t="s">
        <v>5681</v>
      </c>
      <c r="F2271" s="43" t="s">
        <v>1937</v>
      </c>
      <c r="G2271" s="43" t="s">
        <v>10002</v>
      </c>
      <c r="H2271" s="85" t="s">
        <v>5682</v>
      </c>
      <c r="I2271" s="23" t="s">
        <v>24</v>
      </c>
      <c r="J2271" s="44">
        <v>270</v>
      </c>
      <c r="K2271" s="45">
        <v>0.25</v>
      </c>
      <c r="L2271" s="46">
        <f t="shared" si="343"/>
        <v>67.5</v>
      </c>
      <c r="M2271" s="47">
        <f t="shared" si="344"/>
        <v>202.5</v>
      </c>
      <c r="N2271" s="48">
        <v>0.16</v>
      </c>
      <c r="O2271" s="49">
        <f t="shared" si="345"/>
        <v>32.4</v>
      </c>
      <c r="P2271" s="50">
        <f t="shared" si="346"/>
        <v>234.9</v>
      </c>
      <c r="Q2271" s="23"/>
      <c r="R2271" s="60"/>
      <c r="S2271" s="61"/>
      <c r="T2271" s="62">
        <f t="shared" si="347"/>
        <v>0</v>
      </c>
      <c r="U2271" s="46">
        <f t="shared" si="348"/>
        <v>0</v>
      </c>
      <c r="V2271" s="63">
        <f t="shared" si="349"/>
        <v>0</v>
      </c>
      <c r="W2271" s="49">
        <f t="shared" si="350"/>
        <v>0</v>
      </c>
      <c r="X2271" s="50">
        <f t="shared" si="351"/>
        <v>0</v>
      </c>
      <c r="Y2271"/>
      <c r="Z2271"/>
      <c r="AA2271"/>
    </row>
    <row r="2272" spans="1:27" s="51" customFormat="1" ht="18.600000000000001" hidden="1" customHeight="1" x14ac:dyDescent="0.25">
      <c r="A2272" s="80" t="s">
        <v>2653</v>
      </c>
      <c r="B2272" s="20" t="s">
        <v>5502</v>
      </c>
      <c r="C2272" s="21" t="s">
        <v>9331</v>
      </c>
      <c r="D2272" s="20" t="s">
        <v>5683</v>
      </c>
      <c r="E2272" s="22" t="s">
        <v>5684</v>
      </c>
      <c r="F2272" s="22" t="s">
        <v>1937</v>
      </c>
      <c r="G2272" s="22" t="s">
        <v>10002</v>
      </c>
      <c r="H2272" s="83" t="s">
        <v>5685</v>
      </c>
      <c r="I2272" s="23" t="s">
        <v>24</v>
      </c>
      <c r="J2272" s="24">
        <v>270</v>
      </c>
      <c r="K2272" s="25">
        <v>0.25</v>
      </c>
      <c r="L2272" s="26">
        <f t="shared" si="343"/>
        <v>67.5</v>
      </c>
      <c r="M2272" s="27">
        <f t="shared" si="344"/>
        <v>202.5</v>
      </c>
      <c r="N2272" s="28">
        <v>0.16</v>
      </c>
      <c r="O2272" s="29">
        <f t="shared" si="345"/>
        <v>32.4</v>
      </c>
      <c r="P2272" s="30">
        <f t="shared" si="346"/>
        <v>234.9</v>
      </c>
      <c r="Q2272" s="23"/>
      <c r="R2272" s="52"/>
      <c r="S2272" s="53"/>
      <c r="T2272" s="54">
        <f t="shared" si="347"/>
        <v>0</v>
      </c>
      <c r="U2272" s="26">
        <f t="shared" si="348"/>
        <v>0</v>
      </c>
      <c r="V2272" s="55">
        <f t="shared" si="349"/>
        <v>0</v>
      </c>
      <c r="W2272" s="29">
        <f t="shared" si="350"/>
        <v>0</v>
      </c>
      <c r="X2272" s="30">
        <f t="shared" si="351"/>
        <v>0</v>
      </c>
      <c r="Y2272"/>
      <c r="Z2272"/>
      <c r="AA2272"/>
    </row>
    <row r="2273" spans="1:27" s="51" customFormat="1" ht="18.600000000000001" hidden="1" customHeight="1" x14ac:dyDescent="0.25">
      <c r="A2273" s="81" t="s">
        <v>2653</v>
      </c>
      <c r="B2273" s="31" t="s">
        <v>5502</v>
      </c>
      <c r="C2273" s="32" t="s">
        <v>9331</v>
      </c>
      <c r="D2273" s="31" t="s">
        <v>5686</v>
      </c>
      <c r="E2273" s="33" t="s">
        <v>5687</v>
      </c>
      <c r="F2273" s="33" t="s">
        <v>1937</v>
      </c>
      <c r="G2273" s="33" t="s">
        <v>10002</v>
      </c>
      <c r="H2273" s="84" t="s">
        <v>5688</v>
      </c>
      <c r="I2273" s="23" t="s">
        <v>24</v>
      </c>
      <c r="J2273" s="34">
        <v>270</v>
      </c>
      <c r="K2273" s="35">
        <v>0.25</v>
      </c>
      <c r="L2273" s="36">
        <f t="shared" si="343"/>
        <v>67.5</v>
      </c>
      <c r="M2273" s="37">
        <f t="shared" si="344"/>
        <v>202.5</v>
      </c>
      <c r="N2273" s="38">
        <v>0.16</v>
      </c>
      <c r="O2273" s="39">
        <f t="shared" si="345"/>
        <v>32.4</v>
      </c>
      <c r="P2273" s="40">
        <f t="shared" si="346"/>
        <v>234.9</v>
      </c>
      <c r="Q2273" s="23"/>
      <c r="R2273" s="56"/>
      <c r="S2273" s="57"/>
      <c r="T2273" s="58">
        <f t="shared" si="347"/>
        <v>0</v>
      </c>
      <c r="U2273" s="36">
        <f t="shared" si="348"/>
        <v>0</v>
      </c>
      <c r="V2273" s="59">
        <f t="shared" si="349"/>
        <v>0</v>
      </c>
      <c r="W2273" s="39">
        <f t="shared" si="350"/>
        <v>0</v>
      </c>
      <c r="X2273" s="40">
        <f t="shared" si="351"/>
        <v>0</v>
      </c>
      <c r="Y2273"/>
      <c r="Z2273"/>
      <c r="AA2273"/>
    </row>
    <row r="2274" spans="1:27" s="51" customFormat="1" ht="18.600000000000001" hidden="1" customHeight="1" x14ac:dyDescent="0.25">
      <c r="A2274" s="82" t="s">
        <v>2653</v>
      </c>
      <c r="B2274" s="41" t="s">
        <v>5502</v>
      </c>
      <c r="C2274" s="42" t="s">
        <v>9331</v>
      </c>
      <c r="D2274" s="41" t="s">
        <v>5689</v>
      </c>
      <c r="E2274" s="43" t="s">
        <v>5690</v>
      </c>
      <c r="F2274" s="43" t="s">
        <v>1937</v>
      </c>
      <c r="G2274" s="43" t="s">
        <v>10002</v>
      </c>
      <c r="H2274" s="85" t="s">
        <v>5691</v>
      </c>
      <c r="I2274" s="23" t="s">
        <v>24</v>
      </c>
      <c r="J2274" s="44">
        <v>270</v>
      </c>
      <c r="K2274" s="45">
        <v>0.25</v>
      </c>
      <c r="L2274" s="46">
        <f t="shared" si="343"/>
        <v>67.5</v>
      </c>
      <c r="M2274" s="47">
        <f t="shared" si="344"/>
        <v>202.5</v>
      </c>
      <c r="N2274" s="48">
        <v>0.16</v>
      </c>
      <c r="O2274" s="49">
        <f t="shared" si="345"/>
        <v>32.4</v>
      </c>
      <c r="P2274" s="50">
        <f t="shared" si="346"/>
        <v>234.9</v>
      </c>
      <c r="Q2274" s="23"/>
      <c r="R2274" s="60"/>
      <c r="S2274" s="61"/>
      <c r="T2274" s="62">
        <f t="shared" si="347"/>
        <v>0</v>
      </c>
      <c r="U2274" s="46">
        <f t="shared" si="348"/>
        <v>0</v>
      </c>
      <c r="V2274" s="63">
        <f t="shared" si="349"/>
        <v>0</v>
      </c>
      <c r="W2274" s="49">
        <f t="shared" si="350"/>
        <v>0</v>
      </c>
      <c r="X2274" s="50">
        <f t="shared" si="351"/>
        <v>0</v>
      </c>
      <c r="Y2274"/>
      <c r="Z2274"/>
      <c r="AA2274"/>
    </row>
    <row r="2275" spans="1:27" s="51" customFormat="1" ht="18.600000000000001" hidden="1" customHeight="1" x14ac:dyDescent="0.25">
      <c r="A2275" s="80" t="s">
        <v>2653</v>
      </c>
      <c r="B2275" s="20" t="s">
        <v>5502</v>
      </c>
      <c r="C2275" s="21" t="s">
        <v>9331</v>
      </c>
      <c r="D2275" s="20" t="s">
        <v>5692</v>
      </c>
      <c r="E2275" s="22" t="s">
        <v>5693</v>
      </c>
      <c r="F2275" s="22" t="s">
        <v>1937</v>
      </c>
      <c r="G2275" s="22" t="s">
        <v>10002</v>
      </c>
      <c r="H2275" s="83" t="s">
        <v>5694</v>
      </c>
      <c r="I2275" s="23" t="s">
        <v>24</v>
      </c>
      <c r="J2275" s="24">
        <v>270</v>
      </c>
      <c r="K2275" s="25">
        <v>0.25</v>
      </c>
      <c r="L2275" s="26">
        <f t="shared" si="343"/>
        <v>67.5</v>
      </c>
      <c r="M2275" s="27">
        <f t="shared" si="344"/>
        <v>202.5</v>
      </c>
      <c r="N2275" s="28">
        <v>0.16</v>
      </c>
      <c r="O2275" s="29">
        <f t="shared" si="345"/>
        <v>32.4</v>
      </c>
      <c r="P2275" s="30">
        <f t="shared" si="346"/>
        <v>234.9</v>
      </c>
      <c r="Q2275" s="23"/>
      <c r="R2275" s="52"/>
      <c r="S2275" s="53"/>
      <c r="T2275" s="54">
        <f t="shared" si="347"/>
        <v>0</v>
      </c>
      <c r="U2275" s="26">
        <f t="shared" si="348"/>
        <v>0</v>
      </c>
      <c r="V2275" s="55">
        <f t="shared" si="349"/>
        <v>0</v>
      </c>
      <c r="W2275" s="29">
        <f t="shared" si="350"/>
        <v>0</v>
      </c>
      <c r="X2275" s="30">
        <f t="shared" si="351"/>
        <v>0</v>
      </c>
      <c r="Y2275"/>
      <c r="Z2275"/>
      <c r="AA2275"/>
    </row>
    <row r="2276" spans="1:27" s="51" customFormat="1" ht="18.600000000000001" hidden="1" customHeight="1" x14ac:dyDescent="0.25">
      <c r="A2276" s="81" t="s">
        <v>2653</v>
      </c>
      <c r="B2276" s="31" t="s">
        <v>5502</v>
      </c>
      <c r="C2276" s="32" t="s">
        <v>9331</v>
      </c>
      <c r="D2276" s="31" t="s">
        <v>5695</v>
      </c>
      <c r="E2276" s="33" t="s">
        <v>5696</v>
      </c>
      <c r="F2276" s="33" t="s">
        <v>1937</v>
      </c>
      <c r="G2276" s="33" t="s">
        <v>10002</v>
      </c>
      <c r="H2276" s="84" t="s">
        <v>5697</v>
      </c>
      <c r="I2276" s="23" t="s">
        <v>24</v>
      </c>
      <c r="J2276" s="34">
        <v>270</v>
      </c>
      <c r="K2276" s="35">
        <v>0.25</v>
      </c>
      <c r="L2276" s="36">
        <f t="shared" si="343"/>
        <v>67.5</v>
      </c>
      <c r="M2276" s="37">
        <f t="shared" si="344"/>
        <v>202.5</v>
      </c>
      <c r="N2276" s="38">
        <v>0.16</v>
      </c>
      <c r="O2276" s="39">
        <f t="shared" si="345"/>
        <v>32.4</v>
      </c>
      <c r="P2276" s="40">
        <f t="shared" si="346"/>
        <v>234.9</v>
      </c>
      <c r="Q2276" s="23"/>
      <c r="R2276" s="56"/>
      <c r="S2276" s="57"/>
      <c r="T2276" s="58">
        <f t="shared" si="347"/>
        <v>0</v>
      </c>
      <c r="U2276" s="36">
        <f t="shared" si="348"/>
        <v>0</v>
      </c>
      <c r="V2276" s="59">
        <f t="shared" si="349"/>
        <v>0</v>
      </c>
      <c r="W2276" s="39">
        <f t="shared" si="350"/>
        <v>0</v>
      </c>
      <c r="X2276" s="40">
        <f t="shared" si="351"/>
        <v>0</v>
      </c>
      <c r="Y2276"/>
      <c r="Z2276"/>
      <c r="AA2276"/>
    </row>
    <row r="2277" spans="1:27" s="51" customFormat="1" ht="18.600000000000001" hidden="1" customHeight="1" x14ac:dyDescent="0.25">
      <c r="A2277" s="82" t="s">
        <v>2653</v>
      </c>
      <c r="B2277" s="41" t="s">
        <v>5502</v>
      </c>
      <c r="C2277" s="42" t="s">
        <v>9331</v>
      </c>
      <c r="D2277" s="41" t="s">
        <v>5698</v>
      </c>
      <c r="E2277" s="43" t="s">
        <v>5699</v>
      </c>
      <c r="F2277" s="43" t="s">
        <v>1937</v>
      </c>
      <c r="G2277" s="43" t="s">
        <v>10002</v>
      </c>
      <c r="H2277" s="85" t="s">
        <v>5700</v>
      </c>
      <c r="I2277" s="23" t="s">
        <v>24</v>
      </c>
      <c r="J2277" s="44">
        <v>270</v>
      </c>
      <c r="K2277" s="45">
        <v>0.25</v>
      </c>
      <c r="L2277" s="46">
        <f t="shared" si="343"/>
        <v>67.5</v>
      </c>
      <c r="M2277" s="47">
        <f t="shared" si="344"/>
        <v>202.5</v>
      </c>
      <c r="N2277" s="48">
        <v>0.16</v>
      </c>
      <c r="O2277" s="49">
        <f t="shared" si="345"/>
        <v>32.4</v>
      </c>
      <c r="P2277" s="50">
        <f t="shared" si="346"/>
        <v>234.9</v>
      </c>
      <c r="Q2277" s="23"/>
      <c r="R2277" s="60"/>
      <c r="S2277" s="61"/>
      <c r="T2277" s="62">
        <f t="shared" si="347"/>
        <v>0</v>
      </c>
      <c r="U2277" s="46">
        <f t="shared" si="348"/>
        <v>0</v>
      </c>
      <c r="V2277" s="63">
        <f t="shared" si="349"/>
        <v>0</v>
      </c>
      <c r="W2277" s="49">
        <f t="shared" si="350"/>
        <v>0</v>
      </c>
      <c r="X2277" s="50">
        <f t="shared" si="351"/>
        <v>0</v>
      </c>
      <c r="Y2277"/>
      <c r="Z2277"/>
      <c r="AA2277"/>
    </row>
    <row r="2278" spans="1:27" s="51" customFormat="1" ht="18.600000000000001" hidden="1" customHeight="1" x14ac:dyDescent="0.25">
      <c r="A2278" s="80" t="s">
        <v>2653</v>
      </c>
      <c r="B2278" s="20" t="s">
        <v>5502</v>
      </c>
      <c r="C2278" s="21" t="s">
        <v>9331</v>
      </c>
      <c r="D2278" s="20" t="s">
        <v>5701</v>
      </c>
      <c r="E2278" s="22" t="s">
        <v>5702</v>
      </c>
      <c r="F2278" s="22" t="s">
        <v>1937</v>
      </c>
      <c r="G2278" s="22" t="s">
        <v>10002</v>
      </c>
      <c r="H2278" s="83" t="s">
        <v>5703</v>
      </c>
      <c r="I2278" s="23" t="s">
        <v>24</v>
      </c>
      <c r="J2278" s="24">
        <v>270</v>
      </c>
      <c r="K2278" s="25">
        <v>0.25</v>
      </c>
      <c r="L2278" s="26">
        <f t="shared" si="343"/>
        <v>67.5</v>
      </c>
      <c r="M2278" s="27">
        <f t="shared" si="344"/>
        <v>202.5</v>
      </c>
      <c r="N2278" s="28">
        <v>0.16</v>
      </c>
      <c r="O2278" s="29">
        <f t="shared" si="345"/>
        <v>32.4</v>
      </c>
      <c r="P2278" s="30">
        <f t="shared" si="346"/>
        <v>234.9</v>
      </c>
      <c r="Q2278" s="23"/>
      <c r="R2278" s="52"/>
      <c r="S2278" s="53"/>
      <c r="T2278" s="54">
        <f t="shared" si="347"/>
        <v>0</v>
      </c>
      <c r="U2278" s="26">
        <f t="shared" si="348"/>
        <v>0</v>
      </c>
      <c r="V2278" s="55">
        <f t="shared" si="349"/>
        <v>0</v>
      </c>
      <c r="W2278" s="29">
        <f t="shared" si="350"/>
        <v>0</v>
      </c>
      <c r="X2278" s="30">
        <f t="shared" si="351"/>
        <v>0</v>
      </c>
      <c r="Y2278"/>
      <c r="Z2278"/>
      <c r="AA2278"/>
    </row>
    <row r="2279" spans="1:27" s="51" customFormat="1" ht="18.600000000000001" hidden="1" customHeight="1" x14ac:dyDescent="0.25">
      <c r="A2279" s="81" t="s">
        <v>2653</v>
      </c>
      <c r="B2279" s="31" t="s">
        <v>5502</v>
      </c>
      <c r="C2279" s="32" t="s">
        <v>9331</v>
      </c>
      <c r="D2279" s="31" t="s">
        <v>5704</v>
      </c>
      <c r="E2279" s="33" t="s">
        <v>5705</v>
      </c>
      <c r="F2279" s="33" t="s">
        <v>1937</v>
      </c>
      <c r="G2279" s="33" t="s">
        <v>10002</v>
      </c>
      <c r="H2279" s="84" t="s">
        <v>5706</v>
      </c>
      <c r="I2279" s="23" t="s">
        <v>24</v>
      </c>
      <c r="J2279" s="34">
        <v>270</v>
      </c>
      <c r="K2279" s="35">
        <v>0.25</v>
      </c>
      <c r="L2279" s="36">
        <f t="shared" si="343"/>
        <v>67.5</v>
      </c>
      <c r="M2279" s="37">
        <f t="shared" si="344"/>
        <v>202.5</v>
      </c>
      <c r="N2279" s="38">
        <v>0.16</v>
      </c>
      <c r="O2279" s="39">
        <f t="shared" si="345"/>
        <v>32.4</v>
      </c>
      <c r="P2279" s="40">
        <f t="shared" si="346"/>
        <v>234.9</v>
      </c>
      <c r="Q2279" s="23"/>
      <c r="R2279" s="56"/>
      <c r="S2279" s="57"/>
      <c r="T2279" s="58">
        <f t="shared" si="347"/>
        <v>0</v>
      </c>
      <c r="U2279" s="36">
        <f t="shared" si="348"/>
        <v>0</v>
      </c>
      <c r="V2279" s="59">
        <f t="shared" si="349"/>
        <v>0</v>
      </c>
      <c r="W2279" s="39">
        <f t="shared" si="350"/>
        <v>0</v>
      </c>
      <c r="X2279" s="40">
        <f t="shared" si="351"/>
        <v>0</v>
      </c>
      <c r="Y2279"/>
      <c r="Z2279"/>
      <c r="AA2279"/>
    </row>
    <row r="2280" spans="1:27" s="51" customFormat="1" ht="18.600000000000001" hidden="1" customHeight="1" x14ac:dyDescent="0.25">
      <c r="A2280" s="82" t="s">
        <v>2653</v>
      </c>
      <c r="B2280" s="41" t="s">
        <v>5502</v>
      </c>
      <c r="C2280" s="42" t="s">
        <v>9331</v>
      </c>
      <c r="D2280" s="41" t="s">
        <v>5707</v>
      </c>
      <c r="E2280" s="43" t="s">
        <v>5708</v>
      </c>
      <c r="F2280" s="43" t="s">
        <v>1937</v>
      </c>
      <c r="G2280" s="43" t="s">
        <v>10002</v>
      </c>
      <c r="H2280" s="85" t="s">
        <v>5709</v>
      </c>
      <c r="I2280" s="23" t="s">
        <v>24</v>
      </c>
      <c r="J2280" s="44">
        <v>270</v>
      </c>
      <c r="K2280" s="45">
        <v>0.25</v>
      </c>
      <c r="L2280" s="46">
        <f t="shared" si="343"/>
        <v>67.5</v>
      </c>
      <c r="M2280" s="47">
        <f t="shared" si="344"/>
        <v>202.5</v>
      </c>
      <c r="N2280" s="48">
        <v>0.16</v>
      </c>
      <c r="O2280" s="49">
        <f t="shared" si="345"/>
        <v>32.4</v>
      </c>
      <c r="P2280" s="50">
        <f t="shared" si="346"/>
        <v>234.9</v>
      </c>
      <c r="Q2280" s="23"/>
      <c r="R2280" s="60"/>
      <c r="S2280" s="61"/>
      <c r="T2280" s="62">
        <f t="shared" si="347"/>
        <v>0</v>
      </c>
      <c r="U2280" s="46">
        <f t="shared" si="348"/>
        <v>0</v>
      </c>
      <c r="V2280" s="63">
        <f t="shared" si="349"/>
        <v>0</v>
      </c>
      <c r="W2280" s="49">
        <f t="shared" si="350"/>
        <v>0</v>
      </c>
      <c r="X2280" s="50">
        <f t="shared" si="351"/>
        <v>0</v>
      </c>
      <c r="Y2280"/>
      <c r="Z2280"/>
      <c r="AA2280"/>
    </row>
    <row r="2281" spans="1:27" s="51" customFormat="1" ht="18.600000000000001" hidden="1" customHeight="1" x14ac:dyDescent="0.25">
      <c r="A2281" s="80" t="s">
        <v>2653</v>
      </c>
      <c r="B2281" s="20" t="s">
        <v>5502</v>
      </c>
      <c r="C2281" s="21" t="s">
        <v>9331</v>
      </c>
      <c r="D2281" s="20" t="s">
        <v>5710</v>
      </c>
      <c r="E2281" s="22" t="s">
        <v>5711</v>
      </c>
      <c r="F2281" s="22" t="s">
        <v>1937</v>
      </c>
      <c r="G2281" s="22" t="s">
        <v>10002</v>
      </c>
      <c r="H2281" s="83" t="s">
        <v>5712</v>
      </c>
      <c r="I2281" s="23" t="s">
        <v>24</v>
      </c>
      <c r="J2281" s="24">
        <v>270</v>
      </c>
      <c r="K2281" s="25">
        <v>0.25</v>
      </c>
      <c r="L2281" s="26">
        <f t="shared" si="343"/>
        <v>67.5</v>
      </c>
      <c r="M2281" s="27">
        <f t="shared" si="344"/>
        <v>202.5</v>
      </c>
      <c r="N2281" s="28">
        <v>0.16</v>
      </c>
      <c r="O2281" s="29">
        <f t="shared" si="345"/>
        <v>32.4</v>
      </c>
      <c r="P2281" s="30">
        <f t="shared" si="346"/>
        <v>234.9</v>
      </c>
      <c r="Q2281" s="23"/>
      <c r="R2281" s="52"/>
      <c r="S2281" s="53"/>
      <c r="T2281" s="54">
        <f t="shared" si="347"/>
        <v>0</v>
      </c>
      <c r="U2281" s="26">
        <f t="shared" si="348"/>
        <v>0</v>
      </c>
      <c r="V2281" s="55">
        <f t="shared" si="349"/>
        <v>0</v>
      </c>
      <c r="W2281" s="29">
        <f t="shared" si="350"/>
        <v>0</v>
      </c>
      <c r="X2281" s="30">
        <f t="shared" si="351"/>
        <v>0</v>
      </c>
      <c r="Y2281"/>
      <c r="Z2281"/>
      <c r="AA2281"/>
    </row>
    <row r="2282" spans="1:27" s="51" customFormat="1" ht="18.600000000000001" hidden="1" customHeight="1" x14ac:dyDescent="0.25">
      <c r="A2282" s="81" t="s">
        <v>2653</v>
      </c>
      <c r="B2282" s="31" t="s">
        <v>5502</v>
      </c>
      <c r="C2282" s="32" t="s">
        <v>9331</v>
      </c>
      <c r="D2282" s="31" t="s">
        <v>5713</v>
      </c>
      <c r="E2282" s="33" t="s">
        <v>5714</v>
      </c>
      <c r="F2282" s="33" t="s">
        <v>1937</v>
      </c>
      <c r="G2282" s="33" t="s">
        <v>10002</v>
      </c>
      <c r="H2282" s="84" t="s">
        <v>5715</v>
      </c>
      <c r="I2282" s="23" t="s">
        <v>24</v>
      </c>
      <c r="J2282" s="34">
        <v>270</v>
      </c>
      <c r="K2282" s="35">
        <v>0.25</v>
      </c>
      <c r="L2282" s="36">
        <f t="shared" si="343"/>
        <v>67.5</v>
      </c>
      <c r="M2282" s="37">
        <f t="shared" si="344"/>
        <v>202.5</v>
      </c>
      <c r="N2282" s="38">
        <v>0.16</v>
      </c>
      <c r="O2282" s="39">
        <f t="shared" si="345"/>
        <v>32.4</v>
      </c>
      <c r="P2282" s="40">
        <f t="shared" si="346"/>
        <v>234.9</v>
      </c>
      <c r="Q2282" s="23"/>
      <c r="R2282" s="56"/>
      <c r="S2282" s="57"/>
      <c r="T2282" s="58">
        <f t="shared" si="347"/>
        <v>0</v>
      </c>
      <c r="U2282" s="36">
        <f t="shared" si="348"/>
        <v>0</v>
      </c>
      <c r="V2282" s="59">
        <f t="shared" si="349"/>
        <v>0</v>
      </c>
      <c r="W2282" s="39">
        <f t="shared" si="350"/>
        <v>0</v>
      </c>
      <c r="X2282" s="40">
        <f t="shared" si="351"/>
        <v>0</v>
      </c>
      <c r="Y2282"/>
      <c r="Z2282"/>
      <c r="AA2282"/>
    </row>
    <row r="2283" spans="1:27" s="51" customFormat="1" ht="18.600000000000001" hidden="1" customHeight="1" x14ac:dyDescent="0.25">
      <c r="A2283" s="82" t="s">
        <v>2653</v>
      </c>
      <c r="B2283" s="41" t="s">
        <v>5502</v>
      </c>
      <c r="C2283" s="42" t="s">
        <v>9331</v>
      </c>
      <c r="D2283" s="41" t="s">
        <v>5716</v>
      </c>
      <c r="E2283" s="43" t="s">
        <v>5717</v>
      </c>
      <c r="F2283" s="43" t="s">
        <v>1937</v>
      </c>
      <c r="G2283" s="43" t="s">
        <v>10002</v>
      </c>
      <c r="H2283" s="85" t="s">
        <v>5718</v>
      </c>
      <c r="I2283" s="23" t="s">
        <v>24</v>
      </c>
      <c r="J2283" s="44">
        <v>270</v>
      </c>
      <c r="K2283" s="45">
        <v>0.25</v>
      </c>
      <c r="L2283" s="46">
        <f t="shared" si="343"/>
        <v>67.5</v>
      </c>
      <c r="M2283" s="47">
        <f t="shared" si="344"/>
        <v>202.5</v>
      </c>
      <c r="N2283" s="48">
        <v>0.16</v>
      </c>
      <c r="O2283" s="49">
        <f t="shared" si="345"/>
        <v>32.4</v>
      </c>
      <c r="P2283" s="50">
        <f t="shared" si="346"/>
        <v>234.9</v>
      </c>
      <c r="Q2283" s="23"/>
      <c r="R2283" s="60"/>
      <c r="S2283" s="61"/>
      <c r="T2283" s="62">
        <f t="shared" si="347"/>
        <v>0</v>
      </c>
      <c r="U2283" s="46">
        <f t="shared" si="348"/>
        <v>0</v>
      </c>
      <c r="V2283" s="63">
        <f t="shared" si="349"/>
        <v>0</v>
      </c>
      <c r="W2283" s="49">
        <f t="shared" si="350"/>
        <v>0</v>
      </c>
      <c r="X2283" s="50">
        <f t="shared" si="351"/>
        <v>0</v>
      </c>
      <c r="Y2283"/>
      <c r="Z2283"/>
      <c r="AA2283"/>
    </row>
    <row r="2284" spans="1:27" s="51" customFormat="1" ht="18.600000000000001" hidden="1" customHeight="1" x14ac:dyDescent="0.25">
      <c r="A2284" s="80" t="s">
        <v>2653</v>
      </c>
      <c r="B2284" s="20" t="s">
        <v>5502</v>
      </c>
      <c r="C2284" s="21" t="s">
        <v>9331</v>
      </c>
      <c r="D2284" s="20" t="s">
        <v>5719</v>
      </c>
      <c r="E2284" s="22" t="s">
        <v>5720</v>
      </c>
      <c r="F2284" s="22" t="s">
        <v>1937</v>
      </c>
      <c r="G2284" s="22" t="s">
        <v>10002</v>
      </c>
      <c r="H2284" s="83" t="s">
        <v>5721</v>
      </c>
      <c r="I2284" s="23" t="s">
        <v>24</v>
      </c>
      <c r="J2284" s="24">
        <v>270</v>
      </c>
      <c r="K2284" s="25">
        <v>0.25</v>
      </c>
      <c r="L2284" s="26">
        <f t="shared" si="343"/>
        <v>67.5</v>
      </c>
      <c r="M2284" s="27">
        <f t="shared" si="344"/>
        <v>202.5</v>
      </c>
      <c r="N2284" s="28">
        <v>0.16</v>
      </c>
      <c r="O2284" s="29">
        <f t="shared" si="345"/>
        <v>32.4</v>
      </c>
      <c r="P2284" s="30">
        <f t="shared" si="346"/>
        <v>234.9</v>
      </c>
      <c r="Q2284" s="23"/>
      <c r="R2284" s="52"/>
      <c r="S2284" s="53"/>
      <c r="T2284" s="54">
        <f t="shared" si="347"/>
        <v>0</v>
      </c>
      <c r="U2284" s="26">
        <f t="shared" si="348"/>
        <v>0</v>
      </c>
      <c r="V2284" s="55">
        <f t="shared" si="349"/>
        <v>0</v>
      </c>
      <c r="W2284" s="29">
        <f t="shared" si="350"/>
        <v>0</v>
      </c>
      <c r="X2284" s="30">
        <f t="shared" si="351"/>
        <v>0</v>
      </c>
      <c r="Y2284"/>
      <c r="Z2284"/>
      <c r="AA2284"/>
    </row>
    <row r="2285" spans="1:27" s="51" customFormat="1" ht="18.600000000000001" hidden="1" customHeight="1" x14ac:dyDescent="0.25">
      <c r="A2285" s="81" t="s">
        <v>2653</v>
      </c>
      <c r="B2285" s="31" t="s">
        <v>5502</v>
      </c>
      <c r="C2285" s="32" t="s">
        <v>9331</v>
      </c>
      <c r="D2285" s="31" t="s">
        <v>5722</v>
      </c>
      <c r="E2285" s="33" t="s">
        <v>5723</v>
      </c>
      <c r="F2285" s="33" t="s">
        <v>1937</v>
      </c>
      <c r="G2285" s="33" t="s">
        <v>10002</v>
      </c>
      <c r="H2285" s="84" t="s">
        <v>5724</v>
      </c>
      <c r="I2285" s="23" t="s">
        <v>24</v>
      </c>
      <c r="J2285" s="34">
        <v>270</v>
      </c>
      <c r="K2285" s="35">
        <v>0.25</v>
      </c>
      <c r="L2285" s="36">
        <f t="shared" si="343"/>
        <v>67.5</v>
      </c>
      <c r="M2285" s="37">
        <f t="shared" si="344"/>
        <v>202.5</v>
      </c>
      <c r="N2285" s="38">
        <v>0.16</v>
      </c>
      <c r="O2285" s="39">
        <f t="shared" si="345"/>
        <v>32.4</v>
      </c>
      <c r="P2285" s="40">
        <f t="shared" si="346"/>
        <v>234.9</v>
      </c>
      <c r="Q2285" s="23"/>
      <c r="R2285" s="56"/>
      <c r="S2285" s="57"/>
      <c r="T2285" s="58">
        <f t="shared" si="347"/>
        <v>0</v>
      </c>
      <c r="U2285" s="36">
        <f t="shared" si="348"/>
        <v>0</v>
      </c>
      <c r="V2285" s="59">
        <f t="shared" si="349"/>
        <v>0</v>
      </c>
      <c r="W2285" s="39">
        <f t="shared" si="350"/>
        <v>0</v>
      </c>
      <c r="X2285" s="40">
        <f t="shared" si="351"/>
        <v>0</v>
      </c>
      <c r="Y2285"/>
      <c r="Z2285"/>
      <c r="AA2285"/>
    </row>
    <row r="2286" spans="1:27" s="51" customFormat="1" ht="18.600000000000001" hidden="1" customHeight="1" x14ac:dyDescent="0.25">
      <c r="A2286" s="82" t="s">
        <v>2653</v>
      </c>
      <c r="B2286" s="41" t="s">
        <v>5502</v>
      </c>
      <c r="C2286" s="42" t="s">
        <v>9331</v>
      </c>
      <c r="D2286" s="41" t="s">
        <v>5725</v>
      </c>
      <c r="E2286" s="43" t="s">
        <v>5726</v>
      </c>
      <c r="F2286" s="43" t="s">
        <v>1937</v>
      </c>
      <c r="G2286" s="43" t="s">
        <v>10002</v>
      </c>
      <c r="H2286" s="85" t="s">
        <v>5727</v>
      </c>
      <c r="I2286" s="23" t="s">
        <v>24</v>
      </c>
      <c r="J2286" s="44">
        <v>270</v>
      </c>
      <c r="K2286" s="45">
        <v>0.25</v>
      </c>
      <c r="L2286" s="46">
        <f t="shared" si="343"/>
        <v>67.5</v>
      </c>
      <c r="M2286" s="47">
        <f t="shared" si="344"/>
        <v>202.5</v>
      </c>
      <c r="N2286" s="48">
        <v>0.16</v>
      </c>
      <c r="O2286" s="49">
        <f t="shared" si="345"/>
        <v>32.4</v>
      </c>
      <c r="P2286" s="50">
        <f t="shared" si="346"/>
        <v>234.9</v>
      </c>
      <c r="Q2286" s="23"/>
      <c r="R2286" s="60"/>
      <c r="S2286" s="61"/>
      <c r="T2286" s="62">
        <f t="shared" si="347"/>
        <v>0</v>
      </c>
      <c r="U2286" s="46">
        <f t="shared" si="348"/>
        <v>0</v>
      </c>
      <c r="V2286" s="63">
        <f t="shared" si="349"/>
        <v>0</v>
      </c>
      <c r="W2286" s="49">
        <f t="shared" si="350"/>
        <v>0</v>
      </c>
      <c r="X2286" s="50">
        <f t="shared" si="351"/>
        <v>0</v>
      </c>
      <c r="Y2286"/>
      <c r="Z2286"/>
      <c r="AA2286"/>
    </row>
    <row r="2287" spans="1:27" s="51" customFormat="1" ht="18.600000000000001" hidden="1" customHeight="1" x14ac:dyDescent="0.25">
      <c r="A2287" s="80" t="s">
        <v>2653</v>
      </c>
      <c r="B2287" s="20" t="s">
        <v>5502</v>
      </c>
      <c r="C2287" s="21" t="s">
        <v>9331</v>
      </c>
      <c r="D2287" s="20" t="s">
        <v>5728</v>
      </c>
      <c r="E2287" s="22" t="s">
        <v>5729</v>
      </c>
      <c r="F2287" s="22" t="s">
        <v>1937</v>
      </c>
      <c r="G2287" s="22" t="s">
        <v>10002</v>
      </c>
      <c r="H2287" s="83" t="s">
        <v>5730</v>
      </c>
      <c r="I2287" s="23" t="s">
        <v>24</v>
      </c>
      <c r="J2287" s="24">
        <v>270</v>
      </c>
      <c r="K2287" s="25">
        <v>0.25</v>
      </c>
      <c r="L2287" s="26">
        <f t="shared" si="343"/>
        <v>67.5</v>
      </c>
      <c r="M2287" s="27">
        <f t="shared" si="344"/>
        <v>202.5</v>
      </c>
      <c r="N2287" s="28">
        <v>0.16</v>
      </c>
      <c r="O2287" s="29">
        <f t="shared" si="345"/>
        <v>32.4</v>
      </c>
      <c r="P2287" s="30">
        <f t="shared" si="346"/>
        <v>234.9</v>
      </c>
      <c r="Q2287" s="23"/>
      <c r="R2287" s="52"/>
      <c r="S2287" s="53"/>
      <c r="T2287" s="54">
        <f t="shared" si="347"/>
        <v>0</v>
      </c>
      <c r="U2287" s="26">
        <f t="shared" si="348"/>
        <v>0</v>
      </c>
      <c r="V2287" s="55">
        <f t="shared" si="349"/>
        <v>0</v>
      </c>
      <c r="W2287" s="29">
        <f t="shared" si="350"/>
        <v>0</v>
      </c>
      <c r="X2287" s="30">
        <f t="shared" si="351"/>
        <v>0</v>
      </c>
      <c r="Y2287"/>
      <c r="Z2287"/>
      <c r="AA2287"/>
    </row>
    <row r="2288" spans="1:27" s="51" customFormat="1" ht="18.600000000000001" hidden="1" customHeight="1" x14ac:dyDescent="0.25">
      <c r="A2288" s="81" t="s">
        <v>2653</v>
      </c>
      <c r="B2288" s="31" t="s">
        <v>5502</v>
      </c>
      <c r="C2288" s="32" t="s">
        <v>9332</v>
      </c>
      <c r="D2288" s="31" t="s">
        <v>5731</v>
      </c>
      <c r="E2288" s="33" t="s">
        <v>5732</v>
      </c>
      <c r="F2288" s="33" t="s">
        <v>1937</v>
      </c>
      <c r="G2288" s="33" t="s">
        <v>9963</v>
      </c>
      <c r="H2288" s="84" t="s">
        <v>5733</v>
      </c>
      <c r="I2288" s="23" t="s">
        <v>24</v>
      </c>
      <c r="J2288" s="34">
        <v>140</v>
      </c>
      <c r="K2288" s="35">
        <v>0.25</v>
      </c>
      <c r="L2288" s="36">
        <f t="shared" si="343"/>
        <v>35</v>
      </c>
      <c r="M2288" s="37">
        <f t="shared" si="344"/>
        <v>105</v>
      </c>
      <c r="N2288" s="38">
        <v>0.16</v>
      </c>
      <c r="O2288" s="39">
        <f t="shared" si="345"/>
        <v>16.8</v>
      </c>
      <c r="P2288" s="40">
        <f t="shared" si="346"/>
        <v>121.8</v>
      </c>
      <c r="Q2288" s="23"/>
      <c r="R2288" s="56"/>
      <c r="S2288" s="57"/>
      <c r="T2288" s="58">
        <f t="shared" si="347"/>
        <v>0</v>
      </c>
      <c r="U2288" s="36">
        <f t="shared" si="348"/>
        <v>0</v>
      </c>
      <c r="V2288" s="59">
        <f t="shared" si="349"/>
        <v>0</v>
      </c>
      <c r="W2288" s="39">
        <f t="shared" si="350"/>
        <v>0</v>
      </c>
      <c r="X2288" s="40">
        <f t="shared" si="351"/>
        <v>0</v>
      </c>
      <c r="Y2288"/>
      <c r="Z2288"/>
      <c r="AA2288"/>
    </row>
    <row r="2289" spans="1:27" s="51" customFormat="1" ht="18.600000000000001" hidden="1" customHeight="1" x14ac:dyDescent="0.25">
      <c r="A2289" s="82" t="s">
        <v>2653</v>
      </c>
      <c r="B2289" s="41" t="s">
        <v>5502</v>
      </c>
      <c r="C2289" s="42" t="s">
        <v>9333</v>
      </c>
      <c r="D2289" s="41" t="s">
        <v>5734</v>
      </c>
      <c r="E2289" s="43" t="s">
        <v>5735</v>
      </c>
      <c r="F2289" s="43" t="s">
        <v>1937</v>
      </c>
      <c r="G2289" s="43" t="s">
        <v>10002</v>
      </c>
      <c r="H2289" s="85" t="s">
        <v>5736</v>
      </c>
      <c r="I2289" s="23" t="s">
        <v>24</v>
      </c>
      <c r="J2289" s="44">
        <v>270</v>
      </c>
      <c r="K2289" s="45">
        <v>0.25</v>
      </c>
      <c r="L2289" s="46">
        <f t="shared" si="343"/>
        <v>67.5</v>
      </c>
      <c r="M2289" s="47">
        <f t="shared" si="344"/>
        <v>202.5</v>
      </c>
      <c r="N2289" s="48">
        <v>0.16</v>
      </c>
      <c r="O2289" s="49">
        <f t="shared" si="345"/>
        <v>32.4</v>
      </c>
      <c r="P2289" s="50">
        <f t="shared" si="346"/>
        <v>234.9</v>
      </c>
      <c r="Q2289" s="23"/>
      <c r="R2289" s="60"/>
      <c r="S2289" s="61"/>
      <c r="T2289" s="62">
        <f t="shared" si="347"/>
        <v>0</v>
      </c>
      <c r="U2289" s="46">
        <f t="shared" si="348"/>
        <v>0</v>
      </c>
      <c r="V2289" s="63">
        <f t="shared" si="349"/>
        <v>0</v>
      </c>
      <c r="W2289" s="49">
        <f t="shared" si="350"/>
        <v>0</v>
      </c>
      <c r="X2289" s="50">
        <f t="shared" si="351"/>
        <v>0</v>
      </c>
      <c r="Y2289"/>
      <c r="Z2289"/>
      <c r="AA2289"/>
    </row>
    <row r="2290" spans="1:27" s="51" customFormat="1" ht="18.600000000000001" hidden="1" customHeight="1" x14ac:dyDescent="0.25">
      <c r="A2290" s="80" t="s">
        <v>2653</v>
      </c>
      <c r="B2290" s="20" t="s">
        <v>5502</v>
      </c>
      <c r="C2290" s="21" t="s">
        <v>9333</v>
      </c>
      <c r="D2290" s="20" t="s">
        <v>5737</v>
      </c>
      <c r="E2290" s="22" t="s">
        <v>5738</v>
      </c>
      <c r="F2290" s="22" t="s">
        <v>1937</v>
      </c>
      <c r="G2290" s="22" t="s">
        <v>10002</v>
      </c>
      <c r="H2290" s="83" t="s">
        <v>5739</v>
      </c>
      <c r="I2290" s="23" t="s">
        <v>24</v>
      </c>
      <c r="J2290" s="24">
        <v>270</v>
      </c>
      <c r="K2290" s="25">
        <v>0.25</v>
      </c>
      <c r="L2290" s="26">
        <f t="shared" si="343"/>
        <v>67.5</v>
      </c>
      <c r="M2290" s="27">
        <f t="shared" si="344"/>
        <v>202.5</v>
      </c>
      <c r="N2290" s="28">
        <v>0.16</v>
      </c>
      <c r="O2290" s="29">
        <f t="shared" si="345"/>
        <v>32.4</v>
      </c>
      <c r="P2290" s="30">
        <f t="shared" si="346"/>
        <v>234.9</v>
      </c>
      <c r="Q2290" s="23"/>
      <c r="R2290" s="52"/>
      <c r="S2290" s="53"/>
      <c r="T2290" s="54">
        <f t="shared" si="347"/>
        <v>0</v>
      </c>
      <c r="U2290" s="26">
        <f t="shared" si="348"/>
        <v>0</v>
      </c>
      <c r="V2290" s="55">
        <f t="shared" si="349"/>
        <v>0</v>
      </c>
      <c r="W2290" s="29">
        <f t="shared" si="350"/>
        <v>0</v>
      </c>
      <c r="X2290" s="30">
        <f t="shared" si="351"/>
        <v>0</v>
      </c>
      <c r="Y2290"/>
      <c r="Z2290"/>
      <c r="AA2290"/>
    </row>
    <row r="2291" spans="1:27" s="51" customFormat="1" ht="18.600000000000001" hidden="1" customHeight="1" x14ac:dyDescent="0.25">
      <c r="A2291" s="81" t="s">
        <v>2653</v>
      </c>
      <c r="B2291" s="31" t="s">
        <v>5502</v>
      </c>
      <c r="C2291" s="32" t="s">
        <v>9333</v>
      </c>
      <c r="D2291" s="31" t="s">
        <v>5740</v>
      </c>
      <c r="E2291" s="33" t="s">
        <v>5741</v>
      </c>
      <c r="F2291" s="33" t="s">
        <v>1937</v>
      </c>
      <c r="G2291" s="33" t="s">
        <v>10002</v>
      </c>
      <c r="H2291" s="84" t="s">
        <v>5742</v>
      </c>
      <c r="I2291" s="23" t="s">
        <v>24</v>
      </c>
      <c r="J2291" s="34">
        <v>270</v>
      </c>
      <c r="K2291" s="35">
        <v>0.25</v>
      </c>
      <c r="L2291" s="36">
        <f t="shared" si="343"/>
        <v>67.5</v>
      </c>
      <c r="M2291" s="37">
        <f t="shared" si="344"/>
        <v>202.5</v>
      </c>
      <c r="N2291" s="38">
        <v>0.16</v>
      </c>
      <c r="O2291" s="39">
        <f t="shared" si="345"/>
        <v>32.4</v>
      </c>
      <c r="P2291" s="40">
        <f t="shared" si="346"/>
        <v>234.9</v>
      </c>
      <c r="Q2291" s="23"/>
      <c r="R2291" s="56"/>
      <c r="S2291" s="57"/>
      <c r="T2291" s="58">
        <f t="shared" si="347"/>
        <v>0</v>
      </c>
      <c r="U2291" s="36">
        <f t="shared" si="348"/>
        <v>0</v>
      </c>
      <c r="V2291" s="59">
        <f t="shared" si="349"/>
        <v>0</v>
      </c>
      <c r="W2291" s="39">
        <f t="shared" si="350"/>
        <v>0</v>
      </c>
      <c r="X2291" s="40">
        <f t="shared" si="351"/>
        <v>0</v>
      </c>
      <c r="Y2291"/>
      <c r="Z2291"/>
      <c r="AA2291"/>
    </row>
    <row r="2292" spans="1:27" s="51" customFormat="1" ht="18.600000000000001" hidden="1" customHeight="1" x14ac:dyDescent="0.25">
      <c r="A2292" s="82" t="s">
        <v>2653</v>
      </c>
      <c r="B2292" s="41" t="s">
        <v>5502</v>
      </c>
      <c r="C2292" s="42" t="s">
        <v>9333</v>
      </c>
      <c r="D2292" s="41" t="s">
        <v>5743</v>
      </c>
      <c r="E2292" s="43" t="s">
        <v>5744</v>
      </c>
      <c r="F2292" s="43" t="s">
        <v>1937</v>
      </c>
      <c r="G2292" s="43" t="s">
        <v>10002</v>
      </c>
      <c r="H2292" s="85" t="s">
        <v>5745</v>
      </c>
      <c r="I2292" s="23" t="s">
        <v>24</v>
      </c>
      <c r="J2292" s="44">
        <v>270</v>
      </c>
      <c r="K2292" s="45">
        <v>0.25</v>
      </c>
      <c r="L2292" s="46">
        <f t="shared" si="343"/>
        <v>67.5</v>
      </c>
      <c r="M2292" s="47">
        <f t="shared" si="344"/>
        <v>202.5</v>
      </c>
      <c r="N2292" s="48">
        <v>0.16</v>
      </c>
      <c r="O2292" s="49">
        <f t="shared" si="345"/>
        <v>32.4</v>
      </c>
      <c r="P2292" s="50">
        <f t="shared" si="346"/>
        <v>234.9</v>
      </c>
      <c r="Q2292" s="23"/>
      <c r="R2292" s="60"/>
      <c r="S2292" s="61"/>
      <c r="T2292" s="62">
        <f t="shared" si="347"/>
        <v>0</v>
      </c>
      <c r="U2292" s="46">
        <f t="shared" si="348"/>
        <v>0</v>
      </c>
      <c r="V2292" s="63">
        <f t="shared" si="349"/>
        <v>0</v>
      </c>
      <c r="W2292" s="49">
        <f t="shared" si="350"/>
        <v>0</v>
      </c>
      <c r="X2292" s="50">
        <f t="shared" si="351"/>
        <v>0</v>
      </c>
      <c r="Y2292"/>
      <c r="Z2292"/>
      <c r="AA2292"/>
    </row>
    <row r="2293" spans="1:27" s="51" customFormat="1" ht="18.600000000000001" hidden="1" customHeight="1" x14ac:dyDescent="0.25">
      <c r="A2293" s="80" t="s">
        <v>2653</v>
      </c>
      <c r="B2293" s="20" t="s">
        <v>5502</v>
      </c>
      <c r="C2293" s="21" t="s">
        <v>9333</v>
      </c>
      <c r="D2293" s="20" t="s">
        <v>5746</v>
      </c>
      <c r="E2293" s="22" t="s">
        <v>5747</v>
      </c>
      <c r="F2293" s="22" t="s">
        <v>1937</v>
      </c>
      <c r="G2293" s="22" t="s">
        <v>10002</v>
      </c>
      <c r="H2293" s="83" t="s">
        <v>5748</v>
      </c>
      <c r="I2293" s="23" t="s">
        <v>24</v>
      </c>
      <c r="J2293" s="24">
        <v>270</v>
      </c>
      <c r="K2293" s="25">
        <v>0.25</v>
      </c>
      <c r="L2293" s="26">
        <f t="shared" si="343"/>
        <v>67.5</v>
      </c>
      <c r="M2293" s="27">
        <f t="shared" si="344"/>
        <v>202.5</v>
      </c>
      <c r="N2293" s="28">
        <v>0.16</v>
      </c>
      <c r="O2293" s="29">
        <f t="shared" si="345"/>
        <v>32.4</v>
      </c>
      <c r="P2293" s="30">
        <f t="shared" si="346"/>
        <v>234.9</v>
      </c>
      <c r="Q2293" s="23"/>
      <c r="R2293" s="52"/>
      <c r="S2293" s="53"/>
      <c r="T2293" s="54">
        <f t="shared" si="347"/>
        <v>0</v>
      </c>
      <c r="U2293" s="26">
        <f t="shared" si="348"/>
        <v>0</v>
      </c>
      <c r="V2293" s="55">
        <f t="shared" si="349"/>
        <v>0</v>
      </c>
      <c r="W2293" s="29">
        <f t="shared" si="350"/>
        <v>0</v>
      </c>
      <c r="X2293" s="30">
        <f t="shared" si="351"/>
        <v>0</v>
      </c>
      <c r="Y2293"/>
      <c r="Z2293"/>
      <c r="AA2293"/>
    </row>
    <row r="2294" spans="1:27" s="51" customFormat="1" ht="18.600000000000001" hidden="1" customHeight="1" x14ac:dyDescent="0.25">
      <c r="A2294" s="81" t="s">
        <v>2653</v>
      </c>
      <c r="B2294" s="31" t="s">
        <v>5502</v>
      </c>
      <c r="C2294" s="32" t="s">
        <v>9333</v>
      </c>
      <c r="D2294" s="31" t="s">
        <v>5749</v>
      </c>
      <c r="E2294" s="33" t="s">
        <v>5750</v>
      </c>
      <c r="F2294" s="33" t="s">
        <v>1937</v>
      </c>
      <c r="G2294" s="33" t="s">
        <v>10002</v>
      </c>
      <c r="H2294" s="84" t="s">
        <v>5751</v>
      </c>
      <c r="I2294" s="23" t="s">
        <v>24</v>
      </c>
      <c r="J2294" s="34">
        <v>270</v>
      </c>
      <c r="K2294" s="35">
        <v>0.25</v>
      </c>
      <c r="L2294" s="36">
        <f t="shared" si="343"/>
        <v>67.5</v>
      </c>
      <c r="M2294" s="37">
        <f t="shared" si="344"/>
        <v>202.5</v>
      </c>
      <c r="N2294" s="38">
        <v>0.16</v>
      </c>
      <c r="O2294" s="39">
        <f t="shared" si="345"/>
        <v>32.4</v>
      </c>
      <c r="P2294" s="40">
        <f t="shared" si="346"/>
        <v>234.9</v>
      </c>
      <c r="Q2294" s="23"/>
      <c r="R2294" s="56"/>
      <c r="S2294" s="57"/>
      <c r="T2294" s="58">
        <f t="shared" si="347"/>
        <v>0</v>
      </c>
      <c r="U2294" s="36">
        <f t="shared" si="348"/>
        <v>0</v>
      </c>
      <c r="V2294" s="59">
        <f t="shared" si="349"/>
        <v>0</v>
      </c>
      <c r="W2294" s="39">
        <f t="shared" si="350"/>
        <v>0</v>
      </c>
      <c r="X2294" s="40">
        <f t="shared" si="351"/>
        <v>0</v>
      </c>
      <c r="Y2294"/>
      <c r="Z2294"/>
      <c r="AA2294"/>
    </row>
    <row r="2295" spans="1:27" s="51" customFormat="1" ht="18.600000000000001" customHeight="1" x14ac:dyDescent="0.25">
      <c r="A2295" s="82" t="s">
        <v>2653</v>
      </c>
      <c r="B2295" s="41" t="s">
        <v>9334</v>
      </c>
      <c r="C2295" s="42" t="s">
        <v>9335</v>
      </c>
      <c r="D2295" s="41">
        <v>8436535571838</v>
      </c>
      <c r="E2295" s="43" t="s">
        <v>5752</v>
      </c>
      <c r="F2295" s="43" t="s">
        <v>1937</v>
      </c>
      <c r="G2295" s="43" t="s">
        <v>5292</v>
      </c>
      <c r="H2295" s="85" t="s">
        <v>5753</v>
      </c>
      <c r="I2295" s="23" t="s">
        <v>24</v>
      </c>
      <c r="J2295" s="44">
        <v>200</v>
      </c>
      <c r="K2295" s="45">
        <v>0.25</v>
      </c>
      <c r="L2295" s="46">
        <f t="shared" si="343"/>
        <v>50</v>
      </c>
      <c r="M2295" s="47">
        <f t="shared" si="344"/>
        <v>150</v>
      </c>
      <c r="N2295" s="48">
        <v>0.16</v>
      </c>
      <c r="O2295" s="49">
        <f t="shared" si="345"/>
        <v>24</v>
      </c>
      <c r="P2295" s="50">
        <f t="shared" si="346"/>
        <v>174</v>
      </c>
      <c r="Q2295" s="23"/>
      <c r="R2295" s="60"/>
      <c r="S2295" s="61">
        <v>1</v>
      </c>
      <c r="T2295" s="62">
        <f t="shared" si="347"/>
        <v>200</v>
      </c>
      <c r="U2295" s="46">
        <f t="shared" si="348"/>
        <v>50</v>
      </c>
      <c r="V2295" s="63">
        <f t="shared" si="349"/>
        <v>150</v>
      </c>
      <c r="W2295" s="49">
        <f t="shared" si="350"/>
        <v>24</v>
      </c>
      <c r="X2295" s="50">
        <f t="shared" si="351"/>
        <v>174</v>
      </c>
      <c r="Y2295"/>
      <c r="Z2295"/>
      <c r="AA2295"/>
    </row>
    <row r="2296" spans="1:27" s="51" customFormat="1" ht="18.600000000000001" hidden="1" customHeight="1" x14ac:dyDescent="0.25">
      <c r="A2296" s="80" t="s">
        <v>2653</v>
      </c>
      <c r="B2296" s="20" t="s">
        <v>9334</v>
      </c>
      <c r="C2296" s="21" t="s">
        <v>9335</v>
      </c>
      <c r="D2296" s="20">
        <v>8436535571906</v>
      </c>
      <c r="E2296" s="22" t="s">
        <v>5754</v>
      </c>
      <c r="F2296" s="22" t="s">
        <v>1937</v>
      </c>
      <c r="G2296" s="22" t="s">
        <v>5292</v>
      </c>
      <c r="H2296" s="83" t="s">
        <v>5755</v>
      </c>
      <c r="I2296" s="23" t="s">
        <v>24</v>
      </c>
      <c r="J2296" s="24">
        <v>200</v>
      </c>
      <c r="K2296" s="25">
        <v>0.25</v>
      </c>
      <c r="L2296" s="26">
        <f t="shared" si="343"/>
        <v>50</v>
      </c>
      <c r="M2296" s="27">
        <f t="shared" si="344"/>
        <v>150</v>
      </c>
      <c r="N2296" s="28">
        <v>0.16</v>
      </c>
      <c r="O2296" s="29">
        <f t="shared" si="345"/>
        <v>24</v>
      </c>
      <c r="P2296" s="30">
        <f t="shared" si="346"/>
        <v>174</v>
      </c>
      <c r="Q2296" s="23"/>
      <c r="R2296" s="52"/>
      <c r="S2296" s="53"/>
      <c r="T2296" s="54">
        <f t="shared" si="347"/>
        <v>0</v>
      </c>
      <c r="U2296" s="26">
        <f t="shared" si="348"/>
        <v>0</v>
      </c>
      <c r="V2296" s="55">
        <f t="shared" si="349"/>
        <v>0</v>
      </c>
      <c r="W2296" s="29">
        <f t="shared" si="350"/>
        <v>0</v>
      </c>
      <c r="X2296" s="30">
        <f t="shared" si="351"/>
        <v>0</v>
      </c>
      <c r="Y2296"/>
      <c r="Z2296"/>
      <c r="AA2296"/>
    </row>
    <row r="2297" spans="1:27" s="51" customFormat="1" ht="18.600000000000001" hidden="1" customHeight="1" x14ac:dyDescent="0.25">
      <c r="A2297" s="81" t="s">
        <v>2653</v>
      </c>
      <c r="B2297" s="31" t="s">
        <v>9334</v>
      </c>
      <c r="C2297" s="32" t="s">
        <v>9335</v>
      </c>
      <c r="D2297" s="31">
        <v>8436535571913</v>
      </c>
      <c r="E2297" s="33" t="s">
        <v>5756</v>
      </c>
      <c r="F2297" s="33" t="s">
        <v>1937</v>
      </c>
      <c r="G2297" s="33" t="s">
        <v>5292</v>
      </c>
      <c r="H2297" s="84" t="s">
        <v>5757</v>
      </c>
      <c r="I2297" s="23" t="s">
        <v>24</v>
      </c>
      <c r="J2297" s="34">
        <v>200</v>
      </c>
      <c r="K2297" s="35">
        <v>0.25</v>
      </c>
      <c r="L2297" s="36">
        <f t="shared" si="343"/>
        <v>50</v>
      </c>
      <c r="M2297" s="37">
        <f t="shared" si="344"/>
        <v>150</v>
      </c>
      <c r="N2297" s="38">
        <v>0.16</v>
      </c>
      <c r="O2297" s="39">
        <f t="shared" si="345"/>
        <v>24</v>
      </c>
      <c r="P2297" s="40">
        <f t="shared" si="346"/>
        <v>174</v>
      </c>
      <c r="Q2297" s="23"/>
      <c r="R2297" s="56"/>
      <c r="S2297" s="57"/>
      <c r="T2297" s="58">
        <f t="shared" si="347"/>
        <v>0</v>
      </c>
      <c r="U2297" s="36">
        <f t="shared" si="348"/>
        <v>0</v>
      </c>
      <c r="V2297" s="59">
        <f t="shared" si="349"/>
        <v>0</v>
      </c>
      <c r="W2297" s="39">
        <f t="shared" si="350"/>
        <v>0</v>
      </c>
      <c r="X2297" s="40">
        <f t="shared" si="351"/>
        <v>0</v>
      </c>
      <c r="Y2297"/>
      <c r="Z2297"/>
      <c r="AA2297"/>
    </row>
    <row r="2298" spans="1:27" s="51" customFormat="1" ht="18.600000000000001" hidden="1" customHeight="1" x14ac:dyDescent="0.25">
      <c r="A2298" s="82" t="s">
        <v>2653</v>
      </c>
      <c r="B2298" s="41" t="s">
        <v>9334</v>
      </c>
      <c r="C2298" s="42" t="s">
        <v>9335</v>
      </c>
      <c r="D2298" s="41">
        <v>8436535571920</v>
      </c>
      <c r="E2298" s="43" t="s">
        <v>5758</v>
      </c>
      <c r="F2298" s="43" t="s">
        <v>1937</v>
      </c>
      <c r="G2298" s="43" t="s">
        <v>5292</v>
      </c>
      <c r="H2298" s="85" t="s">
        <v>5759</v>
      </c>
      <c r="I2298" s="23" t="s">
        <v>24</v>
      </c>
      <c r="J2298" s="44">
        <v>200</v>
      </c>
      <c r="K2298" s="45">
        <v>0.25</v>
      </c>
      <c r="L2298" s="46">
        <f t="shared" si="343"/>
        <v>50</v>
      </c>
      <c r="M2298" s="47">
        <f t="shared" si="344"/>
        <v>150</v>
      </c>
      <c r="N2298" s="48">
        <v>0.16</v>
      </c>
      <c r="O2298" s="49">
        <f t="shared" si="345"/>
        <v>24</v>
      </c>
      <c r="P2298" s="50">
        <f t="shared" si="346"/>
        <v>174</v>
      </c>
      <c r="Q2298" s="23"/>
      <c r="R2298" s="60"/>
      <c r="S2298" s="61"/>
      <c r="T2298" s="62">
        <f t="shared" si="347"/>
        <v>0</v>
      </c>
      <c r="U2298" s="46">
        <f t="shared" si="348"/>
        <v>0</v>
      </c>
      <c r="V2298" s="63">
        <f t="shared" si="349"/>
        <v>0</v>
      </c>
      <c r="W2298" s="49">
        <f t="shared" si="350"/>
        <v>0</v>
      </c>
      <c r="X2298" s="50">
        <f t="shared" si="351"/>
        <v>0</v>
      </c>
      <c r="Y2298"/>
      <c r="Z2298"/>
      <c r="AA2298"/>
    </row>
    <row r="2299" spans="1:27" s="51" customFormat="1" ht="18.600000000000001" hidden="1" customHeight="1" x14ac:dyDescent="0.25">
      <c r="A2299" s="80" t="s">
        <v>2653</v>
      </c>
      <c r="B2299" s="20" t="s">
        <v>5760</v>
      </c>
      <c r="C2299" s="21" t="s">
        <v>9336</v>
      </c>
      <c r="D2299" s="20">
        <v>8436564924438</v>
      </c>
      <c r="E2299" s="22" t="s">
        <v>5761</v>
      </c>
      <c r="F2299" s="22" t="s">
        <v>1937</v>
      </c>
      <c r="G2299" s="22" t="s">
        <v>5762</v>
      </c>
      <c r="H2299" s="83" t="s">
        <v>5763</v>
      </c>
      <c r="I2299" s="23" t="s">
        <v>24</v>
      </c>
      <c r="J2299" s="24">
        <v>330</v>
      </c>
      <c r="K2299" s="25">
        <v>0.25</v>
      </c>
      <c r="L2299" s="26">
        <f t="shared" si="343"/>
        <v>82.5</v>
      </c>
      <c r="M2299" s="27">
        <f t="shared" si="344"/>
        <v>247.5</v>
      </c>
      <c r="N2299" s="28">
        <v>0.16</v>
      </c>
      <c r="O2299" s="29">
        <f t="shared" si="345"/>
        <v>39.6</v>
      </c>
      <c r="P2299" s="30">
        <f t="shared" si="346"/>
        <v>287.10000000000002</v>
      </c>
      <c r="Q2299" s="23"/>
      <c r="R2299" s="52"/>
      <c r="S2299" s="53"/>
      <c r="T2299" s="54">
        <f t="shared" si="347"/>
        <v>0</v>
      </c>
      <c r="U2299" s="26">
        <f t="shared" si="348"/>
        <v>0</v>
      </c>
      <c r="V2299" s="55">
        <f t="shared" si="349"/>
        <v>0</v>
      </c>
      <c r="W2299" s="29">
        <f t="shared" si="350"/>
        <v>0</v>
      </c>
      <c r="X2299" s="30">
        <f t="shared" si="351"/>
        <v>0</v>
      </c>
      <c r="Y2299"/>
      <c r="Z2299"/>
      <c r="AA2299"/>
    </row>
    <row r="2300" spans="1:27" s="51" customFormat="1" ht="18.600000000000001" hidden="1" customHeight="1" x14ac:dyDescent="0.25">
      <c r="A2300" s="81" t="s">
        <v>2653</v>
      </c>
      <c r="B2300" s="31" t="s">
        <v>5760</v>
      </c>
      <c r="C2300" s="32" t="s">
        <v>9336</v>
      </c>
      <c r="D2300" s="31">
        <v>8436564924445</v>
      </c>
      <c r="E2300" s="33" t="s">
        <v>5764</v>
      </c>
      <c r="F2300" s="33" t="s">
        <v>1937</v>
      </c>
      <c r="G2300" s="33" t="s">
        <v>5765</v>
      </c>
      <c r="H2300" s="84" t="s">
        <v>5766</v>
      </c>
      <c r="I2300" s="23" t="s">
        <v>24</v>
      </c>
      <c r="J2300" s="34">
        <v>450</v>
      </c>
      <c r="K2300" s="35">
        <v>0.25</v>
      </c>
      <c r="L2300" s="36">
        <f t="shared" si="343"/>
        <v>112.5</v>
      </c>
      <c r="M2300" s="37">
        <f t="shared" si="344"/>
        <v>337.5</v>
      </c>
      <c r="N2300" s="38">
        <v>0.16</v>
      </c>
      <c r="O2300" s="39">
        <f t="shared" si="345"/>
        <v>54</v>
      </c>
      <c r="P2300" s="40">
        <f t="shared" si="346"/>
        <v>391.5</v>
      </c>
      <c r="Q2300" s="23"/>
      <c r="R2300" s="56"/>
      <c r="S2300" s="57"/>
      <c r="T2300" s="58">
        <f t="shared" si="347"/>
        <v>0</v>
      </c>
      <c r="U2300" s="36">
        <f t="shared" si="348"/>
        <v>0</v>
      </c>
      <c r="V2300" s="59">
        <f t="shared" si="349"/>
        <v>0</v>
      </c>
      <c r="W2300" s="39">
        <f t="shared" si="350"/>
        <v>0</v>
      </c>
      <c r="X2300" s="40">
        <f t="shared" si="351"/>
        <v>0</v>
      </c>
      <c r="Y2300"/>
      <c r="Z2300"/>
      <c r="AA2300"/>
    </row>
    <row r="2301" spans="1:27" s="51" customFormat="1" ht="18.600000000000001" hidden="1" customHeight="1" x14ac:dyDescent="0.25">
      <c r="A2301" s="82" t="s">
        <v>2653</v>
      </c>
      <c r="B2301" s="41" t="s">
        <v>5760</v>
      </c>
      <c r="C2301" s="42" t="s">
        <v>9336</v>
      </c>
      <c r="D2301" s="41">
        <v>8435568344716</v>
      </c>
      <c r="E2301" s="43" t="s">
        <v>5767</v>
      </c>
      <c r="F2301" s="43" t="s">
        <v>1937</v>
      </c>
      <c r="G2301" s="43" t="s">
        <v>5768</v>
      </c>
      <c r="H2301" s="85" t="s">
        <v>5769</v>
      </c>
      <c r="I2301" s="23" t="s">
        <v>24</v>
      </c>
      <c r="J2301" s="44">
        <v>250</v>
      </c>
      <c r="K2301" s="45">
        <v>0.25</v>
      </c>
      <c r="L2301" s="46">
        <f t="shared" si="343"/>
        <v>62.5</v>
      </c>
      <c r="M2301" s="47">
        <f t="shared" si="344"/>
        <v>187.5</v>
      </c>
      <c r="N2301" s="48">
        <v>0.16</v>
      </c>
      <c r="O2301" s="49">
        <f t="shared" si="345"/>
        <v>30</v>
      </c>
      <c r="P2301" s="50">
        <f t="shared" si="346"/>
        <v>217.5</v>
      </c>
      <c r="Q2301" s="23"/>
      <c r="R2301" s="60"/>
      <c r="S2301" s="61"/>
      <c r="T2301" s="62">
        <f t="shared" si="347"/>
        <v>0</v>
      </c>
      <c r="U2301" s="46">
        <f t="shared" si="348"/>
        <v>0</v>
      </c>
      <c r="V2301" s="63">
        <f t="shared" si="349"/>
        <v>0</v>
      </c>
      <c r="W2301" s="49">
        <f t="shared" si="350"/>
        <v>0</v>
      </c>
      <c r="X2301" s="50">
        <f t="shared" si="351"/>
        <v>0</v>
      </c>
      <c r="Y2301"/>
      <c r="Z2301"/>
      <c r="AA2301"/>
    </row>
    <row r="2302" spans="1:27" s="51" customFormat="1" ht="18.600000000000001" hidden="1" customHeight="1" x14ac:dyDescent="0.25">
      <c r="A2302" s="80" t="s">
        <v>2653</v>
      </c>
      <c r="B2302" s="20" t="s">
        <v>5760</v>
      </c>
      <c r="C2302" s="21" t="s">
        <v>9337</v>
      </c>
      <c r="D2302" s="20" t="s">
        <v>5770</v>
      </c>
      <c r="E2302" s="22" t="s">
        <v>5771</v>
      </c>
      <c r="F2302" s="22" t="s">
        <v>1937</v>
      </c>
      <c r="G2302" s="22" t="s">
        <v>3586</v>
      </c>
      <c r="H2302" s="83" t="s">
        <v>5772</v>
      </c>
      <c r="I2302" s="23" t="s">
        <v>24</v>
      </c>
      <c r="J2302" s="24">
        <v>95</v>
      </c>
      <c r="K2302" s="25">
        <v>0.25</v>
      </c>
      <c r="L2302" s="26">
        <f t="shared" si="343"/>
        <v>23.75</v>
      </c>
      <c r="M2302" s="27">
        <f t="shared" si="344"/>
        <v>71.25</v>
      </c>
      <c r="N2302" s="28">
        <v>0.16</v>
      </c>
      <c r="O2302" s="29">
        <f t="shared" si="345"/>
        <v>11.4</v>
      </c>
      <c r="P2302" s="30">
        <f t="shared" si="346"/>
        <v>82.65</v>
      </c>
      <c r="Q2302" s="23"/>
      <c r="R2302" s="52"/>
      <c r="S2302" s="53"/>
      <c r="T2302" s="54">
        <f t="shared" si="347"/>
        <v>0</v>
      </c>
      <c r="U2302" s="26">
        <f t="shared" si="348"/>
        <v>0</v>
      </c>
      <c r="V2302" s="55">
        <f t="shared" si="349"/>
        <v>0</v>
      </c>
      <c r="W2302" s="29">
        <f t="shared" si="350"/>
        <v>0</v>
      </c>
      <c r="X2302" s="30">
        <f t="shared" si="351"/>
        <v>0</v>
      </c>
      <c r="Y2302"/>
      <c r="Z2302"/>
      <c r="AA2302"/>
    </row>
    <row r="2303" spans="1:27" s="51" customFormat="1" ht="18.600000000000001" hidden="1" customHeight="1" x14ac:dyDescent="0.25">
      <c r="A2303" s="81" t="s">
        <v>2653</v>
      </c>
      <c r="B2303" s="31" t="s">
        <v>5760</v>
      </c>
      <c r="C2303" s="32" t="s">
        <v>9337</v>
      </c>
      <c r="D2303" s="31" t="s">
        <v>5773</v>
      </c>
      <c r="E2303" s="33" t="s">
        <v>5774</v>
      </c>
      <c r="F2303" s="33" t="s">
        <v>1937</v>
      </c>
      <c r="G2303" s="33" t="s">
        <v>3586</v>
      </c>
      <c r="H2303" s="84" t="s">
        <v>5775</v>
      </c>
      <c r="I2303" s="23" t="s">
        <v>24</v>
      </c>
      <c r="J2303" s="34">
        <v>95</v>
      </c>
      <c r="K2303" s="35">
        <v>0.25</v>
      </c>
      <c r="L2303" s="36">
        <f t="shared" si="343"/>
        <v>23.75</v>
      </c>
      <c r="M2303" s="37">
        <f t="shared" si="344"/>
        <v>71.25</v>
      </c>
      <c r="N2303" s="38">
        <v>0.16</v>
      </c>
      <c r="O2303" s="39">
        <f t="shared" si="345"/>
        <v>11.4</v>
      </c>
      <c r="P2303" s="40">
        <f t="shared" si="346"/>
        <v>82.65</v>
      </c>
      <c r="Q2303" s="23"/>
      <c r="R2303" s="56"/>
      <c r="S2303" s="57"/>
      <c r="T2303" s="58">
        <f t="shared" si="347"/>
        <v>0</v>
      </c>
      <c r="U2303" s="36">
        <f t="shared" si="348"/>
        <v>0</v>
      </c>
      <c r="V2303" s="59">
        <f t="shared" si="349"/>
        <v>0</v>
      </c>
      <c r="W2303" s="39">
        <f t="shared" si="350"/>
        <v>0</v>
      </c>
      <c r="X2303" s="40">
        <f t="shared" si="351"/>
        <v>0</v>
      </c>
      <c r="Y2303"/>
      <c r="Z2303"/>
      <c r="AA2303"/>
    </row>
    <row r="2304" spans="1:27" s="51" customFormat="1" ht="18.600000000000001" hidden="1" customHeight="1" x14ac:dyDescent="0.25">
      <c r="A2304" s="82" t="s">
        <v>2653</v>
      </c>
      <c r="B2304" s="41" t="s">
        <v>5760</v>
      </c>
      <c r="C2304" s="42" t="s">
        <v>9337</v>
      </c>
      <c r="D2304" s="41" t="s">
        <v>5776</v>
      </c>
      <c r="E2304" s="43" t="s">
        <v>5777</v>
      </c>
      <c r="F2304" s="43" t="s">
        <v>1937</v>
      </c>
      <c r="G2304" s="43" t="s">
        <v>3586</v>
      </c>
      <c r="H2304" s="85" t="s">
        <v>5778</v>
      </c>
      <c r="I2304" s="23" t="s">
        <v>24</v>
      </c>
      <c r="J2304" s="44">
        <v>95</v>
      </c>
      <c r="K2304" s="45">
        <v>0.25</v>
      </c>
      <c r="L2304" s="46">
        <f t="shared" si="343"/>
        <v>23.75</v>
      </c>
      <c r="M2304" s="47">
        <f t="shared" si="344"/>
        <v>71.25</v>
      </c>
      <c r="N2304" s="48">
        <v>0.16</v>
      </c>
      <c r="O2304" s="49">
        <f t="shared" si="345"/>
        <v>11.4</v>
      </c>
      <c r="P2304" s="50">
        <f t="shared" si="346"/>
        <v>82.65</v>
      </c>
      <c r="Q2304" s="23"/>
      <c r="R2304" s="60"/>
      <c r="S2304" s="61"/>
      <c r="T2304" s="62">
        <f t="shared" si="347"/>
        <v>0</v>
      </c>
      <c r="U2304" s="46">
        <f t="shared" si="348"/>
        <v>0</v>
      </c>
      <c r="V2304" s="63">
        <f t="shared" si="349"/>
        <v>0</v>
      </c>
      <c r="W2304" s="49">
        <f t="shared" si="350"/>
        <v>0</v>
      </c>
      <c r="X2304" s="50">
        <f t="shared" si="351"/>
        <v>0</v>
      </c>
      <c r="Y2304"/>
      <c r="Z2304"/>
      <c r="AA2304"/>
    </row>
    <row r="2305" spans="1:27" s="51" customFormat="1" ht="18.600000000000001" hidden="1" customHeight="1" x14ac:dyDescent="0.25">
      <c r="A2305" s="80" t="s">
        <v>2653</v>
      </c>
      <c r="B2305" s="20" t="s">
        <v>5760</v>
      </c>
      <c r="C2305" s="21" t="s">
        <v>9337</v>
      </c>
      <c r="D2305" s="20" t="s">
        <v>5779</v>
      </c>
      <c r="E2305" s="22" t="s">
        <v>5780</v>
      </c>
      <c r="F2305" s="22" t="s">
        <v>1937</v>
      </c>
      <c r="G2305" s="22" t="s">
        <v>3586</v>
      </c>
      <c r="H2305" s="83" t="s">
        <v>5781</v>
      </c>
      <c r="I2305" s="23" t="s">
        <v>24</v>
      </c>
      <c r="J2305" s="24">
        <v>95</v>
      </c>
      <c r="K2305" s="25">
        <v>0.25</v>
      </c>
      <c r="L2305" s="26">
        <f t="shared" si="343"/>
        <v>23.75</v>
      </c>
      <c r="M2305" s="27">
        <f t="shared" si="344"/>
        <v>71.25</v>
      </c>
      <c r="N2305" s="28">
        <v>0.16</v>
      </c>
      <c r="O2305" s="29">
        <f t="shared" si="345"/>
        <v>11.4</v>
      </c>
      <c r="P2305" s="30">
        <f t="shared" si="346"/>
        <v>82.65</v>
      </c>
      <c r="Q2305" s="23"/>
      <c r="R2305" s="52"/>
      <c r="S2305" s="53"/>
      <c r="T2305" s="54">
        <f t="shared" si="347"/>
        <v>0</v>
      </c>
      <c r="U2305" s="26">
        <f t="shared" si="348"/>
        <v>0</v>
      </c>
      <c r="V2305" s="55">
        <f t="shared" si="349"/>
        <v>0</v>
      </c>
      <c r="W2305" s="29">
        <f t="shared" si="350"/>
        <v>0</v>
      </c>
      <c r="X2305" s="30">
        <f t="shared" si="351"/>
        <v>0</v>
      </c>
      <c r="Y2305"/>
      <c r="Z2305"/>
      <c r="AA2305"/>
    </row>
    <row r="2306" spans="1:27" s="51" customFormat="1" ht="18.600000000000001" hidden="1" customHeight="1" x14ac:dyDescent="0.25">
      <c r="A2306" s="81" t="s">
        <v>2653</v>
      </c>
      <c r="B2306" s="31" t="s">
        <v>5760</v>
      </c>
      <c r="C2306" s="32" t="s">
        <v>9337</v>
      </c>
      <c r="D2306" s="31" t="s">
        <v>5782</v>
      </c>
      <c r="E2306" s="33" t="s">
        <v>5783</v>
      </c>
      <c r="F2306" s="33" t="s">
        <v>1937</v>
      </c>
      <c r="G2306" s="33" t="s">
        <v>3586</v>
      </c>
      <c r="H2306" s="84" t="s">
        <v>5784</v>
      </c>
      <c r="I2306" s="23" t="s">
        <v>24</v>
      </c>
      <c r="J2306" s="34">
        <v>95</v>
      </c>
      <c r="K2306" s="35">
        <v>0.25</v>
      </c>
      <c r="L2306" s="36">
        <f t="shared" si="343"/>
        <v>23.75</v>
      </c>
      <c r="M2306" s="37">
        <f t="shared" si="344"/>
        <v>71.25</v>
      </c>
      <c r="N2306" s="38">
        <v>0.16</v>
      </c>
      <c r="O2306" s="39">
        <f t="shared" si="345"/>
        <v>11.4</v>
      </c>
      <c r="P2306" s="40">
        <f t="shared" si="346"/>
        <v>82.65</v>
      </c>
      <c r="Q2306" s="23"/>
      <c r="R2306" s="56"/>
      <c r="S2306" s="57"/>
      <c r="T2306" s="58">
        <f t="shared" si="347"/>
        <v>0</v>
      </c>
      <c r="U2306" s="36">
        <f t="shared" si="348"/>
        <v>0</v>
      </c>
      <c r="V2306" s="59">
        <f t="shared" si="349"/>
        <v>0</v>
      </c>
      <c r="W2306" s="39">
        <f t="shared" si="350"/>
        <v>0</v>
      </c>
      <c r="X2306" s="40">
        <f t="shared" si="351"/>
        <v>0</v>
      </c>
      <c r="Y2306"/>
      <c r="Z2306"/>
      <c r="AA2306"/>
    </row>
    <row r="2307" spans="1:27" s="51" customFormat="1" ht="18.600000000000001" hidden="1" customHeight="1" x14ac:dyDescent="0.25">
      <c r="A2307" s="82" t="s">
        <v>2653</v>
      </c>
      <c r="B2307" s="41" t="s">
        <v>5760</v>
      </c>
      <c r="C2307" s="42" t="s">
        <v>9337</v>
      </c>
      <c r="D2307" s="41" t="s">
        <v>5785</v>
      </c>
      <c r="E2307" s="43" t="s">
        <v>5786</v>
      </c>
      <c r="F2307" s="43" t="s">
        <v>1937</v>
      </c>
      <c r="G2307" s="43" t="s">
        <v>3586</v>
      </c>
      <c r="H2307" s="85" t="s">
        <v>5787</v>
      </c>
      <c r="I2307" s="23" t="s">
        <v>24</v>
      </c>
      <c r="J2307" s="44">
        <v>95</v>
      </c>
      <c r="K2307" s="45">
        <v>0.25</v>
      </c>
      <c r="L2307" s="46">
        <f t="shared" si="343"/>
        <v>23.75</v>
      </c>
      <c r="M2307" s="47">
        <f t="shared" si="344"/>
        <v>71.25</v>
      </c>
      <c r="N2307" s="48">
        <v>0.16</v>
      </c>
      <c r="O2307" s="49">
        <f t="shared" si="345"/>
        <v>11.4</v>
      </c>
      <c r="P2307" s="50">
        <f t="shared" si="346"/>
        <v>82.65</v>
      </c>
      <c r="Q2307" s="23"/>
      <c r="R2307" s="60"/>
      <c r="S2307" s="61"/>
      <c r="T2307" s="62">
        <f t="shared" si="347"/>
        <v>0</v>
      </c>
      <c r="U2307" s="46">
        <f t="shared" si="348"/>
        <v>0</v>
      </c>
      <c r="V2307" s="63">
        <f t="shared" si="349"/>
        <v>0</v>
      </c>
      <c r="W2307" s="49">
        <f t="shared" si="350"/>
        <v>0</v>
      </c>
      <c r="X2307" s="50">
        <f t="shared" si="351"/>
        <v>0</v>
      </c>
      <c r="Y2307"/>
      <c r="Z2307"/>
      <c r="AA2307"/>
    </row>
    <row r="2308" spans="1:27" s="51" customFormat="1" ht="18.600000000000001" hidden="1" customHeight="1" x14ac:dyDescent="0.25">
      <c r="A2308" s="80" t="s">
        <v>2653</v>
      </c>
      <c r="B2308" s="20" t="s">
        <v>5760</v>
      </c>
      <c r="C2308" s="21" t="s">
        <v>9337</v>
      </c>
      <c r="D2308" s="20" t="s">
        <v>5788</v>
      </c>
      <c r="E2308" s="22" t="s">
        <v>5789</v>
      </c>
      <c r="F2308" s="22" t="s">
        <v>1937</v>
      </c>
      <c r="G2308" s="22" t="s">
        <v>3586</v>
      </c>
      <c r="H2308" s="83" t="s">
        <v>5790</v>
      </c>
      <c r="I2308" s="23" t="s">
        <v>24</v>
      </c>
      <c r="J2308" s="24">
        <v>95</v>
      </c>
      <c r="K2308" s="25">
        <v>0.25</v>
      </c>
      <c r="L2308" s="26">
        <f t="shared" si="343"/>
        <v>23.75</v>
      </c>
      <c r="M2308" s="27">
        <f t="shared" si="344"/>
        <v>71.25</v>
      </c>
      <c r="N2308" s="28">
        <v>0.16</v>
      </c>
      <c r="O2308" s="29">
        <f t="shared" si="345"/>
        <v>11.4</v>
      </c>
      <c r="P2308" s="30">
        <f t="shared" si="346"/>
        <v>82.65</v>
      </c>
      <c r="Q2308" s="23"/>
      <c r="R2308" s="52"/>
      <c r="S2308" s="53"/>
      <c r="T2308" s="54">
        <f t="shared" si="347"/>
        <v>0</v>
      </c>
      <c r="U2308" s="26">
        <f t="shared" si="348"/>
        <v>0</v>
      </c>
      <c r="V2308" s="55">
        <f t="shared" si="349"/>
        <v>0</v>
      </c>
      <c r="W2308" s="29">
        <f t="shared" si="350"/>
        <v>0</v>
      </c>
      <c r="X2308" s="30">
        <f t="shared" si="351"/>
        <v>0</v>
      </c>
      <c r="Y2308"/>
      <c r="Z2308"/>
      <c r="AA2308"/>
    </row>
    <row r="2309" spans="1:27" s="51" customFormat="1" ht="18.600000000000001" hidden="1" customHeight="1" x14ac:dyDescent="0.25">
      <c r="A2309" s="81" t="s">
        <v>2653</v>
      </c>
      <c r="B2309" s="31" t="s">
        <v>5760</v>
      </c>
      <c r="C2309" s="32" t="s">
        <v>9337</v>
      </c>
      <c r="D2309" s="31" t="s">
        <v>5791</v>
      </c>
      <c r="E2309" s="33" t="s">
        <v>5792</v>
      </c>
      <c r="F2309" s="33" t="s">
        <v>1937</v>
      </c>
      <c r="G2309" s="33" t="s">
        <v>3586</v>
      </c>
      <c r="H2309" s="84" t="s">
        <v>5793</v>
      </c>
      <c r="I2309" s="23" t="s">
        <v>24</v>
      </c>
      <c r="J2309" s="34">
        <v>95</v>
      </c>
      <c r="K2309" s="35">
        <v>0.25</v>
      </c>
      <c r="L2309" s="36">
        <f t="shared" si="343"/>
        <v>23.75</v>
      </c>
      <c r="M2309" s="37">
        <f t="shared" si="344"/>
        <v>71.25</v>
      </c>
      <c r="N2309" s="38">
        <v>0.16</v>
      </c>
      <c r="O2309" s="39">
        <f t="shared" si="345"/>
        <v>11.4</v>
      </c>
      <c r="P2309" s="40">
        <f t="shared" si="346"/>
        <v>82.65</v>
      </c>
      <c r="Q2309" s="23"/>
      <c r="R2309" s="56"/>
      <c r="S2309" s="57"/>
      <c r="T2309" s="58">
        <f t="shared" si="347"/>
        <v>0</v>
      </c>
      <c r="U2309" s="36">
        <f t="shared" si="348"/>
        <v>0</v>
      </c>
      <c r="V2309" s="59">
        <f t="shared" si="349"/>
        <v>0</v>
      </c>
      <c r="W2309" s="39">
        <f t="shared" si="350"/>
        <v>0</v>
      </c>
      <c r="X2309" s="40">
        <f t="shared" si="351"/>
        <v>0</v>
      </c>
      <c r="Y2309"/>
      <c r="Z2309"/>
      <c r="AA2309"/>
    </row>
    <row r="2310" spans="1:27" s="51" customFormat="1" ht="18.600000000000001" hidden="1" customHeight="1" x14ac:dyDescent="0.25">
      <c r="A2310" s="82" t="s">
        <v>2653</v>
      </c>
      <c r="B2310" s="41" t="s">
        <v>5760</v>
      </c>
      <c r="C2310" s="42" t="s">
        <v>9337</v>
      </c>
      <c r="D2310" s="41" t="s">
        <v>5794</v>
      </c>
      <c r="E2310" s="43" t="s">
        <v>5795</v>
      </c>
      <c r="F2310" s="43" t="s">
        <v>1937</v>
      </c>
      <c r="G2310" s="43" t="s">
        <v>3586</v>
      </c>
      <c r="H2310" s="85" t="s">
        <v>5796</v>
      </c>
      <c r="I2310" s="23" t="s">
        <v>24</v>
      </c>
      <c r="J2310" s="44">
        <v>95</v>
      </c>
      <c r="K2310" s="45">
        <v>0.25</v>
      </c>
      <c r="L2310" s="46">
        <f t="shared" si="343"/>
        <v>23.75</v>
      </c>
      <c r="M2310" s="47">
        <f t="shared" si="344"/>
        <v>71.25</v>
      </c>
      <c r="N2310" s="48">
        <v>0.16</v>
      </c>
      <c r="O2310" s="49">
        <f t="shared" si="345"/>
        <v>11.4</v>
      </c>
      <c r="P2310" s="50">
        <f t="shared" si="346"/>
        <v>82.65</v>
      </c>
      <c r="Q2310" s="23"/>
      <c r="R2310" s="60"/>
      <c r="S2310" s="61"/>
      <c r="T2310" s="62">
        <f t="shared" si="347"/>
        <v>0</v>
      </c>
      <c r="U2310" s="46">
        <f t="shared" si="348"/>
        <v>0</v>
      </c>
      <c r="V2310" s="63">
        <f t="shared" si="349"/>
        <v>0</v>
      </c>
      <c r="W2310" s="49">
        <f t="shared" si="350"/>
        <v>0</v>
      </c>
      <c r="X2310" s="50">
        <f t="shared" si="351"/>
        <v>0</v>
      </c>
      <c r="Y2310"/>
      <c r="Z2310"/>
      <c r="AA2310"/>
    </row>
    <row r="2311" spans="1:27" s="51" customFormat="1" ht="18.600000000000001" hidden="1" customHeight="1" x14ac:dyDescent="0.25">
      <c r="A2311" s="80" t="s">
        <v>2653</v>
      </c>
      <c r="B2311" s="20" t="s">
        <v>5760</v>
      </c>
      <c r="C2311" s="21" t="s">
        <v>9337</v>
      </c>
      <c r="D2311" s="20" t="s">
        <v>5797</v>
      </c>
      <c r="E2311" s="22" t="s">
        <v>5798</v>
      </c>
      <c r="F2311" s="22" t="s">
        <v>1937</v>
      </c>
      <c r="G2311" s="22" t="s">
        <v>3586</v>
      </c>
      <c r="H2311" s="83" t="s">
        <v>5799</v>
      </c>
      <c r="I2311" s="23" t="s">
        <v>24</v>
      </c>
      <c r="J2311" s="24">
        <v>95</v>
      </c>
      <c r="K2311" s="25">
        <v>0.25</v>
      </c>
      <c r="L2311" s="26">
        <f t="shared" si="343"/>
        <v>23.75</v>
      </c>
      <c r="M2311" s="27">
        <f t="shared" si="344"/>
        <v>71.25</v>
      </c>
      <c r="N2311" s="28">
        <v>0.16</v>
      </c>
      <c r="O2311" s="29">
        <f t="shared" si="345"/>
        <v>11.4</v>
      </c>
      <c r="P2311" s="30">
        <f t="shared" si="346"/>
        <v>82.65</v>
      </c>
      <c r="Q2311" s="23"/>
      <c r="R2311" s="52"/>
      <c r="S2311" s="53"/>
      <c r="T2311" s="54">
        <f t="shared" si="347"/>
        <v>0</v>
      </c>
      <c r="U2311" s="26">
        <f t="shared" si="348"/>
        <v>0</v>
      </c>
      <c r="V2311" s="55">
        <f t="shared" si="349"/>
        <v>0</v>
      </c>
      <c r="W2311" s="29">
        <f t="shared" si="350"/>
        <v>0</v>
      </c>
      <c r="X2311" s="30">
        <f t="shared" si="351"/>
        <v>0</v>
      </c>
      <c r="Y2311"/>
      <c r="Z2311"/>
      <c r="AA2311"/>
    </row>
    <row r="2312" spans="1:27" s="51" customFormat="1" ht="18.600000000000001" hidden="1" customHeight="1" x14ac:dyDescent="0.25">
      <c r="A2312" s="81" t="s">
        <v>2653</v>
      </c>
      <c r="B2312" s="31" t="s">
        <v>5760</v>
      </c>
      <c r="C2312" s="32" t="s">
        <v>9337</v>
      </c>
      <c r="D2312" s="31" t="s">
        <v>5800</v>
      </c>
      <c r="E2312" s="33" t="s">
        <v>5801</v>
      </c>
      <c r="F2312" s="33" t="s">
        <v>1937</v>
      </c>
      <c r="G2312" s="33" t="s">
        <v>3586</v>
      </c>
      <c r="H2312" s="84" t="s">
        <v>5802</v>
      </c>
      <c r="I2312" s="23" t="s">
        <v>24</v>
      </c>
      <c r="J2312" s="34">
        <v>95</v>
      </c>
      <c r="K2312" s="35">
        <v>0.25</v>
      </c>
      <c r="L2312" s="36">
        <f t="shared" si="343"/>
        <v>23.75</v>
      </c>
      <c r="M2312" s="37">
        <f t="shared" si="344"/>
        <v>71.25</v>
      </c>
      <c r="N2312" s="38">
        <v>0.16</v>
      </c>
      <c r="O2312" s="39">
        <f t="shared" si="345"/>
        <v>11.4</v>
      </c>
      <c r="P2312" s="40">
        <f t="shared" si="346"/>
        <v>82.65</v>
      </c>
      <c r="Q2312" s="23"/>
      <c r="R2312" s="56"/>
      <c r="S2312" s="57"/>
      <c r="T2312" s="58">
        <f t="shared" si="347"/>
        <v>0</v>
      </c>
      <c r="U2312" s="36">
        <f t="shared" si="348"/>
        <v>0</v>
      </c>
      <c r="V2312" s="59">
        <f t="shared" si="349"/>
        <v>0</v>
      </c>
      <c r="W2312" s="39">
        <f t="shared" si="350"/>
        <v>0</v>
      </c>
      <c r="X2312" s="40">
        <f t="shared" si="351"/>
        <v>0</v>
      </c>
      <c r="Y2312"/>
      <c r="Z2312"/>
      <c r="AA2312"/>
    </row>
    <row r="2313" spans="1:27" s="51" customFormat="1" ht="18.600000000000001" hidden="1" customHeight="1" x14ac:dyDescent="0.25">
      <c r="A2313" s="82" t="s">
        <v>2653</v>
      </c>
      <c r="B2313" s="41" t="s">
        <v>5760</v>
      </c>
      <c r="C2313" s="42" t="s">
        <v>9337</v>
      </c>
      <c r="D2313" s="41" t="s">
        <v>5803</v>
      </c>
      <c r="E2313" s="43" t="s">
        <v>5804</v>
      </c>
      <c r="F2313" s="43" t="s">
        <v>1937</v>
      </c>
      <c r="G2313" s="43" t="s">
        <v>3586</v>
      </c>
      <c r="H2313" s="85" t="s">
        <v>5805</v>
      </c>
      <c r="I2313" s="23" t="s">
        <v>24</v>
      </c>
      <c r="J2313" s="44">
        <v>95</v>
      </c>
      <c r="K2313" s="45">
        <v>0.25</v>
      </c>
      <c r="L2313" s="46">
        <f t="shared" si="343"/>
        <v>23.75</v>
      </c>
      <c r="M2313" s="47">
        <f t="shared" si="344"/>
        <v>71.25</v>
      </c>
      <c r="N2313" s="48">
        <v>0.16</v>
      </c>
      <c r="O2313" s="49">
        <f t="shared" si="345"/>
        <v>11.4</v>
      </c>
      <c r="P2313" s="50">
        <f t="shared" si="346"/>
        <v>82.65</v>
      </c>
      <c r="Q2313" s="23"/>
      <c r="R2313" s="60"/>
      <c r="S2313" s="61"/>
      <c r="T2313" s="62">
        <f t="shared" si="347"/>
        <v>0</v>
      </c>
      <c r="U2313" s="46">
        <f t="shared" si="348"/>
        <v>0</v>
      </c>
      <c r="V2313" s="63">
        <f t="shared" si="349"/>
        <v>0</v>
      </c>
      <c r="W2313" s="49">
        <f t="shared" si="350"/>
        <v>0</v>
      </c>
      <c r="X2313" s="50">
        <f t="shared" si="351"/>
        <v>0</v>
      </c>
      <c r="Y2313"/>
      <c r="Z2313"/>
      <c r="AA2313"/>
    </row>
    <row r="2314" spans="1:27" s="51" customFormat="1" ht="18.600000000000001" hidden="1" customHeight="1" x14ac:dyDescent="0.25">
      <c r="A2314" s="80" t="s">
        <v>2653</v>
      </c>
      <c r="B2314" s="20" t="s">
        <v>5760</v>
      </c>
      <c r="C2314" s="21" t="s">
        <v>9337</v>
      </c>
      <c r="D2314" s="20" t="s">
        <v>5806</v>
      </c>
      <c r="E2314" s="22" t="s">
        <v>5807</v>
      </c>
      <c r="F2314" s="22" t="s">
        <v>1937</v>
      </c>
      <c r="G2314" s="22" t="s">
        <v>3586</v>
      </c>
      <c r="H2314" s="83" t="s">
        <v>5808</v>
      </c>
      <c r="I2314" s="23" t="s">
        <v>24</v>
      </c>
      <c r="J2314" s="24">
        <v>95</v>
      </c>
      <c r="K2314" s="25">
        <v>0.25</v>
      </c>
      <c r="L2314" s="26">
        <f t="shared" si="343"/>
        <v>23.75</v>
      </c>
      <c r="M2314" s="27">
        <f t="shared" si="344"/>
        <v>71.25</v>
      </c>
      <c r="N2314" s="28">
        <v>0.16</v>
      </c>
      <c r="O2314" s="29">
        <f t="shared" si="345"/>
        <v>11.4</v>
      </c>
      <c r="P2314" s="30">
        <f t="shared" si="346"/>
        <v>82.65</v>
      </c>
      <c r="Q2314" s="23"/>
      <c r="R2314" s="52"/>
      <c r="S2314" s="53"/>
      <c r="T2314" s="54">
        <f t="shared" si="347"/>
        <v>0</v>
      </c>
      <c r="U2314" s="26">
        <f t="shared" si="348"/>
        <v>0</v>
      </c>
      <c r="V2314" s="55">
        <f t="shared" si="349"/>
        <v>0</v>
      </c>
      <c r="W2314" s="29">
        <f t="shared" si="350"/>
        <v>0</v>
      </c>
      <c r="X2314" s="30">
        <f t="shared" si="351"/>
        <v>0</v>
      </c>
      <c r="Y2314"/>
      <c r="Z2314"/>
      <c r="AA2314"/>
    </row>
    <row r="2315" spans="1:27" s="51" customFormat="1" ht="18.600000000000001" hidden="1" customHeight="1" x14ac:dyDescent="0.25">
      <c r="A2315" s="81" t="s">
        <v>2653</v>
      </c>
      <c r="B2315" s="31" t="s">
        <v>5760</v>
      </c>
      <c r="C2315" s="32" t="s">
        <v>9337</v>
      </c>
      <c r="D2315" s="31" t="s">
        <v>5809</v>
      </c>
      <c r="E2315" s="33" t="s">
        <v>5810</v>
      </c>
      <c r="F2315" s="33" t="s">
        <v>1937</v>
      </c>
      <c r="G2315" s="33" t="s">
        <v>3586</v>
      </c>
      <c r="H2315" s="84" t="s">
        <v>5811</v>
      </c>
      <c r="I2315" s="23" t="s">
        <v>24</v>
      </c>
      <c r="J2315" s="34">
        <v>95</v>
      </c>
      <c r="K2315" s="35">
        <v>0.25</v>
      </c>
      <c r="L2315" s="36">
        <f t="shared" si="343"/>
        <v>23.75</v>
      </c>
      <c r="M2315" s="37">
        <f t="shared" si="344"/>
        <v>71.25</v>
      </c>
      <c r="N2315" s="38">
        <v>0.16</v>
      </c>
      <c r="O2315" s="39">
        <f t="shared" si="345"/>
        <v>11.4</v>
      </c>
      <c r="P2315" s="40">
        <f t="shared" si="346"/>
        <v>82.65</v>
      </c>
      <c r="Q2315" s="23"/>
      <c r="R2315" s="56"/>
      <c r="S2315" s="57"/>
      <c r="T2315" s="58">
        <f t="shared" si="347"/>
        <v>0</v>
      </c>
      <c r="U2315" s="36">
        <f t="shared" si="348"/>
        <v>0</v>
      </c>
      <c r="V2315" s="59">
        <f t="shared" si="349"/>
        <v>0</v>
      </c>
      <c r="W2315" s="39">
        <f t="shared" si="350"/>
        <v>0</v>
      </c>
      <c r="X2315" s="40">
        <f t="shared" si="351"/>
        <v>0</v>
      </c>
      <c r="Y2315"/>
      <c r="Z2315"/>
      <c r="AA2315"/>
    </row>
    <row r="2316" spans="1:27" s="51" customFormat="1" ht="18.600000000000001" hidden="1" customHeight="1" x14ac:dyDescent="0.25">
      <c r="A2316" s="82" t="s">
        <v>2653</v>
      </c>
      <c r="B2316" s="41" t="s">
        <v>5760</v>
      </c>
      <c r="C2316" s="42" t="s">
        <v>9337</v>
      </c>
      <c r="D2316" s="41" t="s">
        <v>5812</v>
      </c>
      <c r="E2316" s="43" t="s">
        <v>5813</v>
      </c>
      <c r="F2316" s="43" t="s">
        <v>1937</v>
      </c>
      <c r="G2316" s="43" t="s">
        <v>3586</v>
      </c>
      <c r="H2316" s="85" t="s">
        <v>5814</v>
      </c>
      <c r="I2316" s="23" t="s">
        <v>24</v>
      </c>
      <c r="J2316" s="44">
        <v>95</v>
      </c>
      <c r="K2316" s="45">
        <v>0.25</v>
      </c>
      <c r="L2316" s="46">
        <f t="shared" si="343"/>
        <v>23.75</v>
      </c>
      <c r="M2316" s="47">
        <f t="shared" si="344"/>
        <v>71.25</v>
      </c>
      <c r="N2316" s="48">
        <v>0.16</v>
      </c>
      <c r="O2316" s="49">
        <f t="shared" si="345"/>
        <v>11.4</v>
      </c>
      <c r="P2316" s="50">
        <f t="shared" si="346"/>
        <v>82.65</v>
      </c>
      <c r="Q2316" s="23"/>
      <c r="R2316" s="60"/>
      <c r="S2316" s="61"/>
      <c r="T2316" s="62">
        <f t="shared" si="347"/>
        <v>0</v>
      </c>
      <c r="U2316" s="46">
        <f t="shared" si="348"/>
        <v>0</v>
      </c>
      <c r="V2316" s="63">
        <f t="shared" si="349"/>
        <v>0</v>
      </c>
      <c r="W2316" s="49">
        <f t="shared" si="350"/>
        <v>0</v>
      </c>
      <c r="X2316" s="50">
        <f t="shared" si="351"/>
        <v>0</v>
      </c>
      <c r="Y2316"/>
      <c r="Z2316"/>
      <c r="AA2316"/>
    </row>
    <row r="2317" spans="1:27" s="51" customFormat="1" ht="18.600000000000001" hidden="1" customHeight="1" x14ac:dyDescent="0.25">
      <c r="A2317" s="80" t="s">
        <v>2653</v>
      </c>
      <c r="B2317" s="20" t="s">
        <v>5760</v>
      </c>
      <c r="C2317" s="21" t="s">
        <v>9337</v>
      </c>
      <c r="D2317" s="20" t="s">
        <v>5815</v>
      </c>
      <c r="E2317" s="22" t="s">
        <v>5816</v>
      </c>
      <c r="F2317" s="22" t="s">
        <v>1937</v>
      </c>
      <c r="G2317" s="22" t="s">
        <v>3586</v>
      </c>
      <c r="H2317" s="83" t="s">
        <v>5817</v>
      </c>
      <c r="I2317" s="23" t="s">
        <v>24</v>
      </c>
      <c r="J2317" s="24">
        <v>95</v>
      </c>
      <c r="K2317" s="25">
        <v>0.25</v>
      </c>
      <c r="L2317" s="26">
        <f t="shared" si="343"/>
        <v>23.75</v>
      </c>
      <c r="M2317" s="27">
        <f t="shared" si="344"/>
        <v>71.25</v>
      </c>
      <c r="N2317" s="28">
        <v>0.16</v>
      </c>
      <c r="O2317" s="29">
        <f t="shared" si="345"/>
        <v>11.4</v>
      </c>
      <c r="P2317" s="30">
        <f t="shared" si="346"/>
        <v>82.65</v>
      </c>
      <c r="Q2317" s="23"/>
      <c r="R2317" s="52"/>
      <c r="S2317" s="53"/>
      <c r="T2317" s="54">
        <f t="shared" si="347"/>
        <v>0</v>
      </c>
      <c r="U2317" s="26">
        <f t="shared" si="348"/>
        <v>0</v>
      </c>
      <c r="V2317" s="55">
        <f t="shared" si="349"/>
        <v>0</v>
      </c>
      <c r="W2317" s="29">
        <f t="shared" si="350"/>
        <v>0</v>
      </c>
      <c r="X2317" s="30">
        <f t="shared" si="351"/>
        <v>0</v>
      </c>
      <c r="Y2317"/>
      <c r="Z2317"/>
      <c r="AA2317"/>
    </row>
    <row r="2318" spans="1:27" s="51" customFormat="1" ht="18.600000000000001" hidden="1" customHeight="1" x14ac:dyDescent="0.25">
      <c r="A2318" s="81" t="s">
        <v>2653</v>
      </c>
      <c r="B2318" s="31" t="s">
        <v>5760</v>
      </c>
      <c r="C2318" s="32" t="s">
        <v>9337</v>
      </c>
      <c r="D2318" s="31" t="s">
        <v>5818</v>
      </c>
      <c r="E2318" s="33" t="s">
        <v>5819</v>
      </c>
      <c r="F2318" s="33" t="s">
        <v>1937</v>
      </c>
      <c r="G2318" s="33" t="s">
        <v>3586</v>
      </c>
      <c r="H2318" s="84" t="s">
        <v>5820</v>
      </c>
      <c r="I2318" s="23" t="s">
        <v>24</v>
      </c>
      <c r="J2318" s="34">
        <v>95</v>
      </c>
      <c r="K2318" s="35">
        <v>0.25</v>
      </c>
      <c r="L2318" s="36">
        <f t="shared" si="343"/>
        <v>23.75</v>
      </c>
      <c r="M2318" s="37">
        <f t="shared" si="344"/>
        <v>71.25</v>
      </c>
      <c r="N2318" s="38">
        <v>0.16</v>
      </c>
      <c r="O2318" s="39">
        <f t="shared" si="345"/>
        <v>11.4</v>
      </c>
      <c r="P2318" s="40">
        <f t="shared" si="346"/>
        <v>82.65</v>
      </c>
      <c r="Q2318" s="23"/>
      <c r="R2318" s="56"/>
      <c r="S2318" s="57"/>
      <c r="T2318" s="58">
        <f t="shared" si="347"/>
        <v>0</v>
      </c>
      <c r="U2318" s="36">
        <f t="shared" si="348"/>
        <v>0</v>
      </c>
      <c r="V2318" s="59">
        <f t="shared" si="349"/>
        <v>0</v>
      </c>
      <c r="W2318" s="39">
        <f t="shared" si="350"/>
        <v>0</v>
      </c>
      <c r="X2318" s="40">
        <f t="shared" si="351"/>
        <v>0</v>
      </c>
      <c r="Y2318"/>
      <c r="Z2318"/>
      <c r="AA2318"/>
    </row>
    <row r="2319" spans="1:27" s="51" customFormat="1" ht="18.600000000000001" hidden="1" customHeight="1" x14ac:dyDescent="0.25">
      <c r="A2319" s="82" t="s">
        <v>2653</v>
      </c>
      <c r="B2319" s="41" t="s">
        <v>5760</v>
      </c>
      <c r="C2319" s="42" t="s">
        <v>9337</v>
      </c>
      <c r="D2319" s="41" t="s">
        <v>5821</v>
      </c>
      <c r="E2319" s="43" t="s">
        <v>5822</v>
      </c>
      <c r="F2319" s="43" t="s">
        <v>1937</v>
      </c>
      <c r="G2319" s="43" t="s">
        <v>3586</v>
      </c>
      <c r="H2319" s="85" t="s">
        <v>5823</v>
      </c>
      <c r="I2319" s="23" t="s">
        <v>24</v>
      </c>
      <c r="J2319" s="44">
        <v>95</v>
      </c>
      <c r="K2319" s="45">
        <v>0.25</v>
      </c>
      <c r="L2319" s="46">
        <f t="shared" si="343"/>
        <v>23.75</v>
      </c>
      <c r="M2319" s="47">
        <f t="shared" si="344"/>
        <v>71.25</v>
      </c>
      <c r="N2319" s="48">
        <v>0.16</v>
      </c>
      <c r="O2319" s="49">
        <f t="shared" si="345"/>
        <v>11.4</v>
      </c>
      <c r="P2319" s="50">
        <f t="shared" si="346"/>
        <v>82.65</v>
      </c>
      <c r="Q2319" s="23"/>
      <c r="R2319" s="60"/>
      <c r="S2319" s="61"/>
      <c r="T2319" s="62">
        <f t="shared" si="347"/>
        <v>0</v>
      </c>
      <c r="U2319" s="46">
        <f t="shared" si="348"/>
        <v>0</v>
      </c>
      <c r="V2319" s="63">
        <f t="shared" si="349"/>
        <v>0</v>
      </c>
      <c r="W2319" s="49">
        <f t="shared" si="350"/>
        <v>0</v>
      </c>
      <c r="X2319" s="50">
        <f t="shared" si="351"/>
        <v>0</v>
      </c>
      <c r="Y2319"/>
      <c r="Z2319"/>
      <c r="AA2319"/>
    </row>
    <row r="2320" spans="1:27" s="51" customFormat="1" ht="18.600000000000001" hidden="1" customHeight="1" x14ac:dyDescent="0.25">
      <c r="A2320" s="80" t="s">
        <v>2653</v>
      </c>
      <c r="B2320" s="20" t="s">
        <v>5760</v>
      </c>
      <c r="C2320" s="21" t="s">
        <v>9337</v>
      </c>
      <c r="D2320" s="20" t="s">
        <v>5824</v>
      </c>
      <c r="E2320" s="22" t="s">
        <v>5825</v>
      </c>
      <c r="F2320" s="22" t="s">
        <v>1937</v>
      </c>
      <c r="G2320" s="22" t="s">
        <v>3586</v>
      </c>
      <c r="H2320" s="83" t="s">
        <v>5826</v>
      </c>
      <c r="I2320" s="23" t="s">
        <v>24</v>
      </c>
      <c r="J2320" s="24">
        <v>95</v>
      </c>
      <c r="K2320" s="25">
        <v>0.25</v>
      </c>
      <c r="L2320" s="26">
        <f t="shared" si="343"/>
        <v>23.75</v>
      </c>
      <c r="M2320" s="27">
        <f t="shared" si="344"/>
        <v>71.25</v>
      </c>
      <c r="N2320" s="28">
        <v>0.16</v>
      </c>
      <c r="O2320" s="29">
        <f t="shared" si="345"/>
        <v>11.4</v>
      </c>
      <c r="P2320" s="30">
        <f t="shared" si="346"/>
        <v>82.65</v>
      </c>
      <c r="Q2320" s="23"/>
      <c r="R2320" s="52"/>
      <c r="S2320" s="53"/>
      <c r="T2320" s="54">
        <f t="shared" si="347"/>
        <v>0</v>
      </c>
      <c r="U2320" s="26">
        <f t="shared" si="348"/>
        <v>0</v>
      </c>
      <c r="V2320" s="55">
        <f t="shared" si="349"/>
        <v>0</v>
      </c>
      <c r="W2320" s="29">
        <f t="shared" si="350"/>
        <v>0</v>
      </c>
      <c r="X2320" s="30">
        <f t="shared" si="351"/>
        <v>0</v>
      </c>
      <c r="Y2320"/>
      <c r="Z2320"/>
      <c r="AA2320"/>
    </row>
    <row r="2321" spans="1:27" s="51" customFormat="1" ht="18.600000000000001" hidden="1" customHeight="1" x14ac:dyDescent="0.25">
      <c r="A2321" s="81" t="s">
        <v>2653</v>
      </c>
      <c r="B2321" s="31" t="s">
        <v>5760</v>
      </c>
      <c r="C2321" s="32" t="s">
        <v>9337</v>
      </c>
      <c r="D2321" s="31" t="s">
        <v>5827</v>
      </c>
      <c r="E2321" s="33" t="s">
        <v>5828</v>
      </c>
      <c r="F2321" s="33" t="s">
        <v>1937</v>
      </c>
      <c r="G2321" s="33" t="s">
        <v>3586</v>
      </c>
      <c r="H2321" s="84" t="s">
        <v>5829</v>
      </c>
      <c r="I2321" s="23" t="s">
        <v>24</v>
      </c>
      <c r="J2321" s="34">
        <v>95</v>
      </c>
      <c r="K2321" s="35">
        <v>0.25</v>
      </c>
      <c r="L2321" s="36">
        <f t="shared" si="343"/>
        <v>23.75</v>
      </c>
      <c r="M2321" s="37">
        <f t="shared" si="344"/>
        <v>71.25</v>
      </c>
      <c r="N2321" s="38">
        <v>0.16</v>
      </c>
      <c r="O2321" s="39">
        <f t="shared" si="345"/>
        <v>11.4</v>
      </c>
      <c r="P2321" s="40">
        <f t="shared" si="346"/>
        <v>82.65</v>
      </c>
      <c r="Q2321" s="23"/>
      <c r="R2321" s="56"/>
      <c r="S2321" s="57"/>
      <c r="T2321" s="58">
        <f t="shared" si="347"/>
        <v>0</v>
      </c>
      <c r="U2321" s="36">
        <f t="shared" si="348"/>
        <v>0</v>
      </c>
      <c r="V2321" s="59">
        <f t="shared" si="349"/>
        <v>0</v>
      </c>
      <c r="W2321" s="39">
        <f t="shared" si="350"/>
        <v>0</v>
      </c>
      <c r="X2321" s="40">
        <f t="shared" si="351"/>
        <v>0</v>
      </c>
      <c r="Y2321"/>
      <c r="Z2321"/>
      <c r="AA2321"/>
    </row>
    <row r="2322" spans="1:27" s="51" customFormat="1" ht="18.600000000000001" hidden="1" customHeight="1" x14ac:dyDescent="0.25">
      <c r="A2322" s="82" t="s">
        <v>2653</v>
      </c>
      <c r="B2322" s="41" t="s">
        <v>5760</v>
      </c>
      <c r="C2322" s="42" t="s">
        <v>9337</v>
      </c>
      <c r="D2322" s="41" t="s">
        <v>5830</v>
      </c>
      <c r="E2322" s="43" t="s">
        <v>5831</v>
      </c>
      <c r="F2322" s="43" t="s">
        <v>1937</v>
      </c>
      <c r="G2322" s="43" t="s">
        <v>3586</v>
      </c>
      <c r="H2322" s="85" t="s">
        <v>5832</v>
      </c>
      <c r="I2322" s="23" t="s">
        <v>24</v>
      </c>
      <c r="J2322" s="44">
        <v>95</v>
      </c>
      <c r="K2322" s="45">
        <v>0.25</v>
      </c>
      <c r="L2322" s="46">
        <f t="shared" si="343"/>
        <v>23.75</v>
      </c>
      <c r="M2322" s="47">
        <f t="shared" si="344"/>
        <v>71.25</v>
      </c>
      <c r="N2322" s="48">
        <v>0.16</v>
      </c>
      <c r="O2322" s="49">
        <f t="shared" si="345"/>
        <v>11.4</v>
      </c>
      <c r="P2322" s="50">
        <f t="shared" si="346"/>
        <v>82.65</v>
      </c>
      <c r="Q2322" s="23"/>
      <c r="R2322" s="60"/>
      <c r="S2322" s="61"/>
      <c r="T2322" s="62">
        <f t="shared" si="347"/>
        <v>0</v>
      </c>
      <c r="U2322" s="46">
        <f t="shared" si="348"/>
        <v>0</v>
      </c>
      <c r="V2322" s="63">
        <f t="shared" si="349"/>
        <v>0</v>
      </c>
      <c r="W2322" s="49">
        <f t="shared" si="350"/>
        <v>0</v>
      </c>
      <c r="X2322" s="50">
        <f t="shared" si="351"/>
        <v>0</v>
      </c>
      <c r="Y2322"/>
      <c r="Z2322"/>
      <c r="AA2322"/>
    </row>
    <row r="2323" spans="1:27" s="51" customFormat="1" ht="18.600000000000001" hidden="1" customHeight="1" x14ac:dyDescent="0.25">
      <c r="A2323" s="80" t="s">
        <v>2653</v>
      </c>
      <c r="B2323" s="20" t="s">
        <v>5760</v>
      </c>
      <c r="C2323" s="21" t="s">
        <v>9337</v>
      </c>
      <c r="D2323" s="20" t="s">
        <v>5833</v>
      </c>
      <c r="E2323" s="22" t="s">
        <v>5834</v>
      </c>
      <c r="F2323" s="22" t="s">
        <v>1937</v>
      </c>
      <c r="G2323" s="22" t="s">
        <v>3586</v>
      </c>
      <c r="H2323" s="83" t="s">
        <v>5835</v>
      </c>
      <c r="I2323" s="23" t="s">
        <v>24</v>
      </c>
      <c r="J2323" s="24">
        <v>95</v>
      </c>
      <c r="K2323" s="25">
        <v>0.25</v>
      </c>
      <c r="L2323" s="26">
        <f t="shared" si="343"/>
        <v>23.75</v>
      </c>
      <c r="M2323" s="27">
        <f t="shared" si="344"/>
        <v>71.25</v>
      </c>
      <c r="N2323" s="28">
        <v>0.16</v>
      </c>
      <c r="O2323" s="29">
        <f t="shared" si="345"/>
        <v>11.4</v>
      </c>
      <c r="P2323" s="30">
        <f t="shared" si="346"/>
        <v>82.65</v>
      </c>
      <c r="Q2323" s="23"/>
      <c r="R2323" s="52"/>
      <c r="S2323" s="53"/>
      <c r="T2323" s="54">
        <f t="shared" si="347"/>
        <v>0</v>
      </c>
      <c r="U2323" s="26">
        <f t="shared" si="348"/>
        <v>0</v>
      </c>
      <c r="V2323" s="55">
        <f t="shared" si="349"/>
        <v>0</v>
      </c>
      <c r="W2323" s="29">
        <f t="shared" si="350"/>
        <v>0</v>
      </c>
      <c r="X2323" s="30">
        <f t="shared" si="351"/>
        <v>0</v>
      </c>
      <c r="Y2323"/>
      <c r="Z2323"/>
      <c r="AA2323"/>
    </row>
    <row r="2324" spans="1:27" s="51" customFormat="1" ht="18.600000000000001" hidden="1" customHeight="1" x14ac:dyDescent="0.25">
      <c r="A2324" s="81" t="s">
        <v>2653</v>
      </c>
      <c r="B2324" s="31" t="s">
        <v>5760</v>
      </c>
      <c r="C2324" s="32" t="s">
        <v>9337</v>
      </c>
      <c r="D2324" s="31" t="s">
        <v>5836</v>
      </c>
      <c r="E2324" s="33" t="s">
        <v>5837</v>
      </c>
      <c r="F2324" s="33" t="s">
        <v>1937</v>
      </c>
      <c r="G2324" s="33" t="s">
        <v>3586</v>
      </c>
      <c r="H2324" s="84" t="s">
        <v>5838</v>
      </c>
      <c r="I2324" s="23" t="s">
        <v>24</v>
      </c>
      <c r="J2324" s="34">
        <v>95</v>
      </c>
      <c r="K2324" s="35">
        <v>0.25</v>
      </c>
      <c r="L2324" s="36">
        <f t="shared" si="343"/>
        <v>23.75</v>
      </c>
      <c r="M2324" s="37">
        <f t="shared" si="344"/>
        <v>71.25</v>
      </c>
      <c r="N2324" s="38">
        <v>0.16</v>
      </c>
      <c r="O2324" s="39">
        <f t="shared" si="345"/>
        <v>11.4</v>
      </c>
      <c r="P2324" s="40">
        <f t="shared" si="346"/>
        <v>82.65</v>
      </c>
      <c r="Q2324" s="23"/>
      <c r="R2324" s="56"/>
      <c r="S2324" s="57"/>
      <c r="T2324" s="58">
        <f t="shared" si="347"/>
        <v>0</v>
      </c>
      <c r="U2324" s="36">
        <f t="shared" si="348"/>
        <v>0</v>
      </c>
      <c r="V2324" s="59">
        <f t="shared" si="349"/>
        <v>0</v>
      </c>
      <c r="W2324" s="39">
        <f t="shared" si="350"/>
        <v>0</v>
      </c>
      <c r="X2324" s="40">
        <f t="shared" si="351"/>
        <v>0</v>
      </c>
      <c r="Y2324"/>
      <c r="Z2324"/>
      <c r="AA2324"/>
    </row>
    <row r="2325" spans="1:27" s="51" customFormat="1" ht="18.600000000000001" hidden="1" customHeight="1" x14ac:dyDescent="0.25">
      <c r="A2325" s="82" t="s">
        <v>2653</v>
      </c>
      <c r="B2325" s="41" t="s">
        <v>5760</v>
      </c>
      <c r="C2325" s="42" t="s">
        <v>9337</v>
      </c>
      <c r="D2325" s="41" t="s">
        <v>5839</v>
      </c>
      <c r="E2325" s="43" t="s">
        <v>5840</v>
      </c>
      <c r="F2325" s="43" t="s">
        <v>1937</v>
      </c>
      <c r="G2325" s="43" t="s">
        <v>3586</v>
      </c>
      <c r="H2325" s="85" t="s">
        <v>5841</v>
      </c>
      <c r="I2325" s="23" t="s">
        <v>24</v>
      </c>
      <c r="J2325" s="44">
        <v>95</v>
      </c>
      <c r="K2325" s="45">
        <v>0.25</v>
      </c>
      <c r="L2325" s="46">
        <f t="shared" si="343"/>
        <v>23.75</v>
      </c>
      <c r="M2325" s="47">
        <f t="shared" si="344"/>
        <v>71.25</v>
      </c>
      <c r="N2325" s="48">
        <v>0.16</v>
      </c>
      <c r="O2325" s="49">
        <f t="shared" si="345"/>
        <v>11.4</v>
      </c>
      <c r="P2325" s="50">
        <f t="shared" si="346"/>
        <v>82.65</v>
      </c>
      <c r="Q2325" s="23"/>
      <c r="R2325" s="60"/>
      <c r="S2325" s="61"/>
      <c r="T2325" s="62">
        <f t="shared" si="347"/>
        <v>0</v>
      </c>
      <c r="U2325" s="46">
        <f t="shared" si="348"/>
        <v>0</v>
      </c>
      <c r="V2325" s="63">
        <f t="shared" si="349"/>
        <v>0</v>
      </c>
      <c r="W2325" s="49">
        <f t="shared" si="350"/>
        <v>0</v>
      </c>
      <c r="X2325" s="50">
        <f t="shared" si="351"/>
        <v>0</v>
      </c>
      <c r="Y2325"/>
      <c r="Z2325"/>
      <c r="AA2325"/>
    </row>
    <row r="2326" spans="1:27" s="51" customFormat="1" ht="18.600000000000001" hidden="1" customHeight="1" x14ac:dyDescent="0.25">
      <c r="A2326" s="80" t="s">
        <v>2653</v>
      </c>
      <c r="B2326" s="20" t="s">
        <v>5760</v>
      </c>
      <c r="C2326" s="21" t="s">
        <v>9337</v>
      </c>
      <c r="D2326" s="20" t="s">
        <v>5842</v>
      </c>
      <c r="E2326" s="22" t="s">
        <v>5843</v>
      </c>
      <c r="F2326" s="22" t="s">
        <v>1937</v>
      </c>
      <c r="G2326" s="22" t="s">
        <v>3586</v>
      </c>
      <c r="H2326" s="83" t="s">
        <v>5844</v>
      </c>
      <c r="I2326" s="23" t="s">
        <v>24</v>
      </c>
      <c r="J2326" s="24">
        <v>95</v>
      </c>
      <c r="K2326" s="25">
        <v>0.25</v>
      </c>
      <c r="L2326" s="26">
        <f t="shared" si="343"/>
        <v>23.75</v>
      </c>
      <c r="M2326" s="27">
        <f t="shared" si="344"/>
        <v>71.25</v>
      </c>
      <c r="N2326" s="28">
        <v>0.16</v>
      </c>
      <c r="O2326" s="29">
        <f t="shared" si="345"/>
        <v>11.4</v>
      </c>
      <c r="P2326" s="30">
        <f t="shared" si="346"/>
        <v>82.65</v>
      </c>
      <c r="Q2326" s="23"/>
      <c r="R2326" s="52"/>
      <c r="S2326" s="53"/>
      <c r="T2326" s="54">
        <f t="shared" si="347"/>
        <v>0</v>
      </c>
      <c r="U2326" s="26">
        <f t="shared" si="348"/>
        <v>0</v>
      </c>
      <c r="V2326" s="55">
        <f t="shared" si="349"/>
        <v>0</v>
      </c>
      <c r="W2326" s="29">
        <f t="shared" si="350"/>
        <v>0</v>
      </c>
      <c r="X2326" s="30">
        <f t="shared" si="351"/>
        <v>0</v>
      </c>
      <c r="Y2326"/>
      <c r="Z2326"/>
      <c r="AA2326"/>
    </row>
    <row r="2327" spans="1:27" s="51" customFormat="1" ht="18.600000000000001" hidden="1" customHeight="1" x14ac:dyDescent="0.25">
      <c r="A2327" s="81" t="s">
        <v>2653</v>
      </c>
      <c r="B2327" s="31" t="s">
        <v>5760</v>
      </c>
      <c r="C2327" s="32" t="s">
        <v>9337</v>
      </c>
      <c r="D2327" s="31" t="s">
        <v>5845</v>
      </c>
      <c r="E2327" s="33" t="s">
        <v>5846</v>
      </c>
      <c r="F2327" s="33" t="s">
        <v>1937</v>
      </c>
      <c r="G2327" s="33" t="s">
        <v>3586</v>
      </c>
      <c r="H2327" s="84" t="s">
        <v>5847</v>
      </c>
      <c r="I2327" s="23" t="s">
        <v>24</v>
      </c>
      <c r="J2327" s="34">
        <v>95</v>
      </c>
      <c r="K2327" s="35">
        <v>0.25</v>
      </c>
      <c r="L2327" s="36">
        <f t="shared" ref="L2327:L2390" si="352">+J2327*K2327</f>
        <v>23.75</v>
      </c>
      <c r="M2327" s="37">
        <f t="shared" ref="M2327:M2390" si="353">+J2327-L2327</f>
        <v>71.25</v>
      </c>
      <c r="N2327" s="38">
        <v>0.16</v>
      </c>
      <c r="O2327" s="39">
        <f t="shared" ref="O2327:O2390" si="354">+M2327*N2327</f>
        <v>11.4</v>
      </c>
      <c r="P2327" s="40">
        <f t="shared" ref="P2327:P2390" si="355">+M2327+O2327</f>
        <v>82.65</v>
      </c>
      <c r="Q2327" s="23"/>
      <c r="R2327" s="56"/>
      <c r="S2327" s="57"/>
      <c r="T2327" s="58">
        <f t="shared" ref="T2327:T2390" si="356">+S2327*J2327</f>
        <v>0</v>
      </c>
      <c r="U2327" s="36">
        <f t="shared" ref="U2327:U2390" si="357">+T2327*K2327</f>
        <v>0</v>
      </c>
      <c r="V2327" s="59">
        <f t="shared" ref="V2327:V2390" si="358">+T2327-U2327</f>
        <v>0</v>
      </c>
      <c r="W2327" s="39">
        <f t="shared" ref="W2327:W2390" si="359">+V2327*N2327</f>
        <v>0</v>
      </c>
      <c r="X2327" s="40">
        <f t="shared" ref="X2327:X2390" si="360">+V2327+W2327</f>
        <v>0</v>
      </c>
      <c r="Y2327"/>
      <c r="Z2327"/>
      <c r="AA2327"/>
    </row>
    <row r="2328" spans="1:27" s="51" customFormat="1" ht="18.600000000000001" hidden="1" customHeight="1" x14ac:dyDescent="0.25">
      <c r="A2328" s="82" t="s">
        <v>2653</v>
      </c>
      <c r="B2328" s="41" t="s">
        <v>5760</v>
      </c>
      <c r="C2328" s="42" t="s">
        <v>9338</v>
      </c>
      <c r="D2328" s="41" t="s">
        <v>5848</v>
      </c>
      <c r="E2328" s="43" t="s">
        <v>5849</v>
      </c>
      <c r="F2328" s="43" t="s">
        <v>1937</v>
      </c>
      <c r="G2328" s="43" t="s">
        <v>3586</v>
      </c>
      <c r="H2328" s="85" t="s">
        <v>5850</v>
      </c>
      <c r="I2328" s="23" t="s">
        <v>24</v>
      </c>
      <c r="J2328" s="44">
        <v>95</v>
      </c>
      <c r="K2328" s="45">
        <v>0.25</v>
      </c>
      <c r="L2328" s="46">
        <f t="shared" si="352"/>
        <v>23.75</v>
      </c>
      <c r="M2328" s="47">
        <f t="shared" si="353"/>
        <v>71.25</v>
      </c>
      <c r="N2328" s="48">
        <v>0.16</v>
      </c>
      <c r="O2328" s="49">
        <f t="shared" si="354"/>
        <v>11.4</v>
      </c>
      <c r="P2328" s="50">
        <f t="shared" si="355"/>
        <v>82.65</v>
      </c>
      <c r="Q2328" s="23"/>
      <c r="R2328" s="60"/>
      <c r="S2328" s="61"/>
      <c r="T2328" s="62">
        <f t="shared" si="356"/>
        <v>0</v>
      </c>
      <c r="U2328" s="46">
        <f t="shared" si="357"/>
        <v>0</v>
      </c>
      <c r="V2328" s="63">
        <f t="shared" si="358"/>
        <v>0</v>
      </c>
      <c r="W2328" s="49">
        <f t="shared" si="359"/>
        <v>0</v>
      </c>
      <c r="X2328" s="50">
        <f t="shared" si="360"/>
        <v>0</v>
      </c>
      <c r="Y2328"/>
      <c r="Z2328"/>
      <c r="AA2328"/>
    </row>
    <row r="2329" spans="1:27" s="51" customFormat="1" ht="18.600000000000001" hidden="1" customHeight="1" x14ac:dyDescent="0.25">
      <c r="A2329" s="80" t="s">
        <v>2653</v>
      </c>
      <c r="B2329" s="20" t="s">
        <v>5760</v>
      </c>
      <c r="C2329" s="21" t="s">
        <v>9338</v>
      </c>
      <c r="D2329" s="20" t="s">
        <v>5851</v>
      </c>
      <c r="E2329" s="22" t="s">
        <v>5852</v>
      </c>
      <c r="F2329" s="22" t="s">
        <v>1937</v>
      </c>
      <c r="G2329" s="22" t="s">
        <v>3586</v>
      </c>
      <c r="H2329" s="83" t="s">
        <v>5853</v>
      </c>
      <c r="I2329" s="23" t="s">
        <v>24</v>
      </c>
      <c r="J2329" s="24">
        <v>95</v>
      </c>
      <c r="K2329" s="25">
        <v>0.25</v>
      </c>
      <c r="L2329" s="26">
        <f t="shared" si="352"/>
        <v>23.75</v>
      </c>
      <c r="M2329" s="27">
        <f t="shared" si="353"/>
        <v>71.25</v>
      </c>
      <c r="N2329" s="28">
        <v>0.16</v>
      </c>
      <c r="O2329" s="29">
        <f t="shared" si="354"/>
        <v>11.4</v>
      </c>
      <c r="P2329" s="30">
        <f t="shared" si="355"/>
        <v>82.65</v>
      </c>
      <c r="Q2329" s="23"/>
      <c r="R2329" s="52"/>
      <c r="S2329" s="53"/>
      <c r="T2329" s="54">
        <f t="shared" si="356"/>
        <v>0</v>
      </c>
      <c r="U2329" s="26">
        <f t="shared" si="357"/>
        <v>0</v>
      </c>
      <c r="V2329" s="55">
        <f t="shared" si="358"/>
        <v>0</v>
      </c>
      <c r="W2329" s="29">
        <f t="shared" si="359"/>
        <v>0</v>
      </c>
      <c r="X2329" s="30">
        <f t="shared" si="360"/>
        <v>0</v>
      </c>
      <c r="Y2329"/>
      <c r="Z2329"/>
      <c r="AA2329"/>
    </row>
    <row r="2330" spans="1:27" s="51" customFormat="1" ht="18.600000000000001" hidden="1" customHeight="1" x14ac:dyDescent="0.25">
      <c r="A2330" s="81" t="s">
        <v>2653</v>
      </c>
      <c r="B2330" s="31" t="s">
        <v>5760</v>
      </c>
      <c r="C2330" s="32" t="s">
        <v>9338</v>
      </c>
      <c r="D2330" s="31" t="s">
        <v>5854</v>
      </c>
      <c r="E2330" s="33" t="s">
        <v>5855</v>
      </c>
      <c r="F2330" s="33" t="s">
        <v>1937</v>
      </c>
      <c r="G2330" s="33" t="s">
        <v>3586</v>
      </c>
      <c r="H2330" s="84" t="s">
        <v>5856</v>
      </c>
      <c r="I2330" s="23" t="s">
        <v>24</v>
      </c>
      <c r="J2330" s="34">
        <v>95</v>
      </c>
      <c r="K2330" s="35">
        <v>0.25</v>
      </c>
      <c r="L2330" s="36">
        <f t="shared" si="352"/>
        <v>23.75</v>
      </c>
      <c r="M2330" s="37">
        <f t="shared" si="353"/>
        <v>71.25</v>
      </c>
      <c r="N2330" s="38">
        <v>0.16</v>
      </c>
      <c r="O2330" s="39">
        <f t="shared" si="354"/>
        <v>11.4</v>
      </c>
      <c r="P2330" s="40">
        <f t="shared" si="355"/>
        <v>82.65</v>
      </c>
      <c r="Q2330" s="23"/>
      <c r="R2330" s="56"/>
      <c r="S2330" s="57"/>
      <c r="T2330" s="58">
        <f t="shared" si="356"/>
        <v>0</v>
      </c>
      <c r="U2330" s="36">
        <f t="shared" si="357"/>
        <v>0</v>
      </c>
      <c r="V2330" s="59">
        <f t="shared" si="358"/>
        <v>0</v>
      </c>
      <c r="W2330" s="39">
        <f t="shared" si="359"/>
        <v>0</v>
      </c>
      <c r="X2330" s="40">
        <f t="shared" si="360"/>
        <v>0</v>
      </c>
      <c r="Y2330"/>
      <c r="Z2330"/>
      <c r="AA2330"/>
    </row>
    <row r="2331" spans="1:27" s="51" customFormat="1" ht="18.600000000000001" hidden="1" customHeight="1" x14ac:dyDescent="0.25">
      <c r="A2331" s="82" t="s">
        <v>2653</v>
      </c>
      <c r="B2331" s="41" t="s">
        <v>5760</v>
      </c>
      <c r="C2331" s="42" t="s">
        <v>9338</v>
      </c>
      <c r="D2331" s="41" t="s">
        <v>5857</v>
      </c>
      <c r="E2331" s="43" t="s">
        <v>5858</v>
      </c>
      <c r="F2331" s="43" t="s">
        <v>1937</v>
      </c>
      <c r="G2331" s="43" t="s">
        <v>3586</v>
      </c>
      <c r="H2331" s="85" t="s">
        <v>5859</v>
      </c>
      <c r="I2331" s="23" t="s">
        <v>24</v>
      </c>
      <c r="J2331" s="44">
        <v>95</v>
      </c>
      <c r="K2331" s="45">
        <v>0.25</v>
      </c>
      <c r="L2331" s="46">
        <f t="shared" si="352"/>
        <v>23.75</v>
      </c>
      <c r="M2331" s="47">
        <f t="shared" si="353"/>
        <v>71.25</v>
      </c>
      <c r="N2331" s="48">
        <v>0.16</v>
      </c>
      <c r="O2331" s="49">
        <f t="shared" si="354"/>
        <v>11.4</v>
      </c>
      <c r="P2331" s="50">
        <f t="shared" si="355"/>
        <v>82.65</v>
      </c>
      <c r="Q2331" s="23"/>
      <c r="R2331" s="60"/>
      <c r="S2331" s="61"/>
      <c r="T2331" s="62">
        <f t="shared" si="356"/>
        <v>0</v>
      </c>
      <c r="U2331" s="46">
        <f t="shared" si="357"/>
        <v>0</v>
      </c>
      <c r="V2331" s="63">
        <f t="shared" si="358"/>
        <v>0</v>
      </c>
      <c r="W2331" s="49">
        <f t="shared" si="359"/>
        <v>0</v>
      </c>
      <c r="X2331" s="50">
        <f t="shared" si="360"/>
        <v>0</v>
      </c>
      <c r="Y2331"/>
      <c r="Z2331"/>
      <c r="AA2331"/>
    </row>
    <row r="2332" spans="1:27" s="51" customFormat="1" ht="18.600000000000001" hidden="1" customHeight="1" x14ac:dyDescent="0.25">
      <c r="A2332" s="80" t="s">
        <v>2653</v>
      </c>
      <c r="B2332" s="20" t="s">
        <v>5760</v>
      </c>
      <c r="C2332" s="21" t="s">
        <v>9338</v>
      </c>
      <c r="D2332" s="20" t="s">
        <v>5860</v>
      </c>
      <c r="E2332" s="22" t="s">
        <v>5861</v>
      </c>
      <c r="F2332" s="22" t="s">
        <v>1937</v>
      </c>
      <c r="G2332" s="22" t="s">
        <v>3586</v>
      </c>
      <c r="H2332" s="83" t="s">
        <v>5862</v>
      </c>
      <c r="I2332" s="23" t="s">
        <v>24</v>
      </c>
      <c r="J2332" s="24">
        <v>95</v>
      </c>
      <c r="K2332" s="25">
        <v>0.25</v>
      </c>
      <c r="L2332" s="26">
        <f t="shared" si="352"/>
        <v>23.75</v>
      </c>
      <c r="M2332" s="27">
        <f t="shared" si="353"/>
        <v>71.25</v>
      </c>
      <c r="N2332" s="28">
        <v>0.16</v>
      </c>
      <c r="O2332" s="29">
        <f t="shared" si="354"/>
        <v>11.4</v>
      </c>
      <c r="P2332" s="30">
        <f t="shared" si="355"/>
        <v>82.65</v>
      </c>
      <c r="Q2332" s="23"/>
      <c r="R2332" s="52"/>
      <c r="S2332" s="53"/>
      <c r="T2332" s="54">
        <f t="shared" si="356"/>
        <v>0</v>
      </c>
      <c r="U2332" s="26">
        <f t="shared" si="357"/>
        <v>0</v>
      </c>
      <c r="V2332" s="55">
        <f t="shared" si="358"/>
        <v>0</v>
      </c>
      <c r="W2332" s="29">
        <f t="shared" si="359"/>
        <v>0</v>
      </c>
      <c r="X2332" s="30">
        <f t="shared" si="360"/>
        <v>0</v>
      </c>
      <c r="Y2332"/>
      <c r="Z2332"/>
      <c r="AA2332"/>
    </row>
    <row r="2333" spans="1:27" s="51" customFormat="1" ht="18.600000000000001" hidden="1" customHeight="1" x14ac:dyDescent="0.25">
      <c r="A2333" s="81" t="s">
        <v>2653</v>
      </c>
      <c r="B2333" s="31" t="s">
        <v>5760</v>
      </c>
      <c r="C2333" s="32" t="s">
        <v>9338</v>
      </c>
      <c r="D2333" s="31" t="s">
        <v>5863</v>
      </c>
      <c r="E2333" s="33" t="s">
        <v>5864</v>
      </c>
      <c r="F2333" s="33" t="s">
        <v>1937</v>
      </c>
      <c r="G2333" s="33" t="s">
        <v>3586</v>
      </c>
      <c r="H2333" s="84" t="s">
        <v>5865</v>
      </c>
      <c r="I2333" s="23" t="s">
        <v>24</v>
      </c>
      <c r="J2333" s="34">
        <v>95</v>
      </c>
      <c r="K2333" s="35">
        <v>0.25</v>
      </c>
      <c r="L2333" s="36">
        <f t="shared" si="352"/>
        <v>23.75</v>
      </c>
      <c r="M2333" s="37">
        <f t="shared" si="353"/>
        <v>71.25</v>
      </c>
      <c r="N2333" s="38">
        <v>0.16</v>
      </c>
      <c r="O2333" s="39">
        <f t="shared" si="354"/>
        <v>11.4</v>
      </c>
      <c r="P2333" s="40">
        <f t="shared" si="355"/>
        <v>82.65</v>
      </c>
      <c r="Q2333" s="23"/>
      <c r="R2333" s="56"/>
      <c r="S2333" s="57"/>
      <c r="T2333" s="58">
        <f t="shared" si="356"/>
        <v>0</v>
      </c>
      <c r="U2333" s="36">
        <f t="shared" si="357"/>
        <v>0</v>
      </c>
      <c r="V2333" s="59">
        <f t="shared" si="358"/>
        <v>0</v>
      </c>
      <c r="W2333" s="39">
        <f t="shared" si="359"/>
        <v>0</v>
      </c>
      <c r="X2333" s="40">
        <f t="shared" si="360"/>
        <v>0</v>
      </c>
      <c r="Y2333"/>
      <c r="Z2333"/>
      <c r="AA2333"/>
    </row>
    <row r="2334" spans="1:27" s="51" customFormat="1" ht="18.600000000000001" hidden="1" customHeight="1" x14ac:dyDescent="0.25">
      <c r="A2334" s="82" t="s">
        <v>2653</v>
      </c>
      <c r="B2334" s="41" t="s">
        <v>5760</v>
      </c>
      <c r="C2334" s="42" t="s">
        <v>9338</v>
      </c>
      <c r="D2334" s="41" t="s">
        <v>5866</v>
      </c>
      <c r="E2334" s="43" t="s">
        <v>5867</v>
      </c>
      <c r="F2334" s="43" t="s">
        <v>1937</v>
      </c>
      <c r="G2334" s="43" t="s">
        <v>3586</v>
      </c>
      <c r="H2334" s="85" t="s">
        <v>5868</v>
      </c>
      <c r="I2334" s="23" t="s">
        <v>24</v>
      </c>
      <c r="J2334" s="44">
        <v>95</v>
      </c>
      <c r="K2334" s="45">
        <v>0.25</v>
      </c>
      <c r="L2334" s="46">
        <f t="shared" si="352"/>
        <v>23.75</v>
      </c>
      <c r="M2334" s="47">
        <f t="shared" si="353"/>
        <v>71.25</v>
      </c>
      <c r="N2334" s="48">
        <v>0.16</v>
      </c>
      <c r="O2334" s="49">
        <f t="shared" si="354"/>
        <v>11.4</v>
      </c>
      <c r="P2334" s="50">
        <f t="shared" si="355"/>
        <v>82.65</v>
      </c>
      <c r="Q2334" s="23"/>
      <c r="R2334" s="60"/>
      <c r="S2334" s="61"/>
      <c r="T2334" s="62">
        <f t="shared" si="356"/>
        <v>0</v>
      </c>
      <c r="U2334" s="46">
        <f t="shared" si="357"/>
        <v>0</v>
      </c>
      <c r="V2334" s="63">
        <f t="shared" si="358"/>
        <v>0</v>
      </c>
      <c r="W2334" s="49">
        <f t="shared" si="359"/>
        <v>0</v>
      </c>
      <c r="X2334" s="50">
        <f t="shared" si="360"/>
        <v>0</v>
      </c>
      <c r="Y2334"/>
      <c r="Z2334"/>
      <c r="AA2334"/>
    </row>
    <row r="2335" spans="1:27" s="51" customFormat="1" ht="18.600000000000001" hidden="1" customHeight="1" x14ac:dyDescent="0.25">
      <c r="A2335" s="80" t="s">
        <v>2653</v>
      </c>
      <c r="B2335" s="20" t="s">
        <v>5760</v>
      </c>
      <c r="C2335" s="21" t="s">
        <v>9338</v>
      </c>
      <c r="D2335" s="20" t="s">
        <v>5869</v>
      </c>
      <c r="E2335" s="22" t="s">
        <v>5870</v>
      </c>
      <c r="F2335" s="22" t="s">
        <v>1937</v>
      </c>
      <c r="G2335" s="22" t="s">
        <v>3586</v>
      </c>
      <c r="H2335" s="83" t="s">
        <v>5871</v>
      </c>
      <c r="I2335" s="23" t="s">
        <v>24</v>
      </c>
      <c r="J2335" s="24">
        <v>95</v>
      </c>
      <c r="K2335" s="25">
        <v>0.25</v>
      </c>
      <c r="L2335" s="26">
        <f t="shared" si="352"/>
        <v>23.75</v>
      </c>
      <c r="M2335" s="27">
        <f t="shared" si="353"/>
        <v>71.25</v>
      </c>
      <c r="N2335" s="28">
        <v>0.16</v>
      </c>
      <c r="O2335" s="29">
        <f t="shared" si="354"/>
        <v>11.4</v>
      </c>
      <c r="P2335" s="30">
        <f t="shared" si="355"/>
        <v>82.65</v>
      </c>
      <c r="Q2335" s="23"/>
      <c r="R2335" s="52"/>
      <c r="S2335" s="53"/>
      <c r="T2335" s="54">
        <f t="shared" si="356"/>
        <v>0</v>
      </c>
      <c r="U2335" s="26">
        <f t="shared" si="357"/>
        <v>0</v>
      </c>
      <c r="V2335" s="55">
        <f t="shared" si="358"/>
        <v>0</v>
      </c>
      <c r="W2335" s="29">
        <f t="shared" si="359"/>
        <v>0</v>
      </c>
      <c r="X2335" s="30">
        <f t="shared" si="360"/>
        <v>0</v>
      </c>
      <c r="Y2335"/>
      <c r="Z2335"/>
      <c r="AA2335"/>
    </row>
    <row r="2336" spans="1:27" s="51" customFormat="1" ht="18.600000000000001" hidden="1" customHeight="1" x14ac:dyDescent="0.25">
      <c r="A2336" s="81" t="s">
        <v>2653</v>
      </c>
      <c r="B2336" s="31" t="s">
        <v>5760</v>
      </c>
      <c r="C2336" s="32" t="s">
        <v>9338</v>
      </c>
      <c r="D2336" s="31" t="s">
        <v>5872</v>
      </c>
      <c r="E2336" s="33" t="s">
        <v>5873</v>
      </c>
      <c r="F2336" s="33" t="s">
        <v>1937</v>
      </c>
      <c r="G2336" s="33" t="s">
        <v>3586</v>
      </c>
      <c r="H2336" s="84" t="s">
        <v>5874</v>
      </c>
      <c r="I2336" s="23" t="s">
        <v>24</v>
      </c>
      <c r="J2336" s="34">
        <v>95</v>
      </c>
      <c r="K2336" s="35">
        <v>0.25</v>
      </c>
      <c r="L2336" s="36">
        <f t="shared" si="352"/>
        <v>23.75</v>
      </c>
      <c r="M2336" s="37">
        <f t="shared" si="353"/>
        <v>71.25</v>
      </c>
      <c r="N2336" s="38">
        <v>0.16</v>
      </c>
      <c r="O2336" s="39">
        <f t="shared" si="354"/>
        <v>11.4</v>
      </c>
      <c r="P2336" s="40">
        <f t="shared" si="355"/>
        <v>82.65</v>
      </c>
      <c r="Q2336" s="23"/>
      <c r="R2336" s="56"/>
      <c r="S2336" s="57"/>
      <c r="T2336" s="58">
        <f t="shared" si="356"/>
        <v>0</v>
      </c>
      <c r="U2336" s="36">
        <f t="shared" si="357"/>
        <v>0</v>
      </c>
      <c r="V2336" s="59">
        <f t="shared" si="358"/>
        <v>0</v>
      </c>
      <c r="W2336" s="39">
        <f t="shared" si="359"/>
        <v>0</v>
      </c>
      <c r="X2336" s="40">
        <f t="shared" si="360"/>
        <v>0</v>
      </c>
      <c r="Y2336"/>
      <c r="Z2336"/>
      <c r="AA2336"/>
    </row>
    <row r="2337" spans="1:27" s="51" customFormat="1" ht="18.600000000000001" hidden="1" customHeight="1" x14ac:dyDescent="0.25">
      <c r="A2337" s="82" t="s">
        <v>2653</v>
      </c>
      <c r="B2337" s="41" t="s">
        <v>5760</v>
      </c>
      <c r="C2337" s="42" t="s">
        <v>9338</v>
      </c>
      <c r="D2337" s="41" t="s">
        <v>5875</v>
      </c>
      <c r="E2337" s="43" t="s">
        <v>5876</v>
      </c>
      <c r="F2337" s="43" t="s">
        <v>1937</v>
      </c>
      <c r="G2337" s="43" t="s">
        <v>3586</v>
      </c>
      <c r="H2337" s="85" t="s">
        <v>5877</v>
      </c>
      <c r="I2337" s="23" t="s">
        <v>24</v>
      </c>
      <c r="J2337" s="44">
        <v>95</v>
      </c>
      <c r="K2337" s="45">
        <v>0.25</v>
      </c>
      <c r="L2337" s="46">
        <f t="shared" si="352"/>
        <v>23.75</v>
      </c>
      <c r="M2337" s="47">
        <f t="shared" si="353"/>
        <v>71.25</v>
      </c>
      <c r="N2337" s="48">
        <v>0.16</v>
      </c>
      <c r="O2337" s="49">
        <f t="shared" si="354"/>
        <v>11.4</v>
      </c>
      <c r="P2337" s="50">
        <f t="shared" si="355"/>
        <v>82.65</v>
      </c>
      <c r="Q2337" s="23"/>
      <c r="R2337" s="60"/>
      <c r="S2337" s="61"/>
      <c r="T2337" s="62">
        <f t="shared" si="356"/>
        <v>0</v>
      </c>
      <c r="U2337" s="46">
        <f t="shared" si="357"/>
        <v>0</v>
      </c>
      <c r="V2337" s="63">
        <f t="shared" si="358"/>
        <v>0</v>
      </c>
      <c r="W2337" s="49">
        <f t="shared" si="359"/>
        <v>0</v>
      </c>
      <c r="X2337" s="50">
        <f t="shared" si="360"/>
        <v>0</v>
      </c>
      <c r="Y2337"/>
      <c r="Z2337"/>
      <c r="AA2337"/>
    </row>
    <row r="2338" spans="1:27" s="51" customFormat="1" ht="18.600000000000001" hidden="1" customHeight="1" x14ac:dyDescent="0.25">
      <c r="A2338" s="80" t="s">
        <v>2653</v>
      </c>
      <c r="B2338" s="20" t="s">
        <v>5760</v>
      </c>
      <c r="C2338" s="21" t="s">
        <v>9338</v>
      </c>
      <c r="D2338" s="20" t="s">
        <v>5878</v>
      </c>
      <c r="E2338" s="22" t="s">
        <v>5879</v>
      </c>
      <c r="F2338" s="22" t="s">
        <v>1937</v>
      </c>
      <c r="G2338" s="22" t="s">
        <v>3586</v>
      </c>
      <c r="H2338" s="83" t="s">
        <v>5880</v>
      </c>
      <c r="I2338" s="23" t="s">
        <v>24</v>
      </c>
      <c r="J2338" s="24">
        <v>95</v>
      </c>
      <c r="K2338" s="25">
        <v>0.25</v>
      </c>
      <c r="L2338" s="26">
        <f t="shared" si="352"/>
        <v>23.75</v>
      </c>
      <c r="M2338" s="27">
        <f t="shared" si="353"/>
        <v>71.25</v>
      </c>
      <c r="N2338" s="28">
        <v>0.16</v>
      </c>
      <c r="O2338" s="29">
        <f t="shared" si="354"/>
        <v>11.4</v>
      </c>
      <c r="P2338" s="30">
        <f t="shared" si="355"/>
        <v>82.65</v>
      </c>
      <c r="Q2338" s="23"/>
      <c r="R2338" s="52"/>
      <c r="S2338" s="53"/>
      <c r="T2338" s="54">
        <f t="shared" si="356"/>
        <v>0</v>
      </c>
      <c r="U2338" s="26">
        <f t="shared" si="357"/>
        <v>0</v>
      </c>
      <c r="V2338" s="55">
        <f t="shared" si="358"/>
        <v>0</v>
      </c>
      <c r="W2338" s="29">
        <f t="shared" si="359"/>
        <v>0</v>
      </c>
      <c r="X2338" s="30">
        <f t="shared" si="360"/>
        <v>0</v>
      </c>
      <c r="Y2338"/>
      <c r="Z2338"/>
      <c r="AA2338"/>
    </row>
    <row r="2339" spans="1:27" s="51" customFormat="1" ht="18.600000000000001" hidden="1" customHeight="1" x14ac:dyDescent="0.25">
      <c r="A2339" s="81" t="s">
        <v>2653</v>
      </c>
      <c r="B2339" s="31" t="s">
        <v>5760</v>
      </c>
      <c r="C2339" s="32" t="s">
        <v>9338</v>
      </c>
      <c r="D2339" s="31" t="s">
        <v>5881</v>
      </c>
      <c r="E2339" s="33" t="s">
        <v>5882</v>
      </c>
      <c r="F2339" s="33" t="s">
        <v>1937</v>
      </c>
      <c r="G2339" s="33" t="s">
        <v>3586</v>
      </c>
      <c r="H2339" s="84" t="s">
        <v>5883</v>
      </c>
      <c r="I2339" s="23" t="s">
        <v>24</v>
      </c>
      <c r="J2339" s="34">
        <v>95</v>
      </c>
      <c r="K2339" s="35">
        <v>0.25</v>
      </c>
      <c r="L2339" s="36">
        <f t="shared" si="352"/>
        <v>23.75</v>
      </c>
      <c r="M2339" s="37">
        <f t="shared" si="353"/>
        <v>71.25</v>
      </c>
      <c r="N2339" s="38">
        <v>0.16</v>
      </c>
      <c r="O2339" s="39">
        <f t="shared" si="354"/>
        <v>11.4</v>
      </c>
      <c r="P2339" s="40">
        <f t="shared" si="355"/>
        <v>82.65</v>
      </c>
      <c r="Q2339" s="23"/>
      <c r="R2339" s="56"/>
      <c r="S2339" s="57"/>
      <c r="T2339" s="58">
        <f t="shared" si="356"/>
        <v>0</v>
      </c>
      <c r="U2339" s="36">
        <f t="shared" si="357"/>
        <v>0</v>
      </c>
      <c r="V2339" s="59">
        <f t="shared" si="358"/>
        <v>0</v>
      </c>
      <c r="W2339" s="39">
        <f t="shared" si="359"/>
        <v>0</v>
      </c>
      <c r="X2339" s="40">
        <f t="shared" si="360"/>
        <v>0</v>
      </c>
      <c r="Y2339"/>
      <c r="Z2339"/>
      <c r="AA2339"/>
    </row>
    <row r="2340" spans="1:27" s="51" customFormat="1" ht="18.600000000000001" hidden="1" customHeight="1" x14ac:dyDescent="0.25">
      <c r="A2340" s="82" t="s">
        <v>2653</v>
      </c>
      <c r="B2340" s="41" t="s">
        <v>5760</v>
      </c>
      <c r="C2340" s="42" t="s">
        <v>9338</v>
      </c>
      <c r="D2340" s="41" t="s">
        <v>5884</v>
      </c>
      <c r="E2340" s="43" t="s">
        <v>5885</v>
      </c>
      <c r="F2340" s="43" t="s">
        <v>1937</v>
      </c>
      <c r="G2340" s="43" t="s">
        <v>3586</v>
      </c>
      <c r="H2340" s="85" t="s">
        <v>5886</v>
      </c>
      <c r="I2340" s="23" t="s">
        <v>24</v>
      </c>
      <c r="J2340" s="44">
        <v>95</v>
      </c>
      <c r="K2340" s="45">
        <v>0.25</v>
      </c>
      <c r="L2340" s="46">
        <f t="shared" si="352"/>
        <v>23.75</v>
      </c>
      <c r="M2340" s="47">
        <f t="shared" si="353"/>
        <v>71.25</v>
      </c>
      <c r="N2340" s="48">
        <v>0.16</v>
      </c>
      <c r="O2340" s="49">
        <f t="shared" si="354"/>
        <v>11.4</v>
      </c>
      <c r="P2340" s="50">
        <f t="shared" si="355"/>
        <v>82.65</v>
      </c>
      <c r="Q2340" s="23"/>
      <c r="R2340" s="60"/>
      <c r="S2340" s="61"/>
      <c r="T2340" s="62">
        <f t="shared" si="356"/>
        <v>0</v>
      </c>
      <c r="U2340" s="46">
        <f t="shared" si="357"/>
        <v>0</v>
      </c>
      <c r="V2340" s="63">
        <f t="shared" si="358"/>
        <v>0</v>
      </c>
      <c r="W2340" s="49">
        <f t="shared" si="359"/>
        <v>0</v>
      </c>
      <c r="X2340" s="50">
        <f t="shared" si="360"/>
        <v>0</v>
      </c>
      <c r="Y2340"/>
      <c r="Z2340"/>
      <c r="AA2340"/>
    </row>
    <row r="2341" spans="1:27" s="51" customFormat="1" ht="18.600000000000001" hidden="1" customHeight="1" x14ac:dyDescent="0.25">
      <c r="A2341" s="80" t="s">
        <v>2653</v>
      </c>
      <c r="B2341" s="20" t="s">
        <v>5760</v>
      </c>
      <c r="C2341" s="21" t="s">
        <v>9338</v>
      </c>
      <c r="D2341" s="20" t="s">
        <v>5887</v>
      </c>
      <c r="E2341" s="22" t="s">
        <v>5888</v>
      </c>
      <c r="F2341" s="22" t="s">
        <v>1937</v>
      </c>
      <c r="G2341" s="22" t="s">
        <v>3586</v>
      </c>
      <c r="H2341" s="83" t="s">
        <v>5889</v>
      </c>
      <c r="I2341" s="23" t="s">
        <v>24</v>
      </c>
      <c r="J2341" s="24">
        <v>95</v>
      </c>
      <c r="K2341" s="25">
        <v>0.25</v>
      </c>
      <c r="L2341" s="26">
        <f t="shared" si="352"/>
        <v>23.75</v>
      </c>
      <c r="M2341" s="27">
        <f t="shared" si="353"/>
        <v>71.25</v>
      </c>
      <c r="N2341" s="28">
        <v>0.16</v>
      </c>
      <c r="O2341" s="29">
        <f t="shared" si="354"/>
        <v>11.4</v>
      </c>
      <c r="P2341" s="30">
        <f t="shared" si="355"/>
        <v>82.65</v>
      </c>
      <c r="Q2341" s="23"/>
      <c r="R2341" s="52"/>
      <c r="S2341" s="53"/>
      <c r="T2341" s="54">
        <f t="shared" si="356"/>
        <v>0</v>
      </c>
      <c r="U2341" s="26">
        <f t="shared" si="357"/>
        <v>0</v>
      </c>
      <c r="V2341" s="55">
        <f t="shared" si="358"/>
        <v>0</v>
      </c>
      <c r="W2341" s="29">
        <f t="shared" si="359"/>
        <v>0</v>
      </c>
      <c r="X2341" s="30">
        <f t="shared" si="360"/>
        <v>0</v>
      </c>
      <c r="Y2341"/>
      <c r="Z2341"/>
      <c r="AA2341"/>
    </row>
    <row r="2342" spans="1:27" s="51" customFormat="1" ht="18.600000000000001" hidden="1" customHeight="1" x14ac:dyDescent="0.25">
      <c r="A2342" s="81" t="s">
        <v>2653</v>
      </c>
      <c r="B2342" s="31" t="s">
        <v>5760</v>
      </c>
      <c r="C2342" s="32" t="s">
        <v>9338</v>
      </c>
      <c r="D2342" s="31" t="s">
        <v>5890</v>
      </c>
      <c r="E2342" s="33" t="s">
        <v>5891</v>
      </c>
      <c r="F2342" s="33" t="s">
        <v>1937</v>
      </c>
      <c r="G2342" s="33" t="s">
        <v>3586</v>
      </c>
      <c r="H2342" s="84" t="s">
        <v>5892</v>
      </c>
      <c r="I2342" s="23" t="s">
        <v>24</v>
      </c>
      <c r="J2342" s="34">
        <v>95</v>
      </c>
      <c r="K2342" s="35">
        <v>0.25</v>
      </c>
      <c r="L2342" s="36">
        <f t="shared" si="352"/>
        <v>23.75</v>
      </c>
      <c r="M2342" s="37">
        <f t="shared" si="353"/>
        <v>71.25</v>
      </c>
      <c r="N2342" s="38">
        <v>0.16</v>
      </c>
      <c r="O2342" s="39">
        <f t="shared" si="354"/>
        <v>11.4</v>
      </c>
      <c r="P2342" s="40">
        <f t="shared" si="355"/>
        <v>82.65</v>
      </c>
      <c r="Q2342" s="23"/>
      <c r="R2342" s="56"/>
      <c r="S2342" s="57"/>
      <c r="T2342" s="58">
        <f t="shared" si="356"/>
        <v>0</v>
      </c>
      <c r="U2342" s="36">
        <f t="shared" si="357"/>
        <v>0</v>
      </c>
      <c r="V2342" s="59">
        <f t="shared" si="358"/>
        <v>0</v>
      </c>
      <c r="W2342" s="39">
        <f t="shared" si="359"/>
        <v>0</v>
      </c>
      <c r="X2342" s="40">
        <f t="shared" si="360"/>
        <v>0</v>
      </c>
      <c r="Y2342"/>
      <c r="Z2342"/>
      <c r="AA2342"/>
    </row>
    <row r="2343" spans="1:27" s="51" customFormat="1" ht="18.600000000000001" hidden="1" customHeight="1" x14ac:dyDescent="0.25">
      <c r="A2343" s="82" t="s">
        <v>2653</v>
      </c>
      <c r="B2343" s="41" t="s">
        <v>5760</v>
      </c>
      <c r="C2343" s="42" t="s">
        <v>9338</v>
      </c>
      <c r="D2343" s="41" t="s">
        <v>5893</v>
      </c>
      <c r="E2343" s="43" t="s">
        <v>5894</v>
      </c>
      <c r="F2343" s="43" t="s">
        <v>1937</v>
      </c>
      <c r="G2343" s="43" t="s">
        <v>3586</v>
      </c>
      <c r="H2343" s="85" t="s">
        <v>5895</v>
      </c>
      <c r="I2343" s="23" t="s">
        <v>24</v>
      </c>
      <c r="J2343" s="44">
        <v>95</v>
      </c>
      <c r="K2343" s="45">
        <v>0.25</v>
      </c>
      <c r="L2343" s="46">
        <f t="shared" si="352"/>
        <v>23.75</v>
      </c>
      <c r="M2343" s="47">
        <f t="shared" si="353"/>
        <v>71.25</v>
      </c>
      <c r="N2343" s="48">
        <v>0.16</v>
      </c>
      <c r="O2343" s="49">
        <f t="shared" si="354"/>
        <v>11.4</v>
      </c>
      <c r="P2343" s="50">
        <f t="shared" si="355"/>
        <v>82.65</v>
      </c>
      <c r="Q2343" s="23"/>
      <c r="R2343" s="60"/>
      <c r="S2343" s="61"/>
      <c r="T2343" s="62">
        <f t="shared" si="356"/>
        <v>0</v>
      </c>
      <c r="U2343" s="46">
        <f t="shared" si="357"/>
        <v>0</v>
      </c>
      <c r="V2343" s="63">
        <f t="shared" si="358"/>
        <v>0</v>
      </c>
      <c r="W2343" s="49">
        <f t="shared" si="359"/>
        <v>0</v>
      </c>
      <c r="X2343" s="50">
        <f t="shared" si="360"/>
        <v>0</v>
      </c>
      <c r="Y2343"/>
      <c r="Z2343"/>
      <c r="AA2343"/>
    </row>
    <row r="2344" spans="1:27" s="51" customFormat="1" ht="18.600000000000001" hidden="1" customHeight="1" x14ac:dyDescent="0.25">
      <c r="A2344" s="80" t="s">
        <v>2653</v>
      </c>
      <c r="B2344" s="20" t="s">
        <v>5760</v>
      </c>
      <c r="C2344" s="21" t="s">
        <v>9338</v>
      </c>
      <c r="D2344" s="20" t="s">
        <v>5896</v>
      </c>
      <c r="E2344" s="22" t="s">
        <v>5897</v>
      </c>
      <c r="F2344" s="22" t="s">
        <v>1937</v>
      </c>
      <c r="G2344" s="22" t="s">
        <v>3586</v>
      </c>
      <c r="H2344" s="83" t="s">
        <v>5898</v>
      </c>
      <c r="I2344" s="23" t="s">
        <v>24</v>
      </c>
      <c r="J2344" s="24">
        <v>95</v>
      </c>
      <c r="K2344" s="25">
        <v>0.25</v>
      </c>
      <c r="L2344" s="26">
        <f t="shared" si="352"/>
        <v>23.75</v>
      </c>
      <c r="M2344" s="27">
        <f t="shared" si="353"/>
        <v>71.25</v>
      </c>
      <c r="N2344" s="28">
        <v>0.16</v>
      </c>
      <c r="O2344" s="29">
        <f t="shared" si="354"/>
        <v>11.4</v>
      </c>
      <c r="P2344" s="30">
        <f t="shared" si="355"/>
        <v>82.65</v>
      </c>
      <c r="Q2344" s="23"/>
      <c r="R2344" s="52"/>
      <c r="S2344" s="53"/>
      <c r="T2344" s="54">
        <f t="shared" si="356"/>
        <v>0</v>
      </c>
      <c r="U2344" s="26">
        <f t="shared" si="357"/>
        <v>0</v>
      </c>
      <c r="V2344" s="55">
        <f t="shared" si="358"/>
        <v>0</v>
      </c>
      <c r="W2344" s="29">
        <f t="shared" si="359"/>
        <v>0</v>
      </c>
      <c r="X2344" s="30">
        <f t="shared" si="360"/>
        <v>0</v>
      </c>
      <c r="Y2344"/>
      <c r="Z2344"/>
      <c r="AA2344"/>
    </row>
    <row r="2345" spans="1:27" s="51" customFormat="1" ht="18.600000000000001" hidden="1" customHeight="1" x14ac:dyDescent="0.25">
      <c r="A2345" s="81" t="s">
        <v>2653</v>
      </c>
      <c r="B2345" s="31" t="s">
        <v>5760</v>
      </c>
      <c r="C2345" s="32" t="s">
        <v>9338</v>
      </c>
      <c r="D2345" s="31" t="s">
        <v>5899</v>
      </c>
      <c r="E2345" s="33" t="s">
        <v>5900</v>
      </c>
      <c r="F2345" s="33" t="s">
        <v>1937</v>
      </c>
      <c r="G2345" s="33" t="s">
        <v>3586</v>
      </c>
      <c r="H2345" s="84" t="s">
        <v>5901</v>
      </c>
      <c r="I2345" s="23" t="s">
        <v>24</v>
      </c>
      <c r="J2345" s="34">
        <v>95</v>
      </c>
      <c r="K2345" s="35">
        <v>0.25</v>
      </c>
      <c r="L2345" s="36">
        <f t="shared" si="352"/>
        <v>23.75</v>
      </c>
      <c r="M2345" s="37">
        <f t="shared" si="353"/>
        <v>71.25</v>
      </c>
      <c r="N2345" s="38">
        <v>0.16</v>
      </c>
      <c r="O2345" s="39">
        <f t="shared" si="354"/>
        <v>11.4</v>
      </c>
      <c r="P2345" s="40">
        <f t="shared" si="355"/>
        <v>82.65</v>
      </c>
      <c r="Q2345" s="23"/>
      <c r="R2345" s="56"/>
      <c r="S2345" s="57"/>
      <c r="T2345" s="58">
        <f t="shared" si="356"/>
        <v>0</v>
      </c>
      <c r="U2345" s="36">
        <f t="shared" si="357"/>
        <v>0</v>
      </c>
      <c r="V2345" s="59">
        <f t="shared" si="358"/>
        <v>0</v>
      </c>
      <c r="W2345" s="39">
        <f t="shared" si="359"/>
        <v>0</v>
      </c>
      <c r="X2345" s="40">
        <f t="shared" si="360"/>
        <v>0</v>
      </c>
      <c r="Y2345"/>
      <c r="Z2345"/>
      <c r="AA2345"/>
    </row>
    <row r="2346" spans="1:27" s="51" customFormat="1" ht="18.600000000000001" hidden="1" customHeight="1" x14ac:dyDescent="0.25">
      <c r="A2346" s="82" t="s">
        <v>2653</v>
      </c>
      <c r="B2346" s="41" t="s">
        <v>5760</v>
      </c>
      <c r="C2346" s="42" t="s">
        <v>9338</v>
      </c>
      <c r="D2346" s="41" t="s">
        <v>5902</v>
      </c>
      <c r="E2346" s="43" t="s">
        <v>5903</v>
      </c>
      <c r="F2346" s="43" t="s">
        <v>1937</v>
      </c>
      <c r="G2346" s="43" t="s">
        <v>3586</v>
      </c>
      <c r="H2346" s="85" t="s">
        <v>5904</v>
      </c>
      <c r="I2346" s="23" t="s">
        <v>24</v>
      </c>
      <c r="J2346" s="44">
        <v>95</v>
      </c>
      <c r="K2346" s="45">
        <v>0.25</v>
      </c>
      <c r="L2346" s="46">
        <f t="shared" si="352"/>
        <v>23.75</v>
      </c>
      <c r="M2346" s="47">
        <f t="shared" si="353"/>
        <v>71.25</v>
      </c>
      <c r="N2346" s="48">
        <v>0.16</v>
      </c>
      <c r="O2346" s="49">
        <f t="shared" si="354"/>
        <v>11.4</v>
      </c>
      <c r="P2346" s="50">
        <f t="shared" si="355"/>
        <v>82.65</v>
      </c>
      <c r="Q2346" s="23"/>
      <c r="R2346" s="60"/>
      <c r="S2346" s="61"/>
      <c r="T2346" s="62">
        <f t="shared" si="356"/>
        <v>0</v>
      </c>
      <c r="U2346" s="46">
        <f t="shared" si="357"/>
        <v>0</v>
      </c>
      <c r="V2346" s="63">
        <f t="shared" si="358"/>
        <v>0</v>
      </c>
      <c r="W2346" s="49">
        <f t="shared" si="359"/>
        <v>0</v>
      </c>
      <c r="X2346" s="50">
        <f t="shared" si="360"/>
        <v>0</v>
      </c>
      <c r="Y2346"/>
      <c r="Z2346"/>
      <c r="AA2346"/>
    </row>
    <row r="2347" spans="1:27" s="51" customFormat="1" ht="18.600000000000001" hidden="1" customHeight="1" x14ac:dyDescent="0.25">
      <c r="A2347" s="80" t="s">
        <v>2653</v>
      </c>
      <c r="B2347" s="20" t="s">
        <v>5760</v>
      </c>
      <c r="C2347" s="21" t="s">
        <v>9338</v>
      </c>
      <c r="D2347" s="20" t="s">
        <v>5905</v>
      </c>
      <c r="E2347" s="22" t="s">
        <v>5906</v>
      </c>
      <c r="F2347" s="22" t="s">
        <v>1937</v>
      </c>
      <c r="G2347" s="22" t="s">
        <v>3586</v>
      </c>
      <c r="H2347" s="83" t="s">
        <v>5907</v>
      </c>
      <c r="I2347" s="23" t="s">
        <v>24</v>
      </c>
      <c r="J2347" s="24">
        <v>95</v>
      </c>
      <c r="K2347" s="25">
        <v>0.25</v>
      </c>
      <c r="L2347" s="26">
        <f t="shared" si="352"/>
        <v>23.75</v>
      </c>
      <c r="M2347" s="27">
        <f t="shared" si="353"/>
        <v>71.25</v>
      </c>
      <c r="N2347" s="28">
        <v>0.16</v>
      </c>
      <c r="O2347" s="29">
        <f t="shared" si="354"/>
        <v>11.4</v>
      </c>
      <c r="P2347" s="30">
        <f t="shared" si="355"/>
        <v>82.65</v>
      </c>
      <c r="Q2347" s="23"/>
      <c r="R2347" s="52"/>
      <c r="S2347" s="53"/>
      <c r="T2347" s="54">
        <f t="shared" si="356"/>
        <v>0</v>
      </c>
      <c r="U2347" s="26">
        <f t="shared" si="357"/>
        <v>0</v>
      </c>
      <c r="V2347" s="55">
        <f t="shared" si="358"/>
        <v>0</v>
      </c>
      <c r="W2347" s="29">
        <f t="shared" si="359"/>
        <v>0</v>
      </c>
      <c r="X2347" s="30">
        <f t="shared" si="360"/>
        <v>0</v>
      </c>
      <c r="Y2347"/>
      <c r="Z2347"/>
      <c r="AA2347"/>
    </row>
    <row r="2348" spans="1:27" s="51" customFormat="1" ht="18.600000000000001" hidden="1" customHeight="1" x14ac:dyDescent="0.25">
      <c r="A2348" s="81" t="s">
        <v>2653</v>
      </c>
      <c r="B2348" s="31" t="s">
        <v>5760</v>
      </c>
      <c r="C2348" s="32" t="s">
        <v>9338</v>
      </c>
      <c r="D2348" s="31" t="s">
        <v>5908</v>
      </c>
      <c r="E2348" s="33" t="s">
        <v>5909</v>
      </c>
      <c r="F2348" s="33" t="s">
        <v>1937</v>
      </c>
      <c r="G2348" s="33" t="s">
        <v>3586</v>
      </c>
      <c r="H2348" s="84" t="s">
        <v>5910</v>
      </c>
      <c r="I2348" s="23" t="s">
        <v>24</v>
      </c>
      <c r="J2348" s="34">
        <v>95</v>
      </c>
      <c r="K2348" s="35">
        <v>0.25</v>
      </c>
      <c r="L2348" s="36">
        <f t="shared" si="352"/>
        <v>23.75</v>
      </c>
      <c r="M2348" s="37">
        <f t="shared" si="353"/>
        <v>71.25</v>
      </c>
      <c r="N2348" s="38">
        <v>0.16</v>
      </c>
      <c r="O2348" s="39">
        <f t="shared" si="354"/>
        <v>11.4</v>
      </c>
      <c r="P2348" s="40">
        <f t="shared" si="355"/>
        <v>82.65</v>
      </c>
      <c r="Q2348" s="23"/>
      <c r="R2348" s="56"/>
      <c r="S2348" s="57"/>
      <c r="T2348" s="58">
        <f t="shared" si="356"/>
        <v>0</v>
      </c>
      <c r="U2348" s="36">
        <f t="shared" si="357"/>
        <v>0</v>
      </c>
      <c r="V2348" s="59">
        <f t="shared" si="358"/>
        <v>0</v>
      </c>
      <c r="W2348" s="39">
        <f t="shared" si="359"/>
        <v>0</v>
      </c>
      <c r="X2348" s="40">
        <f t="shared" si="360"/>
        <v>0</v>
      </c>
      <c r="Y2348"/>
      <c r="Z2348"/>
      <c r="AA2348"/>
    </row>
    <row r="2349" spans="1:27" s="51" customFormat="1" ht="18.600000000000001" hidden="1" customHeight="1" x14ac:dyDescent="0.25">
      <c r="A2349" s="82" t="s">
        <v>2653</v>
      </c>
      <c r="B2349" s="41" t="s">
        <v>5760</v>
      </c>
      <c r="C2349" s="42" t="s">
        <v>9338</v>
      </c>
      <c r="D2349" s="41" t="s">
        <v>5911</v>
      </c>
      <c r="E2349" s="43" t="s">
        <v>5912</v>
      </c>
      <c r="F2349" s="43" t="s">
        <v>1937</v>
      </c>
      <c r="G2349" s="43" t="s">
        <v>3586</v>
      </c>
      <c r="H2349" s="85" t="s">
        <v>5913</v>
      </c>
      <c r="I2349" s="23" t="s">
        <v>24</v>
      </c>
      <c r="J2349" s="44">
        <v>95</v>
      </c>
      <c r="K2349" s="45">
        <v>0.25</v>
      </c>
      <c r="L2349" s="46">
        <f t="shared" si="352"/>
        <v>23.75</v>
      </c>
      <c r="M2349" s="47">
        <f t="shared" si="353"/>
        <v>71.25</v>
      </c>
      <c r="N2349" s="48">
        <v>0.16</v>
      </c>
      <c r="O2349" s="49">
        <f t="shared" si="354"/>
        <v>11.4</v>
      </c>
      <c r="P2349" s="50">
        <f t="shared" si="355"/>
        <v>82.65</v>
      </c>
      <c r="Q2349" s="23"/>
      <c r="R2349" s="60"/>
      <c r="S2349" s="61"/>
      <c r="T2349" s="62">
        <f t="shared" si="356"/>
        <v>0</v>
      </c>
      <c r="U2349" s="46">
        <f t="shared" si="357"/>
        <v>0</v>
      </c>
      <c r="V2349" s="63">
        <f t="shared" si="358"/>
        <v>0</v>
      </c>
      <c r="W2349" s="49">
        <f t="shared" si="359"/>
        <v>0</v>
      </c>
      <c r="X2349" s="50">
        <f t="shared" si="360"/>
        <v>0</v>
      </c>
      <c r="Y2349"/>
      <c r="Z2349"/>
      <c r="AA2349"/>
    </row>
    <row r="2350" spans="1:27" s="51" customFormat="1" ht="18.600000000000001" hidden="1" customHeight="1" x14ac:dyDescent="0.25">
      <c r="A2350" s="80" t="s">
        <v>2653</v>
      </c>
      <c r="B2350" s="20" t="s">
        <v>5760</v>
      </c>
      <c r="C2350" s="21" t="s">
        <v>9338</v>
      </c>
      <c r="D2350" s="20" t="s">
        <v>5914</v>
      </c>
      <c r="E2350" s="22" t="s">
        <v>5915</v>
      </c>
      <c r="F2350" s="22" t="s">
        <v>1937</v>
      </c>
      <c r="G2350" s="22" t="s">
        <v>3586</v>
      </c>
      <c r="H2350" s="83" t="s">
        <v>5916</v>
      </c>
      <c r="I2350" s="23" t="s">
        <v>24</v>
      </c>
      <c r="J2350" s="24">
        <v>95</v>
      </c>
      <c r="K2350" s="25">
        <v>0.25</v>
      </c>
      <c r="L2350" s="26">
        <f t="shared" si="352"/>
        <v>23.75</v>
      </c>
      <c r="M2350" s="27">
        <f t="shared" si="353"/>
        <v>71.25</v>
      </c>
      <c r="N2350" s="28">
        <v>0.16</v>
      </c>
      <c r="O2350" s="29">
        <f t="shared" si="354"/>
        <v>11.4</v>
      </c>
      <c r="P2350" s="30">
        <f t="shared" si="355"/>
        <v>82.65</v>
      </c>
      <c r="Q2350" s="23"/>
      <c r="R2350" s="52"/>
      <c r="S2350" s="53"/>
      <c r="T2350" s="54">
        <f t="shared" si="356"/>
        <v>0</v>
      </c>
      <c r="U2350" s="26">
        <f t="shared" si="357"/>
        <v>0</v>
      </c>
      <c r="V2350" s="55">
        <f t="shared" si="358"/>
        <v>0</v>
      </c>
      <c r="W2350" s="29">
        <f t="shared" si="359"/>
        <v>0</v>
      </c>
      <c r="X2350" s="30">
        <f t="shared" si="360"/>
        <v>0</v>
      </c>
      <c r="Y2350"/>
      <c r="Z2350"/>
      <c r="AA2350"/>
    </row>
    <row r="2351" spans="1:27" s="51" customFormat="1" ht="18.600000000000001" hidden="1" customHeight="1" x14ac:dyDescent="0.25">
      <c r="A2351" s="81" t="s">
        <v>2653</v>
      </c>
      <c r="B2351" s="31" t="s">
        <v>5760</v>
      </c>
      <c r="C2351" s="32" t="s">
        <v>9338</v>
      </c>
      <c r="D2351" s="31" t="s">
        <v>5917</v>
      </c>
      <c r="E2351" s="33" t="s">
        <v>5918</v>
      </c>
      <c r="F2351" s="33" t="s">
        <v>1937</v>
      </c>
      <c r="G2351" s="33" t="s">
        <v>3586</v>
      </c>
      <c r="H2351" s="84" t="s">
        <v>5919</v>
      </c>
      <c r="I2351" s="23" t="s">
        <v>24</v>
      </c>
      <c r="J2351" s="34">
        <v>95</v>
      </c>
      <c r="K2351" s="35">
        <v>0.25</v>
      </c>
      <c r="L2351" s="36">
        <f t="shared" si="352"/>
        <v>23.75</v>
      </c>
      <c r="M2351" s="37">
        <f t="shared" si="353"/>
        <v>71.25</v>
      </c>
      <c r="N2351" s="38">
        <v>0.16</v>
      </c>
      <c r="O2351" s="39">
        <f t="shared" si="354"/>
        <v>11.4</v>
      </c>
      <c r="P2351" s="40">
        <f t="shared" si="355"/>
        <v>82.65</v>
      </c>
      <c r="Q2351" s="23"/>
      <c r="R2351" s="56"/>
      <c r="S2351" s="57"/>
      <c r="T2351" s="58">
        <f t="shared" si="356"/>
        <v>0</v>
      </c>
      <c r="U2351" s="36">
        <f t="shared" si="357"/>
        <v>0</v>
      </c>
      <c r="V2351" s="59">
        <f t="shared" si="358"/>
        <v>0</v>
      </c>
      <c r="W2351" s="39">
        <f t="shared" si="359"/>
        <v>0</v>
      </c>
      <c r="X2351" s="40">
        <f t="shared" si="360"/>
        <v>0</v>
      </c>
      <c r="Y2351"/>
      <c r="Z2351"/>
      <c r="AA2351"/>
    </row>
    <row r="2352" spans="1:27" s="51" customFormat="1" ht="18.600000000000001" hidden="1" customHeight="1" x14ac:dyDescent="0.25">
      <c r="A2352" s="82" t="s">
        <v>2653</v>
      </c>
      <c r="B2352" s="41" t="s">
        <v>5760</v>
      </c>
      <c r="C2352" s="42" t="s">
        <v>9339</v>
      </c>
      <c r="D2352" s="41" t="s">
        <v>5920</v>
      </c>
      <c r="E2352" s="43" t="s">
        <v>5921</v>
      </c>
      <c r="F2352" s="43" t="s">
        <v>1937</v>
      </c>
      <c r="G2352" s="43" t="s">
        <v>3586</v>
      </c>
      <c r="H2352" s="85" t="s">
        <v>5922</v>
      </c>
      <c r="I2352" s="23" t="s">
        <v>24</v>
      </c>
      <c r="J2352" s="44">
        <v>95</v>
      </c>
      <c r="K2352" s="45">
        <v>0.25</v>
      </c>
      <c r="L2352" s="46">
        <f t="shared" si="352"/>
        <v>23.75</v>
      </c>
      <c r="M2352" s="47">
        <f t="shared" si="353"/>
        <v>71.25</v>
      </c>
      <c r="N2352" s="48">
        <v>0.16</v>
      </c>
      <c r="O2352" s="49">
        <f t="shared" si="354"/>
        <v>11.4</v>
      </c>
      <c r="P2352" s="50">
        <f t="shared" si="355"/>
        <v>82.65</v>
      </c>
      <c r="Q2352" s="23"/>
      <c r="R2352" s="60"/>
      <c r="S2352" s="61"/>
      <c r="T2352" s="62">
        <f t="shared" si="356"/>
        <v>0</v>
      </c>
      <c r="U2352" s="46">
        <f t="shared" si="357"/>
        <v>0</v>
      </c>
      <c r="V2352" s="63">
        <f t="shared" si="358"/>
        <v>0</v>
      </c>
      <c r="W2352" s="49">
        <f t="shared" si="359"/>
        <v>0</v>
      </c>
      <c r="X2352" s="50">
        <f t="shared" si="360"/>
        <v>0</v>
      </c>
      <c r="Y2352"/>
      <c r="Z2352"/>
      <c r="AA2352"/>
    </row>
    <row r="2353" spans="1:27" s="51" customFormat="1" ht="18.600000000000001" hidden="1" customHeight="1" x14ac:dyDescent="0.25">
      <c r="A2353" s="80" t="s">
        <v>2653</v>
      </c>
      <c r="B2353" s="20" t="s">
        <v>5760</v>
      </c>
      <c r="C2353" s="21" t="s">
        <v>9339</v>
      </c>
      <c r="D2353" s="20" t="s">
        <v>5923</v>
      </c>
      <c r="E2353" s="22" t="s">
        <v>5924</v>
      </c>
      <c r="F2353" s="22" t="s">
        <v>1937</v>
      </c>
      <c r="G2353" s="22" t="s">
        <v>3586</v>
      </c>
      <c r="H2353" s="83" t="s">
        <v>5925</v>
      </c>
      <c r="I2353" s="23" t="s">
        <v>24</v>
      </c>
      <c r="J2353" s="24">
        <v>95</v>
      </c>
      <c r="K2353" s="25">
        <v>0.25</v>
      </c>
      <c r="L2353" s="26">
        <f t="shared" si="352"/>
        <v>23.75</v>
      </c>
      <c r="M2353" s="27">
        <f t="shared" si="353"/>
        <v>71.25</v>
      </c>
      <c r="N2353" s="28">
        <v>0.16</v>
      </c>
      <c r="O2353" s="29">
        <f t="shared" si="354"/>
        <v>11.4</v>
      </c>
      <c r="P2353" s="30">
        <f t="shared" si="355"/>
        <v>82.65</v>
      </c>
      <c r="Q2353" s="23"/>
      <c r="R2353" s="52"/>
      <c r="S2353" s="53"/>
      <c r="T2353" s="54">
        <f t="shared" si="356"/>
        <v>0</v>
      </c>
      <c r="U2353" s="26">
        <f t="shared" si="357"/>
        <v>0</v>
      </c>
      <c r="V2353" s="55">
        <f t="shared" si="358"/>
        <v>0</v>
      </c>
      <c r="W2353" s="29">
        <f t="shared" si="359"/>
        <v>0</v>
      </c>
      <c r="X2353" s="30">
        <f t="shared" si="360"/>
        <v>0</v>
      </c>
      <c r="Y2353"/>
      <c r="Z2353"/>
      <c r="AA2353"/>
    </row>
    <row r="2354" spans="1:27" s="51" customFormat="1" ht="18.600000000000001" hidden="1" customHeight="1" x14ac:dyDescent="0.25">
      <c r="A2354" s="81" t="s">
        <v>2653</v>
      </c>
      <c r="B2354" s="31" t="s">
        <v>5760</v>
      </c>
      <c r="C2354" s="32" t="s">
        <v>9339</v>
      </c>
      <c r="D2354" s="31" t="s">
        <v>5926</v>
      </c>
      <c r="E2354" s="33" t="s">
        <v>5927</v>
      </c>
      <c r="F2354" s="33" t="s">
        <v>1937</v>
      </c>
      <c r="G2354" s="33" t="s">
        <v>3586</v>
      </c>
      <c r="H2354" s="84" t="s">
        <v>5928</v>
      </c>
      <c r="I2354" s="23" t="s">
        <v>24</v>
      </c>
      <c r="J2354" s="34">
        <v>95</v>
      </c>
      <c r="K2354" s="35">
        <v>0.25</v>
      </c>
      <c r="L2354" s="36">
        <f t="shared" si="352"/>
        <v>23.75</v>
      </c>
      <c r="M2354" s="37">
        <f t="shared" si="353"/>
        <v>71.25</v>
      </c>
      <c r="N2354" s="38">
        <v>0.16</v>
      </c>
      <c r="O2354" s="39">
        <f t="shared" si="354"/>
        <v>11.4</v>
      </c>
      <c r="P2354" s="40">
        <f t="shared" si="355"/>
        <v>82.65</v>
      </c>
      <c r="Q2354" s="23"/>
      <c r="R2354" s="56"/>
      <c r="S2354" s="57"/>
      <c r="T2354" s="58">
        <f t="shared" si="356"/>
        <v>0</v>
      </c>
      <c r="U2354" s="36">
        <f t="shared" si="357"/>
        <v>0</v>
      </c>
      <c r="V2354" s="59">
        <f t="shared" si="358"/>
        <v>0</v>
      </c>
      <c r="W2354" s="39">
        <f t="shared" si="359"/>
        <v>0</v>
      </c>
      <c r="X2354" s="40">
        <f t="shared" si="360"/>
        <v>0</v>
      </c>
      <c r="Y2354"/>
      <c r="Z2354"/>
      <c r="AA2354"/>
    </row>
    <row r="2355" spans="1:27" s="51" customFormat="1" ht="18.600000000000001" hidden="1" customHeight="1" x14ac:dyDescent="0.25">
      <c r="A2355" s="82" t="s">
        <v>2653</v>
      </c>
      <c r="B2355" s="41" t="s">
        <v>5760</v>
      </c>
      <c r="C2355" s="42" t="s">
        <v>9339</v>
      </c>
      <c r="D2355" s="41" t="s">
        <v>5929</v>
      </c>
      <c r="E2355" s="43" t="s">
        <v>5930</v>
      </c>
      <c r="F2355" s="43" t="s">
        <v>1937</v>
      </c>
      <c r="G2355" s="43" t="s">
        <v>3586</v>
      </c>
      <c r="H2355" s="85" t="s">
        <v>5931</v>
      </c>
      <c r="I2355" s="23" t="s">
        <v>24</v>
      </c>
      <c r="J2355" s="44">
        <v>95</v>
      </c>
      <c r="K2355" s="45">
        <v>0.25</v>
      </c>
      <c r="L2355" s="46">
        <f t="shared" si="352"/>
        <v>23.75</v>
      </c>
      <c r="M2355" s="47">
        <f t="shared" si="353"/>
        <v>71.25</v>
      </c>
      <c r="N2355" s="48">
        <v>0.16</v>
      </c>
      <c r="O2355" s="49">
        <f t="shared" si="354"/>
        <v>11.4</v>
      </c>
      <c r="P2355" s="50">
        <f t="shared" si="355"/>
        <v>82.65</v>
      </c>
      <c r="Q2355" s="23"/>
      <c r="R2355" s="60"/>
      <c r="S2355" s="61"/>
      <c r="T2355" s="62">
        <f t="shared" si="356"/>
        <v>0</v>
      </c>
      <c r="U2355" s="46">
        <f t="shared" si="357"/>
        <v>0</v>
      </c>
      <c r="V2355" s="63">
        <f t="shared" si="358"/>
        <v>0</v>
      </c>
      <c r="W2355" s="49">
        <f t="shared" si="359"/>
        <v>0</v>
      </c>
      <c r="X2355" s="50">
        <f t="shared" si="360"/>
        <v>0</v>
      </c>
      <c r="Y2355"/>
      <c r="Z2355"/>
      <c r="AA2355"/>
    </row>
    <row r="2356" spans="1:27" s="51" customFormat="1" ht="18.600000000000001" hidden="1" customHeight="1" x14ac:dyDescent="0.25">
      <c r="A2356" s="80" t="s">
        <v>2653</v>
      </c>
      <c r="B2356" s="20" t="s">
        <v>5760</v>
      </c>
      <c r="C2356" s="21" t="s">
        <v>9339</v>
      </c>
      <c r="D2356" s="20" t="s">
        <v>5932</v>
      </c>
      <c r="E2356" s="22" t="s">
        <v>5933</v>
      </c>
      <c r="F2356" s="22" t="s">
        <v>1937</v>
      </c>
      <c r="G2356" s="22" t="s">
        <v>3586</v>
      </c>
      <c r="H2356" s="83" t="s">
        <v>5934</v>
      </c>
      <c r="I2356" s="23" t="s">
        <v>24</v>
      </c>
      <c r="J2356" s="24">
        <v>95</v>
      </c>
      <c r="K2356" s="25">
        <v>0.25</v>
      </c>
      <c r="L2356" s="26">
        <f t="shared" si="352"/>
        <v>23.75</v>
      </c>
      <c r="M2356" s="27">
        <f t="shared" si="353"/>
        <v>71.25</v>
      </c>
      <c r="N2356" s="28">
        <v>0.16</v>
      </c>
      <c r="O2356" s="29">
        <f t="shared" si="354"/>
        <v>11.4</v>
      </c>
      <c r="P2356" s="30">
        <f t="shared" si="355"/>
        <v>82.65</v>
      </c>
      <c r="Q2356" s="23"/>
      <c r="R2356" s="52"/>
      <c r="S2356" s="53"/>
      <c r="T2356" s="54">
        <f t="shared" si="356"/>
        <v>0</v>
      </c>
      <c r="U2356" s="26">
        <f t="shared" si="357"/>
        <v>0</v>
      </c>
      <c r="V2356" s="55">
        <f t="shared" si="358"/>
        <v>0</v>
      </c>
      <c r="W2356" s="29">
        <f t="shared" si="359"/>
        <v>0</v>
      </c>
      <c r="X2356" s="30">
        <f t="shared" si="360"/>
        <v>0</v>
      </c>
      <c r="Y2356"/>
      <c r="Z2356"/>
      <c r="AA2356"/>
    </row>
    <row r="2357" spans="1:27" s="51" customFormat="1" ht="18.600000000000001" hidden="1" customHeight="1" x14ac:dyDescent="0.25">
      <c r="A2357" s="81" t="s">
        <v>2653</v>
      </c>
      <c r="B2357" s="31" t="s">
        <v>5760</v>
      </c>
      <c r="C2357" s="32" t="s">
        <v>9339</v>
      </c>
      <c r="D2357" s="31" t="s">
        <v>5935</v>
      </c>
      <c r="E2357" s="33" t="s">
        <v>5936</v>
      </c>
      <c r="F2357" s="33" t="s">
        <v>1937</v>
      </c>
      <c r="G2357" s="33" t="s">
        <v>3586</v>
      </c>
      <c r="H2357" s="84" t="s">
        <v>5937</v>
      </c>
      <c r="I2357" s="23" t="s">
        <v>24</v>
      </c>
      <c r="J2357" s="34">
        <v>95</v>
      </c>
      <c r="K2357" s="35">
        <v>0.25</v>
      </c>
      <c r="L2357" s="36">
        <f t="shared" si="352"/>
        <v>23.75</v>
      </c>
      <c r="M2357" s="37">
        <f t="shared" si="353"/>
        <v>71.25</v>
      </c>
      <c r="N2357" s="38">
        <v>0.16</v>
      </c>
      <c r="O2357" s="39">
        <f t="shared" si="354"/>
        <v>11.4</v>
      </c>
      <c r="P2357" s="40">
        <f t="shared" si="355"/>
        <v>82.65</v>
      </c>
      <c r="Q2357" s="23"/>
      <c r="R2357" s="56"/>
      <c r="S2357" s="57"/>
      <c r="T2357" s="58">
        <f t="shared" si="356"/>
        <v>0</v>
      </c>
      <c r="U2357" s="36">
        <f t="shared" si="357"/>
        <v>0</v>
      </c>
      <c r="V2357" s="59">
        <f t="shared" si="358"/>
        <v>0</v>
      </c>
      <c r="W2357" s="39">
        <f t="shared" si="359"/>
        <v>0</v>
      </c>
      <c r="X2357" s="40">
        <f t="shared" si="360"/>
        <v>0</v>
      </c>
      <c r="Y2357"/>
      <c r="Z2357"/>
      <c r="AA2357"/>
    </row>
    <row r="2358" spans="1:27" s="51" customFormat="1" ht="18.600000000000001" hidden="1" customHeight="1" x14ac:dyDescent="0.25">
      <c r="A2358" s="82" t="s">
        <v>2653</v>
      </c>
      <c r="B2358" s="41" t="s">
        <v>5760</v>
      </c>
      <c r="C2358" s="42" t="s">
        <v>9339</v>
      </c>
      <c r="D2358" s="41" t="s">
        <v>5938</v>
      </c>
      <c r="E2358" s="43" t="s">
        <v>5939</v>
      </c>
      <c r="F2358" s="43" t="s">
        <v>1937</v>
      </c>
      <c r="G2358" s="43" t="s">
        <v>3586</v>
      </c>
      <c r="H2358" s="85" t="s">
        <v>5940</v>
      </c>
      <c r="I2358" s="23" t="s">
        <v>24</v>
      </c>
      <c r="J2358" s="44">
        <v>95</v>
      </c>
      <c r="K2358" s="45">
        <v>0.25</v>
      </c>
      <c r="L2358" s="46">
        <f t="shared" si="352"/>
        <v>23.75</v>
      </c>
      <c r="M2358" s="47">
        <f t="shared" si="353"/>
        <v>71.25</v>
      </c>
      <c r="N2358" s="48">
        <v>0.16</v>
      </c>
      <c r="O2358" s="49">
        <f t="shared" si="354"/>
        <v>11.4</v>
      </c>
      <c r="P2358" s="50">
        <f t="shared" si="355"/>
        <v>82.65</v>
      </c>
      <c r="Q2358" s="23"/>
      <c r="R2358" s="60"/>
      <c r="S2358" s="61"/>
      <c r="T2358" s="62">
        <f t="shared" si="356"/>
        <v>0</v>
      </c>
      <c r="U2358" s="46">
        <f t="shared" si="357"/>
        <v>0</v>
      </c>
      <c r="V2358" s="63">
        <f t="shared" si="358"/>
        <v>0</v>
      </c>
      <c r="W2358" s="49">
        <f t="shared" si="359"/>
        <v>0</v>
      </c>
      <c r="X2358" s="50">
        <f t="shared" si="360"/>
        <v>0</v>
      </c>
      <c r="Y2358"/>
      <c r="Z2358"/>
      <c r="AA2358"/>
    </row>
    <row r="2359" spans="1:27" s="51" customFormat="1" ht="18.600000000000001" hidden="1" customHeight="1" x14ac:dyDescent="0.25">
      <c r="A2359" s="80" t="s">
        <v>2653</v>
      </c>
      <c r="B2359" s="20" t="s">
        <v>5760</v>
      </c>
      <c r="C2359" s="21" t="s">
        <v>9339</v>
      </c>
      <c r="D2359" s="20" t="s">
        <v>5941</v>
      </c>
      <c r="E2359" s="22" t="s">
        <v>5942</v>
      </c>
      <c r="F2359" s="22" t="s">
        <v>1937</v>
      </c>
      <c r="G2359" s="22" t="s">
        <v>3586</v>
      </c>
      <c r="H2359" s="83" t="s">
        <v>5943</v>
      </c>
      <c r="I2359" s="23" t="s">
        <v>24</v>
      </c>
      <c r="J2359" s="24">
        <v>95</v>
      </c>
      <c r="K2359" s="25">
        <v>0.25</v>
      </c>
      <c r="L2359" s="26">
        <f t="shared" si="352"/>
        <v>23.75</v>
      </c>
      <c r="M2359" s="27">
        <f t="shared" si="353"/>
        <v>71.25</v>
      </c>
      <c r="N2359" s="28">
        <v>0.16</v>
      </c>
      <c r="O2359" s="29">
        <f t="shared" si="354"/>
        <v>11.4</v>
      </c>
      <c r="P2359" s="30">
        <f t="shared" si="355"/>
        <v>82.65</v>
      </c>
      <c r="Q2359" s="23"/>
      <c r="R2359" s="52"/>
      <c r="S2359" s="53"/>
      <c r="T2359" s="54">
        <f t="shared" si="356"/>
        <v>0</v>
      </c>
      <c r="U2359" s="26">
        <f t="shared" si="357"/>
        <v>0</v>
      </c>
      <c r="V2359" s="55">
        <f t="shared" si="358"/>
        <v>0</v>
      </c>
      <c r="W2359" s="29">
        <f t="shared" si="359"/>
        <v>0</v>
      </c>
      <c r="X2359" s="30">
        <f t="shared" si="360"/>
        <v>0</v>
      </c>
      <c r="Y2359"/>
      <c r="Z2359"/>
      <c r="AA2359"/>
    </row>
    <row r="2360" spans="1:27" s="51" customFormat="1" ht="18.600000000000001" hidden="1" customHeight="1" x14ac:dyDescent="0.25">
      <c r="A2360" s="81" t="s">
        <v>2653</v>
      </c>
      <c r="B2360" s="31" t="s">
        <v>5760</v>
      </c>
      <c r="C2360" s="32" t="s">
        <v>9339</v>
      </c>
      <c r="D2360" s="31" t="s">
        <v>5944</v>
      </c>
      <c r="E2360" s="33" t="s">
        <v>5945</v>
      </c>
      <c r="F2360" s="33" t="s">
        <v>1937</v>
      </c>
      <c r="G2360" s="33" t="s">
        <v>3586</v>
      </c>
      <c r="H2360" s="84" t="s">
        <v>5946</v>
      </c>
      <c r="I2360" s="23" t="s">
        <v>24</v>
      </c>
      <c r="J2360" s="34">
        <v>95</v>
      </c>
      <c r="K2360" s="35">
        <v>0.25</v>
      </c>
      <c r="L2360" s="36">
        <f t="shared" si="352"/>
        <v>23.75</v>
      </c>
      <c r="M2360" s="37">
        <f t="shared" si="353"/>
        <v>71.25</v>
      </c>
      <c r="N2360" s="38">
        <v>0.16</v>
      </c>
      <c r="O2360" s="39">
        <f t="shared" si="354"/>
        <v>11.4</v>
      </c>
      <c r="P2360" s="40">
        <f t="shared" si="355"/>
        <v>82.65</v>
      </c>
      <c r="Q2360" s="23"/>
      <c r="R2360" s="56"/>
      <c r="S2360" s="57"/>
      <c r="T2360" s="58">
        <f t="shared" si="356"/>
        <v>0</v>
      </c>
      <c r="U2360" s="36">
        <f t="shared" si="357"/>
        <v>0</v>
      </c>
      <c r="V2360" s="59">
        <f t="shared" si="358"/>
        <v>0</v>
      </c>
      <c r="W2360" s="39">
        <f t="shared" si="359"/>
        <v>0</v>
      </c>
      <c r="X2360" s="40">
        <f t="shared" si="360"/>
        <v>0</v>
      </c>
      <c r="Y2360"/>
      <c r="Z2360"/>
      <c r="AA2360"/>
    </row>
    <row r="2361" spans="1:27" s="51" customFormat="1" ht="18.600000000000001" hidden="1" customHeight="1" x14ac:dyDescent="0.25">
      <c r="A2361" s="82" t="s">
        <v>2653</v>
      </c>
      <c r="B2361" s="41" t="s">
        <v>5760</v>
      </c>
      <c r="C2361" s="42" t="s">
        <v>9339</v>
      </c>
      <c r="D2361" s="41" t="s">
        <v>5947</v>
      </c>
      <c r="E2361" s="43" t="s">
        <v>5948</v>
      </c>
      <c r="F2361" s="43" t="s">
        <v>1937</v>
      </c>
      <c r="G2361" s="43" t="s">
        <v>3586</v>
      </c>
      <c r="H2361" s="85" t="s">
        <v>5949</v>
      </c>
      <c r="I2361" s="23" t="s">
        <v>24</v>
      </c>
      <c r="J2361" s="44">
        <v>95</v>
      </c>
      <c r="K2361" s="45">
        <v>0.25</v>
      </c>
      <c r="L2361" s="46">
        <f t="shared" si="352"/>
        <v>23.75</v>
      </c>
      <c r="M2361" s="47">
        <f t="shared" si="353"/>
        <v>71.25</v>
      </c>
      <c r="N2361" s="48">
        <v>0.16</v>
      </c>
      <c r="O2361" s="49">
        <f t="shared" si="354"/>
        <v>11.4</v>
      </c>
      <c r="P2361" s="50">
        <f t="shared" si="355"/>
        <v>82.65</v>
      </c>
      <c r="Q2361" s="23"/>
      <c r="R2361" s="60"/>
      <c r="S2361" s="61"/>
      <c r="T2361" s="62">
        <f t="shared" si="356"/>
        <v>0</v>
      </c>
      <c r="U2361" s="46">
        <f t="shared" si="357"/>
        <v>0</v>
      </c>
      <c r="V2361" s="63">
        <f t="shared" si="358"/>
        <v>0</v>
      </c>
      <c r="W2361" s="49">
        <f t="shared" si="359"/>
        <v>0</v>
      </c>
      <c r="X2361" s="50">
        <f t="shared" si="360"/>
        <v>0</v>
      </c>
      <c r="Y2361"/>
      <c r="Z2361"/>
      <c r="AA2361"/>
    </row>
    <row r="2362" spans="1:27" s="51" customFormat="1" ht="18.600000000000001" hidden="1" customHeight="1" x14ac:dyDescent="0.25">
      <c r="A2362" s="80" t="s">
        <v>2653</v>
      </c>
      <c r="B2362" s="20" t="s">
        <v>5760</v>
      </c>
      <c r="C2362" s="21" t="s">
        <v>9339</v>
      </c>
      <c r="D2362" s="20" t="s">
        <v>5950</v>
      </c>
      <c r="E2362" s="22" t="s">
        <v>5951</v>
      </c>
      <c r="F2362" s="22" t="s">
        <v>1937</v>
      </c>
      <c r="G2362" s="22" t="s">
        <v>3586</v>
      </c>
      <c r="H2362" s="83" t="s">
        <v>5952</v>
      </c>
      <c r="I2362" s="23" t="s">
        <v>24</v>
      </c>
      <c r="J2362" s="24">
        <v>95</v>
      </c>
      <c r="K2362" s="25">
        <v>0.25</v>
      </c>
      <c r="L2362" s="26">
        <f t="shared" si="352"/>
        <v>23.75</v>
      </c>
      <c r="M2362" s="27">
        <f t="shared" si="353"/>
        <v>71.25</v>
      </c>
      <c r="N2362" s="28">
        <v>0.16</v>
      </c>
      <c r="O2362" s="29">
        <f t="shared" si="354"/>
        <v>11.4</v>
      </c>
      <c r="P2362" s="30">
        <f t="shared" si="355"/>
        <v>82.65</v>
      </c>
      <c r="Q2362" s="23"/>
      <c r="R2362" s="52"/>
      <c r="S2362" s="53"/>
      <c r="T2362" s="54">
        <f t="shared" si="356"/>
        <v>0</v>
      </c>
      <c r="U2362" s="26">
        <f t="shared" si="357"/>
        <v>0</v>
      </c>
      <c r="V2362" s="55">
        <f t="shared" si="358"/>
        <v>0</v>
      </c>
      <c r="W2362" s="29">
        <f t="shared" si="359"/>
        <v>0</v>
      </c>
      <c r="X2362" s="30">
        <f t="shared" si="360"/>
        <v>0</v>
      </c>
      <c r="Y2362"/>
      <c r="Z2362"/>
      <c r="AA2362"/>
    </row>
    <row r="2363" spans="1:27" s="51" customFormat="1" ht="18.600000000000001" hidden="1" customHeight="1" x14ac:dyDescent="0.25">
      <c r="A2363" s="81" t="s">
        <v>2653</v>
      </c>
      <c r="B2363" s="31" t="s">
        <v>5760</v>
      </c>
      <c r="C2363" s="32" t="s">
        <v>9339</v>
      </c>
      <c r="D2363" s="31" t="s">
        <v>5953</v>
      </c>
      <c r="E2363" s="33" t="s">
        <v>5954</v>
      </c>
      <c r="F2363" s="33" t="s">
        <v>1937</v>
      </c>
      <c r="G2363" s="33" t="s">
        <v>3586</v>
      </c>
      <c r="H2363" s="84" t="s">
        <v>5955</v>
      </c>
      <c r="I2363" s="23" t="s">
        <v>24</v>
      </c>
      <c r="J2363" s="34">
        <v>95</v>
      </c>
      <c r="K2363" s="35">
        <v>0.25</v>
      </c>
      <c r="L2363" s="36">
        <f t="shared" si="352"/>
        <v>23.75</v>
      </c>
      <c r="M2363" s="37">
        <f t="shared" si="353"/>
        <v>71.25</v>
      </c>
      <c r="N2363" s="38">
        <v>0.16</v>
      </c>
      <c r="O2363" s="39">
        <f t="shared" si="354"/>
        <v>11.4</v>
      </c>
      <c r="P2363" s="40">
        <f t="shared" si="355"/>
        <v>82.65</v>
      </c>
      <c r="Q2363" s="23"/>
      <c r="R2363" s="56"/>
      <c r="S2363" s="57"/>
      <c r="T2363" s="58">
        <f t="shared" si="356"/>
        <v>0</v>
      </c>
      <c r="U2363" s="36">
        <f t="shared" si="357"/>
        <v>0</v>
      </c>
      <c r="V2363" s="59">
        <f t="shared" si="358"/>
        <v>0</v>
      </c>
      <c r="W2363" s="39">
        <f t="shared" si="359"/>
        <v>0</v>
      </c>
      <c r="X2363" s="40">
        <f t="shared" si="360"/>
        <v>0</v>
      </c>
      <c r="Y2363"/>
      <c r="Z2363"/>
      <c r="AA2363"/>
    </row>
    <row r="2364" spans="1:27" s="51" customFormat="1" ht="18.600000000000001" hidden="1" customHeight="1" x14ac:dyDescent="0.25">
      <c r="A2364" s="82" t="s">
        <v>2653</v>
      </c>
      <c r="B2364" s="41" t="s">
        <v>5760</v>
      </c>
      <c r="C2364" s="42" t="s">
        <v>9339</v>
      </c>
      <c r="D2364" s="41" t="s">
        <v>5956</v>
      </c>
      <c r="E2364" s="43" t="s">
        <v>5957</v>
      </c>
      <c r="F2364" s="43" t="s">
        <v>1937</v>
      </c>
      <c r="G2364" s="43" t="s">
        <v>3586</v>
      </c>
      <c r="H2364" s="85" t="s">
        <v>5958</v>
      </c>
      <c r="I2364" s="23" t="s">
        <v>24</v>
      </c>
      <c r="J2364" s="44">
        <v>95</v>
      </c>
      <c r="K2364" s="45">
        <v>0.25</v>
      </c>
      <c r="L2364" s="46">
        <f t="shared" si="352"/>
        <v>23.75</v>
      </c>
      <c r="M2364" s="47">
        <f t="shared" si="353"/>
        <v>71.25</v>
      </c>
      <c r="N2364" s="48">
        <v>0.16</v>
      </c>
      <c r="O2364" s="49">
        <f t="shared" si="354"/>
        <v>11.4</v>
      </c>
      <c r="P2364" s="50">
        <f t="shared" si="355"/>
        <v>82.65</v>
      </c>
      <c r="Q2364" s="23"/>
      <c r="R2364" s="60"/>
      <c r="S2364" s="61"/>
      <c r="T2364" s="62">
        <f t="shared" si="356"/>
        <v>0</v>
      </c>
      <c r="U2364" s="46">
        <f t="shared" si="357"/>
        <v>0</v>
      </c>
      <c r="V2364" s="63">
        <f t="shared" si="358"/>
        <v>0</v>
      </c>
      <c r="W2364" s="49">
        <f t="shared" si="359"/>
        <v>0</v>
      </c>
      <c r="X2364" s="50">
        <f t="shared" si="360"/>
        <v>0</v>
      </c>
      <c r="Y2364"/>
      <c r="Z2364"/>
      <c r="AA2364"/>
    </row>
    <row r="2365" spans="1:27" s="51" customFormat="1" ht="18.600000000000001" hidden="1" customHeight="1" x14ac:dyDescent="0.25">
      <c r="A2365" s="80" t="s">
        <v>2653</v>
      </c>
      <c r="B2365" s="20" t="s">
        <v>5760</v>
      </c>
      <c r="C2365" s="21" t="s">
        <v>9339</v>
      </c>
      <c r="D2365" s="20" t="s">
        <v>5959</v>
      </c>
      <c r="E2365" s="22" t="s">
        <v>5960</v>
      </c>
      <c r="F2365" s="22" t="s">
        <v>1937</v>
      </c>
      <c r="G2365" s="22" t="s">
        <v>3586</v>
      </c>
      <c r="H2365" s="83" t="s">
        <v>5961</v>
      </c>
      <c r="I2365" s="23" t="s">
        <v>24</v>
      </c>
      <c r="J2365" s="24">
        <v>95</v>
      </c>
      <c r="K2365" s="25">
        <v>0.25</v>
      </c>
      <c r="L2365" s="26">
        <f t="shared" si="352"/>
        <v>23.75</v>
      </c>
      <c r="M2365" s="27">
        <f t="shared" si="353"/>
        <v>71.25</v>
      </c>
      <c r="N2365" s="28">
        <v>0.16</v>
      </c>
      <c r="O2365" s="29">
        <f t="shared" si="354"/>
        <v>11.4</v>
      </c>
      <c r="P2365" s="30">
        <f t="shared" si="355"/>
        <v>82.65</v>
      </c>
      <c r="Q2365" s="23"/>
      <c r="R2365" s="52"/>
      <c r="S2365" s="53"/>
      <c r="T2365" s="54">
        <f t="shared" si="356"/>
        <v>0</v>
      </c>
      <c r="U2365" s="26">
        <f t="shared" si="357"/>
        <v>0</v>
      </c>
      <c r="V2365" s="55">
        <f t="shared" si="358"/>
        <v>0</v>
      </c>
      <c r="W2365" s="29">
        <f t="shared" si="359"/>
        <v>0</v>
      </c>
      <c r="X2365" s="30">
        <f t="shared" si="360"/>
        <v>0</v>
      </c>
      <c r="Y2365"/>
      <c r="Z2365"/>
      <c r="AA2365"/>
    </row>
    <row r="2366" spans="1:27" s="51" customFormat="1" ht="18.600000000000001" hidden="1" customHeight="1" x14ac:dyDescent="0.25">
      <c r="A2366" s="81" t="s">
        <v>2653</v>
      </c>
      <c r="B2366" s="31" t="s">
        <v>5760</v>
      </c>
      <c r="C2366" s="32" t="s">
        <v>9339</v>
      </c>
      <c r="D2366" s="31" t="s">
        <v>5962</v>
      </c>
      <c r="E2366" s="33" t="s">
        <v>5963</v>
      </c>
      <c r="F2366" s="33" t="s">
        <v>1937</v>
      </c>
      <c r="G2366" s="33" t="s">
        <v>3586</v>
      </c>
      <c r="H2366" s="84" t="s">
        <v>5964</v>
      </c>
      <c r="I2366" s="23" t="s">
        <v>24</v>
      </c>
      <c r="J2366" s="34">
        <v>95</v>
      </c>
      <c r="K2366" s="35">
        <v>0.25</v>
      </c>
      <c r="L2366" s="36">
        <f t="shared" si="352"/>
        <v>23.75</v>
      </c>
      <c r="M2366" s="37">
        <f t="shared" si="353"/>
        <v>71.25</v>
      </c>
      <c r="N2366" s="38">
        <v>0.16</v>
      </c>
      <c r="O2366" s="39">
        <f t="shared" si="354"/>
        <v>11.4</v>
      </c>
      <c r="P2366" s="40">
        <f t="shared" si="355"/>
        <v>82.65</v>
      </c>
      <c r="Q2366" s="23"/>
      <c r="R2366" s="56"/>
      <c r="S2366" s="57"/>
      <c r="T2366" s="58">
        <f t="shared" si="356"/>
        <v>0</v>
      </c>
      <c r="U2366" s="36">
        <f t="shared" si="357"/>
        <v>0</v>
      </c>
      <c r="V2366" s="59">
        <f t="shared" si="358"/>
        <v>0</v>
      </c>
      <c r="W2366" s="39">
        <f t="shared" si="359"/>
        <v>0</v>
      </c>
      <c r="X2366" s="40">
        <f t="shared" si="360"/>
        <v>0</v>
      </c>
      <c r="Y2366"/>
      <c r="Z2366"/>
      <c r="AA2366"/>
    </row>
    <row r="2367" spans="1:27" s="51" customFormat="1" ht="18.600000000000001" hidden="1" customHeight="1" x14ac:dyDescent="0.25">
      <c r="A2367" s="82" t="s">
        <v>2653</v>
      </c>
      <c r="B2367" s="41" t="s">
        <v>5760</v>
      </c>
      <c r="C2367" s="42" t="s">
        <v>9339</v>
      </c>
      <c r="D2367" s="41" t="s">
        <v>5965</v>
      </c>
      <c r="E2367" s="43" t="s">
        <v>5966</v>
      </c>
      <c r="F2367" s="43" t="s">
        <v>1937</v>
      </c>
      <c r="G2367" s="43" t="s">
        <v>3586</v>
      </c>
      <c r="H2367" s="85" t="s">
        <v>5967</v>
      </c>
      <c r="I2367" s="23" t="s">
        <v>24</v>
      </c>
      <c r="J2367" s="44">
        <v>95</v>
      </c>
      <c r="K2367" s="45">
        <v>0.25</v>
      </c>
      <c r="L2367" s="46">
        <f t="shared" si="352"/>
        <v>23.75</v>
      </c>
      <c r="M2367" s="47">
        <f t="shared" si="353"/>
        <v>71.25</v>
      </c>
      <c r="N2367" s="48">
        <v>0.16</v>
      </c>
      <c r="O2367" s="49">
        <f t="shared" si="354"/>
        <v>11.4</v>
      </c>
      <c r="P2367" s="50">
        <f t="shared" si="355"/>
        <v>82.65</v>
      </c>
      <c r="Q2367" s="23"/>
      <c r="R2367" s="60"/>
      <c r="S2367" s="61"/>
      <c r="T2367" s="62">
        <f t="shared" si="356"/>
        <v>0</v>
      </c>
      <c r="U2367" s="46">
        <f t="shared" si="357"/>
        <v>0</v>
      </c>
      <c r="V2367" s="63">
        <f t="shared" si="358"/>
        <v>0</v>
      </c>
      <c r="W2367" s="49">
        <f t="shared" si="359"/>
        <v>0</v>
      </c>
      <c r="X2367" s="50">
        <f t="shared" si="360"/>
        <v>0</v>
      </c>
      <c r="Y2367"/>
      <c r="Z2367"/>
      <c r="AA2367"/>
    </row>
    <row r="2368" spans="1:27" s="51" customFormat="1" ht="18.600000000000001" hidden="1" customHeight="1" x14ac:dyDescent="0.25">
      <c r="A2368" s="80" t="s">
        <v>2653</v>
      </c>
      <c r="B2368" s="20" t="s">
        <v>5760</v>
      </c>
      <c r="C2368" s="21" t="s">
        <v>9339</v>
      </c>
      <c r="D2368" s="20" t="s">
        <v>5968</v>
      </c>
      <c r="E2368" s="22" t="s">
        <v>5969</v>
      </c>
      <c r="F2368" s="22" t="s">
        <v>1937</v>
      </c>
      <c r="G2368" s="22" t="s">
        <v>3586</v>
      </c>
      <c r="H2368" s="83" t="s">
        <v>5970</v>
      </c>
      <c r="I2368" s="23" t="s">
        <v>24</v>
      </c>
      <c r="J2368" s="24">
        <v>95</v>
      </c>
      <c r="K2368" s="25">
        <v>0.25</v>
      </c>
      <c r="L2368" s="26">
        <f t="shared" si="352"/>
        <v>23.75</v>
      </c>
      <c r="M2368" s="27">
        <f t="shared" si="353"/>
        <v>71.25</v>
      </c>
      <c r="N2368" s="28">
        <v>0.16</v>
      </c>
      <c r="O2368" s="29">
        <f t="shared" si="354"/>
        <v>11.4</v>
      </c>
      <c r="P2368" s="30">
        <f t="shared" si="355"/>
        <v>82.65</v>
      </c>
      <c r="Q2368" s="23"/>
      <c r="R2368" s="52"/>
      <c r="S2368" s="53"/>
      <c r="T2368" s="54">
        <f t="shared" si="356"/>
        <v>0</v>
      </c>
      <c r="U2368" s="26">
        <f t="shared" si="357"/>
        <v>0</v>
      </c>
      <c r="V2368" s="55">
        <f t="shared" si="358"/>
        <v>0</v>
      </c>
      <c r="W2368" s="29">
        <f t="shared" si="359"/>
        <v>0</v>
      </c>
      <c r="X2368" s="30">
        <f t="shared" si="360"/>
        <v>0</v>
      </c>
      <c r="Y2368"/>
      <c r="Z2368"/>
      <c r="AA2368"/>
    </row>
    <row r="2369" spans="1:27" s="51" customFormat="1" ht="18.600000000000001" hidden="1" customHeight="1" x14ac:dyDescent="0.25">
      <c r="A2369" s="81" t="s">
        <v>2653</v>
      </c>
      <c r="B2369" s="31" t="s">
        <v>5760</v>
      </c>
      <c r="C2369" s="32" t="s">
        <v>9339</v>
      </c>
      <c r="D2369" s="31" t="s">
        <v>5971</v>
      </c>
      <c r="E2369" s="33" t="s">
        <v>5972</v>
      </c>
      <c r="F2369" s="33" t="s">
        <v>1937</v>
      </c>
      <c r="G2369" s="33" t="s">
        <v>3586</v>
      </c>
      <c r="H2369" s="84" t="s">
        <v>5973</v>
      </c>
      <c r="I2369" s="23" t="s">
        <v>24</v>
      </c>
      <c r="J2369" s="34">
        <v>95</v>
      </c>
      <c r="K2369" s="35">
        <v>0.25</v>
      </c>
      <c r="L2369" s="36">
        <f t="shared" si="352"/>
        <v>23.75</v>
      </c>
      <c r="M2369" s="37">
        <f t="shared" si="353"/>
        <v>71.25</v>
      </c>
      <c r="N2369" s="38">
        <v>0.16</v>
      </c>
      <c r="O2369" s="39">
        <f t="shared" si="354"/>
        <v>11.4</v>
      </c>
      <c r="P2369" s="40">
        <f t="shared" si="355"/>
        <v>82.65</v>
      </c>
      <c r="Q2369" s="23"/>
      <c r="R2369" s="56"/>
      <c r="S2369" s="57"/>
      <c r="T2369" s="58">
        <f t="shared" si="356"/>
        <v>0</v>
      </c>
      <c r="U2369" s="36">
        <f t="shared" si="357"/>
        <v>0</v>
      </c>
      <c r="V2369" s="59">
        <f t="shared" si="358"/>
        <v>0</v>
      </c>
      <c r="W2369" s="39">
        <f t="shared" si="359"/>
        <v>0</v>
      </c>
      <c r="X2369" s="40">
        <f t="shared" si="360"/>
        <v>0</v>
      </c>
      <c r="Y2369"/>
      <c r="Z2369"/>
      <c r="AA2369"/>
    </row>
    <row r="2370" spans="1:27" s="51" customFormat="1" ht="18.600000000000001" hidden="1" customHeight="1" x14ac:dyDescent="0.25">
      <c r="A2370" s="82" t="s">
        <v>2653</v>
      </c>
      <c r="B2370" s="41" t="s">
        <v>5760</v>
      </c>
      <c r="C2370" s="42" t="s">
        <v>9339</v>
      </c>
      <c r="D2370" s="41" t="s">
        <v>5974</v>
      </c>
      <c r="E2370" s="43" t="s">
        <v>5975</v>
      </c>
      <c r="F2370" s="43" t="s">
        <v>1937</v>
      </c>
      <c r="G2370" s="43" t="s">
        <v>3586</v>
      </c>
      <c r="H2370" s="85" t="s">
        <v>5976</v>
      </c>
      <c r="I2370" s="23" t="s">
        <v>24</v>
      </c>
      <c r="J2370" s="44">
        <v>95</v>
      </c>
      <c r="K2370" s="45">
        <v>0.25</v>
      </c>
      <c r="L2370" s="46">
        <f t="shared" si="352"/>
        <v>23.75</v>
      </c>
      <c r="M2370" s="47">
        <f t="shared" si="353"/>
        <v>71.25</v>
      </c>
      <c r="N2370" s="48">
        <v>0.16</v>
      </c>
      <c r="O2370" s="49">
        <f t="shared" si="354"/>
        <v>11.4</v>
      </c>
      <c r="P2370" s="50">
        <f t="shared" si="355"/>
        <v>82.65</v>
      </c>
      <c r="Q2370" s="23"/>
      <c r="R2370" s="60"/>
      <c r="S2370" s="61"/>
      <c r="T2370" s="62">
        <f t="shared" si="356"/>
        <v>0</v>
      </c>
      <c r="U2370" s="46">
        <f t="shared" si="357"/>
        <v>0</v>
      </c>
      <c r="V2370" s="63">
        <f t="shared" si="358"/>
        <v>0</v>
      </c>
      <c r="W2370" s="49">
        <f t="shared" si="359"/>
        <v>0</v>
      </c>
      <c r="X2370" s="50">
        <f t="shared" si="360"/>
        <v>0</v>
      </c>
      <c r="Y2370"/>
      <c r="Z2370"/>
      <c r="AA2370"/>
    </row>
    <row r="2371" spans="1:27" s="51" customFormat="1" ht="18.600000000000001" hidden="1" customHeight="1" x14ac:dyDescent="0.25">
      <c r="A2371" s="80" t="s">
        <v>2653</v>
      </c>
      <c r="B2371" s="20" t="s">
        <v>5760</v>
      </c>
      <c r="C2371" s="21" t="s">
        <v>9339</v>
      </c>
      <c r="D2371" s="20" t="s">
        <v>5977</v>
      </c>
      <c r="E2371" s="22" t="s">
        <v>5978</v>
      </c>
      <c r="F2371" s="22" t="s">
        <v>1937</v>
      </c>
      <c r="G2371" s="22" t="s">
        <v>3586</v>
      </c>
      <c r="H2371" s="83" t="s">
        <v>5979</v>
      </c>
      <c r="I2371" s="23" t="s">
        <v>24</v>
      </c>
      <c r="J2371" s="24">
        <v>95</v>
      </c>
      <c r="K2371" s="25">
        <v>0.25</v>
      </c>
      <c r="L2371" s="26">
        <f t="shared" si="352"/>
        <v>23.75</v>
      </c>
      <c r="M2371" s="27">
        <f t="shared" si="353"/>
        <v>71.25</v>
      </c>
      <c r="N2371" s="28">
        <v>0.16</v>
      </c>
      <c r="O2371" s="29">
        <f t="shared" si="354"/>
        <v>11.4</v>
      </c>
      <c r="P2371" s="30">
        <f t="shared" si="355"/>
        <v>82.65</v>
      </c>
      <c r="Q2371" s="23"/>
      <c r="R2371" s="52"/>
      <c r="S2371" s="53"/>
      <c r="T2371" s="54">
        <f t="shared" si="356"/>
        <v>0</v>
      </c>
      <c r="U2371" s="26">
        <f t="shared" si="357"/>
        <v>0</v>
      </c>
      <c r="V2371" s="55">
        <f t="shared" si="358"/>
        <v>0</v>
      </c>
      <c r="W2371" s="29">
        <f t="shared" si="359"/>
        <v>0</v>
      </c>
      <c r="X2371" s="30">
        <f t="shared" si="360"/>
        <v>0</v>
      </c>
      <c r="Y2371"/>
      <c r="Z2371"/>
      <c r="AA2371"/>
    </row>
    <row r="2372" spans="1:27" s="51" customFormat="1" ht="18.600000000000001" hidden="1" customHeight="1" x14ac:dyDescent="0.25">
      <c r="A2372" s="81" t="s">
        <v>2653</v>
      </c>
      <c r="B2372" s="31" t="s">
        <v>5760</v>
      </c>
      <c r="C2372" s="32" t="s">
        <v>9339</v>
      </c>
      <c r="D2372" s="31" t="s">
        <v>5980</v>
      </c>
      <c r="E2372" s="33" t="s">
        <v>5981</v>
      </c>
      <c r="F2372" s="33" t="s">
        <v>1937</v>
      </c>
      <c r="G2372" s="33" t="s">
        <v>3586</v>
      </c>
      <c r="H2372" s="84" t="s">
        <v>5982</v>
      </c>
      <c r="I2372" s="23" t="s">
        <v>24</v>
      </c>
      <c r="J2372" s="34">
        <v>95</v>
      </c>
      <c r="K2372" s="35">
        <v>0.25</v>
      </c>
      <c r="L2372" s="36">
        <f t="shared" si="352"/>
        <v>23.75</v>
      </c>
      <c r="M2372" s="37">
        <f t="shared" si="353"/>
        <v>71.25</v>
      </c>
      <c r="N2372" s="38">
        <v>0.16</v>
      </c>
      <c r="O2372" s="39">
        <f t="shared" si="354"/>
        <v>11.4</v>
      </c>
      <c r="P2372" s="40">
        <f t="shared" si="355"/>
        <v>82.65</v>
      </c>
      <c r="Q2372" s="23"/>
      <c r="R2372" s="56"/>
      <c r="S2372" s="57"/>
      <c r="T2372" s="58">
        <f t="shared" si="356"/>
        <v>0</v>
      </c>
      <c r="U2372" s="36">
        <f t="shared" si="357"/>
        <v>0</v>
      </c>
      <c r="V2372" s="59">
        <f t="shared" si="358"/>
        <v>0</v>
      </c>
      <c r="W2372" s="39">
        <f t="shared" si="359"/>
        <v>0</v>
      </c>
      <c r="X2372" s="40">
        <f t="shared" si="360"/>
        <v>0</v>
      </c>
      <c r="Y2372"/>
      <c r="Z2372"/>
      <c r="AA2372"/>
    </row>
    <row r="2373" spans="1:27" s="51" customFormat="1" ht="18.600000000000001" hidden="1" customHeight="1" x14ac:dyDescent="0.25">
      <c r="A2373" s="82" t="s">
        <v>2653</v>
      </c>
      <c r="B2373" s="41" t="s">
        <v>5760</v>
      </c>
      <c r="C2373" s="42" t="s">
        <v>9339</v>
      </c>
      <c r="D2373" s="41" t="s">
        <v>5983</v>
      </c>
      <c r="E2373" s="43" t="s">
        <v>5984</v>
      </c>
      <c r="F2373" s="43" t="s">
        <v>1937</v>
      </c>
      <c r="G2373" s="43" t="s">
        <v>3586</v>
      </c>
      <c r="H2373" s="85" t="s">
        <v>5985</v>
      </c>
      <c r="I2373" s="23" t="s">
        <v>24</v>
      </c>
      <c r="J2373" s="44">
        <v>95</v>
      </c>
      <c r="K2373" s="45">
        <v>0.25</v>
      </c>
      <c r="L2373" s="46">
        <f t="shared" si="352"/>
        <v>23.75</v>
      </c>
      <c r="M2373" s="47">
        <f t="shared" si="353"/>
        <v>71.25</v>
      </c>
      <c r="N2373" s="48">
        <v>0.16</v>
      </c>
      <c r="O2373" s="49">
        <f t="shared" si="354"/>
        <v>11.4</v>
      </c>
      <c r="P2373" s="50">
        <f t="shared" si="355"/>
        <v>82.65</v>
      </c>
      <c r="Q2373" s="23"/>
      <c r="R2373" s="60"/>
      <c r="S2373" s="61"/>
      <c r="T2373" s="62">
        <f t="shared" si="356"/>
        <v>0</v>
      </c>
      <c r="U2373" s="46">
        <f t="shared" si="357"/>
        <v>0</v>
      </c>
      <c r="V2373" s="63">
        <f t="shared" si="358"/>
        <v>0</v>
      </c>
      <c r="W2373" s="49">
        <f t="shared" si="359"/>
        <v>0</v>
      </c>
      <c r="X2373" s="50">
        <f t="shared" si="360"/>
        <v>0</v>
      </c>
      <c r="Y2373"/>
      <c r="Z2373"/>
      <c r="AA2373"/>
    </row>
    <row r="2374" spans="1:27" s="51" customFormat="1" ht="18.600000000000001" hidden="1" customHeight="1" x14ac:dyDescent="0.25">
      <c r="A2374" s="80" t="s">
        <v>2653</v>
      </c>
      <c r="B2374" s="20" t="s">
        <v>5760</v>
      </c>
      <c r="C2374" s="21" t="s">
        <v>9339</v>
      </c>
      <c r="D2374" s="20" t="s">
        <v>5986</v>
      </c>
      <c r="E2374" s="22" t="s">
        <v>5987</v>
      </c>
      <c r="F2374" s="22" t="s">
        <v>1937</v>
      </c>
      <c r="G2374" s="22" t="s">
        <v>3586</v>
      </c>
      <c r="H2374" s="83" t="s">
        <v>5988</v>
      </c>
      <c r="I2374" s="23" t="s">
        <v>24</v>
      </c>
      <c r="J2374" s="24">
        <v>95</v>
      </c>
      <c r="K2374" s="25">
        <v>0.25</v>
      </c>
      <c r="L2374" s="26">
        <f t="shared" si="352"/>
        <v>23.75</v>
      </c>
      <c r="M2374" s="27">
        <f t="shared" si="353"/>
        <v>71.25</v>
      </c>
      <c r="N2374" s="28">
        <v>0.16</v>
      </c>
      <c r="O2374" s="29">
        <f t="shared" si="354"/>
        <v>11.4</v>
      </c>
      <c r="P2374" s="30">
        <f t="shared" si="355"/>
        <v>82.65</v>
      </c>
      <c r="Q2374" s="23"/>
      <c r="R2374" s="52"/>
      <c r="S2374" s="53"/>
      <c r="T2374" s="54">
        <f t="shared" si="356"/>
        <v>0</v>
      </c>
      <c r="U2374" s="26">
        <f t="shared" si="357"/>
        <v>0</v>
      </c>
      <c r="V2374" s="55">
        <f t="shared" si="358"/>
        <v>0</v>
      </c>
      <c r="W2374" s="29">
        <f t="shared" si="359"/>
        <v>0</v>
      </c>
      <c r="X2374" s="30">
        <f t="shared" si="360"/>
        <v>0</v>
      </c>
      <c r="Y2374"/>
      <c r="Z2374"/>
      <c r="AA2374"/>
    </row>
    <row r="2375" spans="1:27" s="51" customFormat="1" ht="18.600000000000001" hidden="1" customHeight="1" x14ac:dyDescent="0.25">
      <c r="A2375" s="81" t="s">
        <v>2653</v>
      </c>
      <c r="B2375" s="31" t="s">
        <v>5760</v>
      </c>
      <c r="C2375" s="32" t="s">
        <v>9339</v>
      </c>
      <c r="D2375" s="31" t="s">
        <v>5989</v>
      </c>
      <c r="E2375" s="33" t="s">
        <v>5990</v>
      </c>
      <c r="F2375" s="33" t="s">
        <v>1937</v>
      </c>
      <c r="G2375" s="33" t="s">
        <v>3586</v>
      </c>
      <c r="H2375" s="84" t="s">
        <v>5991</v>
      </c>
      <c r="I2375" s="23" t="s">
        <v>24</v>
      </c>
      <c r="J2375" s="34">
        <v>95</v>
      </c>
      <c r="K2375" s="35">
        <v>0.25</v>
      </c>
      <c r="L2375" s="36">
        <f t="shared" si="352"/>
        <v>23.75</v>
      </c>
      <c r="M2375" s="37">
        <f t="shared" si="353"/>
        <v>71.25</v>
      </c>
      <c r="N2375" s="38">
        <v>0.16</v>
      </c>
      <c r="O2375" s="39">
        <f t="shared" si="354"/>
        <v>11.4</v>
      </c>
      <c r="P2375" s="40">
        <f t="shared" si="355"/>
        <v>82.65</v>
      </c>
      <c r="Q2375" s="23"/>
      <c r="R2375" s="56"/>
      <c r="S2375" s="57"/>
      <c r="T2375" s="58">
        <f t="shared" si="356"/>
        <v>0</v>
      </c>
      <c r="U2375" s="36">
        <f t="shared" si="357"/>
        <v>0</v>
      </c>
      <c r="V2375" s="59">
        <f t="shared" si="358"/>
        <v>0</v>
      </c>
      <c r="W2375" s="39">
        <f t="shared" si="359"/>
        <v>0</v>
      </c>
      <c r="X2375" s="40">
        <f t="shared" si="360"/>
        <v>0</v>
      </c>
      <c r="Y2375"/>
      <c r="Z2375"/>
      <c r="AA2375"/>
    </row>
    <row r="2376" spans="1:27" s="51" customFormat="1" ht="18.600000000000001" hidden="1" customHeight="1" x14ac:dyDescent="0.25">
      <c r="A2376" s="82" t="s">
        <v>2653</v>
      </c>
      <c r="B2376" s="41" t="s">
        <v>5760</v>
      </c>
      <c r="C2376" s="42" t="s">
        <v>9339</v>
      </c>
      <c r="D2376" s="41" t="s">
        <v>5992</v>
      </c>
      <c r="E2376" s="43" t="s">
        <v>5993</v>
      </c>
      <c r="F2376" s="43" t="s">
        <v>1937</v>
      </c>
      <c r="G2376" s="43" t="s">
        <v>3586</v>
      </c>
      <c r="H2376" s="85" t="s">
        <v>5994</v>
      </c>
      <c r="I2376" s="23" t="s">
        <v>24</v>
      </c>
      <c r="J2376" s="44">
        <v>95</v>
      </c>
      <c r="K2376" s="45">
        <v>0.25</v>
      </c>
      <c r="L2376" s="46">
        <f t="shared" si="352"/>
        <v>23.75</v>
      </c>
      <c r="M2376" s="47">
        <f t="shared" si="353"/>
        <v>71.25</v>
      </c>
      <c r="N2376" s="48">
        <v>0.16</v>
      </c>
      <c r="O2376" s="49">
        <f t="shared" si="354"/>
        <v>11.4</v>
      </c>
      <c r="P2376" s="50">
        <f t="shared" si="355"/>
        <v>82.65</v>
      </c>
      <c r="Q2376" s="23"/>
      <c r="R2376" s="60"/>
      <c r="S2376" s="61"/>
      <c r="T2376" s="62">
        <f t="shared" si="356"/>
        <v>0</v>
      </c>
      <c r="U2376" s="46">
        <f t="shared" si="357"/>
        <v>0</v>
      </c>
      <c r="V2376" s="63">
        <f t="shared" si="358"/>
        <v>0</v>
      </c>
      <c r="W2376" s="49">
        <f t="shared" si="359"/>
        <v>0</v>
      </c>
      <c r="X2376" s="50">
        <f t="shared" si="360"/>
        <v>0</v>
      </c>
      <c r="Y2376"/>
      <c r="Z2376"/>
      <c r="AA2376"/>
    </row>
    <row r="2377" spans="1:27" s="51" customFormat="1" ht="18.600000000000001" hidden="1" customHeight="1" x14ac:dyDescent="0.25">
      <c r="A2377" s="80" t="s">
        <v>2653</v>
      </c>
      <c r="B2377" s="20" t="s">
        <v>5760</v>
      </c>
      <c r="C2377" s="21" t="s">
        <v>9339</v>
      </c>
      <c r="D2377" s="20" t="s">
        <v>5995</v>
      </c>
      <c r="E2377" s="22" t="s">
        <v>5996</v>
      </c>
      <c r="F2377" s="22" t="s">
        <v>1937</v>
      </c>
      <c r="G2377" s="22" t="s">
        <v>3586</v>
      </c>
      <c r="H2377" s="83" t="s">
        <v>5997</v>
      </c>
      <c r="I2377" s="23" t="s">
        <v>24</v>
      </c>
      <c r="J2377" s="24">
        <v>95</v>
      </c>
      <c r="K2377" s="25">
        <v>0.25</v>
      </c>
      <c r="L2377" s="26">
        <f t="shared" si="352"/>
        <v>23.75</v>
      </c>
      <c r="M2377" s="27">
        <f t="shared" si="353"/>
        <v>71.25</v>
      </c>
      <c r="N2377" s="28">
        <v>0.16</v>
      </c>
      <c r="O2377" s="29">
        <f t="shared" si="354"/>
        <v>11.4</v>
      </c>
      <c r="P2377" s="30">
        <f t="shared" si="355"/>
        <v>82.65</v>
      </c>
      <c r="Q2377" s="23"/>
      <c r="R2377" s="52"/>
      <c r="S2377" s="53"/>
      <c r="T2377" s="54">
        <f t="shared" si="356"/>
        <v>0</v>
      </c>
      <c r="U2377" s="26">
        <f t="shared" si="357"/>
        <v>0</v>
      </c>
      <c r="V2377" s="55">
        <f t="shared" si="358"/>
        <v>0</v>
      </c>
      <c r="W2377" s="29">
        <f t="shared" si="359"/>
        <v>0</v>
      </c>
      <c r="X2377" s="30">
        <f t="shared" si="360"/>
        <v>0</v>
      </c>
      <c r="Y2377"/>
      <c r="Z2377"/>
      <c r="AA2377"/>
    </row>
    <row r="2378" spans="1:27" s="51" customFormat="1" ht="18.600000000000001" hidden="1" customHeight="1" x14ac:dyDescent="0.25">
      <c r="A2378" s="81" t="s">
        <v>2653</v>
      </c>
      <c r="B2378" s="31" t="s">
        <v>5760</v>
      </c>
      <c r="C2378" s="32" t="s">
        <v>9339</v>
      </c>
      <c r="D2378" s="31" t="s">
        <v>5998</v>
      </c>
      <c r="E2378" s="33" t="s">
        <v>5999</v>
      </c>
      <c r="F2378" s="33" t="s">
        <v>1937</v>
      </c>
      <c r="G2378" s="33" t="s">
        <v>3586</v>
      </c>
      <c r="H2378" s="84" t="s">
        <v>6000</v>
      </c>
      <c r="I2378" s="23" t="s">
        <v>24</v>
      </c>
      <c r="J2378" s="34">
        <v>95</v>
      </c>
      <c r="K2378" s="35">
        <v>0.25</v>
      </c>
      <c r="L2378" s="36">
        <f t="shared" si="352"/>
        <v>23.75</v>
      </c>
      <c r="M2378" s="37">
        <f t="shared" si="353"/>
        <v>71.25</v>
      </c>
      <c r="N2378" s="38">
        <v>0.16</v>
      </c>
      <c r="O2378" s="39">
        <f t="shared" si="354"/>
        <v>11.4</v>
      </c>
      <c r="P2378" s="40">
        <f t="shared" si="355"/>
        <v>82.65</v>
      </c>
      <c r="Q2378" s="23"/>
      <c r="R2378" s="56"/>
      <c r="S2378" s="57"/>
      <c r="T2378" s="58">
        <f t="shared" si="356"/>
        <v>0</v>
      </c>
      <c r="U2378" s="36">
        <f t="shared" si="357"/>
        <v>0</v>
      </c>
      <c r="V2378" s="59">
        <f t="shared" si="358"/>
        <v>0</v>
      </c>
      <c r="W2378" s="39">
        <f t="shared" si="359"/>
        <v>0</v>
      </c>
      <c r="X2378" s="40">
        <f t="shared" si="360"/>
        <v>0</v>
      </c>
      <c r="Y2378"/>
      <c r="Z2378"/>
      <c r="AA2378"/>
    </row>
    <row r="2379" spans="1:27" s="51" customFormat="1" ht="18.600000000000001" hidden="1" customHeight="1" x14ac:dyDescent="0.25">
      <c r="A2379" s="82" t="s">
        <v>2653</v>
      </c>
      <c r="B2379" s="41" t="s">
        <v>5760</v>
      </c>
      <c r="C2379" s="42" t="s">
        <v>9339</v>
      </c>
      <c r="D2379" s="41" t="s">
        <v>6001</v>
      </c>
      <c r="E2379" s="43" t="s">
        <v>6002</v>
      </c>
      <c r="F2379" s="43" t="s">
        <v>1937</v>
      </c>
      <c r="G2379" s="43" t="s">
        <v>3586</v>
      </c>
      <c r="H2379" s="85" t="s">
        <v>6003</v>
      </c>
      <c r="I2379" s="23" t="s">
        <v>24</v>
      </c>
      <c r="J2379" s="44">
        <v>95</v>
      </c>
      <c r="K2379" s="45">
        <v>0.25</v>
      </c>
      <c r="L2379" s="46">
        <f t="shared" si="352"/>
        <v>23.75</v>
      </c>
      <c r="M2379" s="47">
        <f t="shared" si="353"/>
        <v>71.25</v>
      </c>
      <c r="N2379" s="48">
        <v>0.16</v>
      </c>
      <c r="O2379" s="49">
        <f t="shared" si="354"/>
        <v>11.4</v>
      </c>
      <c r="P2379" s="50">
        <f t="shared" si="355"/>
        <v>82.65</v>
      </c>
      <c r="Q2379" s="23"/>
      <c r="R2379" s="60"/>
      <c r="S2379" s="61"/>
      <c r="T2379" s="62">
        <f t="shared" si="356"/>
        <v>0</v>
      </c>
      <c r="U2379" s="46">
        <f t="shared" si="357"/>
        <v>0</v>
      </c>
      <c r="V2379" s="63">
        <f t="shared" si="358"/>
        <v>0</v>
      </c>
      <c r="W2379" s="49">
        <f t="shared" si="359"/>
        <v>0</v>
      </c>
      <c r="X2379" s="50">
        <f t="shared" si="360"/>
        <v>0</v>
      </c>
      <c r="Y2379"/>
      <c r="Z2379"/>
      <c r="AA2379"/>
    </row>
    <row r="2380" spans="1:27" s="51" customFormat="1" ht="18.600000000000001" hidden="1" customHeight="1" x14ac:dyDescent="0.25">
      <c r="A2380" s="80" t="s">
        <v>2653</v>
      </c>
      <c r="B2380" s="20" t="s">
        <v>5760</v>
      </c>
      <c r="C2380" s="21" t="s">
        <v>9339</v>
      </c>
      <c r="D2380" s="20" t="s">
        <v>6004</v>
      </c>
      <c r="E2380" s="22" t="s">
        <v>6005</v>
      </c>
      <c r="F2380" s="22" t="s">
        <v>1937</v>
      </c>
      <c r="G2380" s="22" t="s">
        <v>3586</v>
      </c>
      <c r="H2380" s="83" t="s">
        <v>6006</v>
      </c>
      <c r="I2380" s="23" t="s">
        <v>24</v>
      </c>
      <c r="J2380" s="24">
        <v>95</v>
      </c>
      <c r="K2380" s="25">
        <v>0.25</v>
      </c>
      <c r="L2380" s="26">
        <f t="shared" si="352"/>
        <v>23.75</v>
      </c>
      <c r="M2380" s="27">
        <f t="shared" si="353"/>
        <v>71.25</v>
      </c>
      <c r="N2380" s="28">
        <v>0.16</v>
      </c>
      <c r="O2380" s="29">
        <f t="shared" si="354"/>
        <v>11.4</v>
      </c>
      <c r="P2380" s="30">
        <f t="shared" si="355"/>
        <v>82.65</v>
      </c>
      <c r="Q2380" s="23"/>
      <c r="R2380" s="52"/>
      <c r="S2380" s="53"/>
      <c r="T2380" s="54">
        <f t="shared" si="356"/>
        <v>0</v>
      </c>
      <c r="U2380" s="26">
        <f t="shared" si="357"/>
        <v>0</v>
      </c>
      <c r="V2380" s="55">
        <f t="shared" si="358"/>
        <v>0</v>
      </c>
      <c r="W2380" s="29">
        <f t="shared" si="359"/>
        <v>0</v>
      </c>
      <c r="X2380" s="30">
        <f t="shared" si="360"/>
        <v>0</v>
      </c>
      <c r="Y2380"/>
      <c r="Z2380"/>
      <c r="AA2380"/>
    </row>
    <row r="2381" spans="1:27" s="51" customFormat="1" ht="18.600000000000001" hidden="1" customHeight="1" x14ac:dyDescent="0.25">
      <c r="A2381" s="81" t="s">
        <v>2653</v>
      </c>
      <c r="B2381" s="31" t="s">
        <v>5760</v>
      </c>
      <c r="C2381" s="32" t="s">
        <v>9339</v>
      </c>
      <c r="D2381" s="31" t="s">
        <v>6007</v>
      </c>
      <c r="E2381" s="33" t="s">
        <v>6008</v>
      </c>
      <c r="F2381" s="33" t="s">
        <v>1937</v>
      </c>
      <c r="G2381" s="33" t="s">
        <v>3586</v>
      </c>
      <c r="H2381" s="84" t="s">
        <v>6009</v>
      </c>
      <c r="I2381" s="23" t="s">
        <v>24</v>
      </c>
      <c r="J2381" s="34">
        <v>95</v>
      </c>
      <c r="K2381" s="35">
        <v>0.25</v>
      </c>
      <c r="L2381" s="36">
        <f t="shared" si="352"/>
        <v>23.75</v>
      </c>
      <c r="M2381" s="37">
        <f t="shared" si="353"/>
        <v>71.25</v>
      </c>
      <c r="N2381" s="38">
        <v>0.16</v>
      </c>
      <c r="O2381" s="39">
        <f t="shared" si="354"/>
        <v>11.4</v>
      </c>
      <c r="P2381" s="40">
        <f t="shared" si="355"/>
        <v>82.65</v>
      </c>
      <c r="Q2381" s="23"/>
      <c r="R2381" s="56"/>
      <c r="S2381" s="57"/>
      <c r="T2381" s="58">
        <f t="shared" si="356"/>
        <v>0</v>
      </c>
      <c r="U2381" s="36">
        <f t="shared" si="357"/>
        <v>0</v>
      </c>
      <c r="V2381" s="59">
        <f t="shared" si="358"/>
        <v>0</v>
      </c>
      <c r="W2381" s="39">
        <f t="shared" si="359"/>
        <v>0</v>
      </c>
      <c r="X2381" s="40">
        <f t="shared" si="360"/>
        <v>0</v>
      </c>
      <c r="Y2381"/>
      <c r="Z2381"/>
      <c r="AA2381"/>
    </row>
    <row r="2382" spans="1:27" s="51" customFormat="1" ht="18.600000000000001" hidden="1" customHeight="1" x14ac:dyDescent="0.25">
      <c r="A2382" s="82" t="s">
        <v>2653</v>
      </c>
      <c r="B2382" s="41" t="s">
        <v>5760</v>
      </c>
      <c r="C2382" s="42" t="s">
        <v>9339</v>
      </c>
      <c r="D2382" s="41" t="s">
        <v>6010</v>
      </c>
      <c r="E2382" s="43" t="s">
        <v>6011</v>
      </c>
      <c r="F2382" s="43" t="s">
        <v>1937</v>
      </c>
      <c r="G2382" s="43" t="s">
        <v>3586</v>
      </c>
      <c r="H2382" s="85" t="s">
        <v>6012</v>
      </c>
      <c r="I2382" s="23" t="s">
        <v>24</v>
      </c>
      <c r="J2382" s="44">
        <v>95</v>
      </c>
      <c r="K2382" s="45">
        <v>0.25</v>
      </c>
      <c r="L2382" s="46">
        <f t="shared" si="352"/>
        <v>23.75</v>
      </c>
      <c r="M2382" s="47">
        <f t="shared" si="353"/>
        <v>71.25</v>
      </c>
      <c r="N2382" s="48">
        <v>0.16</v>
      </c>
      <c r="O2382" s="49">
        <f t="shared" si="354"/>
        <v>11.4</v>
      </c>
      <c r="P2382" s="50">
        <f t="shared" si="355"/>
        <v>82.65</v>
      </c>
      <c r="Q2382" s="23"/>
      <c r="R2382" s="60"/>
      <c r="S2382" s="61"/>
      <c r="T2382" s="62">
        <f t="shared" si="356"/>
        <v>0</v>
      </c>
      <c r="U2382" s="46">
        <f t="shared" si="357"/>
        <v>0</v>
      </c>
      <c r="V2382" s="63">
        <f t="shared" si="358"/>
        <v>0</v>
      </c>
      <c r="W2382" s="49">
        <f t="shared" si="359"/>
        <v>0</v>
      </c>
      <c r="X2382" s="50">
        <f t="shared" si="360"/>
        <v>0</v>
      </c>
      <c r="Y2382"/>
      <c r="Z2382"/>
      <c r="AA2382"/>
    </row>
    <row r="2383" spans="1:27" s="51" customFormat="1" ht="18.600000000000001" hidden="1" customHeight="1" x14ac:dyDescent="0.25">
      <c r="A2383" s="80" t="s">
        <v>2653</v>
      </c>
      <c r="B2383" s="20" t="s">
        <v>5760</v>
      </c>
      <c r="C2383" s="21" t="s">
        <v>9339</v>
      </c>
      <c r="D2383" s="20" t="s">
        <v>6013</v>
      </c>
      <c r="E2383" s="22" t="s">
        <v>6014</v>
      </c>
      <c r="F2383" s="22" t="s">
        <v>1937</v>
      </c>
      <c r="G2383" s="22" t="s">
        <v>3586</v>
      </c>
      <c r="H2383" s="83" t="s">
        <v>6015</v>
      </c>
      <c r="I2383" s="23" t="s">
        <v>24</v>
      </c>
      <c r="J2383" s="24">
        <v>95</v>
      </c>
      <c r="K2383" s="25">
        <v>0.25</v>
      </c>
      <c r="L2383" s="26">
        <f t="shared" si="352"/>
        <v>23.75</v>
      </c>
      <c r="M2383" s="27">
        <f t="shared" si="353"/>
        <v>71.25</v>
      </c>
      <c r="N2383" s="28">
        <v>0.16</v>
      </c>
      <c r="O2383" s="29">
        <f t="shared" si="354"/>
        <v>11.4</v>
      </c>
      <c r="P2383" s="30">
        <f t="shared" si="355"/>
        <v>82.65</v>
      </c>
      <c r="Q2383" s="23"/>
      <c r="R2383" s="52"/>
      <c r="S2383" s="53"/>
      <c r="T2383" s="54">
        <f t="shared" si="356"/>
        <v>0</v>
      </c>
      <c r="U2383" s="26">
        <f t="shared" si="357"/>
        <v>0</v>
      </c>
      <c r="V2383" s="55">
        <f t="shared" si="358"/>
        <v>0</v>
      </c>
      <c r="W2383" s="29">
        <f t="shared" si="359"/>
        <v>0</v>
      </c>
      <c r="X2383" s="30">
        <f t="shared" si="360"/>
        <v>0</v>
      </c>
      <c r="Y2383"/>
      <c r="Z2383"/>
      <c r="AA2383"/>
    </row>
    <row r="2384" spans="1:27" s="51" customFormat="1" ht="18.600000000000001" hidden="1" customHeight="1" x14ac:dyDescent="0.25">
      <c r="A2384" s="81" t="s">
        <v>2653</v>
      </c>
      <c r="B2384" s="31" t="s">
        <v>5760</v>
      </c>
      <c r="C2384" s="32" t="s">
        <v>9339</v>
      </c>
      <c r="D2384" s="31" t="s">
        <v>6016</v>
      </c>
      <c r="E2384" s="33" t="s">
        <v>6017</v>
      </c>
      <c r="F2384" s="33" t="s">
        <v>1937</v>
      </c>
      <c r="G2384" s="33" t="s">
        <v>3586</v>
      </c>
      <c r="H2384" s="84" t="s">
        <v>6018</v>
      </c>
      <c r="I2384" s="23" t="s">
        <v>24</v>
      </c>
      <c r="J2384" s="34">
        <v>95</v>
      </c>
      <c r="K2384" s="35">
        <v>0.25</v>
      </c>
      <c r="L2384" s="36">
        <f t="shared" si="352"/>
        <v>23.75</v>
      </c>
      <c r="M2384" s="37">
        <f t="shared" si="353"/>
        <v>71.25</v>
      </c>
      <c r="N2384" s="38">
        <v>0.16</v>
      </c>
      <c r="O2384" s="39">
        <f t="shared" si="354"/>
        <v>11.4</v>
      </c>
      <c r="P2384" s="40">
        <f t="shared" si="355"/>
        <v>82.65</v>
      </c>
      <c r="Q2384" s="23"/>
      <c r="R2384" s="56"/>
      <c r="S2384" s="57"/>
      <c r="T2384" s="58">
        <f t="shared" si="356"/>
        <v>0</v>
      </c>
      <c r="U2384" s="36">
        <f t="shared" si="357"/>
        <v>0</v>
      </c>
      <c r="V2384" s="59">
        <f t="shared" si="358"/>
        <v>0</v>
      </c>
      <c r="W2384" s="39">
        <f t="shared" si="359"/>
        <v>0</v>
      </c>
      <c r="X2384" s="40">
        <f t="shared" si="360"/>
        <v>0</v>
      </c>
      <c r="Y2384"/>
      <c r="Z2384"/>
      <c r="AA2384"/>
    </row>
    <row r="2385" spans="1:27" s="51" customFormat="1" ht="18.600000000000001" hidden="1" customHeight="1" x14ac:dyDescent="0.25">
      <c r="A2385" s="82" t="s">
        <v>2653</v>
      </c>
      <c r="B2385" s="41" t="s">
        <v>5760</v>
      </c>
      <c r="C2385" s="42" t="s">
        <v>9339</v>
      </c>
      <c r="D2385" s="41" t="s">
        <v>6019</v>
      </c>
      <c r="E2385" s="43" t="s">
        <v>6020</v>
      </c>
      <c r="F2385" s="43" t="s">
        <v>1937</v>
      </c>
      <c r="G2385" s="43" t="s">
        <v>3586</v>
      </c>
      <c r="H2385" s="85" t="s">
        <v>6021</v>
      </c>
      <c r="I2385" s="23" t="s">
        <v>24</v>
      </c>
      <c r="J2385" s="44">
        <v>95</v>
      </c>
      <c r="K2385" s="45">
        <v>0.25</v>
      </c>
      <c r="L2385" s="46">
        <f t="shared" si="352"/>
        <v>23.75</v>
      </c>
      <c r="M2385" s="47">
        <f t="shared" si="353"/>
        <v>71.25</v>
      </c>
      <c r="N2385" s="48">
        <v>0.16</v>
      </c>
      <c r="O2385" s="49">
        <f t="shared" si="354"/>
        <v>11.4</v>
      </c>
      <c r="P2385" s="50">
        <f t="shared" si="355"/>
        <v>82.65</v>
      </c>
      <c r="Q2385" s="23"/>
      <c r="R2385" s="60"/>
      <c r="S2385" s="61"/>
      <c r="T2385" s="62">
        <f t="shared" si="356"/>
        <v>0</v>
      </c>
      <c r="U2385" s="46">
        <f t="shared" si="357"/>
        <v>0</v>
      </c>
      <c r="V2385" s="63">
        <f t="shared" si="358"/>
        <v>0</v>
      </c>
      <c r="W2385" s="49">
        <f t="shared" si="359"/>
        <v>0</v>
      </c>
      <c r="X2385" s="50">
        <f t="shared" si="360"/>
        <v>0</v>
      </c>
      <c r="Y2385"/>
      <c r="Z2385"/>
      <c r="AA2385"/>
    </row>
    <row r="2386" spans="1:27" s="51" customFormat="1" ht="18.600000000000001" hidden="1" customHeight="1" x14ac:dyDescent="0.25">
      <c r="A2386" s="80" t="s">
        <v>2653</v>
      </c>
      <c r="B2386" s="20" t="s">
        <v>5760</v>
      </c>
      <c r="C2386" s="21" t="s">
        <v>9339</v>
      </c>
      <c r="D2386" s="20" t="s">
        <v>6022</v>
      </c>
      <c r="E2386" s="22" t="s">
        <v>6023</v>
      </c>
      <c r="F2386" s="22" t="s">
        <v>1937</v>
      </c>
      <c r="G2386" s="22" t="s">
        <v>3586</v>
      </c>
      <c r="H2386" s="83" t="s">
        <v>6024</v>
      </c>
      <c r="I2386" s="23" t="s">
        <v>24</v>
      </c>
      <c r="J2386" s="24">
        <v>95</v>
      </c>
      <c r="K2386" s="25">
        <v>0.25</v>
      </c>
      <c r="L2386" s="26">
        <f t="shared" si="352"/>
        <v>23.75</v>
      </c>
      <c r="M2386" s="27">
        <f t="shared" si="353"/>
        <v>71.25</v>
      </c>
      <c r="N2386" s="28">
        <v>0.16</v>
      </c>
      <c r="O2386" s="29">
        <f t="shared" si="354"/>
        <v>11.4</v>
      </c>
      <c r="P2386" s="30">
        <f t="shared" si="355"/>
        <v>82.65</v>
      </c>
      <c r="Q2386" s="23"/>
      <c r="R2386" s="52"/>
      <c r="S2386" s="53"/>
      <c r="T2386" s="54">
        <f t="shared" si="356"/>
        <v>0</v>
      </c>
      <c r="U2386" s="26">
        <f t="shared" si="357"/>
        <v>0</v>
      </c>
      <c r="V2386" s="55">
        <f t="shared" si="358"/>
        <v>0</v>
      </c>
      <c r="W2386" s="29">
        <f t="shared" si="359"/>
        <v>0</v>
      </c>
      <c r="X2386" s="30">
        <f t="shared" si="360"/>
        <v>0</v>
      </c>
      <c r="Y2386"/>
      <c r="Z2386"/>
      <c r="AA2386"/>
    </row>
    <row r="2387" spans="1:27" s="51" customFormat="1" ht="18.600000000000001" hidden="1" customHeight="1" x14ac:dyDescent="0.25">
      <c r="A2387" s="81" t="s">
        <v>2653</v>
      </c>
      <c r="B2387" s="31" t="s">
        <v>5760</v>
      </c>
      <c r="C2387" s="32" t="s">
        <v>9339</v>
      </c>
      <c r="D2387" s="31" t="s">
        <v>6025</v>
      </c>
      <c r="E2387" s="33" t="s">
        <v>6026</v>
      </c>
      <c r="F2387" s="33" t="s">
        <v>1937</v>
      </c>
      <c r="G2387" s="33" t="s">
        <v>3586</v>
      </c>
      <c r="H2387" s="84" t="s">
        <v>6027</v>
      </c>
      <c r="I2387" s="23" t="s">
        <v>24</v>
      </c>
      <c r="J2387" s="34">
        <v>95</v>
      </c>
      <c r="K2387" s="35">
        <v>0.25</v>
      </c>
      <c r="L2387" s="36">
        <f t="shared" si="352"/>
        <v>23.75</v>
      </c>
      <c r="M2387" s="37">
        <f t="shared" si="353"/>
        <v>71.25</v>
      </c>
      <c r="N2387" s="38">
        <v>0.16</v>
      </c>
      <c r="O2387" s="39">
        <f t="shared" si="354"/>
        <v>11.4</v>
      </c>
      <c r="P2387" s="40">
        <f t="shared" si="355"/>
        <v>82.65</v>
      </c>
      <c r="Q2387" s="23"/>
      <c r="R2387" s="56"/>
      <c r="S2387" s="57"/>
      <c r="T2387" s="58">
        <f t="shared" si="356"/>
        <v>0</v>
      </c>
      <c r="U2387" s="36">
        <f t="shared" si="357"/>
        <v>0</v>
      </c>
      <c r="V2387" s="59">
        <f t="shared" si="358"/>
        <v>0</v>
      </c>
      <c r="W2387" s="39">
        <f t="shared" si="359"/>
        <v>0</v>
      </c>
      <c r="X2387" s="40">
        <f t="shared" si="360"/>
        <v>0</v>
      </c>
      <c r="Y2387"/>
      <c r="Z2387"/>
      <c r="AA2387"/>
    </row>
    <row r="2388" spans="1:27" s="51" customFormat="1" ht="18.600000000000001" hidden="1" customHeight="1" x14ac:dyDescent="0.25">
      <c r="A2388" s="82" t="s">
        <v>2653</v>
      </c>
      <c r="B2388" s="41" t="s">
        <v>5760</v>
      </c>
      <c r="C2388" s="42" t="s">
        <v>9339</v>
      </c>
      <c r="D2388" s="41" t="s">
        <v>6028</v>
      </c>
      <c r="E2388" s="43" t="s">
        <v>6029</v>
      </c>
      <c r="F2388" s="43" t="s">
        <v>1937</v>
      </c>
      <c r="G2388" s="43" t="s">
        <v>3586</v>
      </c>
      <c r="H2388" s="85" t="s">
        <v>6030</v>
      </c>
      <c r="I2388" s="23" t="s">
        <v>24</v>
      </c>
      <c r="J2388" s="44">
        <v>95</v>
      </c>
      <c r="K2388" s="45">
        <v>0.25</v>
      </c>
      <c r="L2388" s="46">
        <f t="shared" si="352"/>
        <v>23.75</v>
      </c>
      <c r="M2388" s="47">
        <f t="shared" si="353"/>
        <v>71.25</v>
      </c>
      <c r="N2388" s="48">
        <v>0.16</v>
      </c>
      <c r="O2388" s="49">
        <f t="shared" si="354"/>
        <v>11.4</v>
      </c>
      <c r="P2388" s="50">
        <f t="shared" si="355"/>
        <v>82.65</v>
      </c>
      <c r="Q2388" s="23"/>
      <c r="R2388" s="60"/>
      <c r="S2388" s="61"/>
      <c r="T2388" s="62">
        <f t="shared" si="356"/>
        <v>0</v>
      </c>
      <c r="U2388" s="46">
        <f t="shared" si="357"/>
        <v>0</v>
      </c>
      <c r="V2388" s="63">
        <f t="shared" si="358"/>
        <v>0</v>
      </c>
      <c r="W2388" s="49">
        <f t="shared" si="359"/>
        <v>0</v>
      </c>
      <c r="X2388" s="50">
        <f t="shared" si="360"/>
        <v>0</v>
      </c>
      <c r="Y2388"/>
      <c r="Z2388"/>
      <c r="AA2388"/>
    </row>
    <row r="2389" spans="1:27" s="51" customFormat="1" ht="18.600000000000001" hidden="1" customHeight="1" x14ac:dyDescent="0.25">
      <c r="A2389" s="80" t="s">
        <v>2653</v>
      </c>
      <c r="B2389" s="20" t="s">
        <v>5760</v>
      </c>
      <c r="C2389" s="21" t="s">
        <v>9339</v>
      </c>
      <c r="D2389" s="20" t="s">
        <v>6031</v>
      </c>
      <c r="E2389" s="22" t="s">
        <v>6032</v>
      </c>
      <c r="F2389" s="22" t="s">
        <v>1937</v>
      </c>
      <c r="G2389" s="22" t="s">
        <v>3586</v>
      </c>
      <c r="H2389" s="83" t="s">
        <v>6033</v>
      </c>
      <c r="I2389" s="23" t="s">
        <v>24</v>
      </c>
      <c r="J2389" s="24">
        <v>95</v>
      </c>
      <c r="K2389" s="25">
        <v>0.25</v>
      </c>
      <c r="L2389" s="26">
        <f t="shared" si="352"/>
        <v>23.75</v>
      </c>
      <c r="M2389" s="27">
        <f t="shared" si="353"/>
        <v>71.25</v>
      </c>
      <c r="N2389" s="28">
        <v>0.16</v>
      </c>
      <c r="O2389" s="29">
        <f t="shared" si="354"/>
        <v>11.4</v>
      </c>
      <c r="P2389" s="30">
        <f t="shared" si="355"/>
        <v>82.65</v>
      </c>
      <c r="Q2389" s="23"/>
      <c r="R2389" s="52"/>
      <c r="S2389" s="53"/>
      <c r="T2389" s="54">
        <f t="shared" si="356"/>
        <v>0</v>
      </c>
      <c r="U2389" s="26">
        <f t="shared" si="357"/>
        <v>0</v>
      </c>
      <c r="V2389" s="55">
        <f t="shared" si="358"/>
        <v>0</v>
      </c>
      <c r="W2389" s="29">
        <f t="shared" si="359"/>
        <v>0</v>
      </c>
      <c r="X2389" s="30">
        <f t="shared" si="360"/>
        <v>0</v>
      </c>
      <c r="Y2389"/>
      <c r="Z2389"/>
      <c r="AA2389"/>
    </row>
    <row r="2390" spans="1:27" s="51" customFormat="1" ht="18.600000000000001" hidden="1" customHeight="1" x14ac:dyDescent="0.25">
      <c r="A2390" s="81" t="s">
        <v>2653</v>
      </c>
      <c r="B2390" s="31" t="s">
        <v>5760</v>
      </c>
      <c r="C2390" s="32" t="s">
        <v>9339</v>
      </c>
      <c r="D2390" s="31" t="s">
        <v>6034</v>
      </c>
      <c r="E2390" s="33" t="s">
        <v>6035</v>
      </c>
      <c r="F2390" s="33" t="s">
        <v>1937</v>
      </c>
      <c r="G2390" s="33" t="s">
        <v>3586</v>
      </c>
      <c r="H2390" s="84" t="s">
        <v>6036</v>
      </c>
      <c r="I2390" s="23" t="s">
        <v>24</v>
      </c>
      <c r="J2390" s="34">
        <v>95</v>
      </c>
      <c r="K2390" s="35">
        <v>0.25</v>
      </c>
      <c r="L2390" s="36">
        <f t="shared" si="352"/>
        <v>23.75</v>
      </c>
      <c r="M2390" s="37">
        <f t="shared" si="353"/>
        <v>71.25</v>
      </c>
      <c r="N2390" s="38">
        <v>0.16</v>
      </c>
      <c r="O2390" s="39">
        <f t="shared" si="354"/>
        <v>11.4</v>
      </c>
      <c r="P2390" s="40">
        <f t="shared" si="355"/>
        <v>82.65</v>
      </c>
      <c r="Q2390" s="23"/>
      <c r="R2390" s="56"/>
      <c r="S2390" s="57"/>
      <c r="T2390" s="58">
        <f t="shared" si="356"/>
        <v>0</v>
      </c>
      <c r="U2390" s="36">
        <f t="shared" si="357"/>
        <v>0</v>
      </c>
      <c r="V2390" s="59">
        <f t="shared" si="358"/>
        <v>0</v>
      </c>
      <c r="W2390" s="39">
        <f t="shared" si="359"/>
        <v>0</v>
      </c>
      <c r="X2390" s="40">
        <f t="shared" si="360"/>
        <v>0</v>
      </c>
      <c r="Y2390"/>
      <c r="Z2390"/>
      <c r="AA2390"/>
    </row>
    <row r="2391" spans="1:27" s="51" customFormat="1" ht="18.600000000000001" hidden="1" customHeight="1" x14ac:dyDescent="0.25">
      <c r="A2391" s="82" t="s">
        <v>2653</v>
      </c>
      <c r="B2391" s="41" t="s">
        <v>5760</v>
      </c>
      <c r="C2391" s="42" t="s">
        <v>9339</v>
      </c>
      <c r="D2391" s="41" t="s">
        <v>6037</v>
      </c>
      <c r="E2391" s="43" t="s">
        <v>6038</v>
      </c>
      <c r="F2391" s="43" t="s">
        <v>1937</v>
      </c>
      <c r="G2391" s="43" t="s">
        <v>3586</v>
      </c>
      <c r="H2391" s="85" t="s">
        <v>6039</v>
      </c>
      <c r="I2391" s="23" t="s">
        <v>24</v>
      </c>
      <c r="J2391" s="44">
        <v>95</v>
      </c>
      <c r="K2391" s="45">
        <v>0.25</v>
      </c>
      <c r="L2391" s="46">
        <f t="shared" ref="L2391:L2454" si="361">+J2391*K2391</f>
        <v>23.75</v>
      </c>
      <c r="M2391" s="47">
        <f t="shared" ref="M2391:M2454" si="362">+J2391-L2391</f>
        <v>71.25</v>
      </c>
      <c r="N2391" s="48">
        <v>0.16</v>
      </c>
      <c r="O2391" s="49">
        <f t="shared" ref="O2391:O2454" si="363">+M2391*N2391</f>
        <v>11.4</v>
      </c>
      <c r="P2391" s="50">
        <f t="shared" ref="P2391:P2454" si="364">+M2391+O2391</f>
        <v>82.65</v>
      </c>
      <c r="Q2391" s="23"/>
      <c r="R2391" s="60"/>
      <c r="S2391" s="61"/>
      <c r="T2391" s="62">
        <f t="shared" ref="T2391:T2454" si="365">+S2391*J2391</f>
        <v>0</v>
      </c>
      <c r="U2391" s="46">
        <f t="shared" ref="U2391:U2454" si="366">+T2391*K2391</f>
        <v>0</v>
      </c>
      <c r="V2391" s="63">
        <f t="shared" ref="V2391:V2454" si="367">+T2391-U2391</f>
        <v>0</v>
      </c>
      <c r="W2391" s="49">
        <f t="shared" ref="W2391:W2454" si="368">+V2391*N2391</f>
        <v>0</v>
      </c>
      <c r="X2391" s="50">
        <f t="shared" ref="X2391:X2454" si="369">+V2391+W2391</f>
        <v>0</v>
      </c>
      <c r="Y2391"/>
      <c r="Z2391"/>
      <c r="AA2391"/>
    </row>
    <row r="2392" spans="1:27" s="51" customFormat="1" ht="18.600000000000001" hidden="1" customHeight="1" x14ac:dyDescent="0.25">
      <c r="A2392" s="80" t="s">
        <v>2653</v>
      </c>
      <c r="B2392" s="20" t="s">
        <v>5760</v>
      </c>
      <c r="C2392" s="21" t="s">
        <v>9339</v>
      </c>
      <c r="D2392" s="20" t="s">
        <v>6040</v>
      </c>
      <c r="E2392" s="22" t="s">
        <v>6041</v>
      </c>
      <c r="F2392" s="22" t="s">
        <v>1937</v>
      </c>
      <c r="G2392" s="22" t="s">
        <v>3586</v>
      </c>
      <c r="H2392" s="83" t="s">
        <v>6042</v>
      </c>
      <c r="I2392" s="23" t="s">
        <v>24</v>
      </c>
      <c r="J2392" s="24">
        <v>95</v>
      </c>
      <c r="K2392" s="25">
        <v>0.25</v>
      </c>
      <c r="L2392" s="26">
        <f t="shared" si="361"/>
        <v>23.75</v>
      </c>
      <c r="M2392" s="27">
        <f t="shared" si="362"/>
        <v>71.25</v>
      </c>
      <c r="N2392" s="28">
        <v>0.16</v>
      </c>
      <c r="O2392" s="29">
        <f t="shared" si="363"/>
        <v>11.4</v>
      </c>
      <c r="P2392" s="30">
        <f t="shared" si="364"/>
        <v>82.65</v>
      </c>
      <c r="Q2392" s="23"/>
      <c r="R2392" s="52"/>
      <c r="S2392" s="53"/>
      <c r="T2392" s="54">
        <f t="shared" si="365"/>
        <v>0</v>
      </c>
      <c r="U2392" s="26">
        <f t="shared" si="366"/>
        <v>0</v>
      </c>
      <c r="V2392" s="55">
        <f t="shared" si="367"/>
        <v>0</v>
      </c>
      <c r="W2392" s="29">
        <f t="shared" si="368"/>
        <v>0</v>
      </c>
      <c r="X2392" s="30">
        <f t="shared" si="369"/>
        <v>0</v>
      </c>
      <c r="Y2392"/>
      <c r="Z2392"/>
      <c r="AA2392"/>
    </row>
    <row r="2393" spans="1:27" s="51" customFormat="1" ht="18.600000000000001" hidden="1" customHeight="1" x14ac:dyDescent="0.25">
      <c r="A2393" s="81" t="s">
        <v>2653</v>
      </c>
      <c r="B2393" s="31" t="s">
        <v>5760</v>
      </c>
      <c r="C2393" s="32" t="s">
        <v>9339</v>
      </c>
      <c r="D2393" s="31" t="s">
        <v>6043</v>
      </c>
      <c r="E2393" s="33" t="s">
        <v>6044</v>
      </c>
      <c r="F2393" s="33" t="s">
        <v>1937</v>
      </c>
      <c r="G2393" s="33" t="s">
        <v>3586</v>
      </c>
      <c r="H2393" s="84" t="s">
        <v>6045</v>
      </c>
      <c r="I2393" s="23" t="s">
        <v>24</v>
      </c>
      <c r="J2393" s="34">
        <v>95</v>
      </c>
      <c r="K2393" s="35">
        <v>0.25</v>
      </c>
      <c r="L2393" s="36">
        <f t="shared" si="361"/>
        <v>23.75</v>
      </c>
      <c r="M2393" s="37">
        <f t="shared" si="362"/>
        <v>71.25</v>
      </c>
      <c r="N2393" s="38">
        <v>0.16</v>
      </c>
      <c r="O2393" s="39">
        <f t="shared" si="363"/>
        <v>11.4</v>
      </c>
      <c r="P2393" s="40">
        <f t="shared" si="364"/>
        <v>82.65</v>
      </c>
      <c r="Q2393" s="23"/>
      <c r="R2393" s="56"/>
      <c r="S2393" s="57"/>
      <c r="T2393" s="58">
        <f t="shared" si="365"/>
        <v>0</v>
      </c>
      <c r="U2393" s="36">
        <f t="shared" si="366"/>
        <v>0</v>
      </c>
      <c r="V2393" s="59">
        <f t="shared" si="367"/>
        <v>0</v>
      </c>
      <c r="W2393" s="39">
        <f t="shared" si="368"/>
        <v>0</v>
      </c>
      <c r="X2393" s="40">
        <f t="shared" si="369"/>
        <v>0</v>
      </c>
      <c r="Y2393"/>
      <c r="Z2393"/>
      <c r="AA2393"/>
    </row>
    <row r="2394" spans="1:27" s="51" customFormat="1" ht="18.600000000000001" hidden="1" customHeight="1" x14ac:dyDescent="0.25">
      <c r="A2394" s="82" t="s">
        <v>2653</v>
      </c>
      <c r="B2394" s="41" t="s">
        <v>5760</v>
      </c>
      <c r="C2394" s="42" t="s">
        <v>9339</v>
      </c>
      <c r="D2394" s="41" t="s">
        <v>6046</v>
      </c>
      <c r="E2394" s="43" t="s">
        <v>6047</v>
      </c>
      <c r="F2394" s="43" t="s">
        <v>1937</v>
      </c>
      <c r="G2394" s="43" t="s">
        <v>3586</v>
      </c>
      <c r="H2394" s="85" t="s">
        <v>6048</v>
      </c>
      <c r="I2394" s="23" t="s">
        <v>24</v>
      </c>
      <c r="J2394" s="44">
        <v>95</v>
      </c>
      <c r="K2394" s="45">
        <v>0.25</v>
      </c>
      <c r="L2394" s="46">
        <f t="shared" si="361"/>
        <v>23.75</v>
      </c>
      <c r="M2394" s="47">
        <f t="shared" si="362"/>
        <v>71.25</v>
      </c>
      <c r="N2394" s="48">
        <v>0.16</v>
      </c>
      <c r="O2394" s="49">
        <f t="shared" si="363"/>
        <v>11.4</v>
      </c>
      <c r="P2394" s="50">
        <f t="shared" si="364"/>
        <v>82.65</v>
      </c>
      <c r="Q2394" s="23"/>
      <c r="R2394" s="60"/>
      <c r="S2394" s="61"/>
      <c r="T2394" s="62">
        <f t="shared" si="365"/>
        <v>0</v>
      </c>
      <c r="U2394" s="46">
        <f t="shared" si="366"/>
        <v>0</v>
      </c>
      <c r="V2394" s="63">
        <f t="shared" si="367"/>
        <v>0</v>
      </c>
      <c r="W2394" s="49">
        <f t="shared" si="368"/>
        <v>0</v>
      </c>
      <c r="X2394" s="50">
        <f t="shared" si="369"/>
        <v>0</v>
      </c>
      <c r="Y2394"/>
      <c r="Z2394"/>
      <c r="AA2394"/>
    </row>
    <row r="2395" spans="1:27" s="51" customFormat="1" ht="18.600000000000001" hidden="1" customHeight="1" x14ac:dyDescent="0.25">
      <c r="A2395" s="80" t="s">
        <v>2653</v>
      </c>
      <c r="B2395" s="20" t="s">
        <v>5760</v>
      </c>
      <c r="C2395" s="21" t="s">
        <v>9339</v>
      </c>
      <c r="D2395" s="20" t="s">
        <v>6049</v>
      </c>
      <c r="E2395" s="22" t="s">
        <v>6050</v>
      </c>
      <c r="F2395" s="22" t="s">
        <v>1937</v>
      </c>
      <c r="G2395" s="22" t="s">
        <v>3586</v>
      </c>
      <c r="H2395" s="83" t="s">
        <v>6051</v>
      </c>
      <c r="I2395" s="23" t="s">
        <v>24</v>
      </c>
      <c r="J2395" s="24">
        <v>95</v>
      </c>
      <c r="K2395" s="25">
        <v>0.25</v>
      </c>
      <c r="L2395" s="26">
        <f t="shared" si="361"/>
        <v>23.75</v>
      </c>
      <c r="M2395" s="27">
        <f t="shared" si="362"/>
        <v>71.25</v>
      </c>
      <c r="N2395" s="28">
        <v>0.16</v>
      </c>
      <c r="O2395" s="29">
        <f t="shared" si="363"/>
        <v>11.4</v>
      </c>
      <c r="P2395" s="30">
        <f t="shared" si="364"/>
        <v>82.65</v>
      </c>
      <c r="Q2395" s="23"/>
      <c r="R2395" s="52"/>
      <c r="S2395" s="53"/>
      <c r="T2395" s="54">
        <f t="shared" si="365"/>
        <v>0</v>
      </c>
      <c r="U2395" s="26">
        <f t="shared" si="366"/>
        <v>0</v>
      </c>
      <c r="V2395" s="55">
        <f t="shared" si="367"/>
        <v>0</v>
      </c>
      <c r="W2395" s="29">
        <f t="shared" si="368"/>
        <v>0</v>
      </c>
      <c r="X2395" s="30">
        <f t="shared" si="369"/>
        <v>0</v>
      </c>
      <c r="Y2395"/>
      <c r="Z2395"/>
      <c r="AA2395"/>
    </row>
    <row r="2396" spans="1:27" s="51" customFormat="1" ht="18.600000000000001" hidden="1" customHeight="1" x14ac:dyDescent="0.25">
      <c r="A2396" s="81" t="s">
        <v>2653</v>
      </c>
      <c r="B2396" s="31" t="s">
        <v>5760</v>
      </c>
      <c r="C2396" s="32" t="s">
        <v>9339</v>
      </c>
      <c r="D2396" s="31" t="s">
        <v>6052</v>
      </c>
      <c r="E2396" s="33" t="s">
        <v>6053</v>
      </c>
      <c r="F2396" s="33" t="s">
        <v>1937</v>
      </c>
      <c r="G2396" s="33" t="s">
        <v>3586</v>
      </c>
      <c r="H2396" s="84" t="s">
        <v>6054</v>
      </c>
      <c r="I2396" s="23" t="s">
        <v>24</v>
      </c>
      <c r="J2396" s="34">
        <v>95</v>
      </c>
      <c r="K2396" s="35">
        <v>0.25</v>
      </c>
      <c r="L2396" s="36">
        <f t="shared" si="361"/>
        <v>23.75</v>
      </c>
      <c r="M2396" s="37">
        <f t="shared" si="362"/>
        <v>71.25</v>
      </c>
      <c r="N2396" s="38">
        <v>0.16</v>
      </c>
      <c r="O2396" s="39">
        <f t="shared" si="363"/>
        <v>11.4</v>
      </c>
      <c r="P2396" s="40">
        <f t="shared" si="364"/>
        <v>82.65</v>
      </c>
      <c r="Q2396" s="23"/>
      <c r="R2396" s="56"/>
      <c r="S2396" s="57"/>
      <c r="T2396" s="58">
        <f t="shared" si="365"/>
        <v>0</v>
      </c>
      <c r="U2396" s="36">
        <f t="shared" si="366"/>
        <v>0</v>
      </c>
      <c r="V2396" s="59">
        <f t="shared" si="367"/>
        <v>0</v>
      </c>
      <c r="W2396" s="39">
        <f t="shared" si="368"/>
        <v>0</v>
      </c>
      <c r="X2396" s="40">
        <f t="shared" si="369"/>
        <v>0</v>
      </c>
      <c r="Y2396"/>
      <c r="Z2396"/>
      <c r="AA2396"/>
    </row>
    <row r="2397" spans="1:27" s="51" customFormat="1" ht="18.600000000000001" hidden="1" customHeight="1" x14ac:dyDescent="0.25">
      <c r="A2397" s="82" t="s">
        <v>2653</v>
      </c>
      <c r="B2397" s="41" t="s">
        <v>5760</v>
      </c>
      <c r="C2397" s="42" t="s">
        <v>9339</v>
      </c>
      <c r="D2397" s="41" t="s">
        <v>6055</v>
      </c>
      <c r="E2397" s="43" t="s">
        <v>6056</v>
      </c>
      <c r="F2397" s="43" t="s">
        <v>1937</v>
      </c>
      <c r="G2397" s="43" t="s">
        <v>3586</v>
      </c>
      <c r="H2397" s="85" t="s">
        <v>6057</v>
      </c>
      <c r="I2397" s="23" t="s">
        <v>24</v>
      </c>
      <c r="J2397" s="44">
        <v>95</v>
      </c>
      <c r="K2397" s="45">
        <v>0.25</v>
      </c>
      <c r="L2397" s="46">
        <f t="shared" si="361"/>
        <v>23.75</v>
      </c>
      <c r="M2397" s="47">
        <f t="shared" si="362"/>
        <v>71.25</v>
      </c>
      <c r="N2397" s="48">
        <v>0.16</v>
      </c>
      <c r="O2397" s="49">
        <f t="shared" si="363"/>
        <v>11.4</v>
      </c>
      <c r="P2397" s="50">
        <f t="shared" si="364"/>
        <v>82.65</v>
      </c>
      <c r="Q2397" s="23"/>
      <c r="R2397" s="60"/>
      <c r="S2397" s="61"/>
      <c r="T2397" s="62">
        <f t="shared" si="365"/>
        <v>0</v>
      </c>
      <c r="U2397" s="46">
        <f t="shared" si="366"/>
        <v>0</v>
      </c>
      <c r="V2397" s="63">
        <f t="shared" si="367"/>
        <v>0</v>
      </c>
      <c r="W2397" s="49">
        <f t="shared" si="368"/>
        <v>0</v>
      </c>
      <c r="X2397" s="50">
        <f t="shared" si="369"/>
        <v>0</v>
      </c>
      <c r="Y2397"/>
      <c r="Z2397"/>
      <c r="AA2397"/>
    </row>
    <row r="2398" spans="1:27" s="51" customFormat="1" ht="18.600000000000001" hidden="1" customHeight="1" x14ac:dyDescent="0.25">
      <c r="A2398" s="80" t="s">
        <v>2653</v>
      </c>
      <c r="B2398" s="20" t="s">
        <v>5760</v>
      </c>
      <c r="C2398" s="21" t="s">
        <v>9339</v>
      </c>
      <c r="D2398" s="20" t="s">
        <v>6058</v>
      </c>
      <c r="E2398" s="22" t="s">
        <v>6059</v>
      </c>
      <c r="F2398" s="22" t="s">
        <v>1937</v>
      </c>
      <c r="G2398" s="22" t="s">
        <v>3586</v>
      </c>
      <c r="H2398" s="83" t="s">
        <v>6060</v>
      </c>
      <c r="I2398" s="23" t="s">
        <v>24</v>
      </c>
      <c r="J2398" s="24">
        <v>95</v>
      </c>
      <c r="K2398" s="25">
        <v>0.25</v>
      </c>
      <c r="L2398" s="26">
        <f t="shared" si="361"/>
        <v>23.75</v>
      </c>
      <c r="M2398" s="27">
        <f t="shared" si="362"/>
        <v>71.25</v>
      </c>
      <c r="N2398" s="28">
        <v>0.16</v>
      </c>
      <c r="O2398" s="29">
        <f t="shared" si="363"/>
        <v>11.4</v>
      </c>
      <c r="P2398" s="30">
        <f t="shared" si="364"/>
        <v>82.65</v>
      </c>
      <c r="Q2398" s="23"/>
      <c r="R2398" s="52"/>
      <c r="S2398" s="53"/>
      <c r="T2398" s="54">
        <f t="shared" si="365"/>
        <v>0</v>
      </c>
      <c r="U2398" s="26">
        <f t="shared" si="366"/>
        <v>0</v>
      </c>
      <c r="V2398" s="55">
        <f t="shared" si="367"/>
        <v>0</v>
      </c>
      <c r="W2398" s="29">
        <f t="shared" si="368"/>
        <v>0</v>
      </c>
      <c r="X2398" s="30">
        <f t="shared" si="369"/>
        <v>0</v>
      </c>
      <c r="Y2398"/>
      <c r="Z2398"/>
      <c r="AA2398"/>
    </row>
    <row r="2399" spans="1:27" s="51" customFormat="1" ht="18.600000000000001" hidden="1" customHeight="1" x14ac:dyDescent="0.25">
      <c r="A2399" s="81" t="s">
        <v>2653</v>
      </c>
      <c r="B2399" s="31" t="s">
        <v>5760</v>
      </c>
      <c r="C2399" s="32" t="s">
        <v>9339</v>
      </c>
      <c r="D2399" s="31" t="s">
        <v>6061</v>
      </c>
      <c r="E2399" s="33" t="s">
        <v>6062</v>
      </c>
      <c r="F2399" s="33" t="s">
        <v>1937</v>
      </c>
      <c r="G2399" s="33" t="s">
        <v>3586</v>
      </c>
      <c r="H2399" s="84" t="s">
        <v>6063</v>
      </c>
      <c r="I2399" s="23" t="s">
        <v>24</v>
      </c>
      <c r="J2399" s="34">
        <v>95</v>
      </c>
      <c r="K2399" s="35">
        <v>0.25</v>
      </c>
      <c r="L2399" s="36">
        <f t="shared" si="361"/>
        <v>23.75</v>
      </c>
      <c r="M2399" s="37">
        <f t="shared" si="362"/>
        <v>71.25</v>
      </c>
      <c r="N2399" s="38">
        <v>0.16</v>
      </c>
      <c r="O2399" s="39">
        <f t="shared" si="363"/>
        <v>11.4</v>
      </c>
      <c r="P2399" s="40">
        <f t="shared" si="364"/>
        <v>82.65</v>
      </c>
      <c r="Q2399" s="23"/>
      <c r="R2399" s="56"/>
      <c r="S2399" s="57"/>
      <c r="T2399" s="58">
        <f t="shared" si="365"/>
        <v>0</v>
      </c>
      <c r="U2399" s="36">
        <f t="shared" si="366"/>
        <v>0</v>
      </c>
      <c r="V2399" s="59">
        <f t="shared" si="367"/>
        <v>0</v>
      </c>
      <c r="W2399" s="39">
        <f t="shared" si="368"/>
        <v>0</v>
      </c>
      <c r="X2399" s="40">
        <f t="shared" si="369"/>
        <v>0</v>
      </c>
      <c r="Y2399"/>
      <c r="Z2399"/>
      <c r="AA2399"/>
    </row>
    <row r="2400" spans="1:27" s="51" customFormat="1" ht="18.600000000000001" hidden="1" customHeight="1" x14ac:dyDescent="0.25">
      <c r="A2400" s="82" t="s">
        <v>2653</v>
      </c>
      <c r="B2400" s="41" t="s">
        <v>5760</v>
      </c>
      <c r="C2400" s="42" t="s">
        <v>9339</v>
      </c>
      <c r="D2400" s="41" t="s">
        <v>6064</v>
      </c>
      <c r="E2400" s="43" t="s">
        <v>6065</v>
      </c>
      <c r="F2400" s="43" t="s">
        <v>1937</v>
      </c>
      <c r="G2400" s="43" t="s">
        <v>3586</v>
      </c>
      <c r="H2400" s="85" t="s">
        <v>6066</v>
      </c>
      <c r="I2400" s="23" t="s">
        <v>24</v>
      </c>
      <c r="J2400" s="44">
        <v>95</v>
      </c>
      <c r="K2400" s="45">
        <v>0.25</v>
      </c>
      <c r="L2400" s="46">
        <f t="shared" si="361"/>
        <v>23.75</v>
      </c>
      <c r="M2400" s="47">
        <f t="shared" si="362"/>
        <v>71.25</v>
      </c>
      <c r="N2400" s="48">
        <v>0.16</v>
      </c>
      <c r="O2400" s="49">
        <f t="shared" si="363"/>
        <v>11.4</v>
      </c>
      <c r="P2400" s="50">
        <f t="shared" si="364"/>
        <v>82.65</v>
      </c>
      <c r="Q2400" s="23"/>
      <c r="R2400" s="60"/>
      <c r="S2400" s="61"/>
      <c r="T2400" s="62">
        <f t="shared" si="365"/>
        <v>0</v>
      </c>
      <c r="U2400" s="46">
        <f t="shared" si="366"/>
        <v>0</v>
      </c>
      <c r="V2400" s="63">
        <f t="shared" si="367"/>
        <v>0</v>
      </c>
      <c r="W2400" s="49">
        <f t="shared" si="368"/>
        <v>0</v>
      </c>
      <c r="X2400" s="50">
        <f t="shared" si="369"/>
        <v>0</v>
      </c>
      <c r="Y2400"/>
      <c r="Z2400"/>
      <c r="AA2400"/>
    </row>
    <row r="2401" spans="1:27" s="51" customFormat="1" ht="18.600000000000001" hidden="1" customHeight="1" x14ac:dyDescent="0.25">
      <c r="A2401" s="80" t="s">
        <v>2653</v>
      </c>
      <c r="B2401" s="20" t="s">
        <v>5760</v>
      </c>
      <c r="C2401" s="21" t="s">
        <v>9339</v>
      </c>
      <c r="D2401" s="20" t="s">
        <v>6067</v>
      </c>
      <c r="E2401" s="22" t="s">
        <v>6068</v>
      </c>
      <c r="F2401" s="22" t="s">
        <v>1937</v>
      </c>
      <c r="G2401" s="22" t="s">
        <v>3586</v>
      </c>
      <c r="H2401" s="83" t="s">
        <v>6069</v>
      </c>
      <c r="I2401" s="23" t="s">
        <v>24</v>
      </c>
      <c r="J2401" s="24">
        <v>95</v>
      </c>
      <c r="K2401" s="25">
        <v>0.25</v>
      </c>
      <c r="L2401" s="26">
        <f t="shared" si="361"/>
        <v>23.75</v>
      </c>
      <c r="M2401" s="27">
        <f t="shared" si="362"/>
        <v>71.25</v>
      </c>
      <c r="N2401" s="28">
        <v>0.16</v>
      </c>
      <c r="O2401" s="29">
        <f t="shared" si="363"/>
        <v>11.4</v>
      </c>
      <c r="P2401" s="30">
        <f t="shared" si="364"/>
        <v>82.65</v>
      </c>
      <c r="Q2401" s="23"/>
      <c r="R2401" s="52"/>
      <c r="S2401" s="53"/>
      <c r="T2401" s="54">
        <f t="shared" si="365"/>
        <v>0</v>
      </c>
      <c r="U2401" s="26">
        <f t="shared" si="366"/>
        <v>0</v>
      </c>
      <c r="V2401" s="55">
        <f t="shared" si="367"/>
        <v>0</v>
      </c>
      <c r="W2401" s="29">
        <f t="shared" si="368"/>
        <v>0</v>
      </c>
      <c r="X2401" s="30">
        <f t="shared" si="369"/>
        <v>0</v>
      </c>
      <c r="Y2401"/>
      <c r="Z2401"/>
      <c r="AA2401"/>
    </row>
    <row r="2402" spans="1:27" s="51" customFormat="1" ht="18.600000000000001" hidden="1" customHeight="1" x14ac:dyDescent="0.25">
      <c r="A2402" s="81" t="s">
        <v>2653</v>
      </c>
      <c r="B2402" s="31" t="s">
        <v>5760</v>
      </c>
      <c r="C2402" s="32" t="s">
        <v>9339</v>
      </c>
      <c r="D2402" s="31" t="s">
        <v>6070</v>
      </c>
      <c r="E2402" s="33" t="s">
        <v>6071</v>
      </c>
      <c r="F2402" s="33" t="s">
        <v>1937</v>
      </c>
      <c r="G2402" s="33" t="s">
        <v>3586</v>
      </c>
      <c r="H2402" s="84" t="s">
        <v>6072</v>
      </c>
      <c r="I2402" s="23" t="s">
        <v>24</v>
      </c>
      <c r="J2402" s="34">
        <v>95</v>
      </c>
      <c r="K2402" s="35">
        <v>0.25</v>
      </c>
      <c r="L2402" s="36">
        <f t="shared" si="361"/>
        <v>23.75</v>
      </c>
      <c r="M2402" s="37">
        <f t="shared" si="362"/>
        <v>71.25</v>
      </c>
      <c r="N2402" s="38">
        <v>0.16</v>
      </c>
      <c r="O2402" s="39">
        <f t="shared" si="363"/>
        <v>11.4</v>
      </c>
      <c r="P2402" s="40">
        <f t="shared" si="364"/>
        <v>82.65</v>
      </c>
      <c r="Q2402" s="23"/>
      <c r="R2402" s="56"/>
      <c r="S2402" s="57"/>
      <c r="T2402" s="58">
        <f t="shared" si="365"/>
        <v>0</v>
      </c>
      <c r="U2402" s="36">
        <f t="shared" si="366"/>
        <v>0</v>
      </c>
      <c r="V2402" s="59">
        <f t="shared" si="367"/>
        <v>0</v>
      </c>
      <c r="W2402" s="39">
        <f t="shared" si="368"/>
        <v>0</v>
      </c>
      <c r="X2402" s="40">
        <f t="shared" si="369"/>
        <v>0</v>
      </c>
      <c r="Y2402"/>
      <c r="Z2402"/>
      <c r="AA2402"/>
    </row>
    <row r="2403" spans="1:27" s="51" customFormat="1" ht="18.600000000000001" hidden="1" customHeight="1" x14ac:dyDescent="0.25">
      <c r="A2403" s="82" t="s">
        <v>2653</v>
      </c>
      <c r="B2403" s="41" t="s">
        <v>5760</v>
      </c>
      <c r="C2403" s="42" t="s">
        <v>9339</v>
      </c>
      <c r="D2403" s="41" t="s">
        <v>6073</v>
      </c>
      <c r="E2403" s="43" t="s">
        <v>6074</v>
      </c>
      <c r="F2403" s="43" t="s">
        <v>1937</v>
      </c>
      <c r="G2403" s="43" t="s">
        <v>3586</v>
      </c>
      <c r="H2403" s="85" t="s">
        <v>6075</v>
      </c>
      <c r="I2403" s="23" t="s">
        <v>24</v>
      </c>
      <c r="J2403" s="44">
        <v>95</v>
      </c>
      <c r="K2403" s="45">
        <v>0.25</v>
      </c>
      <c r="L2403" s="46">
        <f t="shared" si="361"/>
        <v>23.75</v>
      </c>
      <c r="M2403" s="47">
        <f t="shared" si="362"/>
        <v>71.25</v>
      </c>
      <c r="N2403" s="48">
        <v>0.16</v>
      </c>
      <c r="O2403" s="49">
        <f t="shared" si="363"/>
        <v>11.4</v>
      </c>
      <c r="P2403" s="50">
        <f t="shared" si="364"/>
        <v>82.65</v>
      </c>
      <c r="Q2403" s="23"/>
      <c r="R2403" s="60"/>
      <c r="S2403" s="61"/>
      <c r="T2403" s="62">
        <f t="shared" si="365"/>
        <v>0</v>
      </c>
      <c r="U2403" s="46">
        <f t="shared" si="366"/>
        <v>0</v>
      </c>
      <c r="V2403" s="63">
        <f t="shared" si="367"/>
        <v>0</v>
      </c>
      <c r="W2403" s="49">
        <f t="shared" si="368"/>
        <v>0</v>
      </c>
      <c r="X2403" s="50">
        <f t="shared" si="369"/>
        <v>0</v>
      </c>
      <c r="Y2403"/>
      <c r="Z2403"/>
      <c r="AA2403"/>
    </row>
    <row r="2404" spans="1:27" s="51" customFormat="1" ht="18.600000000000001" hidden="1" customHeight="1" x14ac:dyDescent="0.25">
      <c r="A2404" s="80" t="s">
        <v>2653</v>
      </c>
      <c r="B2404" s="20" t="s">
        <v>5760</v>
      </c>
      <c r="C2404" s="21" t="s">
        <v>9339</v>
      </c>
      <c r="D2404" s="20" t="s">
        <v>6076</v>
      </c>
      <c r="E2404" s="22" t="s">
        <v>6077</v>
      </c>
      <c r="F2404" s="22" t="s">
        <v>1937</v>
      </c>
      <c r="G2404" s="22" t="s">
        <v>3586</v>
      </c>
      <c r="H2404" s="83" t="s">
        <v>6078</v>
      </c>
      <c r="I2404" s="23" t="s">
        <v>24</v>
      </c>
      <c r="J2404" s="24">
        <v>95</v>
      </c>
      <c r="K2404" s="25">
        <v>0.25</v>
      </c>
      <c r="L2404" s="26">
        <f t="shared" si="361"/>
        <v>23.75</v>
      </c>
      <c r="M2404" s="27">
        <f t="shared" si="362"/>
        <v>71.25</v>
      </c>
      <c r="N2404" s="28">
        <v>0.16</v>
      </c>
      <c r="O2404" s="29">
        <f t="shared" si="363"/>
        <v>11.4</v>
      </c>
      <c r="P2404" s="30">
        <f t="shared" si="364"/>
        <v>82.65</v>
      </c>
      <c r="Q2404" s="23"/>
      <c r="R2404" s="52"/>
      <c r="S2404" s="53"/>
      <c r="T2404" s="54">
        <f t="shared" si="365"/>
        <v>0</v>
      </c>
      <c r="U2404" s="26">
        <f t="shared" si="366"/>
        <v>0</v>
      </c>
      <c r="V2404" s="55">
        <f t="shared" si="367"/>
        <v>0</v>
      </c>
      <c r="W2404" s="29">
        <f t="shared" si="368"/>
        <v>0</v>
      </c>
      <c r="X2404" s="30">
        <f t="shared" si="369"/>
        <v>0</v>
      </c>
      <c r="Y2404"/>
      <c r="Z2404"/>
      <c r="AA2404"/>
    </row>
    <row r="2405" spans="1:27" s="51" customFormat="1" ht="18.600000000000001" hidden="1" customHeight="1" x14ac:dyDescent="0.25">
      <c r="A2405" s="81" t="s">
        <v>2653</v>
      </c>
      <c r="B2405" s="31" t="s">
        <v>5760</v>
      </c>
      <c r="C2405" s="32" t="s">
        <v>9339</v>
      </c>
      <c r="D2405" s="31" t="s">
        <v>6079</v>
      </c>
      <c r="E2405" s="33" t="s">
        <v>6080</v>
      </c>
      <c r="F2405" s="33" t="s">
        <v>1937</v>
      </c>
      <c r="G2405" s="33" t="s">
        <v>3586</v>
      </c>
      <c r="H2405" s="84" t="s">
        <v>6081</v>
      </c>
      <c r="I2405" s="23" t="s">
        <v>24</v>
      </c>
      <c r="J2405" s="34">
        <v>95</v>
      </c>
      <c r="K2405" s="35">
        <v>0.25</v>
      </c>
      <c r="L2405" s="36">
        <f t="shared" si="361"/>
        <v>23.75</v>
      </c>
      <c r="M2405" s="37">
        <f t="shared" si="362"/>
        <v>71.25</v>
      </c>
      <c r="N2405" s="38">
        <v>0.16</v>
      </c>
      <c r="O2405" s="39">
        <f t="shared" si="363"/>
        <v>11.4</v>
      </c>
      <c r="P2405" s="40">
        <f t="shared" si="364"/>
        <v>82.65</v>
      </c>
      <c r="Q2405" s="23"/>
      <c r="R2405" s="56"/>
      <c r="S2405" s="57"/>
      <c r="T2405" s="58">
        <f t="shared" si="365"/>
        <v>0</v>
      </c>
      <c r="U2405" s="36">
        <f t="shared" si="366"/>
        <v>0</v>
      </c>
      <c r="V2405" s="59">
        <f t="shared" si="367"/>
        <v>0</v>
      </c>
      <c r="W2405" s="39">
        <f t="shared" si="368"/>
        <v>0</v>
      </c>
      <c r="X2405" s="40">
        <f t="shared" si="369"/>
        <v>0</v>
      </c>
      <c r="Y2405"/>
      <c r="Z2405"/>
      <c r="AA2405"/>
    </row>
    <row r="2406" spans="1:27" s="51" customFormat="1" ht="18.600000000000001" hidden="1" customHeight="1" x14ac:dyDescent="0.25">
      <c r="A2406" s="82" t="s">
        <v>2653</v>
      </c>
      <c r="B2406" s="41" t="s">
        <v>5760</v>
      </c>
      <c r="C2406" s="42" t="s">
        <v>9339</v>
      </c>
      <c r="D2406" s="41" t="s">
        <v>6082</v>
      </c>
      <c r="E2406" s="43" t="s">
        <v>6083</v>
      </c>
      <c r="F2406" s="43" t="s">
        <v>1937</v>
      </c>
      <c r="G2406" s="43" t="s">
        <v>3586</v>
      </c>
      <c r="H2406" s="85" t="s">
        <v>6084</v>
      </c>
      <c r="I2406" s="23" t="s">
        <v>24</v>
      </c>
      <c r="J2406" s="44">
        <v>95</v>
      </c>
      <c r="K2406" s="45">
        <v>0.25</v>
      </c>
      <c r="L2406" s="46">
        <f t="shared" si="361"/>
        <v>23.75</v>
      </c>
      <c r="M2406" s="47">
        <f t="shared" si="362"/>
        <v>71.25</v>
      </c>
      <c r="N2406" s="48">
        <v>0.16</v>
      </c>
      <c r="O2406" s="49">
        <f t="shared" si="363"/>
        <v>11.4</v>
      </c>
      <c r="P2406" s="50">
        <f t="shared" si="364"/>
        <v>82.65</v>
      </c>
      <c r="Q2406" s="23"/>
      <c r="R2406" s="60"/>
      <c r="S2406" s="61"/>
      <c r="T2406" s="62">
        <f t="shared" si="365"/>
        <v>0</v>
      </c>
      <c r="U2406" s="46">
        <f t="shared" si="366"/>
        <v>0</v>
      </c>
      <c r="V2406" s="63">
        <f t="shared" si="367"/>
        <v>0</v>
      </c>
      <c r="W2406" s="49">
        <f t="shared" si="368"/>
        <v>0</v>
      </c>
      <c r="X2406" s="50">
        <f t="shared" si="369"/>
        <v>0</v>
      </c>
      <c r="Y2406"/>
      <c r="Z2406"/>
      <c r="AA2406"/>
    </row>
    <row r="2407" spans="1:27" s="51" customFormat="1" ht="18.600000000000001" hidden="1" customHeight="1" x14ac:dyDescent="0.25">
      <c r="A2407" s="80" t="s">
        <v>2653</v>
      </c>
      <c r="B2407" s="20" t="s">
        <v>5760</v>
      </c>
      <c r="C2407" s="21" t="s">
        <v>9339</v>
      </c>
      <c r="D2407" s="20" t="s">
        <v>6085</v>
      </c>
      <c r="E2407" s="22" t="s">
        <v>6086</v>
      </c>
      <c r="F2407" s="22" t="s">
        <v>1937</v>
      </c>
      <c r="G2407" s="22" t="s">
        <v>3586</v>
      </c>
      <c r="H2407" s="83" t="s">
        <v>6087</v>
      </c>
      <c r="I2407" s="23" t="s">
        <v>24</v>
      </c>
      <c r="J2407" s="24">
        <v>95</v>
      </c>
      <c r="K2407" s="25">
        <v>0.25</v>
      </c>
      <c r="L2407" s="26">
        <f t="shared" si="361"/>
        <v>23.75</v>
      </c>
      <c r="M2407" s="27">
        <f t="shared" si="362"/>
        <v>71.25</v>
      </c>
      <c r="N2407" s="28">
        <v>0.16</v>
      </c>
      <c r="O2407" s="29">
        <f t="shared" si="363"/>
        <v>11.4</v>
      </c>
      <c r="P2407" s="30">
        <f t="shared" si="364"/>
        <v>82.65</v>
      </c>
      <c r="Q2407" s="23"/>
      <c r="R2407" s="52"/>
      <c r="S2407" s="53"/>
      <c r="T2407" s="54">
        <f t="shared" si="365"/>
        <v>0</v>
      </c>
      <c r="U2407" s="26">
        <f t="shared" si="366"/>
        <v>0</v>
      </c>
      <c r="V2407" s="55">
        <f t="shared" si="367"/>
        <v>0</v>
      </c>
      <c r="W2407" s="29">
        <f t="shared" si="368"/>
        <v>0</v>
      </c>
      <c r="X2407" s="30">
        <f t="shared" si="369"/>
        <v>0</v>
      </c>
      <c r="Y2407"/>
      <c r="Z2407"/>
      <c r="AA2407"/>
    </row>
    <row r="2408" spans="1:27" s="51" customFormat="1" ht="18.600000000000001" hidden="1" customHeight="1" x14ac:dyDescent="0.25">
      <c r="A2408" s="81" t="s">
        <v>2653</v>
      </c>
      <c r="B2408" s="31" t="s">
        <v>5760</v>
      </c>
      <c r="C2408" s="32" t="s">
        <v>9339</v>
      </c>
      <c r="D2408" s="31" t="s">
        <v>6088</v>
      </c>
      <c r="E2408" s="33" t="s">
        <v>6089</v>
      </c>
      <c r="F2408" s="33" t="s">
        <v>1937</v>
      </c>
      <c r="G2408" s="33" t="s">
        <v>3586</v>
      </c>
      <c r="H2408" s="84" t="s">
        <v>6090</v>
      </c>
      <c r="I2408" s="23" t="s">
        <v>24</v>
      </c>
      <c r="J2408" s="34">
        <v>95</v>
      </c>
      <c r="K2408" s="35">
        <v>0.25</v>
      </c>
      <c r="L2408" s="36">
        <f t="shared" si="361"/>
        <v>23.75</v>
      </c>
      <c r="M2408" s="37">
        <f t="shared" si="362"/>
        <v>71.25</v>
      </c>
      <c r="N2408" s="38">
        <v>0.16</v>
      </c>
      <c r="O2408" s="39">
        <f t="shared" si="363"/>
        <v>11.4</v>
      </c>
      <c r="P2408" s="40">
        <f t="shared" si="364"/>
        <v>82.65</v>
      </c>
      <c r="Q2408" s="23"/>
      <c r="R2408" s="56"/>
      <c r="S2408" s="57"/>
      <c r="T2408" s="58">
        <f t="shared" si="365"/>
        <v>0</v>
      </c>
      <c r="U2408" s="36">
        <f t="shared" si="366"/>
        <v>0</v>
      </c>
      <c r="V2408" s="59">
        <f t="shared" si="367"/>
        <v>0</v>
      </c>
      <c r="W2408" s="39">
        <f t="shared" si="368"/>
        <v>0</v>
      </c>
      <c r="X2408" s="40">
        <f t="shared" si="369"/>
        <v>0</v>
      </c>
      <c r="Y2408"/>
      <c r="Z2408"/>
      <c r="AA2408"/>
    </row>
    <row r="2409" spans="1:27" s="51" customFormat="1" ht="18.600000000000001" hidden="1" customHeight="1" x14ac:dyDescent="0.25">
      <c r="A2409" s="82" t="s">
        <v>2653</v>
      </c>
      <c r="B2409" s="41" t="s">
        <v>5760</v>
      </c>
      <c r="C2409" s="42" t="s">
        <v>9339</v>
      </c>
      <c r="D2409" s="41" t="s">
        <v>6091</v>
      </c>
      <c r="E2409" s="43" t="s">
        <v>6092</v>
      </c>
      <c r="F2409" s="43" t="s">
        <v>1937</v>
      </c>
      <c r="G2409" s="43" t="s">
        <v>3586</v>
      </c>
      <c r="H2409" s="85" t="s">
        <v>6093</v>
      </c>
      <c r="I2409" s="23" t="s">
        <v>24</v>
      </c>
      <c r="J2409" s="44">
        <v>95</v>
      </c>
      <c r="K2409" s="45">
        <v>0.25</v>
      </c>
      <c r="L2409" s="46">
        <f t="shared" si="361"/>
        <v>23.75</v>
      </c>
      <c r="M2409" s="47">
        <f t="shared" si="362"/>
        <v>71.25</v>
      </c>
      <c r="N2409" s="48">
        <v>0.16</v>
      </c>
      <c r="O2409" s="49">
        <f t="shared" si="363"/>
        <v>11.4</v>
      </c>
      <c r="P2409" s="50">
        <f t="shared" si="364"/>
        <v>82.65</v>
      </c>
      <c r="Q2409" s="23"/>
      <c r="R2409" s="60"/>
      <c r="S2409" s="61"/>
      <c r="T2409" s="62">
        <f t="shared" si="365"/>
        <v>0</v>
      </c>
      <c r="U2409" s="46">
        <f t="shared" si="366"/>
        <v>0</v>
      </c>
      <c r="V2409" s="63">
        <f t="shared" si="367"/>
        <v>0</v>
      </c>
      <c r="W2409" s="49">
        <f t="shared" si="368"/>
        <v>0</v>
      </c>
      <c r="X2409" s="50">
        <f t="shared" si="369"/>
        <v>0</v>
      </c>
      <c r="Y2409"/>
      <c r="Z2409"/>
      <c r="AA2409"/>
    </row>
    <row r="2410" spans="1:27" s="51" customFormat="1" ht="18.600000000000001" hidden="1" customHeight="1" x14ac:dyDescent="0.25">
      <c r="A2410" s="80" t="s">
        <v>2653</v>
      </c>
      <c r="B2410" s="20" t="s">
        <v>5760</v>
      </c>
      <c r="C2410" s="21" t="s">
        <v>9339</v>
      </c>
      <c r="D2410" s="20" t="s">
        <v>6094</v>
      </c>
      <c r="E2410" s="22" t="s">
        <v>6095</v>
      </c>
      <c r="F2410" s="22" t="s">
        <v>1937</v>
      </c>
      <c r="G2410" s="22" t="s">
        <v>3586</v>
      </c>
      <c r="H2410" s="83" t="s">
        <v>6096</v>
      </c>
      <c r="I2410" s="23" t="s">
        <v>24</v>
      </c>
      <c r="J2410" s="24">
        <v>95</v>
      </c>
      <c r="K2410" s="25">
        <v>0.25</v>
      </c>
      <c r="L2410" s="26">
        <f t="shared" si="361"/>
        <v>23.75</v>
      </c>
      <c r="M2410" s="27">
        <f t="shared" si="362"/>
        <v>71.25</v>
      </c>
      <c r="N2410" s="28">
        <v>0.16</v>
      </c>
      <c r="O2410" s="29">
        <f t="shared" si="363"/>
        <v>11.4</v>
      </c>
      <c r="P2410" s="30">
        <f t="shared" si="364"/>
        <v>82.65</v>
      </c>
      <c r="Q2410" s="23"/>
      <c r="R2410" s="52"/>
      <c r="S2410" s="53"/>
      <c r="T2410" s="54">
        <f t="shared" si="365"/>
        <v>0</v>
      </c>
      <c r="U2410" s="26">
        <f t="shared" si="366"/>
        <v>0</v>
      </c>
      <c r="V2410" s="55">
        <f t="shared" si="367"/>
        <v>0</v>
      </c>
      <c r="W2410" s="29">
        <f t="shared" si="368"/>
        <v>0</v>
      </c>
      <c r="X2410" s="30">
        <f t="shared" si="369"/>
        <v>0</v>
      </c>
      <c r="Y2410"/>
      <c r="Z2410"/>
      <c r="AA2410"/>
    </row>
    <row r="2411" spans="1:27" s="51" customFormat="1" ht="18.600000000000001" hidden="1" customHeight="1" x14ac:dyDescent="0.25">
      <c r="A2411" s="81" t="s">
        <v>2653</v>
      </c>
      <c r="B2411" s="31" t="s">
        <v>5760</v>
      </c>
      <c r="C2411" s="32" t="s">
        <v>9339</v>
      </c>
      <c r="D2411" s="31" t="s">
        <v>6097</v>
      </c>
      <c r="E2411" s="33" t="s">
        <v>6098</v>
      </c>
      <c r="F2411" s="33" t="s">
        <v>1937</v>
      </c>
      <c r="G2411" s="33" t="s">
        <v>3586</v>
      </c>
      <c r="H2411" s="84" t="s">
        <v>6099</v>
      </c>
      <c r="I2411" s="23" t="s">
        <v>24</v>
      </c>
      <c r="J2411" s="34">
        <v>95</v>
      </c>
      <c r="K2411" s="35">
        <v>0.25</v>
      </c>
      <c r="L2411" s="36">
        <f t="shared" si="361"/>
        <v>23.75</v>
      </c>
      <c r="M2411" s="37">
        <f t="shared" si="362"/>
        <v>71.25</v>
      </c>
      <c r="N2411" s="38">
        <v>0.16</v>
      </c>
      <c r="O2411" s="39">
        <f t="shared" si="363"/>
        <v>11.4</v>
      </c>
      <c r="P2411" s="40">
        <f t="shared" si="364"/>
        <v>82.65</v>
      </c>
      <c r="Q2411" s="23"/>
      <c r="R2411" s="56"/>
      <c r="S2411" s="57"/>
      <c r="T2411" s="58">
        <f t="shared" si="365"/>
        <v>0</v>
      </c>
      <c r="U2411" s="36">
        <f t="shared" si="366"/>
        <v>0</v>
      </c>
      <c r="V2411" s="59">
        <f t="shared" si="367"/>
        <v>0</v>
      </c>
      <c r="W2411" s="39">
        <f t="shared" si="368"/>
        <v>0</v>
      </c>
      <c r="X2411" s="40">
        <f t="shared" si="369"/>
        <v>0</v>
      </c>
      <c r="Y2411"/>
      <c r="Z2411"/>
      <c r="AA2411"/>
    </row>
    <row r="2412" spans="1:27" s="51" customFormat="1" ht="18.600000000000001" hidden="1" customHeight="1" x14ac:dyDescent="0.25">
      <c r="A2412" s="82" t="s">
        <v>2653</v>
      </c>
      <c r="B2412" s="41" t="s">
        <v>5760</v>
      </c>
      <c r="C2412" s="42" t="s">
        <v>9339</v>
      </c>
      <c r="D2412" s="41" t="s">
        <v>6100</v>
      </c>
      <c r="E2412" s="43" t="s">
        <v>6101</v>
      </c>
      <c r="F2412" s="43" t="s">
        <v>1937</v>
      </c>
      <c r="G2412" s="43" t="s">
        <v>3586</v>
      </c>
      <c r="H2412" s="85" t="s">
        <v>6102</v>
      </c>
      <c r="I2412" s="23" t="s">
        <v>24</v>
      </c>
      <c r="J2412" s="44">
        <v>95</v>
      </c>
      <c r="K2412" s="45">
        <v>0.25</v>
      </c>
      <c r="L2412" s="46">
        <f t="shared" si="361"/>
        <v>23.75</v>
      </c>
      <c r="M2412" s="47">
        <f t="shared" si="362"/>
        <v>71.25</v>
      </c>
      <c r="N2412" s="48">
        <v>0.16</v>
      </c>
      <c r="O2412" s="49">
        <f t="shared" si="363"/>
        <v>11.4</v>
      </c>
      <c r="P2412" s="50">
        <f t="shared" si="364"/>
        <v>82.65</v>
      </c>
      <c r="Q2412" s="23"/>
      <c r="R2412" s="60"/>
      <c r="S2412" s="61"/>
      <c r="T2412" s="62">
        <f t="shared" si="365"/>
        <v>0</v>
      </c>
      <c r="U2412" s="46">
        <f t="shared" si="366"/>
        <v>0</v>
      </c>
      <c r="V2412" s="63">
        <f t="shared" si="367"/>
        <v>0</v>
      </c>
      <c r="W2412" s="49">
        <f t="shared" si="368"/>
        <v>0</v>
      </c>
      <c r="X2412" s="50">
        <f t="shared" si="369"/>
        <v>0</v>
      </c>
      <c r="Y2412"/>
      <c r="Z2412"/>
      <c r="AA2412"/>
    </row>
    <row r="2413" spans="1:27" s="51" customFormat="1" ht="18.600000000000001" hidden="1" customHeight="1" x14ac:dyDescent="0.25">
      <c r="A2413" s="80" t="s">
        <v>2653</v>
      </c>
      <c r="B2413" s="20" t="s">
        <v>5760</v>
      </c>
      <c r="C2413" s="21" t="s">
        <v>9339</v>
      </c>
      <c r="D2413" s="20" t="s">
        <v>6103</v>
      </c>
      <c r="E2413" s="22" t="s">
        <v>6104</v>
      </c>
      <c r="F2413" s="22" t="s">
        <v>1937</v>
      </c>
      <c r="G2413" s="22" t="s">
        <v>3586</v>
      </c>
      <c r="H2413" s="83" t="s">
        <v>6105</v>
      </c>
      <c r="I2413" s="23" t="s">
        <v>24</v>
      </c>
      <c r="J2413" s="24">
        <v>95</v>
      </c>
      <c r="K2413" s="25">
        <v>0.25</v>
      </c>
      <c r="L2413" s="26">
        <f t="shared" si="361"/>
        <v>23.75</v>
      </c>
      <c r="M2413" s="27">
        <f t="shared" si="362"/>
        <v>71.25</v>
      </c>
      <c r="N2413" s="28">
        <v>0.16</v>
      </c>
      <c r="O2413" s="29">
        <f t="shared" si="363"/>
        <v>11.4</v>
      </c>
      <c r="P2413" s="30">
        <f t="shared" si="364"/>
        <v>82.65</v>
      </c>
      <c r="Q2413" s="23"/>
      <c r="R2413" s="52"/>
      <c r="S2413" s="53"/>
      <c r="T2413" s="54">
        <f t="shared" si="365"/>
        <v>0</v>
      </c>
      <c r="U2413" s="26">
        <f t="shared" si="366"/>
        <v>0</v>
      </c>
      <c r="V2413" s="55">
        <f t="shared" si="367"/>
        <v>0</v>
      </c>
      <c r="W2413" s="29">
        <f t="shared" si="368"/>
        <v>0</v>
      </c>
      <c r="X2413" s="30">
        <f t="shared" si="369"/>
        <v>0</v>
      </c>
      <c r="Y2413"/>
      <c r="Z2413"/>
      <c r="AA2413"/>
    </row>
    <row r="2414" spans="1:27" s="51" customFormat="1" ht="18.600000000000001" hidden="1" customHeight="1" x14ac:dyDescent="0.25">
      <c r="A2414" s="81" t="s">
        <v>2653</v>
      </c>
      <c r="B2414" s="31" t="s">
        <v>5760</v>
      </c>
      <c r="C2414" s="32" t="s">
        <v>9339</v>
      </c>
      <c r="D2414" s="31" t="s">
        <v>6106</v>
      </c>
      <c r="E2414" s="33" t="s">
        <v>6107</v>
      </c>
      <c r="F2414" s="33" t="s">
        <v>1937</v>
      </c>
      <c r="G2414" s="33" t="s">
        <v>3586</v>
      </c>
      <c r="H2414" s="84" t="s">
        <v>6108</v>
      </c>
      <c r="I2414" s="23" t="s">
        <v>24</v>
      </c>
      <c r="J2414" s="34">
        <v>95</v>
      </c>
      <c r="K2414" s="35">
        <v>0.25</v>
      </c>
      <c r="L2414" s="36">
        <f t="shared" si="361"/>
        <v>23.75</v>
      </c>
      <c r="M2414" s="37">
        <f t="shared" si="362"/>
        <v>71.25</v>
      </c>
      <c r="N2414" s="38">
        <v>0.16</v>
      </c>
      <c r="O2414" s="39">
        <f t="shared" si="363"/>
        <v>11.4</v>
      </c>
      <c r="P2414" s="40">
        <f t="shared" si="364"/>
        <v>82.65</v>
      </c>
      <c r="Q2414" s="23"/>
      <c r="R2414" s="56"/>
      <c r="S2414" s="57"/>
      <c r="T2414" s="58">
        <f t="shared" si="365"/>
        <v>0</v>
      </c>
      <c r="U2414" s="36">
        <f t="shared" si="366"/>
        <v>0</v>
      </c>
      <c r="V2414" s="59">
        <f t="shared" si="367"/>
        <v>0</v>
      </c>
      <c r="W2414" s="39">
        <f t="shared" si="368"/>
        <v>0</v>
      </c>
      <c r="X2414" s="40">
        <f t="shared" si="369"/>
        <v>0</v>
      </c>
      <c r="Y2414"/>
      <c r="Z2414"/>
      <c r="AA2414"/>
    </row>
    <row r="2415" spans="1:27" s="51" customFormat="1" ht="18.600000000000001" hidden="1" customHeight="1" x14ac:dyDescent="0.25">
      <c r="A2415" s="82" t="s">
        <v>2653</v>
      </c>
      <c r="B2415" s="41" t="s">
        <v>5760</v>
      </c>
      <c r="C2415" s="42" t="s">
        <v>9339</v>
      </c>
      <c r="D2415" s="41" t="s">
        <v>6109</v>
      </c>
      <c r="E2415" s="43" t="s">
        <v>6110</v>
      </c>
      <c r="F2415" s="43" t="s">
        <v>1937</v>
      </c>
      <c r="G2415" s="43" t="s">
        <v>3586</v>
      </c>
      <c r="H2415" s="85" t="s">
        <v>6111</v>
      </c>
      <c r="I2415" s="23" t="s">
        <v>24</v>
      </c>
      <c r="J2415" s="44">
        <v>95</v>
      </c>
      <c r="K2415" s="45">
        <v>0.25</v>
      </c>
      <c r="L2415" s="46">
        <f t="shared" si="361"/>
        <v>23.75</v>
      </c>
      <c r="M2415" s="47">
        <f t="shared" si="362"/>
        <v>71.25</v>
      </c>
      <c r="N2415" s="48">
        <v>0.16</v>
      </c>
      <c r="O2415" s="49">
        <f t="shared" si="363"/>
        <v>11.4</v>
      </c>
      <c r="P2415" s="50">
        <f t="shared" si="364"/>
        <v>82.65</v>
      </c>
      <c r="Q2415" s="23"/>
      <c r="R2415" s="60"/>
      <c r="S2415" s="61"/>
      <c r="T2415" s="62">
        <f t="shared" si="365"/>
        <v>0</v>
      </c>
      <c r="U2415" s="46">
        <f t="shared" si="366"/>
        <v>0</v>
      </c>
      <c r="V2415" s="63">
        <f t="shared" si="367"/>
        <v>0</v>
      </c>
      <c r="W2415" s="49">
        <f t="shared" si="368"/>
        <v>0</v>
      </c>
      <c r="X2415" s="50">
        <f t="shared" si="369"/>
        <v>0</v>
      </c>
      <c r="Y2415"/>
      <c r="Z2415"/>
      <c r="AA2415"/>
    </row>
    <row r="2416" spans="1:27" s="51" customFormat="1" ht="18.600000000000001" hidden="1" customHeight="1" x14ac:dyDescent="0.25">
      <c r="A2416" s="80" t="s">
        <v>2653</v>
      </c>
      <c r="B2416" s="20" t="s">
        <v>5760</v>
      </c>
      <c r="C2416" s="21" t="s">
        <v>9339</v>
      </c>
      <c r="D2416" s="20" t="s">
        <v>6112</v>
      </c>
      <c r="E2416" s="22" t="s">
        <v>6113</v>
      </c>
      <c r="F2416" s="22" t="s">
        <v>1937</v>
      </c>
      <c r="G2416" s="22" t="s">
        <v>3586</v>
      </c>
      <c r="H2416" s="83" t="s">
        <v>6114</v>
      </c>
      <c r="I2416" s="23" t="s">
        <v>24</v>
      </c>
      <c r="J2416" s="24">
        <v>95</v>
      </c>
      <c r="K2416" s="25">
        <v>0.25</v>
      </c>
      <c r="L2416" s="26">
        <f t="shared" si="361"/>
        <v>23.75</v>
      </c>
      <c r="M2416" s="27">
        <f t="shared" si="362"/>
        <v>71.25</v>
      </c>
      <c r="N2416" s="28">
        <v>0.16</v>
      </c>
      <c r="O2416" s="29">
        <f t="shared" si="363"/>
        <v>11.4</v>
      </c>
      <c r="P2416" s="30">
        <f t="shared" si="364"/>
        <v>82.65</v>
      </c>
      <c r="Q2416" s="23"/>
      <c r="R2416" s="52"/>
      <c r="S2416" s="53"/>
      <c r="T2416" s="54">
        <f t="shared" si="365"/>
        <v>0</v>
      </c>
      <c r="U2416" s="26">
        <f t="shared" si="366"/>
        <v>0</v>
      </c>
      <c r="V2416" s="55">
        <f t="shared" si="367"/>
        <v>0</v>
      </c>
      <c r="W2416" s="29">
        <f t="shared" si="368"/>
        <v>0</v>
      </c>
      <c r="X2416" s="30">
        <f t="shared" si="369"/>
        <v>0</v>
      </c>
      <c r="Y2416"/>
      <c r="Z2416"/>
      <c r="AA2416"/>
    </row>
    <row r="2417" spans="1:27" s="51" customFormat="1" ht="18.600000000000001" hidden="1" customHeight="1" x14ac:dyDescent="0.25">
      <c r="A2417" s="81" t="s">
        <v>2653</v>
      </c>
      <c r="B2417" s="31" t="s">
        <v>5760</v>
      </c>
      <c r="C2417" s="32" t="s">
        <v>9339</v>
      </c>
      <c r="D2417" s="31" t="s">
        <v>6115</v>
      </c>
      <c r="E2417" s="33" t="s">
        <v>6116</v>
      </c>
      <c r="F2417" s="33" t="s">
        <v>1937</v>
      </c>
      <c r="G2417" s="33" t="s">
        <v>3586</v>
      </c>
      <c r="H2417" s="84" t="s">
        <v>6117</v>
      </c>
      <c r="I2417" s="23" t="s">
        <v>24</v>
      </c>
      <c r="J2417" s="34">
        <v>95</v>
      </c>
      <c r="K2417" s="35">
        <v>0.25</v>
      </c>
      <c r="L2417" s="36">
        <f t="shared" si="361"/>
        <v>23.75</v>
      </c>
      <c r="M2417" s="37">
        <f t="shared" si="362"/>
        <v>71.25</v>
      </c>
      <c r="N2417" s="38">
        <v>0.16</v>
      </c>
      <c r="O2417" s="39">
        <f t="shared" si="363"/>
        <v>11.4</v>
      </c>
      <c r="P2417" s="40">
        <f t="shared" si="364"/>
        <v>82.65</v>
      </c>
      <c r="Q2417" s="23"/>
      <c r="R2417" s="56"/>
      <c r="S2417" s="57"/>
      <c r="T2417" s="58">
        <f t="shared" si="365"/>
        <v>0</v>
      </c>
      <c r="U2417" s="36">
        <f t="shared" si="366"/>
        <v>0</v>
      </c>
      <c r="V2417" s="59">
        <f t="shared" si="367"/>
        <v>0</v>
      </c>
      <c r="W2417" s="39">
        <f t="shared" si="368"/>
        <v>0</v>
      </c>
      <c r="X2417" s="40">
        <f t="shared" si="369"/>
        <v>0</v>
      </c>
      <c r="Y2417"/>
      <c r="Z2417"/>
      <c r="AA2417"/>
    </row>
    <row r="2418" spans="1:27" s="51" customFormat="1" ht="18.600000000000001" hidden="1" customHeight="1" x14ac:dyDescent="0.25">
      <c r="A2418" s="82" t="s">
        <v>2653</v>
      </c>
      <c r="B2418" s="41" t="s">
        <v>5760</v>
      </c>
      <c r="C2418" s="42" t="s">
        <v>9339</v>
      </c>
      <c r="D2418" s="41" t="s">
        <v>6118</v>
      </c>
      <c r="E2418" s="43" t="s">
        <v>6119</v>
      </c>
      <c r="F2418" s="43" t="s">
        <v>1937</v>
      </c>
      <c r="G2418" s="43" t="s">
        <v>3586</v>
      </c>
      <c r="H2418" s="85" t="s">
        <v>6120</v>
      </c>
      <c r="I2418" s="23" t="s">
        <v>24</v>
      </c>
      <c r="J2418" s="44">
        <v>95</v>
      </c>
      <c r="K2418" s="45">
        <v>0.25</v>
      </c>
      <c r="L2418" s="46">
        <f t="shared" si="361"/>
        <v>23.75</v>
      </c>
      <c r="M2418" s="47">
        <f t="shared" si="362"/>
        <v>71.25</v>
      </c>
      <c r="N2418" s="48">
        <v>0.16</v>
      </c>
      <c r="O2418" s="49">
        <f t="shared" si="363"/>
        <v>11.4</v>
      </c>
      <c r="P2418" s="50">
        <f t="shared" si="364"/>
        <v>82.65</v>
      </c>
      <c r="Q2418" s="23"/>
      <c r="R2418" s="60"/>
      <c r="S2418" s="61"/>
      <c r="T2418" s="62">
        <f t="shared" si="365"/>
        <v>0</v>
      </c>
      <c r="U2418" s="46">
        <f t="shared" si="366"/>
        <v>0</v>
      </c>
      <c r="V2418" s="63">
        <f t="shared" si="367"/>
        <v>0</v>
      </c>
      <c r="W2418" s="49">
        <f t="shared" si="368"/>
        <v>0</v>
      </c>
      <c r="X2418" s="50">
        <f t="shared" si="369"/>
        <v>0</v>
      </c>
      <c r="Y2418"/>
      <c r="Z2418"/>
      <c r="AA2418"/>
    </row>
    <row r="2419" spans="1:27" s="51" customFormat="1" ht="18.600000000000001" hidden="1" customHeight="1" x14ac:dyDescent="0.25">
      <c r="A2419" s="80" t="s">
        <v>2653</v>
      </c>
      <c r="B2419" s="20" t="s">
        <v>5760</v>
      </c>
      <c r="C2419" s="21" t="s">
        <v>9339</v>
      </c>
      <c r="D2419" s="20" t="s">
        <v>6121</v>
      </c>
      <c r="E2419" s="22" t="s">
        <v>6122</v>
      </c>
      <c r="F2419" s="22" t="s">
        <v>1937</v>
      </c>
      <c r="G2419" s="22" t="s">
        <v>3586</v>
      </c>
      <c r="H2419" s="83" t="s">
        <v>6123</v>
      </c>
      <c r="I2419" s="23" t="s">
        <v>24</v>
      </c>
      <c r="J2419" s="24">
        <v>95</v>
      </c>
      <c r="K2419" s="25">
        <v>0.25</v>
      </c>
      <c r="L2419" s="26">
        <f t="shared" si="361"/>
        <v>23.75</v>
      </c>
      <c r="M2419" s="27">
        <f t="shared" si="362"/>
        <v>71.25</v>
      </c>
      <c r="N2419" s="28">
        <v>0.16</v>
      </c>
      <c r="O2419" s="29">
        <f t="shared" si="363"/>
        <v>11.4</v>
      </c>
      <c r="P2419" s="30">
        <f t="shared" si="364"/>
        <v>82.65</v>
      </c>
      <c r="Q2419" s="23"/>
      <c r="R2419" s="52"/>
      <c r="S2419" s="53"/>
      <c r="T2419" s="54">
        <f t="shared" si="365"/>
        <v>0</v>
      </c>
      <c r="U2419" s="26">
        <f t="shared" si="366"/>
        <v>0</v>
      </c>
      <c r="V2419" s="55">
        <f t="shared" si="367"/>
        <v>0</v>
      </c>
      <c r="W2419" s="29">
        <f t="shared" si="368"/>
        <v>0</v>
      </c>
      <c r="X2419" s="30">
        <f t="shared" si="369"/>
        <v>0</v>
      </c>
      <c r="Y2419"/>
      <c r="Z2419"/>
      <c r="AA2419"/>
    </row>
    <row r="2420" spans="1:27" s="51" customFormat="1" ht="18.600000000000001" hidden="1" customHeight="1" x14ac:dyDescent="0.25">
      <c r="A2420" s="81" t="s">
        <v>2653</v>
      </c>
      <c r="B2420" s="31" t="s">
        <v>5760</v>
      </c>
      <c r="C2420" s="32" t="s">
        <v>9339</v>
      </c>
      <c r="D2420" s="31" t="s">
        <v>6124</v>
      </c>
      <c r="E2420" s="33" t="s">
        <v>6125</v>
      </c>
      <c r="F2420" s="33" t="s">
        <v>1937</v>
      </c>
      <c r="G2420" s="33" t="s">
        <v>3586</v>
      </c>
      <c r="H2420" s="84" t="s">
        <v>6126</v>
      </c>
      <c r="I2420" s="23" t="s">
        <v>24</v>
      </c>
      <c r="J2420" s="34">
        <v>95</v>
      </c>
      <c r="K2420" s="35">
        <v>0.25</v>
      </c>
      <c r="L2420" s="36">
        <f t="shared" si="361"/>
        <v>23.75</v>
      </c>
      <c r="M2420" s="37">
        <f t="shared" si="362"/>
        <v>71.25</v>
      </c>
      <c r="N2420" s="38">
        <v>0.16</v>
      </c>
      <c r="O2420" s="39">
        <f t="shared" si="363"/>
        <v>11.4</v>
      </c>
      <c r="P2420" s="40">
        <f t="shared" si="364"/>
        <v>82.65</v>
      </c>
      <c r="Q2420" s="23"/>
      <c r="R2420" s="56"/>
      <c r="S2420" s="57"/>
      <c r="T2420" s="58">
        <f t="shared" si="365"/>
        <v>0</v>
      </c>
      <c r="U2420" s="36">
        <f t="shared" si="366"/>
        <v>0</v>
      </c>
      <c r="V2420" s="59">
        <f t="shared" si="367"/>
        <v>0</v>
      </c>
      <c r="W2420" s="39">
        <f t="shared" si="368"/>
        <v>0</v>
      </c>
      <c r="X2420" s="40">
        <f t="shared" si="369"/>
        <v>0</v>
      </c>
      <c r="Y2420"/>
      <c r="Z2420"/>
      <c r="AA2420"/>
    </row>
    <row r="2421" spans="1:27" s="51" customFormat="1" ht="18.600000000000001" hidden="1" customHeight="1" x14ac:dyDescent="0.25">
      <c r="A2421" s="82" t="s">
        <v>2653</v>
      </c>
      <c r="B2421" s="41" t="s">
        <v>5760</v>
      </c>
      <c r="C2421" s="42" t="s">
        <v>9339</v>
      </c>
      <c r="D2421" s="41" t="s">
        <v>6127</v>
      </c>
      <c r="E2421" s="43" t="s">
        <v>6128</v>
      </c>
      <c r="F2421" s="43" t="s">
        <v>1937</v>
      </c>
      <c r="G2421" s="43" t="s">
        <v>3586</v>
      </c>
      <c r="H2421" s="85" t="s">
        <v>6129</v>
      </c>
      <c r="I2421" s="23" t="s">
        <v>24</v>
      </c>
      <c r="J2421" s="44">
        <v>95</v>
      </c>
      <c r="K2421" s="45">
        <v>0.25</v>
      </c>
      <c r="L2421" s="46">
        <f t="shared" si="361"/>
        <v>23.75</v>
      </c>
      <c r="M2421" s="47">
        <f t="shared" si="362"/>
        <v>71.25</v>
      </c>
      <c r="N2421" s="48">
        <v>0.16</v>
      </c>
      <c r="O2421" s="49">
        <f t="shared" si="363"/>
        <v>11.4</v>
      </c>
      <c r="P2421" s="50">
        <f t="shared" si="364"/>
        <v>82.65</v>
      </c>
      <c r="Q2421" s="23"/>
      <c r="R2421" s="60"/>
      <c r="S2421" s="61"/>
      <c r="T2421" s="62">
        <f t="shared" si="365"/>
        <v>0</v>
      </c>
      <c r="U2421" s="46">
        <f t="shared" si="366"/>
        <v>0</v>
      </c>
      <c r="V2421" s="63">
        <f t="shared" si="367"/>
        <v>0</v>
      </c>
      <c r="W2421" s="49">
        <f t="shared" si="368"/>
        <v>0</v>
      </c>
      <c r="X2421" s="50">
        <f t="shared" si="369"/>
        <v>0</v>
      </c>
      <c r="Y2421"/>
      <c r="Z2421"/>
      <c r="AA2421"/>
    </row>
    <row r="2422" spans="1:27" s="51" customFormat="1" ht="18.600000000000001" hidden="1" customHeight="1" x14ac:dyDescent="0.25">
      <c r="A2422" s="80" t="s">
        <v>2653</v>
      </c>
      <c r="B2422" s="20" t="s">
        <v>5760</v>
      </c>
      <c r="C2422" s="21" t="s">
        <v>9339</v>
      </c>
      <c r="D2422" s="20" t="s">
        <v>6130</v>
      </c>
      <c r="E2422" s="22" t="s">
        <v>6131</v>
      </c>
      <c r="F2422" s="22" t="s">
        <v>1937</v>
      </c>
      <c r="G2422" s="22" t="s">
        <v>3586</v>
      </c>
      <c r="H2422" s="83" t="s">
        <v>6132</v>
      </c>
      <c r="I2422" s="23" t="s">
        <v>24</v>
      </c>
      <c r="J2422" s="24">
        <v>95</v>
      </c>
      <c r="K2422" s="25">
        <v>0.25</v>
      </c>
      <c r="L2422" s="26">
        <f t="shared" si="361"/>
        <v>23.75</v>
      </c>
      <c r="M2422" s="27">
        <f t="shared" si="362"/>
        <v>71.25</v>
      </c>
      <c r="N2422" s="28">
        <v>0.16</v>
      </c>
      <c r="O2422" s="29">
        <f t="shared" si="363"/>
        <v>11.4</v>
      </c>
      <c r="P2422" s="30">
        <f t="shared" si="364"/>
        <v>82.65</v>
      </c>
      <c r="Q2422" s="23"/>
      <c r="R2422" s="52"/>
      <c r="S2422" s="53"/>
      <c r="T2422" s="54">
        <f t="shared" si="365"/>
        <v>0</v>
      </c>
      <c r="U2422" s="26">
        <f t="shared" si="366"/>
        <v>0</v>
      </c>
      <c r="V2422" s="55">
        <f t="shared" si="367"/>
        <v>0</v>
      </c>
      <c r="W2422" s="29">
        <f t="shared" si="368"/>
        <v>0</v>
      </c>
      <c r="X2422" s="30">
        <f t="shared" si="369"/>
        <v>0</v>
      </c>
      <c r="Y2422"/>
      <c r="Z2422"/>
      <c r="AA2422"/>
    </row>
    <row r="2423" spans="1:27" s="51" customFormat="1" ht="18.600000000000001" hidden="1" customHeight="1" x14ac:dyDescent="0.25">
      <c r="A2423" s="81" t="s">
        <v>2653</v>
      </c>
      <c r="B2423" s="31" t="s">
        <v>5760</v>
      </c>
      <c r="C2423" s="32" t="s">
        <v>9339</v>
      </c>
      <c r="D2423" s="31" t="s">
        <v>6133</v>
      </c>
      <c r="E2423" s="33" t="s">
        <v>6134</v>
      </c>
      <c r="F2423" s="33" t="s">
        <v>1937</v>
      </c>
      <c r="G2423" s="33" t="s">
        <v>3586</v>
      </c>
      <c r="H2423" s="84" t="s">
        <v>6135</v>
      </c>
      <c r="I2423" s="23" t="s">
        <v>24</v>
      </c>
      <c r="J2423" s="34">
        <v>95</v>
      </c>
      <c r="K2423" s="35">
        <v>0.25</v>
      </c>
      <c r="L2423" s="36">
        <f t="shared" si="361"/>
        <v>23.75</v>
      </c>
      <c r="M2423" s="37">
        <f t="shared" si="362"/>
        <v>71.25</v>
      </c>
      <c r="N2423" s="38">
        <v>0.16</v>
      </c>
      <c r="O2423" s="39">
        <f t="shared" si="363"/>
        <v>11.4</v>
      </c>
      <c r="P2423" s="40">
        <f t="shared" si="364"/>
        <v>82.65</v>
      </c>
      <c r="Q2423" s="23"/>
      <c r="R2423" s="56"/>
      <c r="S2423" s="57"/>
      <c r="T2423" s="58">
        <f t="shared" si="365"/>
        <v>0</v>
      </c>
      <c r="U2423" s="36">
        <f t="shared" si="366"/>
        <v>0</v>
      </c>
      <c r="V2423" s="59">
        <f t="shared" si="367"/>
        <v>0</v>
      </c>
      <c r="W2423" s="39">
        <f t="shared" si="368"/>
        <v>0</v>
      </c>
      <c r="X2423" s="40">
        <f t="shared" si="369"/>
        <v>0</v>
      </c>
      <c r="Y2423"/>
      <c r="Z2423"/>
      <c r="AA2423"/>
    </row>
    <row r="2424" spans="1:27" s="51" customFormat="1" ht="18.600000000000001" hidden="1" customHeight="1" x14ac:dyDescent="0.25">
      <c r="A2424" s="82" t="s">
        <v>2653</v>
      </c>
      <c r="B2424" s="41" t="s">
        <v>5760</v>
      </c>
      <c r="C2424" s="42" t="s">
        <v>9339</v>
      </c>
      <c r="D2424" s="41" t="s">
        <v>6136</v>
      </c>
      <c r="E2424" s="43" t="s">
        <v>6137</v>
      </c>
      <c r="F2424" s="43" t="s">
        <v>1937</v>
      </c>
      <c r="G2424" s="43" t="s">
        <v>3586</v>
      </c>
      <c r="H2424" s="85" t="s">
        <v>6138</v>
      </c>
      <c r="I2424" s="23" t="s">
        <v>24</v>
      </c>
      <c r="J2424" s="44">
        <v>95</v>
      </c>
      <c r="K2424" s="45">
        <v>0.25</v>
      </c>
      <c r="L2424" s="46">
        <f t="shared" si="361"/>
        <v>23.75</v>
      </c>
      <c r="M2424" s="47">
        <f t="shared" si="362"/>
        <v>71.25</v>
      </c>
      <c r="N2424" s="48">
        <v>0.16</v>
      </c>
      <c r="O2424" s="49">
        <f t="shared" si="363"/>
        <v>11.4</v>
      </c>
      <c r="P2424" s="50">
        <f t="shared" si="364"/>
        <v>82.65</v>
      </c>
      <c r="Q2424" s="23"/>
      <c r="R2424" s="60"/>
      <c r="S2424" s="61"/>
      <c r="T2424" s="62">
        <f t="shared" si="365"/>
        <v>0</v>
      </c>
      <c r="U2424" s="46">
        <f t="shared" si="366"/>
        <v>0</v>
      </c>
      <c r="V2424" s="63">
        <f t="shared" si="367"/>
        <v>0</v>
      </c>
      <c r="W2424" s="49">
        <f t="shared" si="368"/>
        <v>0</v>
      </c>
      <c r="X2424" s="50">
        <f t="shared" si="369"/>
        <v>0</v>
      </c>
      <c r="Y2424"/>
      <c r="Z2424"/>
      <c r="AA2424"/>
    </row>
    <row r="2425" spans="1:27" s="51" customFormat="1" ht="18.600000000000001" hidden="1" customHeight="1" x14ac:dyDescent="0.25">
      <c r="A2425" s="80" t="s">
        <v>2653</v>
      </c>
      <c r="B2425" s="20" t="s">
        <v>5760</v>
      </c>
      <c r="C2425" s="21" t="s">
        <v>9339</v>
      </c>
      <c r="D2425" s="20" t="s">
        <v>6139</v>
      </c>
      <c r="E2425" s="22" t="s">
        <v>6140</v>
      </c>
      <c r="F2425" s="22" t="s">
        <v>1937</v>
      </c>
      <c r="G2425" s="22" t="s">
        <v>3586</v>
      </c>
      <c r="H2425" s="83" t="s">
        <v>6141</v>
      </c>
      <c r="I2425" s="23" t="s">
        <v>24</v>
      </c>
      <c r="J2425" s="24">
        <v>95</v>
      </c>
      <c r="K2425" s="25">
        <v>0.25</v>
      </c>
      <c r="L2425" s="26">
        <f t="shared" si="361"/>
        <v>23.75</v>
      </c>
      <c r="M2425" s="27">
        <f t="shared" si="362"/>
        <v>71.25</v>
      </c>
      <c r="N2425" s="28">
        <v>0.16</v>
      </c>
      <c r="O2425" s="29">
        <f t="shared" si="363"/>
        <v>11.4</v>
      </c>
      <c r="P2425" s="30">
        <f t="shared" si="364"/>
        <v>82.65</v>
      </c>
      <c r="Q2425" s="23"/>
      <c r="R2425" s="52"/>
      <c r="S2425" s="53"/>
      <c r="T2425" s="54">
        <f t="shared" si="365"/>
        <v>0</v>
      </c>
      <c r="U2425" s="26">
        <f t="shared" si="366"/>
        <v>0</v>
      </c>
      <c r="V2425" s="55">
        <f t="shared" si="367"/>
        <v>0</v>
      </c>
      <c r="W2425" s="29">
        <f t="shared" si="368"/>
        <v>0</v>
      </c>
      <c r="X2425" s="30">
        <f t="shared" si="369"/>
        <v>0</v>
      </c>
      <c r="Y2425"/>
      <c r="Z2425"/>
      <c r="AA2425"/>
    </row>
    <row r="2426" spans="1:27" s="51" customFormat="1" ht="18.600000000000001" hidden="1" customHeight="1" x14ac:dyDescent="0.25">
      <c r="A2426" s="81" t="s">
        <v>2653</v>
      </c>
      <c r="B2426" s="31" t="s">
        <v>5760</v>
      </c>
      <c r="C2426" s="32" t="s">
        <v>9339</v>
      </c>
      <c r="D2426" s="31" t="s">
        <v>6142</v>
      </c>
      <c r="E2426" s="33" t="s">
        <v>6143</v>
      </c>
      <c r="F2426" s="33" t="s">
        <v>1937</v>
      </c>
      <c r="G2426" s="33" t="s">
        <v>3586</v>
      </c>
      <c r="H2426" s="84" t="s">
        <v>6144</v>
      </c>
      <c r="I2426" s="23" t="s">
        <v>24</v>
      </c>
      <c r="J2426" s="34">
        <v>95</v>
      </c>
      <c r="K2426" s="35">
        <v>0.25</v>
      </c>
      <c r="L2426" s="36">
        <f t="shared" si="361"/>
        <v>23.75</v>
      </c>
      <c r="M2426" s="37">
        <f t="shared" si="362"/>
        <v>71.25</v>
      </c>
      <c r="N2426" s="38">
        <v>0.16</v>
      </c>
      <c r="O2426" s="39">
        <f t="shared" si="363"/>
        <v>11.4</v>
      </c>
      <c r="P2426" s="40">
        <f t="shared" si="364"/>
        <v>82.65</v>
      </c>
      <c r="Q2426" s="23"/>
      <c r="R2426" s="56"/>
      <c r="S2426" s="57"/>
      <c r="T2426" s="58">
        <f t="shared" si="365"/>
        <v>0</v>
      </c>
      <c r="U2426" s="36">
        <f t="shared" si="366"/>
        <v>0</v>
      </c>
      <c r="V2426" s="59">
        <f t="shared" si="367"/>
        <v>0</v>
      </c>
      <c r="W2426" s="39">
        <f t="shared" si="368"/>
        <v>0</v>
      </c>
      <c r="X2426" s="40">
        <f t="shared" si="369"/>
        <v>0</v>
      </c>
      <c r="Y2426"/>
      <c r="Z2426"/>
      <c r="AA2426"/>
    </row>
    <row r="2427" spans="1:27" s="51" customFormat="1" ht="18.600000000000001" hidden="1" customHeight="1" x14ac:dyDescent="0.25">
      <c r="A2427" s="82" t="s">
        <v>2653</v>
      </c>
      <c r="B2427" s="41" t="s">
        <v>5760</v>
      </c>
      <c r="C2427" s="42" t="s">
        <v>9339</v>
      </c>
      <c r="D2427" s="41" t="s">
        <v>6145</v>
      </c>
      <c r="E2427" s="43" t="s">
        <v>6146</v>
      </c>
      <c r="F2427" s="43" t="s">
        <v>1937</v>
      </c>
      <c r="G2427" s="43" t="s">
        <v>3586</v>
      </c>
      <c r="H2427" s="85" t="s">
        <v>6147</v>
      </c>
      <c r="I2427" s="23" t="s">
        <v>24</v>
      </c>
      <c r="J2427" s="44">
        <v>95</v>
      </c>
      <c r="K2427" s="45">
        <v>0.25</v>
      </c>
      <c r="L2427" s="46">
        <f t="shared" si="361"/>
        <v>23.75</v>
      </c>
      <c r="M2427" s="47">
        <f t="shared" si="362"/>
        <v>71.25</v>
      </c>
      <c r="N2427" s="48">
        <v>0.16</v>
      </c>
      <c r="O2427" s="49">
        <f t="shared" si="363"/>
        <v>11.4</v>
      </c>
      <c r="P2427" s="50">
        <f t="shared" si="364"/>
        <v>82.65</v>
      </c>
      <c r="Q2427" s="23"/>
      <c r="R2427" s="60"/>
      <c r="S2427" s="61"/>
      <c r="T2427" s="62">
        <f t="shared" si="365"/>
        <v>0</v>
      </c>
      <c r="U2427" s="46">
        <f t="shared" si="366"/>
        <v>0</v>
      </c>
      <c r="V2427" s="63">
        <f t="shared" si="367"/>
        <v>0</v>
      </c>
      <c r="W2427" s="49">
        <f t="shared" si="368"/>
        <v>0</v>
      </c>
      <c r="X2427" s="50">
        <f t="shared" si="369"/>
        <v>0</v>
      </c>
      <c r="Y2427"/>
      <c r="Z2427"/>
      <c r="AA2427"/>
    </row>
    <row r="2428" spans="1:27" s="51" customFormat="1" ht="18.600000000000001" hidden="1" customHeight="1" x14ac:dyDescent="0.25">
      <c r="A2428" s="80" t="s">
        <v>2653</v>
      </c>
      <c r="B2428" s="20" t="s">
        <v>5760</v>
      </c>
      <c r="C2428" s="21" t="s">
        <v>9339</v>
      </c>
      <c r="D2428" s="20" t="s">
        <v>6148</v>
      </c>
      <c r="E2428" s="22" t="s">
        <v>6149</v>
      </c>
      <c r="F2428" s="22" t="s">
        <v>1937</v>
      </c>
      <c r="G2428" s="22" t="s">
        <v>3586</v>
      </c>
      <c r="H2428" s="83" t="s">
        <v>6150</v>
      </c>
      <c r="I2428" s="23" t="s">
        <v>24</v>
      </c>
      <c r="J2428" s="24">
        <v>95</v>
      </c>
      <c r="K2428" s="25">
        <v>0.25</v>
      </c>
      <c r="L2428" s="26">
        <f t="shared" si="361"/>
        <v>23.75</v>
      </c>
      <c r="M2428" s="27">
        <f t="shared" si="362"/>
        <v>71.25</v>
      </c>
      <c r="N2428" s="28">
        <v>0.16</v>
      </c>
      <c r="O2428" s="29">
        <f t="shared" si="363"/>
        <v>11.4</v>
      </c>
      <c r="P2428" s="30">
        <f t="shared" si="364"/>
        <v>82.65</v>
      </c>
      <c r="Q2428" s="23"/>
      <c r="R2428" s="52"/>
      <c r="S2428" s="53"/>
      <c r="T2428" s="54">
        <f t="shared" si="365"/>
        <v>0</v>
      </c>
      <c r="U2428" s="26">
        <f t="shared" si="366"/>
        <v>0</v>
      </c>
      <c r="V2428" s="55">
        <f t="shared" si="367"/>
        <v>0</v>
      </c>
      <c r="W2428" s="29">
        <f t="shared" si="368"/>
        <v>0</v>
      </c>
      <c r="X2428" s="30">
        <f t="shared" si="369"/>
        <v>0</v>
      </c>
      <c r="Y2428"/>
      <c r="Z2428"/>
      <c r="AA2428"/>
    </row>
    <row r="2429" spans="1:27" s="51" customFormat="1" ht="18.600000000000001" hidden="1" customHeight="1" x14ac:dyDescent="0.25">
      <c r="A2429" s="81" t="s">
        <v>2653</v>
      </c>
      <c r="B2429" s="31" t="s">
        <v>5760</v>
      </c>
      <c r="C2429" s="32" t="s">
        <v>9339</v>
      </c>
      <c r="D2429" s="31" t="s">
        <v>6151</v>
      </c>
      <c r="E2429" s="33" t="s">
        <v>6152</v>
      </c>
      <c r="F2429" s="33" t="s">
        <v>1937</v>
      </c>
      <c r="G2429" s="33" t="s">
        <v>3586</v>
      </c>
      <c r="H2429" s="84" t="s">
        <v>6153</v>
      </c>
      <c r="I2429" s="23" t="s">
        <v>24</v>
      </c>
      <c r="J2429" s="34">
        <v>95</v>
      </c>
      <c r="K2429" s="35">
        <v>0.25</v>
      </c>
      <c r="L2429" s="36">
        <f t="shared" si="361"/>
        <v>23.75</v>
      </c>
      <c r="M2429" s="37">
        <f t="shared" si="362"/>
        <v>71.25</v>
      </c>
      <c r="N2429" s="38">
        <v>0.16</v>
      </c>
      <c r="O2429" s="39">
        <f t="shared" si="363"/>
        <v>11.4</v>
      </c>
      <c r="P2429" s="40">
        <f t="shared" si="364"/>
        <v>82.65</v>
      </c>
      <c r="Q2429" s="23"/>
      <c r="R2429" s="56"/>
      <c r="S2429" s="57"/>
      <c r="T2429" s="58">
        <f t="shared" si="365"/>
        <v>0</v>
      </c>
      <c r="U2429" s="36">
        <f t="shared" si="366"/>
        <v>0</v>
      </c>
      <c r="V2429" s="59">
        <f t="shared" si="367"/>
        <v>0</v>
      </c>
      <c r="W2429" s="39">
        <f t="shared" si="368"/>
        <v>0</v>
      </c>
      <c r="X2429" s="40">
        <f t="shared" si="369"/>
        <v>0</v>
      </c>
      <c r="Y2429"/>
      <c r="Z2429"/>
      <c r="AA2429"/>
    </row>
    <row r="2430" spans="1:27" s="51" customFormat="1" ht="18.600000000000001" hidden="1" customHeight="1" x14ac:dyDescent="0.25">
      <c r="A2430" s="82" t="s">
        <v>2653</v>
      </c>
      <c r="B2430" s="41" t="s">
        <v>5760</v>
      </c>
      <c r="C2430" s="42" t="s">
        <v>9339</v>
      </c>
      <c r="D2430" s="41" t="s">
        <v>6154</v>
      </c>
      <c r="E2430" s="43" t="s">
        <v>6155</v>
      </c>
      <c r="F2430" s="43" t="s">
        <v>1937</v>
      </c>
      <c r="G2430" s="43" t="s">
        <v>3586</v>
      </c>
      <c r="H2430" s="85" t="s">
        <v>6156</v>
      </c>
      <c r="I2430" s="23" t="s">
        <v>24</v>
      </c>
      <c r="J2430" s="44">
        <v>95</v>
      </c>
      <c r="K2430" s="45">
        <v>0.25</v>
      </c>
      <c r="L2430" s="46">
        <f t="shared" si="361"/>
        <v>23.75</v>
      </c>
      <c r="M2430" s="47">
        <f t="shared" si="362"/>
        <v>71.25</v>
      </c>
      <c r="N2430" s="48">
        <v>0.16</v>
      </c>
      <c r="O2430" s="49">
        <f t="shared" si="363"/>
        <v>11.4</v>
      </c>
      <c r="P2430" s="50">
        <f t="shared" si="364"/>
        <v>82.65</v>
      </c>
      <c r="Q2430" s="23"/>
      <c r="R2430" s="60"/>
      <c r="S2430" s="61"/>
      <c r="T2430" s="62">
        <f t="shared" si="365"/>
        <v>0</v>
      </c>
      <c r="U2430" s="46">
        <f t="shared" si="366"/>
        <v>0</v>
      </c>
      <c r="V2430" s="63">
        <f t="shared" si="367"/>
        <v>0</v>
      </c>
      <c r="W2430" s="49">
        <f t="shared" si="368"/>
        <v>0</v>
      </c>
      <c r="X2430" s="50">
        <f t="shared" si="369"/>
        <v>0</v>
      </c>
      <c r="Y2430"/>
      <c r="Z2430"/>
      <c r="AA2430"/>
    </row>
    <row r="2431" spans="1:27" s="51" customFormat="1" ht="18.600000000000001" hidden="1" customHeight="1" x14ac:dyDescent="0.25">
      <c r="A2431" s="80" t="s">
        <v>2653</v>
      </c>
      <c r="B2431" s="20" t="s">
        <v>5760</v>
      </c>
      <c r="C2431" s="21" t="s">
        <v>9339</v>
      </c>
      <c r="D2431" s="20" t="s">
        <v>6157</v>
      </c>
      <c r="E2431" s="22" t="s">
        <v>6158</v>
      </c>
      <c r="F2431" s="22" t="s">
        <v>1937</v>
      </c>
      <c r="G2431" s="22" t="s">
        <v>3586</v>
      </c>
      <c r="H2431" s="83" t="s">
        <v>6159</v>
      </c>
      <c r="I2431" s="23" t="s">
        <v>24</v>
      </c>
      <c r="J2431" s="24">
        <v>95</v>
      </c>
      <c r="K2431" s="25">
        <v>0.25</v>
      </c>
      <c r="L2431" s="26">
        <f t="shared" si="361"/>
        <v>23.75</v>
      </c>
      <c r="M2431" s="27">
        <f t="shared" si="362"/>
        <v>71.25</v>
      </c>
      <c r="N2431" s="28">
        <v>0.16</v>
      </c>
      <c r="O2431" s="29">
        <f t="shared" si="363"/>
        <v>11.4</v>
      </c>
      <c r="P2431" s="30">
        <f t="shared" si="364"/>
        <v>82.65</v>
      </c>
      <c r="Q2431" s="23"/>
      <c r="R2431" s="52"/>
      <c r="S2431" s="53"/>
      <c r="T2431" s="54">
        <f t="shared" si="365"/>
        <v>0</v>
      </c>
      <c r="U2431" s="26">
        <f t="shared" si="366"/>
        <v>0</v>
      </c>
      <c r="V2431" s="55">
        <f t="shared" si="367"/>
        <v>0</v>
      </c>
      <c r="W2431" s="29">
        <f t="shared" si="368"/>
        <v>0</v>
      </c>
      <c r="X2431" s="30">
        <f t="shared" si="369"/>
        <v>0</v>
      </c>
      <c r="Y2431"/>
      <c r="Z2431"/>
      <c r="AA2431"/>
    </row>
    <row r="2432" spans="1:27" s="51" customFormat="1" ht="18.600000000000001" hidden="1" customHeight="1" x14ac:dyDescent="0.25">
      <c r="A2432" s="81" t="s">
        <v>2653</v>
      </c>
      <c r="B2432" s="31" t="s">
        <v>5760</v>
      </c>
      <c r="C2432" s="32" t="s">
        <v>9339</v>
      </c>
      <c r="D2432" s="31" t="s">
        <v>6160</v>
      </c>
      <c r="E2432" s="33" t="s">
        <v>6161</v>
      </c>
      <c r="F2432" s="33" t="s">
        <v>1937</v>
      </c>
      <c r="G2432" s="33" t="s">
        <v>3586</v>
      </c>
      <c r="H2432" s="84" t="s">
        <v>6162</v>
      </c>
      <c r="I2432" s="23" t="s">
        <v>24</v>
      </c>
      <c r="J2432" s="34">
        <v>95</v>
      </c>
      <c r="K2432" s="35">
        <v>0.25</v>
      </c>
      <c r="L2432" s="36">
        <f t="shared" si="361"/>
        <v>23.75</v>
      </c>
      <c r="M2432" s="37">
        <f t="shared" si="362"/>
        <v>71.25</v>
      </c>
      <c r="N2432" s="38">
        <v>0.16</v>
      </c>
      <c r="O2432" s="39">
        <f t="shared" si="363"/>
        <v>11.4</v>
      </c>
      <c r="P2432" s="40">
        <f t="shared" si="364"/>
        <v>82.65</v>
      </c>
      <c r="Q2432" s="23"/>
      <c r="R2432" s="56"/>
      <c r="S2432" s="57"/>
      <c r="T2432" s="58">
        <f t="shared" si="365"/>
        <v>0</v>
      </c>
      <c r="U2432" s="36">
        <f t="shared" si="366"/>
        <v>0</v>
      </c>
      <c r="V2432" s="59">
        <f t="shared" si="367"/>
        <v>0</v>
      </c>
      <c r="W2432" s="39">
        <f t="shared" si="368"/>
        <v>0</v>
      </c>
      <c r="X2432" s="40">
        <f t="shared" si="369"/>
        <v>0</v>
      </c>
      <c r="Y2432"/>
      <c r="Z2432"/>
      <c r="AA2432"/>
    </row>
    <row r="2433" spans="1:27" s="51" customFormat="1" ht="18.600000000000001" hidden="1" customHeight="1" x14ac:dyDescent="0.25">
      <c r="A2433" s="82" t="s">
        <v>2653</v>
      </c>
      <c r="B2433" s="41" t="s">
        <v>5760</v>
      </c>
      <c r="C2433" s="42" t="s">
        <v>9339</v>
      </c>
      <c r="D2433" s="41" t="s">
        <v>6163</v>
      </c>
      <c r="E2433" s="43" t="s">
        <v>6164</v>
      </c>
      <c r="F2433" s="43" t="s">
        <v>1937</v>
      </c>
      <c r="G2433" s="43" t="s">
        <v>3586</v>
      </c>
      <c r="H2433" s="85" t="s">
        <v>6165</v>
      </c>
      <c r="I2433" s="23" t="s">
        <v>24</v>
      </c>
      <c r="J2433" s="44">
        <v>95</v>
      </c>
      <c r="K2433" s="45">
        <v>0.25</v>
      </c>
      <c r="L2433" s="46">
        <f t="shared" si="361"/>
        <v>23.75</v>
      </c>
      <c r="M2433" s="47">
        <f t="shared" si="362"/>
        <v>71.25</v>
      </c>
      <c r="N2433" s="48">
        <v>0.16</v>
      </c>
      <c r="O2433" s="49">
        <f t="shared" si="363"/>
        <v>11.4</v>
      </c>
      <c r="P2433" s="50">
        <f t="shared" si="364"/>
        <v>82.65</v>
      </c>
      <c r="Q2433" s="23"/>
      <c r="R2433" s="60"/>
      <c r="S2433" s="61"/>
      <c r="T2433" s="62">
        <f t="shared" si="365"/>
        <v>0</v>
      </c>
      <c r="U2433" s="46">
        <f t="shared" si="366"/>
        <v>0</v>
      </c>
      <c r="V2433" s="63">
        <f t="shared" si="367"/>
        <v>0</v>
      </c>
      <c r="W2433" s="49">
        <f t="shared" si="368"/>
        <v>0</v>
      </c>
      <c r="X2433" s="50">
        <f t="shared" si="369"/>
        <v>0</v>
      </c>
      <c r="Y2433"/>
      <c r="Z2433"/>
      <c r="AA2433"/>
    </row>
    <row r="2434" spans="1:27" s="51" customFormat="1" ht="18.600000000000001" hidden="1" customHeight="1" x14ac:dyDescent="0.25">
      <c r="A2434" s="80" t="s">
        <v>2653</v>
      </c>
      <c r="B2434" s="20" t="s">
        <v>5760</v>
      </c>
      <c r="C2434" s="21" t="s">
        <v>9339</v>
      </c>
      <c r="D2434" s="20" t="s">
        <v>6166</v>
      </c>
      <c r="E2434" s="22" t="s">
        <v>6167</v>
      </c>
      <c r="F2434" s="22" t="s">
        <v>1937</v>
      </c>
      <c r="G2434" s="22" t="s">
        <v>3586</v>
      </c>
      <c r="H2434" s="83" t="s">
        <v>6168</v>
      </c>
      <c r="I2434" s="23" t="s">
        <v>24</v>
      </c>
      <c r="J2434" s="24">
        <v>95</v>
      </c>
      <c r="K2434" s="25">
        <v>0.25</v>
      </c>
      <c r="L2434" s="26">
        <f t="shared" si="361"/>
        <v>23.75</v>
      </c>
      <c r="M2434" s="27">
        <f t="shared" si="362"/>
        <v>71.25</v>
      </c>
      <c r="N2434" s="28">
        <v>0.16</v>
      </c>
      <c r="O2434" s="29">
        <f t="shared" si="363"/>
        <v>11.4</v>
      </c>
      <c r="P2434" s="30">
        <f t="shared" si="364"/>
        <v>82.65</v>
      </c>
      <c r="Q2434" s="23"/>
      <c r="R2434" s="52"/>
      <c r="S2434" s="53"/>
      <c r="T2434" s="54">
        <f t="shared" si="365"/>
        <v>0</v>
      </c>
      <c r="U2434" s="26">
        <f t="shared" si="366"/>
        <v>0</v>
      </c>
      <c r="V2434" s="55">
        <f t="shared" si="367"/>
        <v>0</v>
      </c>
      <c r="W2434" s="29">
        <f t="shared" si="368"/>
        <v>0</v>
      </c>
      <c r="X2434" s="30">
        <f t="shared" si="369"/>
        <v>0</v>
      </c>
      <c r="Y2434"/>
      <c r="Z2434"/>
      <c r="AA2434"/>
    </row>
    <row r="2435" spans="1:27" s="51" customFormat="1" ht="18.600000000000001" hidden="1" customHeight="1" x14ac:dyDescent="0.25">
      <c r="A2435" s="81" t="s">
        <v>2653</v>
      </c>
      <c r="B2435" s="31" t="s">
        <v>5760</v>
      </c>
      <c r="C2435" s="32" t="s">
        <v>9339</v>
      </c>
      <c r="D2435" s="31" t="s">
        <v>6169</v>
      </c>
      <c r="E2435" s="33" t="s">
        <v>6170</v>
      </c>
      <c r="F2435" s="33" t="s">
        <v>1937</v>
      </c>
      <c r="G2435" s="33" t="s">
        <v>3586</v>
      </c>
      <c r="H2435" s="84" t="s">
        <v>6171</v>
      </c>
      <c r="I2435" s="23" t="s">
        <v>24</v>
      </c>
      <c r="J2435" s="34">
        <v>95</v>
      </c>
      <c r="K2435" s="35">
        <v>0.25</v>
      </c>
      <c r="L2435" s="36">
        <f t="shared" si="361"/>
        <v>23.75</v>
      </c>
      <c r="M2435" s="37">
        <f t="shared" si="362"/>
        <v>71.25</v>
      </c>
      <c r="N2435" s="38">
        <v>0.16</v>
      </c>
      <c r="O2435" s="39">
        <f t="shared" si="363"/>
        <v>11.4</v>
      </c>
      <c r="P2435" s="40">
        <f t="shared" si="364"/>
        <v>82.65</v>
      </c>
      <c r="Q2435" s="23"/>
      <c r="R2435" s="56"/>
      <c r="S2435" s="57"/>
      <c r="T2435" s="58">
        <f t="shared" si="365"/>
        <v>0</v>
      </c>
      <c r="U2435" s="36">
        <f t="shared" si="366"/>
        <v>0</v>
      </c>
      <c r="V2435" s="59">
        <f t="shared" si="367"/>
        <v>0</v>
      </c>
      <c r="W2435" s="39">
        <f t="shared" si="368"/>
        <v>0</v>
      </c>
      <c r="X2435" s="40">
        <f t="shared" si="369"/>
        <v>0</v>
      </c>
      <c r="Y2435"/>
      <c r="Z2435"/>
      <c r="AA2435"/>
    </row>
    <row r="2436" spans="1:27" s="51" customFormat="1" ht="18.600000000000001" hidden="1" customHeight="1" x14ac:dyDescent="0.25">
      <c r="A2436" s="82" t="s">
        <v>2653</v>
      </c>
      <c r="B2436" s="41" t="s">
        <v>5760</v>
      </c>
      <c r="C2436" s="42" t="s">
        <v>9339</v>
      </c>
      <c r="D2436" s="41" t="s">
        <v>6172</v>
      </c>
      <c r="E2436" s="43" t="s">
        <v>6173</v>
      </c>
      <c r="F2436" s="43" t="s">
        <v>1937</v>
      </c>
      <c r="G2436" s="43" t="s">
        <v>3586</v>
      </c>
      <c r="H2436" s="85" t="s">
        <v>6174</v>
      </c>
      <c r="I2436" s="23" t="s">
        <v>24</v>
      </c>
      <c r="J2436" s="44">
        <v>95</v>
      </c>
      <c r="K2436" s="45">
        <v>0.25</v>
      </c>
      <c r="L2436" s="46">
        <f t="shared" si="361"/>
        <v>23.75</v>
      </c>
      <c r="M2436" s="47">
        <f t="shared" si="362"/>
        <v>71.25</v>
      </c>
      <c r="N2436" s="48">
        <v>0.16</v>
      </c>
      <c r="O2436" s="49">
        <f t="shared" si="363"/>
        <v>11.4</v>
      </c>
      <c r="P2436" s="50">
        <f t="shared" si="364"/>
        <v>82.65</v>
      </c>
      <c r="Q2436" s="23"/>
      <c r="R2436" s="60"/>
      <c r="S2436" s="61"/>
      <c r="T2436" s="62">
        <f t="shared" si="365"/>
        <v>0</v>
      </c>
      <c r="U2436" s="46">
        <f t="shared" si="366"/>
        <v>0</v>
      </c>
      <c r="V2436" s="63">
        <f t="shared" si="367"/>
        <v>0</v>
      </c>
      <c r="W2436" s="49">
        <f t="shared" si="368"/>
        <v>0</v>
      </c>
      <c r="X2436" s="50">
        <f t="shared" si="369"/>
        <v>0</v>
      </c>
      <c r="Y2436"/>
      <c r="Z2436"/>
      <c r="AA2436"/>
    </row>
    <row r="2437" spans="1:27" s="51" customFormat="1" ht="18.600000000000001" hidden="1" customHeight="1" x14ac:dyDescent="0.25">
      <c r="A2437" s="80" t="s">
        <v>2653</v>
      </c>
      <c r="B2437" s="20" t="s">
        <v>5760</v>
      </c>
      <c r="C2437" s="21" t="s">
        <v>9339</v>
      </c>
      <c r="D2437" s="20" t="s">
        <v>6175</v>
      </c>
      <c r="E2437" s="22" t="s">
        <v>6176</v>
      </c>
      <c r="F2437" s="22" t="s">
        <v>1937</v>
      </c>
      <c r="G2437" s="22" t="s">
        <v>3586</v>
      </c>
      <c r="H2437" s="83" t="s">
        <v>6177</v>
      </c>
      <c r="I2437" s="23" t="s">
        <v>24</v>
      </c>
      <c r="J2437" s="24">
        <v>95</v>
      </c>
      <c r="K2437" s="25">
        <v>0.25</v>
      </c>
      <c r="L2437" s="26">
        <f t="shared" si="361"/>
        <v>23.75</v>
      </c>
      <c r="M2437" s="27">
        <f t="shared" si="362"/>
        <v>71.25</v>
      </c>
      <c r="N2437" s="28">
        <v>0.16</v>
      </c>
      <c r="O2437" s="29">
        <f t="shared" si="363"/>
        <v>11.4</v>
      </c>
      <c r="P2437" s="30">
        <f t="shared" si="364"/>
        <v>82.65</v>
      </c>
      <c r="Q2437" s="23"/>
      <c r="R2437" s="52"/>
      <c r="S2437" s="53"/>
      <c r="T2437" s="54">
        <f t="shared" si="365"/>
        <v>0</v>
      </c>
      <c r="U2437" s="26">
        <f t="shared" si="366"/>
        <v>0</v>
      </c>
      <c r="V2437" s="55">
        <f t="shared" si="367"/>
        <v>0</v>
      </c>
      <c r="W2437" s="29">
        <f t="shared" si="368"/>
        <v>0</v>
      </c>
      <c r="X2437" s="30">
        <f t="shared" si="369"/>
        <v>0</v>
      </c>
      <c r="Y2437"/>
      <c r="Z2437"/>
      <c r="AA2437"/>
    </row>
    <row r="2438" spans="1:27" s="51" customFormat="1" ht="18.600000000000001" hidden="1" customHeight="1" x14ac:dyDescent="0.25">
      <c r="A2438" s="81" t="s">
        <v>2653</v>
      </c>
      <c r="B2438" s="31" t="s">
        <v>5760</v>
      </c>
      <c r="C2438" s="32" t="s">
        <v>9339</v>
      </c>
      <c r="D2438" s="31" t="s">
        <v>6178</v>
      </c>
      <c r="E2438" s="33" t="s">
        <v>6179</v>
      </c>
      <c r="F2438" s="33" t="s">
        <v>1937</v>
      </c>
      <c r="G2438" s="33" t="s">
        <v>3586</v>
      </c>
      <c r="H2438" s="84" t="s">
        <v>6180</v>
      </c>
      <c r="I2438" s="23" t="s">
        <v>24</v>
      </c>
      <c r="J2438" s="34">
        <v>95</v>
      </c>
      <c r="K2438" s="35">
        <v>0.25</v>
      </c>
      <c r="L2438" s="36">
        <f t="shared" si="361"/>
        <v>23.75</v>
      </c>
      <c r="M2438" s="37">
        <f t="shared" si="362"/>
        <v>71.25</v>
      </c>
      <c r="N2438" s="38">
        <v>0.16</v>
      </c>
      <c r="O2438" s="39">
        <f t="shared" si="363"/>
        <v>11.4</v>
      </c>
      <c r="P2438" s="40">
        <f t="shared" si="364"/>
        <v>82.65</v>
      </c>
      <c r="Q2438" s="23"/>
      <c r="R2438" s="56"/>
      <c r="S2438" s="57"/>
      <c r="T2438" s="58">
        <f t="shared" si="365"/>
        <v>0</v>
      </c>
      <c r="U2438" s="36">
        <f t="shared" si="366"/>
        <v>0</v>
      </c>
      <c r="V2438" s="59">
        <f t="shared" si="367"/>
        <v>0</v>
      </c>
      <c r="W2438" s="39">
        <f t="shared" si="368"/>
        <v>0</v>
      </c>
      <c r="X2438" s="40">
        <f t="shared" si="369"/>
        <v>0</v>
      </c>
      <c r="Y2438"/>
      <c r="Z2438"/>
      <c r="AA2438"/>
    </row>
    <row r="2439" spans="1:27" s="51" customFormat="1" ht="18.600000000000001" hidden="1" customHeight="1" x14ac:dyDescent="0.25">
      <c r="A2439" s="82" t="s">
        <v>2653</v>
      </c>
      <c r="B2439" s="41" t="s">
        <v>5760</v>
      </c>
      <c r="C2439" s="42" t="s">
        <v>9339</v>
      </c>
      <c r="D2439" s="41" t="s">
        <v>6181</v>
      </c>
      <c r="E2439" s="43" t="s">
        <v>6182</v>
      </c>
      <c r="F2439" s="43" t="s">
        <v>1937</v>
      </c>
      <c r="G2439" s="43" t="s">
        <v>3586</v>
      </c>
      <c r="H2439" s="85" t="s">
        <v>6183</v>
      </c>
      <c r="I2439" s="23" t="s">
        <v>24</v>
      </c>
      <c r="J2439" s="44">
        <v>95</v>
      </c>
      <c r="K2439" s="45">
        <v>0.25</v>
      </c>
      <c r="L2439" s="46">
        <f t="shared" si="361"/>
        <v>23.75</v>
      </c>
      <c r="M2439" s="47">
        <f t="shared" si="362"/>
        <v>71.25</v>
      </c>
      <c r="N2439" s="48">
        <v>0.16</v>
      </c>
      <c r="O2439" s="49">
        <f t="shared" si="363"/>
        <v>11.4</v>
      </c>
      <c r="P2439" s="50">
        <f t="shared" si="364"/>
        <v>82.65</v>
      </c>
      <c r="Q2439" s="23"/>
      <c r="R2439" s="60"/>
      <c r="S2439" s="61"/>
      <c r="T2439" s="62">
        <f t="shared" si="365"/>
        <v>0</v>
      </c>
      <c r="U2439" s="46">
        <f t="shared" si="366"/>
        <v>0</v>
      </c>
      <c r="V2439" s="63">
        <f t="shared" si="367"/>
        <v>0</v>
      </c>
      <c r="W2439" s="49">
        <f t="shared" si="368"/>
        <v>0</v>
      </c>
      <c r="X2439" s="50">
        <f t="shared" si="369"/>
        <v>0</v>
      </c>
      <c r="Y2439"/>
      <c r="Z2439"/>
      <c r="AA2439"/>
    </row>
    <row r="2440" spans="1:27" s="51" customFormat="1" ht="18.600000000000001" hidden="1" customHeight="1" x14ac:dyDescent="0.25">
      <c r="A2440" s="80" t="s">
        <v>2653</v>
      </c>
      <c r="B2440" s="20" t="s">
        <v>5760</v>
      </c>
      <c r="C2440" s="21" t="s">
        <v>9339</v>
      </c>
      <c r="D2440" s="20" t="s">
        <v>6184</v>
      </c>
      <c r="E2440" s="22" t="s">
        <v>6185</v>
      </c>
      <c r="F2440" s="22" t="s">
        <v>1937</v>
      </c>
      <c r="G2440" s="22" t="s">
        <v>3586</v>
      </c>
      <c r="H2440" s="83" t="s">
        <v>6186</v>
      </c>
      <c r="I2440" s="23" t="s">
        <v>24</v>
      </c>
      <c r="J2440" s="24">
        <v>95</v>
      </c>
      <c r="K2440" s="25">
        <v>0.25</v>
      </c>
      <c r="L2440" s="26">
        <f t="shared" si="361"/>
        <v>23.75</v>
      </c>
      <c r="M2440" s="27">
        <f t="shared" si="362"/>
        <v>71.25</v>
      </c>
      <c r="N2440" s="28">
        <v>0.16</v>
      </c>
      <c r="O2440" s="29">
        <f t="shared" si="363"/>
        <v>11.4</v>
      </c>
      <c r="P2440" s="30">
        <f t="shared" si="364"/>
        <v>82.65</v>
      </c>
      <c r="Q2440" s="23"/>
      <c r="R2440" s="52"/>
      <c r="S2440" s="53"/>
      <c r="T2440" s="54">
        <f t="shared" si="365"/>
        <v>0</v>
      </c>
      <c r="U2440" s="26">
        <f t="shared" si="366"/>
        <v>0</v>
      </c>
      <c r="V2440" s="55">
        <f t="shared" si="367"/>
        <v>0</v>
      </c>
      <c r="W2440" s="29">
        <f t="shared" si="368"/>
        <v>0</v>
      </c>
      <c r="X2440" s="30">
        <f t="shared" si="369"/>
        <v>0</v>
      </c>
      <c r="Y2440"/>
      <c r="Z2440"/>
      <c r="AA2440"/>
    </row>
    <row r="2441" spans="1:27" s="51" customFormat="1" ht="18.600000000000001" hidden="1" customHeight="1" x14ac:dyDescent="0.25">
      <c r="A2441" s="81" t="s">
        <v>2653</v>
      </c>
      <c r="B2441" s="31" t="s">
        <v>5760</v>
      </c>
      <c r="C2441" s="32" t="s">
        <v>9339</v>
      </c>
      <c r="D2441" s="31" t="s">
        <v>6187</v>
      </c>
      <c r="E2441" s="33" t="s">
        <v>6188</v>
      </c>
      <c r="F2441" s="33" t="s">
        <v>1937</v>
      </c>
      <c r="G2441" s="33" t="s">
        <v>3586</v>
      </c>
      <c r="H2441" s="84" t="s">
        <v>6189</v>
      </c>
      <c r="I2441" s="23" t="s">
        <v>24</v>
      </c>
      <c r="J2441" s="34">
        <v>95</v>
      </c>
      <c r="K2441" s="35">
        <v>0.25</v>
      </c>
      <c r="L2441" s="36">
        <f t="shared" si="361"/>
        <v>23.75</v>
      </c>
      <c r="M2441" s="37">
        <f t="shared" si="362"/>
        <v>71.25</v>
      </c>
      <c r="N2441" s="38">
        <v>0.16</v>
      </c>
      <c r="O2441" s="39">
        <f t="shared" si="363"/>
        <v>11.4</v>
      </c>
      <c r="P2441" s="40">
        <f t="shared" si="364"/>
        <v>82.65</v>
      </c>
      <c r="Q2441" s="23"/>
      <c r="R2441" s="56"/>
      <c r="S2441" s="57"/>
      <c r="T2441" s="58">
        <f t="shared" si="365"/>
        <v>0</v>
      </c>
      <c r="U2441" s="36">
        <f t="shared" si="366"/>
        <v>0</v>
      </c>
      <c r="V2441" s="59">
        <f t="shared" si="367"/>
        <v>0</v>
      </c>
      <c r="W2441" s="39">
        <f t="shared" si="368"/>
        <v>0</v>
      </c>
      <c r="X2441" s="40">
        <f t="shared" si="369"/>
        <v>0</v>
      </c>
      <c r="Y2441"/>
      <c r="Z2441"/>
      <c r="AA2441"/>
    </row>
    <row r="2442" spans="1:27" s="51" customFormat="1" ht="18.600000000000001" hidden="1" customHeight="1" x14ac:dyDescent="0.25">
      <c r="A2442" s="82" t="s">
        <v>2653</v>
      </c>
      <c r="B2442" s="41" t="s">
        <v>5760</v>
      </c>
      <c r="C2442" s="42" t="s">
        <v>9339</v>
      </c>
      <c r="D2442" s="41" t="s">
        <v>6190</v>
      </c>
      <c r="E2442" s="43" t="s">
        <v>6191</v>
      </c>
      <c r="F2442" s="43" t="s">
        <v>1937</v>
      </c>
      <c r="G2442" s="43" t="s">
        <v>3586</v>
      </c>
      <c r="H2442" s="85" t="s">
        <v>6192</v>
      </c>
      <c r="I2442" s="23" t="s">
        <v>24</v>
      </c>
      <c r="J2442" s="44">
        <v>95</v>
      </c>
      <c r="K2442" s="45">
        <v>0.25</v>
      </c>
      <c r="L2442" s="46">
        <f t="shared" si="361"/>
        <v>23.75</v>
      </c>
      <c r="M2442" s="47">
        <f t="shared" si="362"/>
        <v>71.25</v>
      </c>
      <c r="N2442" s="48">
        <v>0.16</v>
      </c>
      <c r="O2442" s="49">
        <f t="shared" si="363"/>
        <v>11.4</v>
      </c>
      <c r="P2442" s="50">
        <f t="shared" si="364"/>
        <v>82.65</v>
      </c>
      <c r="Q2442" s="23"/>
      <c r="R2442" s="60"/>
      <c r="S2442" s="61"/>
      <c r="T2442" s="62">
        <f t="shared" si="365"/>
        <v>0</v>
      </c>
      <c r="U2442" s="46">
        <f t="shared" si="366"/>
        <v>0</v>
      </c>
      <c r="V2442" s="63">
        <f t="shared" si="367"/>
        <v>0</v>
      </c>
      <c r="W2442" s="49">
        <f t="shared" si="368"/>
        <v>0</v>
      </c>
      <c r="X2442" s="50">
        <f t="shared" si="369"/>
        <v>0</v>
      </c>
      <c r="Y2442"/>
      <c r="Z2442"/>
      <c r="AA2442"/>
    </row>
    <row r="2443" spans="1:27" s="51" customFormat="1" ht="18.600000000000001" hidden="1" customHeight="1" x14ac:dyDescent="0.25">
      <c r="A2443" s="80" t="s">
        <v>2653</v>
      </c>
      <c r="B2443" s="20" t="s">
        <v>5760</v>
      </c>
      <c r="C2443" s="21" t="s">
        <v>9339</v>
      </c>
      <c r="D2443" s="20" t="s">
        <v>6193</v>
      </c>
      <c r="E2443" s="22" t="s">
        <v>6194</v>
      </c>
      <c r="F2443" s="22" t="s">
        <v>1937</v>
      </c>
      <c r="G2443" s="22" t="s">
        <v>3586</v>
      </c>
      <c r="H2443" s="83" t="s">
        <v>6195</v>
      </c>
      <c r="I2443" s="23" t="s">
        <v>24</v>
      </c>
      <c r="J2443" s="24">
        <v>95</v>
      </c>
      <c r="K2443" s="25">
        <v>0.25</v>
      </c>
      <c r="L2443" s="26">
        <f t="shared" si="361"/>
        <v>23.75</v>
      </c>
      <c r="M2443" s="27">
        <f t="shared" si="362"/>
        <v>71.25</v>
      </c>
      <c r="N2443" s="28">
        <v>0.16</v>
      </c>
      <c r="O2443" s="29">
        <f t="shared" si="363"/>
        <v>11.4</v>
      </c>
      <c r="P2443" s="30">
        <f t="shared" si="364"/>
        <v>82.65</v>
      </c>
      <c r="Q2443" s="23"/>
      <c r="R2443" s="52"/>
      <c r="S2443" s="53"/>
      <c r="T2443" s="54">
        <f t="shared" si="365"/>
        <v>0</v>
      </c>
      <c r="U2443" s="26">
        <f t="shared" si="366"/>
        <v>0</v>
      </c>
      <c r="V2443" s="55">
        <f t="shared" si="367"/>
        <v>0</v>
      </c>
      <c r="W2443" s="29">
        <f t="shared" si="368"/>
        <v>0</v>
      </c>
      <c r="X2443" s="30">
        <f t="shared" si="369"/>
        <v>0</v>
      </c>
      <c r="Y2443"/>
      <c r="Z2443"/>
      <c r="AA2443"/>
    </row>
    <row r="2444" spans="1:27" s="51" customFormat="1" ht="18.600000000000001" hidden="1" customHeight="1" x14ac:dyDescent="0.25">
      <c r="A2444" s="81" t="s">
        <v>2653</v>
      </c>
      <c r="B2444" s="31" t="s">
        <v>5760</v>
      </c>
      <c r="C2444" s="32" t="s">
        <v>9339</v>
      </c>
      <c r="D2444" s="31" t="s">
        <v>6196</v>
      </c>
      <c r="E2444" s="33" t="s">
        <v>6197</v>
      </c>
      <c r="F2444" s="33" t="s">
        <v>1937</v>
      </c>
      <c r="G2444" s="33" t="s">
        <v>3586</v>
      </c>
      <c r="H2444" s="84" t="s">
        <v>6198</v>
      </c>
      <c r="I2444" s="23" t="s">
        <v>24</v>
      </c>
      <c r="J2444" s="34">
        <v>95</v>
      </c>
      <c r="K2444" s="35">
        <v>0.25</v>
      </c>
      <c r="L2444" s="36">
        <f t="shared" si="361"/>
        <v>23.75</v>
      </c>
      <c r="M2444" s="37">
        <f t="shared" si="362"/>
        <v>71.25</v>
      </c>
      <c r="N2444" s="38">
        <v>0.16</v>
      </c>
      <c r="O2444" s="39">
        <f t="shared" si="363"/>
        <v>11.4</v>
      </c>
      <c r="P2444" s="40">
        <f t="shared" si="364"/>
        <v>82.65</v>
      </c>
      <c r="Q2444" s="23"/>
      <c r="R2444" s="56"/>
      <c r="S2444" s="57"/>
      <c r="T2444" s="58">
        <f t="shared" si="365"/>
        <v>0</v>
      </c>
      <c r="U2444" s="36">
        <f t="shared" si="366"/>
        <v>0</v>
      </c>
      <c r="V2444" s="59">
        <f t="shared" si="367"/>
        <v>0</v>
      </c>
      <c r="W2444" s="39">
        <f t="shared" si="368"/>
        <v>0</v>
      </c>
      <c r="X2444" s="40">
        <f t="shared" si="369"/>
        <v>0</v>
      </c>
      <c r="Y2444"/>
      <c r="Z2444"/>
      <c r="AA2444"/>
    </row>
    <row r="2445" spans="1:27" s="51" customFormat="1" ht="18.600000000000001" hidden="1" customHeight="1" x14ac:dyDescent="0.25">
      <c r="A2445" s="82" t="s">
        <v>2653</v>
      </c>
      <c r="B2445" s="41" t="s">
        <v>5760</v>
      </c>
      <c r="C2445" s="42" t="s">
        <v>9339</v>
      </c>
      <c r="D2445" s="41" t="s">
        <v>6199</v>
      </c>
      <c r="E2445" s="43" t="s">
        <v>6200</v>
      </c>
      <c r="F2445" s="43" t="s">
        <v>1937</v>
      </c>
      <c r="G2445" s="43" t="s">
        <v>3586</v>
      </c>
      <c r="H2445" s="85" t="s">
        <v>6201</v>
      </c>
      <c r="I2445" s="23" t="s">
        <v>24</v>
      </c>
      <c r="J2445" s="44">
        <v>95</v>
      </c>
      <c r="K2445" s="45">
        <v>0.25</v>
      </c>
      <c r="L2445" s="46">
        <f t="shared" si="361"/>
        <v>23.75</v>
      </c>
      <c r="M2445" s="47">
        <f t="shared" si="362"/>
        <v>71.25</v>
      </c>
      <c r="N2445" s="48">
        <v>0.16</v>
      </c>
      <c r="O2445" s="49">
        <f t="shared" si="363"/>
        <v>11.4</v>
      </c>
      <c r="P2445" s="50">
        <f t="shared" si="364"/>
        <v>82.65</v>
      </c>
      <c r="Q2445" s="23"/>
      <c r="R2445" s="60"/>
      <c r="S2445" s="61"/>
      <c r="T2445" s="62">
        <f t="shared" si="365"/>
        <v>0</v>
      </c>
      <c r="U2445" s="46">
        <f t="shared" si="366"/>
        <v>0</v>
      </c>
      <c r="V2445" s="63">
        <f t="shared" si="367"/>
        <v>0</v>
      </c>
      <c r="W2445" s="49">
        <f t="shared" si="368"/>
        <v>0</v>
      </c>
      <c r="X2445" s="50">
        <f t="shared" si="369"/>
        <v>0</v>
      </c>
      <c r="Y2445"/>
      <c r="Z2445"/>
      <c r="AA2445"/>
    </row>
    <row r="2446" spans="1:27" s="51" customFormat="1" ht="18.600000000000001" hidden="1" customHeight="1" x14ac:dyDescent="0.25">
      <c r="A2446" s="80" t="s">
        <v>2653</v>
      </c>
      <c r="B2446" s="20" t="s">
        <v>5760</v>
      </c>
      <c r="C2446" s="21" t="s">
        <v>9339</v>
      </c>
      <c r="D2446" s="20" t="s">
        <v>6202</v>
      </c>
      <c r="E2446" s="22" t="s">
        <v>6203</v>
      </c>
      <c r="F2446" s="22" t="s">
        <v>1937</v>
      </c>
      <c r="G2446" s="22" t="s">
        <v>3586</v>
      </c>
      <c r="H2446" s="83" t="s">
        <v>6204</v>
      </c>
      <c r="I2446" s="23" t="s">
        <v>24</v>
      </c>
      <c r="J2446" s="24">
        <v>95</v>
      </c>
      <c r="K2446" s="25">
        <v>0.25</v>
      </c>
      <c r="L2446" s="26">
        <f t="shared" si="361"/>
        <v>23.75</v>
      </c>
      <c r="M2446" s="27">
        <f t="shared" si="362"/>
        <v>71.25</v>
      </c>
      <c r="N2446" s="28">
        <v>0.16</v>
      </c>
      <c r="O2446" s="29">
        <f t="shared" si="363"/>
        <v>11.4</v>
      </c>
      <c r="P2446" s="30">
        <f t="shared" si="364"/>
        <v>82.65</v>
      </c>
      <c r="Q2446" s="23"/>
      <c r="R2446" s="52"/>
      <c r="S2446" s="53"/>
      <c r="T2446" s="54">
        <f t="shared" si="365"/>
        <v>0</v>
      </c>
      <c r="U2446" s="26">
        <f t="shared" si="366"/>
        <v>0</v>
      </c>
      <c r="V2446" s="55">
        <f t="shared" si="367"/>
        <v>0</v>
      </c>
      <c r="W2446" s="29">
        <f t="shared" si="368"/>
        <v>0</v>
      </c>
      <c r="X2446" s="30">
        <f t="shared" si="369"/>
        <v>0</v>
      </c>
      <c r="Y2446"/>
      <c r="Z2446"/>
      <c r="AA2446"/>
    </row>
    <row r="2447" spans="1:27" s="51" customFormat="1" ht="18.600000000000001" hidden="1" customHeight="1" x14ac:dyDescent="0.25">
      <c r="A2447" s="81" t="s">
        <v>2653</v>
      </c>
      <c r="B2447" s="31" t="s">
        <v>5760</v>
      </c>
      <c r="C2447" s="32" t="s">
        <v>9339</v>
      </c>
      <c r="D2447" s="31" t="s">
        <v>6205</v>
      </c>
      <c r="E2447" s="33" t="s">
        <v>6206</v>
      </c>
      <c r="F2447" s="33" t="s">
        <v>1937</v>
      </c>
      <c r="G2447" s="33" t="s">
        <v>3586</v>
      </c>
      <c r="H2447" s="84" t="s">
        <v>6207</v>
      </c>
      <c r="I2447" s="23" t="s">
        <v>24</v>
      </c>
      <c r="J2447" s="34">
        <v>95</v>
      </c>
      <c r="K2447" s="35">
        <v>0.25</v>
      </c>
      <c r="L2447" s="36">
        <f t="shared" si="361"/>
        <v>23.75</v>
      </c>
      <c r="M2447" s="37">
        <f t="shared" si="362"/>
        <v>71.25</v>
      </c>
      <c r="N2447" s="38">
        <v>0.16</v>
      </c>
      <c r="O2447" s="39">
        <f t="shared" si="363"/>
        <v>11.4</v>
      </c>
      <c r="P2447" s="40">
        <f t="shared" si="364"/>
        <v>82.65</v>
      </c>
      <c r="Q2447" s="23"/>
      <c r="R2447" s="56"/>
      <c r="S2447" s="57"/>
      <c r="T2447" s="58">
        <f t="shared" si="365"/>
        <v>0</v>
      </c>
      <c r="U2447" s="36">
        <f t="shared" si="366"/>
        <v>0</v>
      </c>
      <c r="V2447" s="59">
        <f t="shared" si="367"/>
        <v>0</v>
      </c>
      <c r="W2447" s="39">
        <f t="shared" si="368"/>
        <v>0</v>
      </c>
      <c r="X2447" s="40">
        <f t="shared" si="369"/>
        <v>0</v>
      </c>
      <c r="Y2447"/>
      <c r="Z2447"/>
      <c r="AA2447"/>
    </row>
    <row r="2448" spans="1:27" s="51" customFormat="1" ht="18.600000000000001" hidden="1" customHeight="1" x14ac:dyDescent="0.25">
      <c r="A2448" s="82" t="s">
        <v>2653</v>
      </c>
      <c r="B2448" s="41" t="s">
        <v>5760</v>
      </c>
      <c r="C2448" s="42" t="s">
        <v>9339</v>
      </c>
      <c r="D2448" s="41" t="s">
        <v>6208</v>
      </c>
      <c r="E2448" s="43" t="s">
        <v>6209</v>
      </c>
      <c r="F2448" s="43" t="s">
        <v>1937</v>
      </c>
      <c r="G2448" s="43" t="s">
        <v>3586</v>
      </c>
      <c r="H2448" s="85" t="s">
        <v>6210</v>
      </c>
      <c r="I2448" s="23" t="s">
        <v>24</v>
      </c>
      <c r="J2448" s="44">
        <v>95</v>
      </c>
      <c r="K2448" s="45">
        <v>0.25</v>
      </c>
      <c r="L2448" s="46">
        <f t="shared" si="361"/>
        <v>23.75</v>
      </c>
      <c r="M2448" s="47">
        <f t="shared" si="362"/>
        <v>71.25</v>
      </c>
      <c r="N2448" s="48">
        <v>0.16</v>
      </c>
      <c r="O2448" s="49">
        <f t="shared" si="363"/>
        <v>11.4</v>
      </c>
      <c r="P2448" s="50">
        <f t="shared" si="364"/>
        <v>82.65</v>
      </c>
      <c r="Q2448" s="23"/>
      <c r="R2448" s="60"/>
      <c r="S2448" s="61"/>
      <c r="T2448" s="62">
        <f t="shared" si="365"/>
        <v>0</v>
      </c>
      <c r="U2448" s="46">
        <f t="shared" si="366"/>
        <v>0</v>
      </c>
      <c r="V2448" s="63">
        <f t="shared" si="367"/>
        <v>0</v>
      </c>
      <c r="W2448" s="49">
        <f t="shared" si="368"/>
        <v>0</v>
      </c>
      <c r="X2448" s="50">
        <f t="shared" si="369"/>
        <v>0</v>
      </c>
      <c r="Y2448"/>
      <c r="Z2448"/>
      <c r="AA2448"/>
    </row>
    <row r="2449" spans="1:27" s="51" customFormat="1" ht="18.600000000000001" hidden="1" customHeight="1" x14ac:dyDescent="0.25">
      <c r="A2449" s="80" t="s">
        <v>2653</v>
      </c>
      <c r="B2449" s="20" t="s">
        <v>5760</v>
      </c>
      <c r="C2449" s="21" t="s">
        <v>9339</v>
      </c>
      <c r="D2449" s="20" t="s">
        <v>6211</v>
      </c>
      <c r="E2449" s="22" t="s">
        <v>6212</v>
      </c>
      <c r="F2449" s="22" t="s">
        <v>1937</v>
      </c>
      <c r="G2449" s="22" t="s">
        <v>3586</v>
      </c>
      <c r="H2449" s="83" t="s">
        <v>6213</v>
      </c>
      <c r="I2449" s="23" t="s">
        <v>24</v>
      </c>
      <c r="J2449" s="24">
        <v>95</v>
      </c>
      <c r="K2449" s="25">
        <v>0.25</v>
      </c>
      <c r="L2449" s="26">
        <f t="shared" si="361"/>
        <v>23.75</v>
      </c>
      <c r="M2449" s="27">
        <f t="shared" si="362"/>
        <v>71.25</v>
      </c>
      <c r="N2449" s="28">
        <v>0.16</v>
      </c>
      <c r="O2449" s="29">
        <f t="shared" si="363"/>
        <v>11.4</v>
      </c>
      <c r="P2449" s="30">
        <f t="shared" si="364"/>
        <v>82.65</v>
      </c>
      <c r="Q2449" s="23"/>
      <c r="R2449" s="52"/>
      <c r="S2449" s="53"/>
      <c r="T2449" s="54">
        <f t="shared" si="365"/>
        <v>0</v>
      </c>
      <c r="U2449" s="26">
        <f t="shared" si="366"/>
        <v>0</v>
      </c>
      <c r="V2449" s="55">
        <f t="shared" si="367"/>
        <v>0</v>
      </c>
      <c r="W2449" s="29">
        <f t="shared" si="368"/>
        <v>0</v>
      </c>
      <c r="X2449" s="30">
        <f t="shared" si="369"/>
        <v>0</v>
      </c>
      <c r="Y2449"/>
      <c r="Z2449"/>
      <c r="AA2449"/>
    </row>
    <row r="2450" spans="1:27" s="51" customFormat="1" ht="18.600000000000001" hidden="1" customHeight="1" x14ac:dyDescent="0.25">
      <c r="A2450" s="81" t="s">
        <v>2653</v>
      </c>
      <c r="B2450" s="31" t="s">
        <v>5760</v>
      </c>
      <c r="C2450" s="32" t="s">
        <v>9339</v>
      </c>
      <c r="D2450" s="31" t="s">
        <v>6214</v>
      </c>
      <c r="E2450" s="33" t="s">
        <v>6215</v>
      </c>
      <c r="F2450" s="33" t="s">
        <v>1937</v>
      </c>
      <c r="G2450" s="33" t="s">
        <v>3586</v>
      </c>
      <c r="H2450" s="84" t="s">
        <v>6216</v>
      </c>
      <c r="I2450" s="23" t="s">
        <v>24</v>
      </c>
      <c r="J2450" s="34">
        <v>95</v>
      </c>
      <c r="K2450" s="35">
        <v>0.25</v>
      </c>
      <c r="L2450" s="36">
        <f t="shared" si="361"/>
        <v>23.75</v>
      </c>
      <c r="M2450" s="37">
        <f t="shared" si="362"/>
        <v>71.25</v>
      </c>
      <c r="N2450" s="38">
        <v>0.16</v>
      </c>
      <c r="O2450" s="39">
        <f t="shared" si="363"/>
        <v>11.4</v>
      </c>
      <c r="P2450" s="40">
        <f t="shared" si="364"/>
        <v>82.65</v>
      </c>
      <c r="Q2450" s="23"/>
      <c r="R2450" s="56"/>
      <c r="S2450" s="57"/>
      <c r="T2450" s="58">
        <f t="shared" si="365"/>
        <v>0</v>
      </c>
      <c r="U2450" s="36">
        <f t="shared" si="366"/>
        <v>0</v>
      </c>
      <c r="V2450" s="59">
        <f t="shared" si="367"/>
        <v>0</v>
      </c>
      <c r="W2450" s="39">
        <f t="shared" si="368"/>
        <v>0</v>
      </c>
      <c r="X2450" s="40">
        <f t="shared" si="369"/>
        <v>0</v>
      </c>
      <c r="Y2450"/>
      <c r="Z2450"/>
      <c r="AA2450"/>
    </row>
    <row r="2451" spans="1:27" s="51" customFormat="1" ht="18.600000000000001" hidden="1" customHeight="1" x14ac:dyDescent="0.25">
      <c r="A2451" s="82" t="s">
        <v>2653</v>
      </c>
      <c r="B2451" s="41" t="s">
        <v>5760</v>
      </c>
      <c r="C2451" s="42" t="s">
        <v>9339</v>
      </c>
      <c r="D2451" s="41" t="s">
        <v>6217</v>
      </c>
      <c r="E2451" s="43" t="s">
        <v>6218</v>
      </c>
      <c r="F2451" s="43" t="s">
        <v>1937</v>
      </c>
      <c r="G2451" s="43" t="s">
        <v>3586</v>
      </c>
      <c r="H2451" s="85" t="s">
        <v>6219</v>
      </c>
      <c r="I2451" s="23" t="s">
        <v>24</v>
      </c>
      <c r="J2451" s="44">
        <v>95</v>
      </c>
      <c r="K2451" s="45">
        <v>0.25</v>
      </c>
      <c r="L2451" s="46">
        <f t="shared" si="361"/>
        <v>23.75</v>
      </c>
      <c r="M2451" s="47">
        <f t="shared" si="362"/>
        <v>71.25</v>
      </c>
      <c r="N2451" s="48">
        <v>0.16</v>
      </c>
      <c r="O2451" s="49">
        <f t="shared" si="363"/>
        <v>11.4</v>
      </c>
      <c r="P2451" s="50">
        <f t="shared" si="364"/>
        <v>82.65</v>
      </c>
      <c r="Q2451" s="23"/>
      <c r="R2451" s="60"/>
      <c r="S2451" s="61"/>
      <c r="T2451" s="62">
        <f t="shared" si="365"/>
        <v>0</v>
      </c>
      <c r="U2451" s="46">
        <f t="shared" si="366"/>
        <v>0</v>
      </c>
      <c r="V2451" s="63">
        <f t="shared" si="367"/>
        <v>0</v>
      </c>
      <c r="W2451" s="49">
        <f t="shared" si="368"/>
        <v>0</v>
      </c>
      <c r="X2451" s="50">
        <f t="shared" si="369"/>
        <v>0</v>
      </c>
      <c r="Y2451"/>
      <c r="Z2451"/>
      <c r="AA2451"/>
    </row>
    <row r="2452" spans="1:27" s="51" customFormat="1" ht="18.600000000000001" hidden="1" customHeight="1" x14ac:dyDescent="0.25">
      <c r="A2452" s="80" t="s">
        <v>2653</v>
      </c>
      <c r="B2452" s="20" t="s">
        <v>5760</v>
      </c>
      <c r="C2452" s="21" t="s">
        <v>9339</v>
      </c>
      <c r="D2452" s="20" t="s">
        <v>6220</v>
      </c>
      <c r="E2452" s="22" t="s">
        <v>6221</v>
      </c>
      <c r="F2452" s="22" t="s">
        <v>1937</v>
      </c>
      <c r="G2452" s="22" t="s">
        <v>3586</v>
      </c>
      <c r="H2452" s="83" t="s">
        <v>6222</v>
      </c>
      <c r="I2452" s="23" t="s">
        <v>24</v>
      </c>
      <c r="J2452" s="24">
        <v>95</v>
      </c>
      <c r="K2452" s="25">
        <v>0.25</v>
      </c>
      <c r="L2452" s="26">
        <f t="shared" si="361"/>
        <v>23.75</v>
      </c>
      <c r="M2452" s="27">
        <f t="shared" si="362"/>
        <v>71.25</v>
      </c>
      <c r="N2452" s="28">
        <v>0.16</v>
      </c>
      <c r="O2452" s="29">
        <f t="shared" si="363"/>
        <v>11.4</v>
      </c>
      <c r="P2452" s="30">
        <f t="shared" si="364"/>
        <v>82.65</v>
      </c>
      <c r="Q2452" s="23"/>
      <c r="R2452" s="52"/>
      <c r="S2452" s="53"/>
      <c r="T2452" s="54">
        <f t="shared" si="365"/>
        <v>0</v>
      </c>
      <c r="U2452" s="26">
        <f t="shared" si="366"/>
        <v>0</v>
      </c>
      <c r="V2452" s="55">
        <f t="shared" si="367"/>
        <v>0</v>
      </c>
      <c r="W2452" s="29">
        <f t="shared" si="368"/>
        <v>0</v>
      </c>
      <c r="X2452" s="30">
        <f t="shared" si="369"/>
        <v>0</v>
      </c>
      <c r="Y2452"/>
      <c r="Z2452"/>
      <c r="AA2452"/>
    </row>
    <row r="2453" spans="1:27" s="51" customFormat="1" ht="18.600000000000001" hidden="1" customHeight="1" x14ac:dyDescent="0.25">
      <c r="A2453" s="81" t="s">
        <v>2653</v>
      </c>
      <c r="B2453" s="31" t="s">
        <v>5760</v>
      </c>
      <c r="C2453" s="32" t="s">
        <v>9339</v>
      </c>
      <c r="D2453" s="31" t="s">
        <v>6223</v>
      </c>
      <c r="E2453" s="33" t="s">
        <v>6224</v>
      </c>
      <c r="F2453" s="33" t="s">
        <v>1937</v>
      </c>
      <c r="G2453" s="33" t="s">
        <v>3586</v>
      </c>
      <c r="H2453" s="84" t="s">
        <v>6225</v>
      </c>
      <c r="I2453" s="23" t="s">
        <v>24</v>
      </c>
      <c r="J2453" s="34">
        <v>95</v>
      </c>
      <c r="K2453" s="35">
        <v>0.25</v>
      </c>
      <c r="L2453" s="36">
        <f t="shared" si="361"/>
        <v>23.75</v>
      </c>
      <c r="M2453" s="37">
        <f t="shared" si="362"/>
        <v>71.25</v>
      </c>
      <c r="N2453" s="38">
        <v>0.16</v>
      </c>
      <c r="O2453" s="39">
        <f t="shared" si="363"/>
        <v>11.4</v>
      </c>
      <c r="P2453" s="40">
        <f t="shared" si="364"/>
        <v>82.65</v>
      </c>
      <c r="Q2453" s="23"/>
      <c r="R2453" s="56"/>
      <c r="S2453" s="57"/>
      <c r="T2453" s="58">
        <f t="shared" si="365"/>
        <v>0</v>
      </c>
      <c r="U2453" s="36">
        <f t="shared" si="366"/>
        <v>0</v>
      </c>
      <c r="V2453" s="59">
        <f t="shared" si="367"/>
        <v>0</v>
      </c>
      <c r="W2453" s="39">
        <f t="shared" si="368"/>
        <v>0</v>
      </c>
      <c r="X2453" s="40">
        <f t="shared" si="369"/>
        <v>0</v>
      </c>
      <c r="Y2453"/>
      <c r="Z2453"/>
      <c r="AA2453"/>
    </row>
    <row r="2454" spans="1:27" s="51" customFormat="1" ht="18.600000000000001" hidden="1" customHeight="1" x14ac:dyDescent="0.25">
      <c r="A2454" s="82" t="s">
        <v>2653</v>
      </c>
      <c r="B2454" s="41" t="s">
        <v>5760</v>
      </c>
      <c r="C2454" s="42" t="s">
        <v>9339</v>
      </c>
      <c r="D2454" s="41" t="s">
        <v>6226</v>
      </c>
      <c r="E2454" s="43" t="s">
        <v>6227</v>
      </c>
      <c r="F2454" s="43" t="s">
        <v>1937</v>
      </c>
      <c r="G2454" s="43" t="s">
        <v>3586</v>
      </c>
      <c r="H2454" s="85" t="s">
        <v>6228</v>
      </c>
      <c r="I2454" s="23" t="s">
        <v>24</v>
      </c>
      <c r="J2454" s="44">
        <v>95</v>
      </c>
      <c r="K2454" s="45">
        <v>0.25</v>
      </c>
      <c r="L2454" s="46">
        <f t="shared" si="361"/>
        <v>23.75</v>
      </c>
      <c r="M2454" s="47">
        <f t="shared" si="362"/>
        <v>71.25</v>
      </c>
      <c r="N2454" s="48">
        <v>0.16</v>
      </c>
      <c r="O2454" s="49">
        <f t="shared" si="363"/>
        <v>11.4</v>
      </c>
      <c r="P2454" s="50">
        <f t="shared" si="364"/>
        <v>82.65</v>
      </c>
      <c r="Q2454" s="23"/>
      <c r="R2454" s="60"/>
      <c r="S2454" s="61"/>
      <c r="T2454" s="62">
        <f t="shared" si="365"/>
        <v>0</v>
      </c>
      <c r="U2454" s="46">
        <f t="shared" si="366"/>
        <v>0</v>
      </c>
      <c r="V2454" s="63">
        <f t="shared" si="367"/>
        <v>0</v>
      </c>
      <c r="W2454" s="49">
        <f t="shared" si="368"/>
        <v>0</v>
      </c>
      <c r="X2454" s="50">
        <f t="shared" si="369"/>
        <v>0</v>
      </c>
      <c r="Y2454"/>
      <c r="Z2454"/>
      <c r="AA2454"/>
    </row>
    <row r="2455" spans="1:27" s="51" customFormat="1" ht="18.600000000000001" hidden="1" customHeight="1" x14ac:dyDescent="0.25">
      <c r="A2455" s="80" t="s">
        <v>2653</v>
      </c>
      <c r="B2455" s="20" t="s">
        <v>5760</v>
      </c>
      <c r="C2455" s="21" t="s">
        <v>9339</v>
      </c>
      <c r="D2455" s="20" t="s">
        <v>6229</v>
      </c>
      <c r="E2455" s="22" t="s">
        <v>6230</v>
      </c>
      <c r="F2455" s="22" t="s">
        <v>1937</v>
      </c>
      <c r="G2455" s="22" t="s">
        <v>3586</v>
      </c>
      <c r="H2455" s="83" t="s">
        <v>6231</v>
      </c>
      <c r="I2455" s="23" t="s">
        <v>24</v>
      </c>
      <c r="J2455" s="24">
        <v>95</v>
      </c>
      <c r="K2455" s="25">
        <v>0.25</v>
      </c>
      <c r="L2455" s="26">
        <f t="shared" ref="L2455:L2518" si="370">+J2455*K2455</f>
        <v>23.75</v>
      </c>
      <c r="M2455" s="27">
        <f t="shared" ref="M2455:M2518" si="371">+J2455-L2455</f>
        <v>71.25</v>
      </c>
      <c r="N2455" s="28">
        <v>0.16</v>
      </c>
      <c r="O2455" s="29">
        <f t="shared" ref="O2455:O2518" si="372">+M2455*N2455</f>
        <v>11.4</v>
      </c>
      <c r="P2455" s="30">
        <f t="shared" ref="P2455:P2518" si="373">+M2455+O2455</f>
        <v>82.65</v>
      </c>
      <c r="Q2455" s="23"/>
      <c r="R2455" s="52"/>
      <c r="S2455" s="53"/>
      <c r="T2455" s="54">
        <f t="shared" ref="T2455:T2518" si="374">+S2455*J2455</f>
        <v>0</v>
      </c>
      <c r="U2455" s="26">
        <f t="shared" ref="U2455:U2518" si="375">+T2455*K2455</f>
        <v>0</v>
      </c>
      <c r="V2455" s="55">
        <f t="shared" ref="V2455:V2518" si="376">+T2455-U2455</f>
        <v>0</v>
      </c>
      <c r="W2455" s="29">
        <f t="shared" ref="W2455:W2518" si="377">+V2455*N2455</f>
        <v>0</v>
      </c>
      <c r="X2455" s="30">
        <f t="shared" ref="X2455:X2518" si="378">+V2455+W2455</f>
        <v>0</v>
      </c>
      <c r="Y2455"/>
      <c r="Z2455"/>
      <c r="AA2455"/>
    </row>
    <row r="2456" spans="1:27" s="51" customFormat="1" ht="18.600000000000001" hidden="1" customHeight="1" x14ac:dyDescent="0.25">
      <c r="A2456" s="81" t="s">
        <v>2653</v>
      </c>
      <c r="B2456" s="31" t="s">
        <v>5760</v>
      </c>
      <c r="C2456" s="32" t="s">
        <v>9339</v>
      </c>
      <c r="D2456" s="31" t="s">
        <v>6232</v>
      </c>
      <c r="E2456" s="33" t="s">
        <v>6233</v>
      </c>
      <c r="F2456" s="33" t="s">
        <v>1937</v>
      </c>
      <c r="G2456" s="33" t="s">
        <v>3586</v>
      </c>
      <c r="H2456" s="84" t="s">
        <v>6234</v>
      </c>
      <c r="I2456" s="23" t="s">
        <v>24</v>
      </c>
      <c r="J2456" s="34">
        <v>95</v>
      </c>
      <c r="K2456" s="35">
        <v>0.25</v>
      </c>
      <c r="L2456" s="36">
        <f t="shared" si="370"/>
        <v>23.75</v>
      </c>
      <c r="M2456" s="37">
        <f t="shared" si="371"/>
        <v>71.25</v>
      </c>
      <c r="N2456" s="38">
        <v>0.16</v>
      </c>
      <c r="O2456" s="39">
        <f t="shared" si="372"/>
        <v>11.4</v>
      </c>
      <c r="P2456" s="40">
        <f t="shared" si="373"/>
        <v>82.65</v>
      </c>
      <c r="Q2456" s="23"/>
      <c r="R2456" s="56"/>
      <c r="S2456" s="57"/>
      <c r="T2456" s="58">
        <f t="shared" si="374"/>
        <v>0</v>
      </c>
      <c r="U2456" s="36">
        <f t="shared" si="375"/>
        <v>0</v>
      </c>
      <c r="V2456" s="59">
        <f t="shared" si="376"/>
        <v>0</v>
      </c>
      <c r="W2456" s="39">
        <f t="shared" si="377"/>
        <v>0</v>
      </c>
      <c r="X2456" s="40">
        <f t="shared" si="378"/>
        <v>0</v>
      </c>
      <c r="Y2456"/>
      <c r="Z2456"/>
      <c r="AA2456"/>
    </row>
    <row r="2457" spans="1:27" s="51" customFormat="1" ht="18.600000000000001" hidden="1" customHeight="1" x14ac:dyDescent="0.25">
      <c r="A2457" s="82" t="s">
        <v>2653</v>
      </c>
      <c r="B2457" s="41" t="s">
        <v>5760</v>
      </c>
      <c r="C2457" s="42" t="s">
        <v>9339</v>
      </c>
      <c r="D2457" s="41" t="s">
        <v>6235</v>
      </c>
      <c r="E2457" s="43" t="s">
        <v>6236</v>
      </c>
      <c r="F2457" s="43" t="s">
        <v>1937</v>
      </c>
      <c r="G2457" s="43" t="s">
        <v>3586</v>
      </c>
      <c r="H2457" s="85" t="s">
        <v>6237</v>
      </c>
      <c r="I2457" s="23" t="s">
        <v>24</v>
      </c>
      <c r="J2457" s="44">
        <v>95</v>
      </c>
      <c r="K2457" s="45">
        <v>0.25</v>
      </c>
      <c r="L2457" s="46">
        <f t="shared" si="370"/>
        <v>23.75</v>
      </c>
      <c r="M2457" s="47">
        <f t="shared" si="371"/>
        <v>71.25</v>
      </c>
      <c r="N2457" s="48">
        <v>0.16</v>
      </c>
      <c r="O2457" s="49">
        <f t="shared" si="372"/>
        <v>11.4</v>
      </c>
      <c r="P2457" s="50">
        <f t="shared" si="373"/>
        <v>82.65</v>
      </c>
      <c r="Q2457" s="23"/>
      <c r="R2457" s="60"/>
      <c r="S2457" s="61"/>
      <c r="T2457" s="62">
        <f t="shared" si="374"/>
        <v>0</v>
      </c>
      <c r="U2457" s="46">
        <f t="shared" si="375"/>
        <v>0</v>
      </c>
      <c r="V2457" s="63">
        <f t="shared" si="376"/>
        <v>0</v>
      </c>
      <c r="W2457" s="49">
        <f t="shared" si="377"/>
        <v>0</v>
      </c>
      <c r="X2457" s="50">
        <f t="shared" si="378"/>
        <v>0</v>
      </c>
      <c r="Y2457"/>
      <c r="Z2457"/>
      <c r="AA2457"/>
    </row>
    <row r="2458" spans="1:27" s="51" customFormat="1" ht="18.600000000000001" hidden="1" customHeight="1" x14ac:dyDescent="0.25">
      <c r="A2458" s="80" t="s">
        <v>2653</v>
      </c>
      <c r="B2458" s="20" t="s">
        <v>5760</v>
      </c>
      <c r="C2458" s="21" t="s">
        <v>9339</v>
      </c>
      <c r="D2458" s="20" t="s">
        <v>6238</v>
      </c>
      <c r="E2458" s="22" t="s">
        <v>6239</v>
      </c>
      <c r="F2458" s="22" t="s">
        <v>1937</v>
      </c>
      <c r="G2458" s="22" t="s">
        <v>3586</v>
      </c>
      <c r="H2458" s="83" t="s">
        <v>6240</v>
      </c>
      <c r="I2458" s="23" t="s">
        <v>24</v>
      </c>
      <c r="J2458" s="24">
        <v>95</v>
      </c>
      <c r="K2458" s="25">
        <v>0.25</v>
      </c>
      <c r="L2458" s="26">
        <f t="shared" si="370"/>
        <v>23.75</v>
      </c>
      <c r="M2458" s="27">
        <f t="shared" si="371"/>
        <v>71.25</v>
      </c>
      <c r="N2458" s="28">
        <v>0.16</v>
      </c>
      <c r="O2458" s="29">
        <f t="shared" si="372"/>
        <v>11.4</v>
      </c>
      <c r="P2458" s="30">
        <f t="shared" si="373"/>
        <v>82.65</v>
      </c>
      <c r="Q2458" s="23"/>
      <c r="R2458" s="52"/>
      <c r="S2458" s="53"/>
      <c r="T2458" s="54">
        <f t="shared" si="374"/>
        <v>0</v>
      </c>
      <c r="U2458" s="26">
        <f t="shared" si="375"/>
        <v>0</v>
      </c>
      <c r="V2458" s="55">
        <f t="shared" si="376"/>
        <v>0</v>
      </c>
      <c r="W2458" s="29">
        <f t="shared" si="377"/>
        <v>0</v>
      </c>
      <c r="X2458" s="30">
        <f t="shared" si="378"/>
        <v>0</v>
      </c>
      <c r="Y2458"/>
      <c r="Z2458"/>
      <c r="AA2458"/>
    </row>
    <row r="2459" spans="1:27" s="51" customFormat="1" ht="18.600000000000001" hidden="1" customHeight="1" x14ac:dyDescent="0.25">
      <c r="A2459" s="81" t="s">
        <v>2653</v>
      </c>
      <c r="B2459" s="31" t="s">
        <v>5760</v>
      </c>
      <c r="C2459" s="32" t="s">
        <v>9339</v>
      </c>
      <c r="D2459" s="31" t="s">
        <v>6241</v>
      </c>
      <c r="E2459" s="33" t="s">
        <v>6242</v>
      </c>
      <c r="F2459" s="33" t="s">
        <v>1937</v>
      </c>
      <c r="G2459" s="33" t="s">
        <v>3586</v>
      </c>
      <c r="H2459" s="84" t="s">
        <v>6243</v>
      </c>
      <c r="I2459" s="23" t="s">
        <v>24</v>
      </c>
      <c r="J2459" s="34">
        <v>95</v>
      </c>
      <c r="K2459" s="35">
        <v>0.25</v>
      </c>
      <c r="L2459" s="36">
        <f t="shared" si="370"/>
        <v>23.75</v>
      </c>
      <c r="M2459" s="37">
        <f t="shared" si="371"/>
        <v>71.25</v>
      </c>
      <c r="N2459" s="38">
        <v>0.16</v>
      </c>
      <c r="O2459" s="39">
        <f t="shared" si="372"/>
        <v>11.4</v>
      </c>
      <c r="P2459" s="40">
        <f t="shared" si="373"/>
        <v>82.65</v>
      </c>
      <c r="Q2459" s="23"/>
      <c r="R2459" s="56"/>
      <c r="S2459" s="57"/>
      <c r="T2459" s="58">
        <f t="shared" si="374"/>
        <v>0</v>
      </c>
      <c r="U2459" s="36">
        <f t="shared" si="375"/>
        <v>0</v>
      </c>
      <c r="V2459" s="59">
        <f t="shared" si="376"/>
        <v>0</v>
      </c>
      <c r="W2459" s="39">
        <f t="shared" si="377"/>
        <v>0</v>
      </c>
      <c r="X2459" s="40">
        <f t="shared" si="378"/>
        <v>0</v>
      </c>
      <c r="Y2459"/>
      <c r="Z2459"/>
      <c r="AA2459"/>
    </row>
    <row r="2460" spans="1:27" s="51" customFormat="1" ht="18.600000000000001" hidden="1" customHeight="1" x14ac:dyDescent="0.25">
      <c r="A2460" s="82" t="s">
        <v>2653</v>
      </c>
      <c r="B2460" s="41" t="s">
        <v>5760</v>
      </c>
      <c r="C2460" s="42" t="s">
        <v>9339</v>
      </c>
      <c r="D2460" s="41" t="s">
        <v>6244</v>
      </c>
      <c r="E2460" s="43" t="s">
        <v>6245</v>
      </c>
      <c r="F2460" s="43" t="s">
        <v>1937</v>
      </c>
      <c r="G2460" s="43" t="s">
        <v>3586</v>
      </c>
      <c r="H2460" s="85" t="s">
        <v>6246</v>
      </c>
      <c r="I2460" s="23" t="s">
        <v>24</v>
      </c>
      <c r="J2460" s="44">
        <v>95</v>
      </c>
      <c r="K2460" s="45">
        <v>0.25</v>
      </c>
      <c r="L2460" s="46">
        <f t="shared" si="370"/>
        <v>23.75</v>
      </c>
      <c r="M2460" s="47">
        <f t="shared" si="371"/>
        <v>71.25</v>
      </c>
      <c r="N2460" s="48">
        <v>0.16</v>
      </c>
      <c r="O2460" s="49">
        <f t="shared" si="372"/>
        <v>11.4</v>
      </c>
      <c r="P2460" s="50">
        <f t="shared" si="373"/>
        <v>82.65</v>
      </c>
      <c r="Q2460" s="23"/>
      <c r="R2460" s="60"/>
      <c r="S2460" s="61"/>
      <c r="T2460" s="62">
        <f t="shared" si="374"/>
        <v>0</v>
      </c>
      <c r="U2460" s="46">
        <f t="shared" si="375"/>
        <v>0</v>
      </c>
      <c r="V2460" s="63">
        <f t="shared" si="376"/>
        <v>0</v>
      </c>
      <c r="W2460" s="49">
        <f t="shared" si="377"/>
        <v>0</v>
      </c>
      <c r="X2460" s="50">
        <f t="shared" si="378"/>
        <v>0</v>
      </c>
      <c r="Y2460"/>
      <c r="Z2460"/>
      <c r="AA2460"/>
    </row>
    <row r="2461" spans="1:27" s="51" customFormat="1" ht="18.600000000000001" hidden="1" customHeight="1" x14ac:dyDescent="0.25">
      <c r="A2461" s="80" t="s">
        <v>2653</v>
      </c>
      <c r="B2461" s="20" t="s">
        <v>5760</v>
      </c>
      <c r="C2461" s="21" t="s">
        <v>9339</v>
      </c>
      <c r="D2461" s="20" t="s">
        <v>6247</v>
      </c>
      <c r="E2461" s="22" t="s">
        <v>6248</v>
      </c>
      <c r="F2461" s="22" t="s">
        <v>1937</v>
      </c>
      <c r="G2461" s="22" t="s">
        <v>3586</v>
      </c>
      <c r="H2461" s="83" t="s">
        <v>6249</v>
      </c>
      <c r="I2461" s="23" t="s">
        <v>24</v>
      </c>
      <c r="J2461" s="24">
        <v>95</v>
      </c>
      <c r="K2461" s="25">
        <v>0.25</v>
      </c>
      <c r="L2461" s="26">
        <f t="shared" si="370"/>
        <v>23.75</v>
      </c>
      <c r="M2461" s="27">
        <f t="shared" si="371"/>
        <v>71.25</v>
      </c>
      <c r="N2461" s="28">
        <v>0.16</v>
      </c>
      <c r="O2461" s="29">
        <f t="shared" si="372"/>
        <v>11.4</v>
      </c>
      <c r="P2461" s="30">
        <f t="shared" si="373"/>
        <v>82.65</v>
      </c>
      <c r="Q2461" s="23"/>
      <c r="R2461" s="52"/>
      <c r="S2461" s="53"/>
      <c r="T2461" s="54">
        <f t="shared" si="374"/>
        <v>0</v>
      </c>
      <c r="U2461" s="26">
        <f t="shared" si="375"/>
        <v>0</v>
      </c>
      <c r="V2461" s="55">
        <f t="shared" si="376"/>
        <v>0</v>
      </c>
      <c r="W2461" s="29">
        <f t="shared" si="377"/>
        <v>0</v>
      </c>
      <c r="X2461" s="30">
        <f t="shared" si="378"/>
        <v>0</v>
      </c>
      <c r="Y2461"/>
      <c r="Z2461"/>
      <c r="AA2461"/>
    </row>
    <row r="2462" spans="1:27" s="51" customFormat="1" ht="18.600000000000001" hidden="1" customHeight="1" x14ac:dyDescent="0.25">
      <c r="A2462" s="81" t="s">
        <v>2653</v>
      </c>
      <c r="B2462" s="31" t="s">
        <v>5760</v>
      </c>
      <c r="C2462" s="32" t="s">
        <v>9339</v>
      </c>
      <c r="D2462" s="31" t="s">
        <v>6250</v>
      </c>
      <c r="E2462" s="33" t="s">
        <v>6251</v>
      </c>
      <c r="F2462" s="33" t="s">
        <v>1937</v>
      </c>
      <c r="G2462" s="33" t="s">
        <v>3586</v>
      </c>
      <c r="H2462" s="84" t="s">
        <v>6252</v>
      </c>
      <c r="I2462" s="23" t="s">
        <v>24</v>
      </c>
      <c r="J2462" s="34">
        <v>95</v>
      </c>
      <c r="K2462" s="35">
        <v>0.25</v>
      </c>
      <c r="L2462" s="36">
        <f t="shared" si="370"/>
        <v>23.75</v>
      </c>
      <c r="M2462" s="37">
        <f t="shared" si="371"/>
        <v>71.25</v>
      </c>
      <c r="N2462" s="38">
        <v>0.16</v>
      </c>
      <c r="O2462" s="39">
        <f t="shared" si="372"/>
        <v>11.4</v>
      </c>
      <c r="P2462" s="40">
        <f t="shared" si="373"/>
        <v>82.65</v>
      </c>
      <c r="Q2462" s="23"/>
      <c r="R2462" s="56"/>
      <c r="S2462" s="57"/>
      <c r="T2462" s="58">
        <f t="shared" si="374"/>
        <v>0</v>
      </c>
      <c r="U2462" s="36">
        <f t="shared" si="375"/>
        <v>0</v>
      </c>
      <c r="V2462" s="59">
        <f t="shared" si="376"/>
        <v>0</v>
      </c>
      <c r="W2462" s="39">
        <f t="shared" si="377"/>
        <v>0</v>
      </c>
      <c r="X2462" s="40">
        <f t="shared" si="378"/>
        <v>0</v>
      </c>
      <c r="Y2462"/>
      <c r="Z2462"/>
      <c r="AA2462"/>
    </row>
    <row r="2463" spans="1:27" s="51" customFormat="1" ht="18.600000000000001" hidden="1" customHeight="1" x14ac:dyDescent="0.25">
      <c r="A2463" s="82" t="s">
        <v>2653</v>
      </c>
      <c r="B2463" s="41" t="s">
        <v>5760</v>
      </c>
      <c r="C2463" s="42" t="s">
        <v>9339</v>
      </c>
      <c r="D2463" s="41" t="s">
        <v>6253</v>
      </c>
      <c r="E2463" s="43" t="s">
        <v>6254</v>
      </c>
      <c r="F2463" s="43" t="s">
        <v>1937</v>
      </c>
      <c r="G2463" s="43" t="s">
        <v>3586</v>
      </c>
      <c r="H2463" s="85" t="s">
        <v>6255</v>
      </c>
      <c r="I2463" s="23" t="s">
        <v>24</v>
      </c>
      <c r="J2463" s="44">
        <v>95</v>
      </c>
      <c r="K2463" s="45">
        <v>0.25</v>
      </c>
      <c r="L2463" s="46">
        <f t="shared" si="370"/>
        <v>23.75</v>
      </c>
      <c r="M2463" s="47">
        <f t="shared" si="371"/>
        <v>71.25</v>
      </c>
      <c r="N2463" s="48">
        <v>0.16</v>
      </c>
      <c r="O2463" s="49">
        <f t="shared" si="372"/>
        <v>11.4</v>
      </c>
      <c r="P2463" s="50">
        <f t="shared" si="373"/>
        <v>82.65</v>
      </c>
      <c r="Q2463" s="23"/>
      <c r="R2463" s="60"/>
      <c r="S2463" s="61"/>
      <c r="T2463" s="62">
        <f t="shared" si="374"/>
        <v>0</v>
      </c>
      <c r="U2463" s="46">
        <f t="shared" si="375"/>
        <v>0</v>
      </c>
      <c r="V2463" s="63">
        <f t="shared" si="376"/>
        <v>0</v>
      </c>
      <c r="W2463" s="49">
        <f t="shared" si="377"/>
        <v>0</v>
      </c>
      <c r="X2463" s="50">
        <f t="shared" si="378"/>
        <v>0</v>
      </c>
      <c r="Y2463"/>
      <c r="Z2463"/>
      <c r="AA2463"/>
    </row>
    <row r="2464" spans="1:27" s="51" customFormat="1" ht="18.600000000000001" hidden="1" customHeight="1" x14ac:dyDescent="0.25">
      <c r="A2464" s="80" t="s">
        <v>2653</v>
      </c>
      <c r="B2464" s="20" t="s">
        <v>5760</v>
      </c>
      <c r="C2464" s="21" t="s">
        <v>9339</v>
      </c>
      <c r="D2464" s="20" t="s">
        <v>6256</v>
      </c>
      <c r="E2464" s="22" t="s">
        <v>6257</v>
      </c>
      <c r="F2464" s="22" t="s">
        <v>1937</v>
      </c>
      <c r="G2464" s="22" t="s">
        <v>3586</v>
      </c>
      <c r="H2464" s="83" t="s">
        <v>6258</v>
      </c>
      <c r="I2464" s="23" t="s">
        <v>24</v>
      </c>
      <c r="J2464" s="24">
        <v>95</v>
      </c>
      <c r="K2464" s="25">
        <v>0.25</v>
      </c>
      <c r="L2464" s="26">
        <f t="shared" si="370"/>
        <v>23.75</v>
      </c>
      <c r="M2464" s="27">
        <f t="shared" si="371"/>
        <v>71.25</v>
      </c>
      <c r="N2464" s="28">
        <v>0.16</v>
      </c>
      <c r="O2464" s="29">
        <f t="shared" si="372"/>
        <v>11.4</v>
      </c>
      <c r="P2464" s="30">
        <f t="shared" si="373"/>
        <v>82.65</v>
      </c>
      <c r="Q2464" s="23"/>
      <c r="R2464" s="52"/>
      <c r="S2464" s="53"/>
      <c r="T2464" s="54">
        <f t="shared" si="374"/>
        <v>0</v>
      </c>
      <c r="U2464" s="26">
        <f t="shared" si="375"/>
        <v>0</v>
      </c>
      <c r="V2464" s="55">
        <f t="shared" si="376"/>
        <v>0</v>
      </c>
      <c r="W2464" s="29">
        <f t="shared" si="377"/>
        <v>0</v>
      </c>
      <c r="X2464" s="30">
        <f t="shared" si="378"/>
        <v>0</v>
      </c>
      <c r="Y2464"/>
      <c r="Z2464"/>
      <c r="AA2464"/>
    </row>
    <row r="2465" spans="1:27" s="51" customFormat="1" ht="18.600000000000001" hidden="1" customHeight="1" x14ac:dyDescent="0.25">
      <c r="A2465" s="81" t="s">
        <v>2653</v>
      </c>
      <c r="B2465" s="31" t="s">
        <v>5760</v>
      </c>
      <c r="C2465" s="32" t="s">
        <v>9339</v>
      </c>
      <c r="D2465" s="31" t="s">
        <v>6259</v>
      </c>
      <c r="E2465" s="33" t="s">
        <v>6260</v>
      </c>
      <c r="F2465" s="33" t="s">
        <v>1937</v>
      </c>
      <c r="G2465" s="33" t="s">
        <v>3586</v>
      </c>
      <c r="H2465" s="84" t="s">
        <v>6261</v>
      </c>
      <c r="I2465" s="23" t="s">
        <v>24</v>
      </c>
      <c r="J2465" s="34">
        <v>95</v>
      </c>
      <c r="K2465" s="35">
        <v>0.25</v>
      </c>
      <c r="L2465" s="36">
        <f t="shared" si="370"/>
        <v>23.75</v>
      </c>
      <c r="M2465" s="37">
        <f t="shared" si="371"/>
        <v>71.25</v>
      </c>
      <c r="N2465" s="38">
        <v>0.16</v>
      </c>
      <c r="O2465" s="39">
        <f t="shared" si="372"/>
        <v>11.4</v>
      </c>
      <c r="P2465" s="40">
        <f t="shared" si="373"/>
        <v>82.65</v>
      </c>
      <c r="Q2465" s="23"/>
      <c r="R2465" s="56"/>
      <c r="S2465" s="57"/>
      <c r="T2465" s="58">
        <f t="shared" si="374"/>
        <v>0</v>
      </c>
      <c r="U2465" s="36">
        <f t="shared" si="375"/>
        <v>0</v>
      </c>
      <c r="V2465" s="59">
        <f t="shared" si="376"/>
        <v>0</v>
      </c>
      <c r="W2465" s="39">
        <f t="shared" si="377"/>
        <v>0</v>
      </c>
      <c r="X2465" s="40">
        <f t="shared" si="378"/>
        <v>0</v>
      </c>
      <c r="Y2465"/>
      <c r="Z2465"/>
      <c r="AA2465"/>
    </row>
    <row r="2466" spans="1:27" s="51" customFormat="1" ht="18.600000000000001" hidden="1" customHeight="1" x14ac:dyDescent="0.25">
      <c r="A2466" s="82" t="s">
        <v>2653</v>
      </c>
      <c r="B2466" s="41" t="s">
        <v>5760</v>
      </c>
      <c r="C2466" s="42" t="s">
        <v>9339</v>
      </c>
      <c r="D2466" s="41" t="s">
        <v>6262</v>
      </c>
      <c r="E2466" s="43" t="s">
        <v>6263</v>
      </c>
      <c r="F2466" s="43" t="s">
        <v>1937</v>
      </c>
      <c r="G2466" s="43" t="s">
        <v>3586</v>
      </c>
      <c r="H2466" s="85" t="s">
        <v>6264</v>
      </c>
      <c r="I2466" s="23" t="s">
        <v>24</v>
      </c>
      <c r="J2466" s="44">
        <v>95</v>
      </c>
      <c r="K2466" s="45">
        <v>0.25</v>
      </c>
      <c r="L2466" s="46">
        <f t="shared" si="370"/>
        <v>23.75</v>
      </c>
      <c r="M2466" s="47">
        <f t="shared" si="371"/>
        <v>71.25</v>
      </c>
      <c r="N2466" s="48">
        <v>0.16</v>
      </c>
      <c r="O2466" s="49">
        <f t="shared" si="372"/>
        <v>11.4</v>
      </c>
      <c r="P2466" s="50">
        <f t="shared" si="373"/>
        <v>82.65</v>
      </c>
      <c r="Q2466" s="23"/>
      <c r="R2466" s="60"/>
      <c r="S2466" s="61"/>
      <c r="T2466" s="62">
        <f t="shared" si="374"/>
        <v>0</v>
      </c>
      <c r="U2466" s="46">
        <f t="shared" si="375"/>
        <v>0</v>
      </c>
      <c r="V2466" s="63">
        <f t="shared" si="376"/>
        <v>0</v>
      </c>
      <c r="W2466" s="49">
        <f t="shared" si="377"/>
        <v>0</v>
      </c>
      <c r="X2466" s="50">
        <f t="shared" si="378"/>
        <v>0</v>
      </c>
      <c r="Y2466"/>
      <c r="Z2466"/>
      <c r="AA2466"/>
    </row>
    <row r="2467" spans="1:27" s="51" customFormat="1" ht="18.600000000000001" hidden="1" customHeight="1" x14ac:dyDescent="0.25">
      <c r="A2467" s="80" t="s">
        <v>2653</v>
      </c>
      <c r="B2467" s="20" t="s">
        <v>5760</v>
      </c>
      <c r="C2467" s="21" t="s">
        <v>9339</v>
      </c>
      <c r="D2467" s="20" t="s">
        <v>6265</v>
      </c>
      <c r="E2467" s="22" t="s">
        <v>6266</v>
      </c>
      <c r="F2467" s="22" t="s">
        <v>1937</v>
      </c>
      <c r="G2467" s="22" t="s">
        <v>3586</v>
      </c>
      <c r="H2467" s="83" t="s">
        <v>6267</v>
      </c>
      <c r="I2467" s="23" t="s">
        <v>24</v>
      </c>
      <c r="J2467" s="24">
        <v>95</v>
      </c>
      <c r="K2467" s="25">
        <v>0.25</v>
      </c>
      <c r="L2467" s="26">
        <f t="shared" si="370"/>
        <v>23.75</v>
      </c>
      <c r="M2467" s="27">
        <f t="shared" si="371"/>
        <v>71.25</v>
      </c>
      <c r="N2467" s="28">
        <v>0.16</v>
      </c>
      <c r="O2467" s="29">
        <f t="shared" si="372"/>
        <v>11.4</v>
      </c>
      <c r="P2467" s="30">
        <f t="shared" si="373"/>
        <v>82.65</v>
      </c>
      <c r="Q2467" s="23"/>
      <c r="R2467" s="52"/>
      <c r="S2467" s="53"/>
      <c r="T2467" s="54">
        <f t="shared" si="374"/>
        <v>0</v>
      </c>
      <c r="U2467" s="26">
        <f t="shared" si="375"/>
        <v>0</v>
      </c>
      <c r="V2467" s="55">
        <f t="shared" si="376"/>
        <v>0</v>
      </c>
      <c r="W2467" s="29">
        <f t="shared" si="377"/>
        <v>0</v>
      </c>
      <c r="X2467" s="30">
        <f t="shared" si="378"/>
        <v>0</v>
      </c>
      <c r="Y2467"/>
      <c r="Z2467"/>
      <c r="AA2467"/>
    </row>
    <row r="2468" spans="1:27" s="51" customFormat="1" ht="18.600000000000001" hidden="1" customHeight="1" x14ac:dyDescent="0.25">
      <c r="A2468" s="81" t="s">
        <v>2653</v>
      </c>
      <c r="B2468" s="31" t="s">
        <v>5760</v>
      </c>
      <c r="C2468" s="32" t="s">
        <v>9339</v>
      </c>
      <c r="D2468" s="31" t="s">
        <v>6268</v>
      </c>
      <c r="E2468" s="33" t="s">
        <v>6269</v>
      </c>
      <c r="F2468" s="33" t="s">
        <v>1937</v>
      </c>
      <c r="G2468" s="33" t="s">
        <v>3586</v>
      </c>
      <c r="H2468" s="84" t="s">
        <v>6270</v>
      </c>
      <c r="I2468" s="23" t="s">
        <v>24</v>
      </c>
      <c r="J2468" s="34">
        <v>95</v>
      </c>
      <c r="K2468" s="35">
        <v>0.25</v>
      </c>
      <c r="L2468" s="36">
        <f t="shared" si="370"/>
        <v>23.75</v>
      </c>
      <c r="M2468" s="37">
        <f t="shared" si="371"/>
        <v>71.25</v>
      </c>
      <c r="N2468" s="38">
        <v>0.16</v>
      </c>
      <c r="O2468" s="39">
        <f t="shared" si="372"/>
        <v>11.4</v>
      </c>
      <c r="P2468" s="40">
        <f t="shared" si="373"/>
        <v>82.65</v>
      </c>
      <c r="Q2468" s="23"/>
      <c r="R2468" s="56"/>
      <c r="S2468" s="57"/>
      <c r="T2468" s="58">
        <f t="shared" si="374"/>
        <v>0</v>
      </c>
      <c r="U2468" s="36">
        <f t="shared" si="375"/>
        <v>0</v>
      </c>
      <c r="V2468" s="59">
        <f t="shared" si="376"/>
        <v>0</v>
      </c>
      <c r="W2468" s="39">
        <f t="shared" si="377"/>
        <v>0</v>
      </c>
      <c r="X2468" s="40">
        <f t="shared" si="378"/>
        <v>0</v>
      </c>
      <c r="Y2468"/>
      <c r="Z2468"/>
      <c r="AA2468"/>
    </row>
    <row r="2469" spans="1:27" s="51" customFormat="1" ht="18.600000000000001" hidden="1" customHeight="1" x14ac:dyDescent="0.25">
      <c r="A2469" s="82" t="s">
        <v>2653</v>
      </c>
      <c r="B2469" s="41" t="s">
        <v>5760</v>
      </c>
      <c r="C2469" s="42" t="s">
        <v>9339</v>
      </c>
      <c r="D2469" s="41" t="s">
        <v>6271</v>
      </c>
      <c r="E2469" s="43" t="s">
        <v>6272</v>
      </c>
      <c r="F2469" s="43" t="s">
        <v>1937</v>
      </c>
      <c r="G2469" s="43" t="s">
        <v>3586</v>
      </c>
      <c r="H2469" s="85" t="s">
        <v>6273</v>
      </c>
      <c r="I2469" s="23" t="s">
        <v>24</v>
      </c>
      <c r="J2469" s="44">
        <v>95</v>
      </c>
      <c r="K2469" s="45">
        <v>0.25</v>
      </c>
      <c r="L2469" s="46">
        <f t="shared" si="370"/>
        <v>23.75</v>
      </c>
      <c r="M2469" s="47">
        <f t="shared" si="371"/>
        <v>71.25</v>
      </c>
      <c r="N2469" s="48">
        <v>0.16</v>
      </c>
      <c r="O2469" s="49">
        <f t="shared" si="372"/>
        <v>11.4</v>
      </c>
      <c r="P2469" s="50">
        <f t="shared" si="373"/>
        <v>82.65</v>
      </c>
      <c r="Q2469" s="23"/>
      <c r="R2469" s="60"/>
      <c r="S2469" s="61"/>
      <c r="T2469" s="62">
        <f t="shared" si="374"/>
        <v>0</v>
      </c>
      <c r="U2469" s="46">
        <f t="shared" si="375"/>
        <v>0</v>
      </c>
      <c r="V2469" s="63">
        <f t="shared" si="376"/>
        <v>0</v>
      </c>
      <c r="W2469" s="49">
        <f t="shared" si="377"/>
        <v>0</v>
      </c>
      <c r="X2469" s="50">
        <f t="shared" si="378"/>
        <v>0</v>
      </c>
      <c r="Y2469"/>
      <c r="Z2469"/>
      <c r="AA2469"/>
    </row>
    <row r="2470" spans="1:27" s="51" customFormat="1" ht="18.600000000000001" hidden="1" customHeight="1" x14ac:dyDescent="0.25">
      <c r="A2470" s="80" t="s">
        <v>2653</v>
      </c>
      <c r="B2470" s="20" t="s">
        <v>5760</v>
      </c>
      <c r="C2470" s="21" t="s">
        <v>9339</v>
      </c>
      <c r="D2470" s="20" t="s">
        <v>6274</v>
      </c>
      <c r="E2470" s="22" t="s">
        <v>6275</v>
      </c>
      <c r="F2470" s="22" t="s">
        <v>1937</v>
      </c>
      <c r="G2470" s="22" t="s">
        <v>3586</v>
      </c>
      <c r="H2470" s="83" t="s">
        <v>6276</v>
      </c>
      <c r="I2470" s="23" t="s">
        <v>24</v>
      </c>
      <c r="J2470" s="24">
        <v>95</v>
      </c>
      <c r="K2470" s="25">
        <v>0.25</v>
      </c>
      <c r="L2470" s="26">
        <f t="shared" si="370"/>
        <v>23.75</v>
      </c>
      <c r="M2470" s="27">
        <f t="shared" si="371"/>
        <v>71.25</v>
      </c>
      <c r="N2470" s="28">
        <v>0.16</v>
      </c>
      <c r="O2470" s="29">
        <f t="shared" si="372"/>
        <v>11.4</v>
      </c>
      <c r="P2470" s="30">
        <f t="shared" si="373"/>
        <v>82.65</v>
      </c>
      <c r="Q2470" s="23"/>
      <c r="R2470" s="52"/>
      <c r="S2470" s="53"/>
      <c r="T2470" s="54">
        <f t="shared" si="374"/>
        <v>0</v>
      </c>
      <c r="U2470" s="26">
        <f t="shared" si="375"/>
        <v>0</v>
      </c>
      <c r="V2470" s="55">
        <f t="shared" si="376"/>
        <v>0</v>
      </c>
      <c r="W2470" s="29">
        <f t="shared" si="377"/>
        <v>0</v>
      </c>
      <c r="X2470" s="30">
        <f t="shared" si="378"/>
        <v>0</v>
      </c>
      <c r="Y2470"/>
      <c r="Z2470"/>
      <c r="AA2470"/>
    </row>
    <row r="2471" spans="1:27" s="51" customFormat="1" ht="18.600000000000001" hidden="1" customHeight="1" x14ac:dyDescent="0.25">
      <c r="A2471" s="81" t="s">
        <v>2653</v>
      </c>
      <c r="B2471" s="31" t="s">
        <v>5760</v>
      </c>
      <c r="C2471" s="32" t="s">
        <v>9339</v>
      </c>
      <c r="D2471" s="31" t="s">
        <v>6277</v>
      </c>
      <c r="E2471" s="33" t="s">
        <v>6278</v>
      </c>
      <c r="F2471" s="33" t="s">
        <v>1937</v>
      </c>
      <c r="G2471" s="33" t="s">
        <v>3586</v>
      </c>
      <c r="H2471" s="84" t="s">
        <v>6279</v>
      </c>
      <c r="I2471" s="23" t="s">
        <v>24</v>
      </c>
      <c r="J2471" s="34">
        <v>95</v>
      </c>
      <c r="K2471" s="35">
        <v>0.25</v>
      </c>
      <c r="L2471" s="36">
        <f t="shared" si="370"/>
        <v>23.75</v>
      </c>
      <c r="M2471" s="37">
        <f t="shared" si="371"/>
        <v>71.25</v>
      </c>
      <c r="N2471" s="38">
        <v>0.16</v>
      </c>
      <c r="O2471" s="39">
        <f t="shared" si="372"/>
        <v>11.4</v>
      </c>
      <c r="P2471" s="40">
        <f t="shared" si="373"/>
        <v>82.65</v>
      </c>
      <c r="Q2471" s="23"/>
      <c r="R2471" s="56"/>
      <c r="S2471" s="57"/>
      <c r="T2471" s="58">
        <f t="shared" si="374"/>
        <v>0</v>
      </c>
      <c r="U2471" s="36">
        <f t="shared" si="375"/>
        <v>0</v>
      </c>
      <c r="V2471" s="59">
        <f t="shared" si="376"/>
        <v>0</v>
      </c>
      <c r="W2471" s="39">
        <f t="shared" si="377"/>
        <v>0</v>
      </c>
      <c r="X2471" s="40">
        <f t="shared" si="378"/>
        <v>0</v>
      </c>
      <c r="Y2471"/>
      <c r="Z2471"/>
      <c r="AA2471"/>
    </row>
    <row r="2472" spans="1:27" s="51" customFormat="1" ht="18.600000000000001" hidden="1" customHeight="1" x14ac:dyDescent="0.25">
      <c r="A2472" s="82" t="s">
        <v>2653</v>
      </c>
      <c r="B2472" s="41" t="s">
        <v>5760</v>
      </c>
      <c r="C2472" s="42" t="s">
        <v>9339</v>
      </c>
      <c r="D2472" s="41" t="s">
        <v>6280</v>
      </c>
      <c r="E2472" s="43" t="s">
        <v>6281</v>
      </c>
      <c r="F2472" s="43" t="s">
        <v>1937</v>
      </c>
      <c r="G2472" s="43" t="s">
        <v>3586</v>
      </c>
      <c r="H2472" s="85" t="s">
        <v>6282</v>
      </c>
      <c r="I2472" s="23" t="s">
        <v>24</v>
      </c>
      <c r="J2472" s="44">
        <v>95</v>
      </c>
      <c r="K2472" s="45">
        <v>0.25</v>
      </c>
      <c r="L2472" s="46">
        <f t="shared" si="370"/>
        <v>23.75</v>
      </c>
      <c r="M2472" s="47">
        <f t="shared" si="371"/>
        <v>71.25</v>
      </c>
      <c r="N2472" s="48">
        <v>0.16</v>
      </c>
      <c r="O2472" s="49">
        <f t="shared" si="372"/>
        <v>11.4</v>
      </c>
      <c r="P2472" s="50">
        <f t="shared" si="373"/>
        <v>82.65</v>
      </c>
      <c r="Q2472" s="23"/>
      <c r="R2472" s="60"/>
      <c r="S2472" s="61"/>
      <c r="T2472" s="62">
        <f t="shared" si="374"/>
        <v>0</v>
      </c>
      <c r="U2472" s="46">
        <f t="shared" si="375"/>
        <v>0</v>
      </c>
      <c r="V2472" s="63">
        <f t="shared" si="376"/>
        <v>0</v>
      </c>
      <c r="W2472" s="49">
        <f t="shared" si="377"/>
        <v>0</v>
      </c>
      <c r="X2472" s="50">
        <f t="shared" si="378"/>
        <v>0</v>
      </c>
      <c r="Y2472"/>
      <c r="Z2472"/>
      <c r="AA2472"/>
    </row>
    <row r="2473" spans="1:27" s="51" customFormat="1" ht="18.600000000000001" hidden="1" customHeight="1" x14ac:dyDescent="0.25">
      <c r="A2473" s="80" t="s">
        <v>2653</v>
      </c>
      <c r="B2473" s="20" t="s">
        <v>5760</v>
      </c>
      <c r="C2473" s="21" t="s">
        <v>9339</v>
      </c>
      <c r="D2473" s="20" t="s">
        <v>6283</v>
      </c>
      <c r="E2473" s="22" t="s">
        <v>6284</v>
      </c>
      <c r="F2473" s="22" t="s">
        <v>1937</v>
      </c>
      <c r="G2473" s="22" t="s">
        <v>3586</v>
      </c>
      <c r="H2473" s="83" t="s">
        <v>6285</v>
      </c>
      <c r="I2473" s="23" t="s">
        <v>24</v>
      </c>
      <c r="J2473" s="24">
        <v>95</v>
      </c>
      <c r="K2473" s="25">
        <v>0.25</v>
      </c>
      <c r="L2473" s="26">
        <f t="shared" si="370"/>
        <v>23.75</v>
      </c>
      <c r="M2473" s="27">
        <f t="shared" si="371"/>
        <v>71.25</v>
      </c>
      <c r="N2473" s="28">
        <v>0.16</v>
      </c>
      <c r="O2473" s="29">
        <f t="shared" si="372"/>
        <v>11.4</v>
      </c>
      <c r="P2473" s="30">
        <f t="shared" si="373"/>
        <v>82.65</v>
      </c>
      <c r="Q2473" s="23"/>
      <c r="R2473" s="52"/>
      <c r="S2473" s="53"/>
      <c r="T2473" s="54">
        <f t="shared" si="374"/>
        <v>0</v>
      </c>
      <c r="U2473" s="26">
        <f t="shared" si="375"/>
        <v>0</v>
      </c>
      <c r="V2473" s="55">
        <f t="shared" si="376"/>
        <v>0</v>
      </c>
      <c r="W2473" s="29">
        <f t="shared" si="377"/>
        <v>0</v>
      </c>
      <c r="X2473" s="30">
        <f t="shared" si="378"/>
        <v>0</v>
      </c>
      <c r="Y2473"/>
      <c r="Z2473"/>
      <c r="AA2473"/>
    </row>
    <row r="2474" spans="1:27" s="51" customFormat="1" ht="18.600000000000001" hidden="1" customHeight="1" x14ac:dyDescent="0.25">
      <c r="A2474" s="81" t="s">
        <v>2653</v>
      </c>
      <c r="B2474" s="31" t="s">
        <v>5760</v>
      </c>
      <c r="C2474" s="32" t="s">
        <v>9339</v>
      </c>
      <c r="D2474" s="31" t="s">
        <v>6286</v>
      </c>
      <c r="E2474" s="33" t="s">
        <v>6287</v>
      </c>
      <c r="F2474" s="33" t="s">
        <v>1937</v>
      </c>
      <c r="G2474" s="33" t="s">
        <v>3586</v>
      </c>
      <c r="H2474" s="84" t="s">
        <v>6288</v>
      </c>
      <c r="I2474" s="23" t="s">
        <v>24</v>
      </c>
      <c r="J2474" s="34">
        <v>95</v>
      </c>
      <c r="K2474" s="35">
        <v>0.25</v>
      </c>
      <c r="L2474" s="36">
        <f t="shared" si="370"/>
        <v>23.75</v>
      </c>
      <c r="M2474" s="37">
        <f t="shared" si="371"/>
        <v>71.25</v>
      </c>
      <c r="N2474" s="38">
        <v>0.16</v>
      </c>
      <c r="O2474" s="39">
        <f t="shared" si="372"/>
        <v>11.4</v>
      </c>
      <c r="P2474" s="40">
        <f t="shared" si="373"/>
        <v>82.65</v>
      </c>
      <c r="Q2474" s="23"/>
      <c r="R2474" s="56"/>
      <c r="S2474" s="57"/>
      <c r="T2474" s="58">
        <f t="shared" si="374"/>
        <v>0</v>
      </c>
      <c r="U2474" s="36">
        <f t="shared" si="375"/>
        <v>0</v>
      </c>
      <c r="V2474" s="59">
        <f t="shared" si="376"/>
        <v>0</v>
      </c>
      <c r="W2474" s="39">
        <f t="shared" si="377"/>
        <v>0</v>
      </c>
      <c r="X2474" s="40">
        <f t="shared" si="378"/>
        <v>0</v>
      </c>
      <c r="Y2474"/>
      <c r="Z2474"/>
      <c r="AA2474"/>
    </row>
    <row r="2475" spans="1:27" s="51" customFormat="1" ht="18.600000000000001" hidden="1" customHeight="1" x14ac:dyDescent="0.25">
      <c r="A2475" s="82" t="s">
        <v>2653</v>
      </c>
      <c r="B2475" s="41" t="s">
        <v>5760</v>
      </c>
      <c r="C2475" s="42" t="s">
        <v>9339</v>
      </c>
      <c r="D2475" s="41" t="s">
        <v>6289</v>
      </c>
      <c r="E2475" s="43" t="s">
        <v>6290</v>
      </c>
      <c r="F2475" s="43" t="s">
        <v>1937</v>
      </c>
      <c r="G2475" s="43" t="s">
        <v>3586</v>
      </c>
      <c r="H2475" s="85" t="s">
        <v>6291</v>
      </c>
      <c r="I2475" s="23" t="s">
        <v>24</v>
      </c>
      <c r="J2475" s="44">
        <v>95</v>
      </c>
      <c r="K2475" s="45">
        <v>0.25</v>
      </c>
      <c r="L2475" s="46">
        <f t="shared" si="370"/>
        <v>23.75</v>
      </c>
      <c r="M2475" s="47">
        <f t="shared" si="371"/>
        <v>71.25</v>
      </c>
      <c r="N2475" s="48">
        <v>0.16</v>
      </c>
      <c r="O2475" s="49">
        <f t="shared" si="372"/>
        <v>11.4</v>
      </c>
      <c r="P2475" s="50">
        <f t="shared" si="373"/>
        <v>82.65</v>
      </c>
      <c r="Q2475" s="23"/>
      <c r="R2475" s="60"/>
      <c r="S2475" s="61"/>
      <c r="T2475" s="62">
        <f t="shared" si="374"/>
        <v>0</v>
      </c>
      <c r="U2475" s="46">
        <f t="shared" si="375"/>
        <v>0</v>
      </c>
      <c r="V2475" s="63">
        <f t="shared" si="376"/>
        <v>0</v>
      </c>
      <c r="W2475" s="49">
        <f t="shared" si="377"/>
        <v>0</v>
      </c>
      <c r="X2475" s="50">
        <f t="shared" si="378"/>
        <v>0</v>
      </c>
      <c r="Y2475"/>
      <c r="Z2475"/>
      <c r="AA2475"/>
    </row>
    <row r="2476" spans="1:27" s="51" customFormat="1" ht="18.600000000000001" hidden="1" customHeight="1" x14ac:dyDescent="0.25">
      <c r="A2476" s="80" t="s">
        <v>2653</v>
      </c>
      <c r="B2476" s="20" t="s">
        <v>5760</v>
      </c>
      <c r="C2476" s="21" t="s">
        <v>9339</v>
      </c>
      <c r="D2476" s="20" t="s">
        <v>6292</v>
      </c>
      <c r="E2476" s="22" t="s">
        <v>6293</v>
      </c>
      <c r="F2476" s="22" t="s">
        <v>1937</v>
      </c>
      <c r="G2476" s="22" t="s">
        <v>3586</v>
      </c>
      <c r="H2476" s="83" t="s">
        <v>6294</v>
      </c>
      <c r="I2476" s="23" t="s">
        <v>24</v>
      </c>
      <c r="J2476" s="24">
        <v>95</v>
      </c>
      <c r="K2476" s="25">
        <v>0.25</v>
      </c>
      <c r="L2476" s="26">
        <f t="shared" si="370"/>
        <v>23.75</v>
      </c>
      <c r="M2476" s="27">
        <f t="shared" si="371"/>
        <v>71.25</v>
      </c>
      <c r="N2476" s="28">
        <v>0.16</v>
      </c>
      <c r="O2476" s="29">
        <f t="shared" si="372"/>
        <v>11.4</v>
      </c>
      <c r="P2476" s="30">
        <f t="shared" si="373"/>
        <v>82.65</v>
      </c>
      <c r="Q2476" s="23"/>
      <c r="R2476" s="52"/>
      <c r="S2476" s="53"/>
      <c r="T2476" s="54">
        <f t="shared" si="374"/>
        <v>0</v>
      </c>
      <c r="U2476" s="26">
        <f t="shared" si="375"/>
        <v>0</v>
      </c>
      <c r="V2476" s="55">
        <f t="shared" si="376"/>
        <v>0</v>
      </c>
      <c r="W2476" s="29">
        <f t="shared" si="377"/>
        <v>0</v>
      </c>
      <c r="X2476" s="30">
        <f t="shared" si="378"/>
        <v>0</v>
      </c>
      <c r="Y2476"/>
      <c r="Z2476"/>
      <c r="AA2476"/>
    </row>
    <row r="2477" spans="1:27" s="51" customFormat="1" ht="18.600000000000001" hidden="1" customHeight="1" x14ac:dyDescent="0.25">
      <c r="A2477" s="81" t="s">
        <v>2653</v>
      </c>
      <c r="B2477" s="31" t="s">
        <v>5760</v>
      </c>
      <c r="C2477" s="32" t="s">
        <v>9339</v>
      </c>
      <c r="D2477" s="31" t="s">
        <v>6295</v>
      </c>
      <c r="E2477" s="33" t="s">
        <v>6296</v>
      </c>
      <c r="F2477" s="33" t="s">
        <v>1937</v>
      </c>
      <c r="G2477" s="33" t="s">
        <v>3586</v>
      </c>
      <c r="H2477" s="84" t="s">
        <v>6297</v>
      </c>
      <c r="I2477" s="23" t="s">
        <v>24</v>
      </c>
      <c r="J2477" s="34">
        <v>95</v>
      </c>
      <c r="K2477" s="35">
        <v>0.25</v>
      </c>
      <c r="L2477" s="36">
        <f t="shared" si="370"/>
        <v>23.75</v>
      </c>
      <c r="M2477" s="37">
        <f t="shared" si="371"/>
        <v>71.25</v>
      </c>
      <c r="N2477" s="38">
        <v>0.16</v>
      </c>
      <c r="O2477" s="39">
        <f t="shared" si="372"/>
        <v>11.4</v>
      </c>
      <c r="P2477" s="40">
        <f t="shared" si="373"/>
        <v>82.65</v>
      </c>
      <c r="Q2477" s="23"/>
      <c r="R2477" s="56"/>
      <c r="S2477" s="57"/>
      <c r="T2477" s="58">
        <f t="shared" si="374"/>
        <v>0</v>
      </c>
      <c r="U2477" s="36">
        <f t="shared" si="375"/>
        <v>0</v>
      </c>
      <c r="V2477" s="59">
        <f t="shared" si="376"/>
        <v>0</v>
      </c>
      <c r="W2477" s="39">
        <f t="shared" si="377"/>
        <v>0</v>
      </c>
      <c r="X2477" s="40">
        <f t="shared" si="378"/>
        <v>0</v>
      </c>
      <c r="Y2477"/>
      <c r="Z2477"/>
      <c r="AA2477"/>
    </row>
    <row r="2478" spans="1:27" s="51" customFormat="1" ht="18.600000000000001" hidden="1" customHeight="1" x14ac:dyDescent="0.25">
      <c r="A2478" s="82" t="s">
        <v>2653</v>
      </c>
      <c r="B2478" s="41" t="s">
        <v>5760</v>
      </c>
      <c r="C2478" s="42" t="s">
        <v>9339</v>
      </c>
      <c r="D2478" s="41" t="s">
        <v>6298</v>
      </c>
      <c r="E2478" s="43" t="s">
        <v>6299</v>
      </c>
      <c r="F2478" s="43" t="s">
        <v>1937</v>
      </c>
      <c r="G2478" s="43" t="s">
        <v>3586</v>
      </c>
      <c r="H2478" s="85" t="s">
        <v>6300</v>
      </c>
      <c r="I2478" s="23" t="s">
        <v>24</v>
      </c>
      <c r="J2478" s="44">
        <v>95</v>
      </c>
      <c r="K2478" s="45">
        <v>0.25</v>
      </c>
      <c r="L2478" s="46">
        <f t="shared" si="370"/>
        <v>23.75</v>
      </c>
      <c r="M2478" s="47">
        <f t="shared" si="371"/>
        <v>71.25</v>
      </c>
      <c r="N2478" s="48">
        <v>0.16</v>
      </c>
      <c r="O2478" s="49">
        <f t="shared" si="372"/>
        <v>11.4</v>
      </c>
      <c r="P2478" s="50">
        <f t="shared" si="373"/>
        <v>82.65</v>
      </c>
      <c r="Q2478" s="23"/>
      <c r="R2478" s="60"/>
      <c r="S2478" s="61"/>
      <c r="T2478" s="62">
        <f t="shared" si="374"/>
        <v>0</v>
      </c>
      <c r="U2478" s="46">
        <f t="shared" si="375"/>
        <v>0</v>
      </c>
      <c r="V2478" s="63">
        <f t="shared" si="376"/>
        <v>0</v>
      </c>
      <c r="W2478" s="49">
        <f t="shared" si="377"/>
        <v>0</v>
      </c>
      <c r="X2478" s="50">
        <f t="shared" si="378"/>
        <v>0</v>
      </c>
      <c r="Y2478"/>
      <c r="Z2478"/>
      <c r="AA2478"/>
    </row>
    <row r="2479" spans="1:27" s="51" customFormat="1" ht="18.600000000000001" hidden="1" customHeight="1" x14ac:dyDescent="0.25">
      <c r="A2479" s="80" t="s">
        <v>2653</v>
      </c>
      <c r="B2479" s="20" t="s">
        <v>5760</v>
      </c>
      <c r="C2479" s="21" t="s">
        <v>9339</v>
      </c>
      <c r="D2479" s="20" t="s">
        <v>6301</v>
      </c>
      <c r="E2479" s="22" t="s">
        <v>6302</v>
      </c>
      <c r="F2479" s="22" t="s">
        <v>1937</v>
      </c>
      <c r="G2479" s="22" t="s">
        <v>3586</v>
      </c>
      <c r="H2479" s="83" t="s">
        <v>6303</v>
      </c>
      <c r="I2479" s="23" t="s">
        <v>24</v>
      </c>
      <c r="J2479" s="24">
        <v>95</v>
      </c>
      <c r="K2479" s="25">
        <v>0.25</v>
      </c>
      <c r="L2479" s="26">
        <f t="shared" si="370"/>
        <v>23.75</v>
      </c>
      <c r="M2479" s="27">
        <f t="shared" si="371"/>
        <v>71.25</v>
      </c>
      <c r="N2479" s="28">
        <v>0.16</v>
      </c>
      <c r="O2479" s="29">
        <f t="shared" si="372"/>
        <v>11.4</v>
      </c>
      <c r="P2479" s="30">
        <f t="shared" si="373"/>
        <v>82.65</v>
      </c>
      <c r="Q2479" s="23"/>
      <c r="R2479" s="52"/>
      <c r="S2479" s="53"/>
      <c r="T2479" s="54">
        <f t="shared" si="374"/>
        <v>0</v>
      </c>
      <c r="U2479" s="26">
        <f t="shared" si="375"/>
        <v>0</v>
      </c>
      <c r="V2479" s="55">
        <f t="shared" si="376"/>
        <v>0</v>
      </c>
      <c r="W2479" s="29">
        <f t="shared" si="377"/>
        <v>0</v>
      </c>
      <c r="X2479" s="30">
        <f t="shared" si="378"/>
        <v>0</v>
      </c>
      <c r="Y2479"/>
      <c r="Z2479"/>
      <c r="AA2479"/>
    </row>
    <row r="2480" spans="1:27" s="51" customFormat="1" ht="18.600000000000001" hidden="1" customHeight="1" x14ac:dyDescent="0.25">
      <c r="A2480" s="81" t="s">
        <v>2653</v>
      </c>
      <c r="B2480" s="31" t="s">
        <v>5760</v>
      </c>
      <c r="C2480" s="32" t="s">
        <v>9339</v>
      </c>
      <c r="D2480" s="31" t="s">
        <v>6304</v>
      </c>
      <c r="E2480" s="33" t="s">
        <v>6305</v>
      </c>
      <c r="F2480" s="33" t="s">
        <v>1937</v>
      </c>
      <c r="G2480" s="33" t="s">
        <v>3586</v>
      </c>
      <c r="H2480" s="84" t="s">
        <v>6306</v>
      </c>
      <c r="I2480" s="23" t="s">
        <v>24</v>
      </c>
      <c r="J2480" s="34">
        <v>95</v>
      </c>
      <c r="K2480" s="35">
        <v>0.25</v>
      </c>
      <c r="L2480" s="36">
        <f t="shared" si="370"/>
        <v>23.75</v>
      </c>
      <c r="M2480" s="37">
        <f t="shared" si="371"/>
        <v>71.25</v>
      </c>
      <c r="N2480" s="38">
        <v>0.16</v>
      </c>
      <c r="O2480" s="39">
        <f t="shared" si="372"/>
        <v>11.4</v>
      </c>
      <c r="P2480" s="40">
        <f t="shared" si="373"/>
        <v>82.65</v>
      </c>
      <c r="Q2480" s="23"/>
      <c r="R2480" s="56"/>
      <c r="S2480" s="57"/>
      <c r="T2480" s="58">
        <f t="shared" si="374"/>
        <v>0</v>
      </c>
      <c r="U2480" s="36">
        <f t="shared" si="375"/>
        <v>0</v>
      </c>
      <c r="V2480" s="59">
        <f t="shared" si="376"/>
        <v>0</v>
      </c>
      <c r="W2480" s="39">
        <f t="shared" si="377"/>
        <v>0</v>
      </c>
      <c r="X2480" s="40">
        <f t="shared" si="378"/>
        <v>0</v>
      </c>
      <c r="Y2480"/>
      <c r="Z2480"/>
      <c r="AA2480"/>
    </row>
    <row r="2481" spans="1:27" s="51" customFormat="1" ht="18.600000000000001" hidden="1" customHeight="1" x14ac:dyDescent="0.25">
      <c r="A2481" s="82" t="s">
        <v>2653</v>
      </c>
      <c r="B2481" s="41" t="s">
        <v>5760</v>
      </c>
      <c r="C2481" s="42" t="s">
        <v>9339</v>
      </c>
      <c r="D2481" s="41" t="s">
        <v>6307</v>
      </c>
      <c r="E2481" s="43" t="s">
        <v>6308</v>
      </c>
      <c r="F2481" s="43" t="s">
        <v>1937</v>
      </c>
      <c r="G2481" s="43" t="s">
        <v>3586</v>
      </c>
      <c r="H2481" s="85" t="s">
        <v>6309</v>
      </c>
      <c r="I2481" s="23" t="s">
        <v>24</v>
      </c>
      <c r="J2481" s="44">
        <v>95</v>
      </c>
      <c r="K2481" s="45">
        <v>0.25</v>
      </c>
      <c r="L2481" s="46">
        <f t="shared" si="370"/>
        <v>23.75</v>
      </c>
      <c r="M2481" s="47">
        <f t="shared" si="371"/>
        <v>71.25</v>
      </c>
      <c r="N2481" s="48">
        <v>0.16</v>
      </c>
      <c r="O2481" s="49">
        <f t="shared" si="372"/>
        <v>11.4</v>
      </c>
      <c r="P2481" s="50">
        <f t="shared" si="373"/>
        <v>82.65</v>
      </c>
      <c r="Q2481" s="23"/>
      <c r="R2481" s="60"/>
      <c r="S2481" s="61"/>
      <c r="T2481" s="62">
        <f t="shared" si="374"/>
        <v>0</v>
      </c>
      <c r="U2481" s="46">
        <f t="shared" si="375"/>
        <v>0</v>
      </c>
      <c r="V2481" s="63">
        <f t="shared" si="376"/>
        <v>0</v>
      </c>
      <c r="W2481" s="49">
        <f t="shared" si="377"/>
        <v>0</v>
      </c>
      <c r="X2481" s="50">
        <f t="shared" si="378"/>
        <v>0</v>
      </c>
      <c r="Y2481"/>
      <c r="Z2481"/>
      <c r="AA2481"/>
    </row>
    <row r="2482" spans="1:27" s="51" customFormat="1" ht="18.600000000000001" hidden="1" customHeight="1" x14ac:dyDescent="0.25">
      <c r="A2482" s="80" t="s">
        <v>2653</v>
      </c>
      <c r="B2482" s="20" t="s">
        <v>5760</v>
      </c>
      <c r="C2482" s="21" t="s">
        <v>9340</v>
      </c>
      <c r="D2482" s="20" t="s">
        <v>6310</v>
      </c>
      <c r="E2482" s="22" t="s">
        <v>6311</v>
      </c>
      <c r="F2482" s="22" t="s">
        <v>1937</v>
      </c>
      <c r="G2482" s="22" t="s">
        <v>6312</v>
      </c>
      <c r="H2482" s="83" t="s">
        <v>6313</v>
      </c>
      <c r="I2482" s="23" t="s">
        <v>24</v>
      </c>
      <c r="J2482" s="24">
        <v>380</v>
      </c>
      <c r="K2482" s="25">
        <v>0.25</v>
      </c>
      <c r="L2482" s="26">
        <f t="shared" si="370"/>
        <v>95</v>
      </c>
      <c r="M2482" s="27">
        <f t="shared" si="371"/>
        <v>285</v>
      </c>
      <c r="N2482" s="28">
        <v>0.16</v>
      </c>
      <c r="O2482" s="29">
        <f t="shared" si="372"/>
        <v>45.6</v>
      </c>
      <c r="P2482" s="30">
        <f t="shared" si="373"/>
        <v>330.6</v>
      </c>
      <c r="Q2482" s="23"/>
      <c r="R2482" s="52"/>
      <c r="S2482" s="53"/>
      <c r="T2482" s="54">
        <f t="shared" si="374"/>
        <v>0</v>
      </c>
      <c r="U2482" s="26">
        <f t="shared" si="375"/>
        <v>0</v>
      </c>
      <c r="V2482" s="55">
        <f t="shared" si="376"/>
        <v>0</v>
      </c>
      <c r="W2482" s="29">
        <f t="shared" si="377"/>
        <v>0</v>
      </c>
      <c r="X2482" s="30">
        <f t="shared" si="378"/>
        <v>0</v>
      </c>
      <c r="Y2482"/>
      <c r="Z2482"/>
      <c r="AA2482"/>
    </row>
    <row r="2483" spans="1:27" s="51" customFormat="1" ht="18.600000000000001" hidden="1" customHeight="1" x14ac:dyDescent="0.25">
      <c r="A2483" s="81" t="s">
        <v>2653</v>
      </c>
      <c r="B2483" s="31" t="s">
        <v>5760</v>
      </c>
      <c r="C2483" s="32" t="s">
        <v>9340</v>
      </c>
      <c r="D2483" s="31" t="s">
        <v>6314</v>
      </c>
      <c r="E2483" s="33" t="s">
        <v>6315</v>
      </c>
      <c r="F2483" s="33" t="s">
        <v>1937</v>
      </c>
      <c r="G2483" s="33" t="s">
        <v>6316</v>
      </c>
      <c r="H2483" s="84" t="s">
        <v>6317</v>
      </c>
      <c r="I2483" s="23" t="s">
        <v>24</v>
      </c>
      <c r="J2483" s="34">
        <v>760</v>
      </c>
      <c r="K2483" s="35">
        <v>0.25</v>
      </c>
      <c r="L2483" s="36">
        <f t="shared" si="370"/>
        <v>190</v>
      </c>
      <c r="M2483" s="37">
        <f t="shared" si="371"/>
        <v>570</v>
      </c>
      <c r="N2483" s="38">
        <v>0.16</v>
      </c>
      <c r="O2483" s="39">
        <f t="shared" si="372"/>
        <v>91.2</v>
      </c>
      <c r="P2483" s="40">
        <f t="shared" si="373"/>
        <v>661.2</v>
      </c>
      <c r="Q2483" s="23"/>
      <c r="R2483" s="56"/>
      <c r="S2483" s="57"/>
      <c r="T2483" s="58">
        <f t="shared" si="374"/>
        <v>0</v>
      </c>
      <c r="U2483" s="36">
        <f t="shared" si="375"/>
        <v>0</v>
      </c>
      <c r="V2483" s="59">
        <f t="shared" si="376"/>
        <v>0</v>
      </c>
      <c r="W2483" s="39">
        <f t="shared" si="377"/>
        <v>0</v>
      </c>
      <c r="X2483" s="40">
        <f t="shared" si="378"/>
        <v>0</v>
      </c>
      <c r="Y2483"/>
      <c r="Z2483"/>
      <c r="AA2483"/>
    </row>
    <row r="2484" spans="1:27" s="51" customFormat="1" ht="18.600000000000001" hidden="1" customHeight="1" x14ac:dyDescent="0.25">
      <c r="A2484" s="82" t="s">
        <v>2653</v>
      </c>
      <c r="B2484" s="41" t="s">
        <v>5760</v>
      </c>
      <c r="C2484" s="42" t="s">
        <v>9340</v>
      </c>
      <c r="D2484" s="41" t="s">
        <v>6318</v>
      </c>
      <c r="E2484" s="43" t="s">
        <v>6319</v>
      </c>
      <c r="F2484" s="43" t="s">
        <v>1937</v>
      </c>
      <c r="G2484" s="43" t="s">
        <v>6320</v>
      </c>
      <c r="H2484" s="85" t="s">
        <v>6321</v>
      </c>
      <c r="I2484" s="23" t="s">
        <v>24</v>
      </c>
      <c r="J2484" s="44">
        <v>570</v>
      </c>
      <c r="K2484" s="45">
        <v>0.25</v>
      </c>
      <c r="L2484" s="46">
        <f t="shared" si="370"/>
        <v>142.5</v>
      </c>
      <c r="M2484" s="47">
        <f t="shared" si="371"/>
        <v>427.5</v>
      </c>
      <c r="N2484" s="48">
        <v>0.16</v>
      </c>
      <c r="O2484" s="49">
        <f t="shared" si="372"/>
        <v>68.400000000000006</v>
      </c>
      <c r="P2484" s="50">
        <f t="shared" si="373"/>
        <v>495.9</v>
      </c>
      <c r="Q2484" s="23"/>
      <c r="R2484" s="60"/>
      <c r="S2484" s="61"/>
      <c r="T2484" s="62">
        <f t="shared" si="374"/>
        <v>0</v>
      </c>
      <c r="U2484" s="46">
        <f t="shared" si="375"/>
        <v>0</v>
      </c>
      <c r="V2484" s="63">
        <f t="shared" si="376"/>
        <v>0</v>
      </c>
      <c r="W2484" s="49">
        <f t="shared" si="377"/>
        <v>0</v>
      </c>
      <c r="X2484" s="50">
        <f t="shared" si="378"/>
        <v>0</v>
      </c>
      <c r="Y2484"/>
      <c r="Z2484"/>
      <c r="AA2484"/>
    </row>
    <row r="2485" spans="1:27" s="51" customFormat="1" ht="18.600000000000001" hidden="1" customHeight="1" x14ac:dyDescent="0.25">
      <c r="A2485" s="80" t="s">
        <v>2653</v>
      </c>
      <c r="B2485" s="20" t="s">
        <v>5760</v>
      </c>
      <c r="C2485" s="21" t="s">
        <v>9340</v>
      </c>
      <c r="D2485" s="20" t="s">
        <v>6322</v>
      </c>
      <c r="E2485" s="22" t="s">
        <v>6323</v>
      </c>
      <c r="F2485" s="22" t="s">
        <v>1937</v>
      </c>
      <c r="G2485" s="22" t="s">
        <v>6324</v>
      </c>
      <c r="H2485" s="83" t="s">
        <v>6325</v>
      </c>
      <c r="I2485" s="23" t="s">
        <v>24</v>
      </c>
      <c r="J2485" s="24">
        <v>285</v>
      </c>
      <c r="K2485" s="25">
        <v>0.25</v>
      </c>
      <c r="L2485" s="26">
        <f t="shared" si="370"/>
        <v>71.25</v>
      </c>
      <c r="M2485" s="27">
        <f t="shared" si="371"/>
        <v>213.75</v>
      </c>
      <c r="N2485" s="28">
        <v>0.16</v>
      </c>
      <c r="O2485" s="29">
        <f t="shared" si="372"/>
        <v>34.200000000000003</v>
      </c>
      <c r="P2485" s="30">
        <f t="shared" si="373"/>
        <v>247.95</v>
      </c>
      <c r="Q2485" s="23"/>
      <c r="R2485" s="52"/>
      <c r="S2485" s="53"/>
      <c r="T2485" s="54">
        <f t="shared" si="374"/>
        <v>0</v>
      </c>
      <c r="U2485" s="26">
        <f t="shared" si="375"/>
        <v>0</v>
      </c>
      <c r="V2485" s="55">
        <f t="shared" si="376"/>
        <v>0</v>
      </c>
      <c r="W2485" s="29">
        <f t="shared" si="377"/>
        <v>0</v>
      </c>
      <c r="X2485" s="30">
        <f t="shared" si="378"/>
        <v>0</v>
      </c>
      <c r="Y2485"/>
      <c r="Z2485"/>
      <c r="AA2485"/>
    </row>
    <row r="2486" spans="1:27" s="51" customFormat="1" ht="18.600000000000001" hidden="1" customHeight="1" x14ac:dyDescent="0.25">
      <c r="A2486" s="81" t="s">
        <v>2653</v>
      </c>
      <c r="B2486" s="31" t="s">
        <v>5760</v>
      </c>
      <c r="C2486" s="32" t="s">
        <v>9340</v>
      </c>
      <c r="D2486" s="31" t="s">
        <v>6326</v>
      </c>
      <c r="E2486" s="33" t="s">
        <v>6327</v>
      </c>
      <c r="F2486" s="33" t="s">
        <v>1937</v>
      </c>
      <c r="G2486" s="33" t="s">
        <v>6312</v>
      </c>
      <c r="H2486" s="84" t="s">
        <v>6328</v>
      </c>
      <c r="I2486" s="23" t="s">
        <v>24</v>
      </c>
      <c r="J2486" s="34">
        <v>380</v>
      </c>
      <c r="K2486" s="35">
        <v>0.25</v>
      </c>
      <c r="L2486" s="36">
        <f t="shared" si="370"/>
        <v>95</v>
      </c>
      <c r="M2486" s="37">
        <f t="shared" si="371"/>
        <v>285</v>
      </c>
      <c r="N2486" s="38">
        <v>0.16</v>
      </c>
      <c r="O2486" s="39">
        <f t="shared" si="372"/>
        <v>45.6</v>
      </c>
      <c r="P2486" s="40">
        <f t="shared" si="373"/>
        <v>330.6</v>
      </c>
      <c r="Q2486" s="23"/>
      <c r="R2486" s="56"/>
      <c r="S2486" s="57"/>
      <c r="T2486" s="58">
        <f t="shared" si="374"/>
        <v>0</v>
      </c>
      <c r="U2486" s="36">
        <f t="shared" si="375"/>
        <v>0</v>
      </c>
      <c r="V2486" s="59">
        <f t="shared" si="376"/>
        <v>0</v>
      </c>
      <c r="W2486" s="39">
        <f t="shared" si="377"/>
        <v>0</v>
      </c>
      <c r="X2486" s="40">
        <f t="shared" si="378"/>
        <v>0</v>
      </c>
      <c r="Y2486"/>
      <c r="Z2486"/>
      <c r="AA2486"/>
    </row>
    <row r="2487" spans="1:27" s="51" customFormat="1" ht="18.600000000000001" hidden="1" customHeight="1" x14ac:dyDescent="0.25">
      <c r="A2487" s="82" t="s">
        <v>2653</v>
      </c>
      <c r="B2487" s="41" t="s">
        <v>5760</v>
      </c>
      <c r="C2487" s="42" t="s">
        <v>9340</v>
      </c>
      <c r="D2487" s="41" t="s">
        <v>6329</v>
      </c>
      <c r="E2487" s="43" t="s">
        <v>6330</v>
      </c>
      <c r="F2487" s="43" t="s">
        <v>1937</v>
      </c>
      <c r="G2487" s="43" t="s">
        <v>6312</v>
      </c>
      <c r="H2487" s="85" t="s">
        <v>6331</v>
      </c>
      <c r="I2487" s="23" t="s">
        <v>24</v>
      </c>
      <c r="J2487" s="44">
        <v>380</v>
      </c>
      <c r="K2487" s="45">
        <v>0.25</v>
      </c>
      <c r="L2487" s="46">
        <f t="shared" si="370"/>
        <v>95</v>
      </c>
      <c r="M2487" s="47">
        <f t="shared" si="371"/>
        <v>285</v>
      </c>
      <c r="N2487" s="48">
        <v>0.16</v>
      </c>
      <c r="O2487" s="49">
        <f t="shared" si="372"/>
        <v>45.6</v>
      </c>
      <c r="P2487" s="50">
        <f t="shared" si="373"/>
        <v>330.6</v>
      </c>
      <c r="Q2487" s="23"/>
      <c r="R2487" s="60"/>
      <c r="S2487" s="61"/>
      <c r="T2487" s="62">
        <f t="shared" si="374"/>
        <v>0</v>
      </c>
      <c r="U2487" s="46">
        <f t="shared" si="375"/>
        <v>0</v>
      </c>
      <c r="V2487" s="63">
        <f t="shared" si="376"/>
        <v>0</v>
      </c>
      <c r="W2487" s="49">
        <f t="shared" si="377"/>
        <v>0</v>
      </c>
      <c r="X2487" s="50">
        <f t="shared" si="378"/>
        <v>0</v>
      </c>
      <c r="Y2487"/>
      <c r="Z2487"/>
      <c r="AA2487"/>
    </row>
    <row r="2488" spans="1:27" s="51" customFormat="1" ht="18.600000000000001" hidden="1" customHeight="1" x14ac:dyDescent="0.25">
      <c r="A2488" s="80" t="s">
        <v>2653</v>
      </c>
      <c r="B2488" s="20" t="s">
        <v>5760</v>
      </c>
      <c r="C2488" s="21" t="s">
        <v>9340</v>
      </c>
      <c r="D2488" s="20" t="s">
        <v>6332</v>
      </c>
      <c r="E2488" s="22" t="s">
        <v>6333</v>
      </c>
      <c r="F2488" s="22" t="s">
        <v>1937</v>
      </c>
      <c r="G2488" s="22" t="s">
        <v>6316</v>
      </c>
      <c r="H2488" s="83" t="s">
        <v>6334</v>
      </c>
      <c r="I2488" s="23" t="s">
        <v>24</v>
      </c>
      <c r="J2488" s="24">
        <v>760</v>
      </c>
      <c r="K2488" s="25">
        <v>0.25</v>
      </c>
      <c r="L2488" s="26">
        <f t="shared" si="370"/>
        <v>190</v>
      </c>
      <c r="M2488" s="27">
        <f t="shared" si="371"/>
        <v>570</v>
      </c>
      <c r="N2488" s="28">
        <v>0.16</v>
      </c>
      <c r="O2488" s="29">
        <f t="shared" si="372"/>
        <v>91.2</v>
      </c>
      <c r="P2488" s="30">
        <f t="shared" si="373"/>
        <v>661.2</v>
      </c>
      <c r="Q2488" s="23"/>
      <c r="R2488" s="52"/>
      <c r="S2488" s="53"/>
      <c r="T2488" s="54">
        <f t="shared" si="374"/>
        <v>0</v>
      </c>
      <c r="U2488" s="26">
        <f t="shared" si="375"/>
        <v>0</v>
      </c>
      <c r="V2488" s="55">
        <f t="shared" si="376"/>
        <v>0</v>
      </c>
      <c r="W2488" s="29">
        <f t="shared" si="377"/>
        <v>0</v>
      </c>
      <c r="X2488" s="30">
        <f t="shared" si="378"/>
        <v>0</v>
      </c>
      <c r="Y2488"/>
      <c r="Z2488"/>
      <c r="AA2488"/>
    </row>
    <row r="2489" spans="1:27" s="51" customFormat="1" ht="18.600000000000001" hidden="1" customHeight="1" x14ac:dyDescent="0.25">
      <c r="A2489" s="81" t="s">
        <v>2653</v>
      </c>
      <c r="B2489" s="31" t="s">
        <v>5760</v>
      </c>
      <c r="C2489" s="32" t="s">
        <v>9340</v>
      </c>
      <c r="D2489" s="31" t="s">
        <v>6335</v>
      </c>
      <c r="E2489" s="33" t="s">
        <v>6336</v>
      </c>
      <c r="F2489" s="33" t="s">
        <v>1937</v>
      </c>
      <c r="G2489" s="33" t="s">
        <v>6312</v>
      </c>
      <c r="H2489" s="84" t="s">
        <v>6337</v>
      </c>
      <c r="I2489" s="23" t="s">
        <v>24</v>
      </c>
      <c r="J2489" s="34">
        <v>380</v>
      </c>
      <c r="K2489" s="35">
        <v>0.25</v>
      </c>
      <c r="L2489" s="36">
        <f t="shared" si="370"/>
        <v>95</v>
      </c>
      <c r="M2489" s="37">
        <f t="shared" si="371"/>
        <v>285</v>
      </c>
      <c r="N2489" s="38">
        <v>0.16</v>
      </c>
      <c r="O2489" s="39">
        <f t="shared" si="372"/>
        <v>45.6</v>
      </c>
      <c r="P2489" s="40">
        <f t="shared" si="373"/>
        <v>330.6</v>
      </c>
      <c r="Q2489" s="23"/>
      <c r="R2489" s="56"/>
      <c r="S2489" s="57"/>
      <c r="T2489" s="58">
        <f t="shared" si="374"/>
        <v>0</v>
      </c>
      <c r="U2489" s="36">
        <f t="shared" si="375"/>
        <v>0</v>
      </c>
      <c r="V2489" s="59">
        <f t="shared" si="376"/>
        <v>0</v>
      </c>
      <c r="W2489" s="39">
        <f t="shared" si="377"/>
        <v>0</v>
      </c>
      <c r="X2489" s="40">
        <f t="shared" si="378"/>
        <v>0</v>
      </c>
      <c r="Y2489"/>
      <c r="Z2489"/>
      <c r="AA2489"/>
    </row>
    <row r="2490" spans="1:27" s="51" customFormat="1" ht="18.600000000000001" hidden="1" customHeight="1" x14ac:dyDescent="0.25">
      <c r="A2490" s="82" t="s">
        <v>2653</v>
      </c>
      <c r="B2490" s="41" t="s">
        <v>5760</v>
      </c>
      <c r="C2490" s="42" t="s">
        <v>9340</v>
      </c>
      <c r="D2490" s="41" t="s">
        <v>6338</v>
      </c>
      <c r="E2490" s="43" t="s">
        <v>6339</v>
      </c>
      <c r="F2490" s="43" t="s">
        <v>1937</v>
      </c>
      <c r="G2490" s="43" t="s">
        <v>6312</v>
      </c>
      <c r="H2490" s="85" t="s">
        <v>6340</v>
      </c>
      <c r="I2490" s="23" t="s">
        <v>24</v>
      </c>
      <c r="J2490" s="44">
        <v>380</v>
      </c>
      <c r="K2490" s="45">
        <v>0.25</v>
      </c>
      <c r="L2490" s="46">
        <f t="shared" si="370"/>
        <v>95</v>
      </c>
      <c r="M2490" s="47">
        <f t="shared" si="371"/>
        <v>285</v>
      </c>
      <c r="N2490" s="48">
        <v>0.16</v>
      </c>
      <c r="O2490" s="49">
        <f t="shared" si="372"/>
        <v>45.6</v>
      </c>
      <c r="P2490" s="50">
        <f t="shared" si="373"/>
        <v>330.6</v>
      </c>
      <c r="Q2490" s="23"/>
      <c r="R2490" s="60"/>
      <c r="S2490" s="61"/>
      <c r="T2490" s="62">
        <f t="shared" si="374"/>
        <v>0</v>
      </c>
      <c r="U2490" s="46">
        <f t="shared" si="375"/>
        <v>0</v>
      </c>
      <c r="V2490" s="63">
        <f t="shared" si="376"/>
        <v>0</v>
      </c>
      <c r="W2490" s="49">
        <f t="shared" si="377"/>
        <v>0</v>
      </c>
      <c r="X2490" s="50">
        <f t="shared" si="378"/>
        <v>0</v>
      </c>
      <c r="Y2490"/>
      <c r="Z2490"/>
      <c r="AA2490"/>
    </row>
    <row r="2491" spans="1:27" s="51" customFormat="1" ht="18.600000000000001" hidden="1" customHeight="1" x14ac:dyDescent="0.25">
      <c r="A2491" s="80" t="s">
        <v>2653</v>
      </c>
      <c r="B2491" s="20" t="s">
        <v>5760</v>
      </c>
      <c r="C2491" s="21" t="s">
        <v>9340</v>
      </c>
      <c r="D2491" s="20" t="s">
        <v>6341</v>
      </c>
      <c r="E2491" s="22" t="s">
        <v>6342</v>
      </c>
      <c r="F2491" s="22" t="s">
        <v>1937</v>
      </c>
      <c r="G2491" s="22" t="s">
        <v>6324</v>
      </c>
      <c r="H2491" s="83" t="s">
        <v>6343</v>
      </c>
      <c r="I2491" s="23" t="s">
        <v>24</v>
      </c>
      <c r="J2491" s="24">
        <v>285</v>
      </c>
      <c r="K2491" s="25">
        <v>0.25</v>
      </c>
      <c r="L2491" s="26">
        <f t="shared" si="370"/>
        <v>71.25</v>
      </c>
      <c r="M2491" s="27">
        <f t="shared" si="371"/>
        <v>213.75</v>
      </c>
      <c r="N2491" s="28">
        <v>0.16</v>
      </c>
      <c r="O2491" s="29">
        <f t="shared" si="372"/>
        <v>34.200000000000003</v>
      </c>
      <c r="P2491" s="30">
        <f t="shared" si="373"/>
        <v>247.95</v>
      </c>
      <c r="Q2491" s="23"/>
      <c r="R2491" s="52"/>
      <c r="S2491" s="53"/>
      <c r="T2491" s="54">
        <f t="shared" si="374"/>
        <v>0</v>
      </c>
      <c r="U2491" s="26">
        <f t="shared" si="375"/>
        <v>0</v>
      </c>
      <c r="V2491" s="55">
        <f t="shared" si="376"/>
        <v>0</v>
      </c>
      <c r="W2491" s="29">
        <f t="shared" si="377"/>
        <v>0</v>
      </c>
      <c r="X2491" s="30">
        <f t="shared" si="378"/>
        <v>0</v>
      </c>
      <c r="Y2491"/>
      <c r="Z2491"/>
      <c r="AA2491"/>
    </row>
    <row r="2492" spans="1:27" s="51" customFormat="1" ht="18.600000000000001" hidden="1" customHeight="1" x14ac:dyDescent="0.25">
      <c r="A2492" s="81" t="s">
        <v>2653</v>
      </c>
      <c r="B2492" s="31" t="s">
        <v>5760</v>
      </c>
      <c r="C2492" s="32" t="s">
        <v>9340</v>
      </c>
      <c r="D2492" s="31" t="s">
        <v>6344</v>
      </c>
      <c r="E2492" s="33" t="s">
        <v>6345</v>
      </c>
      <c r="F2492" s="33" t="s">
        <v>1937</v>
      </c>
      <c r="G2492" s="33" t="s">
        <v>6320</v>
      </c>
      <c r="H2492" s="84" t="s">
        <v>6346</v>
      </c>
      <c r="I2492" s="23" t="s">
        <v>24</v>
      </c>
      <c r="J2492" s="34">
        <v>570</v>
      </c>
      <c r="K2492" s="35">
        <v>0.25</v>
      </c>
      <c r="L2492" s="36">
        <f t="shared" si="370"/>
        <v>142.5</v>
      </c>
      <c r="M2492" s="37">
        <f t="shared" si="371"/>
        <v>427.5</v>
      </c>
      <c r="N2492" s="38">
        <v>0.16</v>
      </c>
      <c r="O2492" s="39">
        <f t="shared" si="372"/>
        <v>68.400000000000006</v>
      </c>
      <c r="P2492" s="40">
        <f t="shared" si="373"/>
        <v>495.9</v>
      </c>
      <c r="Q2492" s="23"/>
      <c r="R2492" s="56"/>
      <c r="S2492" s="57"/>
      <c r="T2492" s="58">
        <f t="shared" si="374"/>
        <v>0</v>
      </c>
      <c r="U2492" s="36">
        <f t="shared" si="375"/>
        <v>0</v>
      </c>
      <c r="V2492" s="59">
        <f t="shared" si="376"/>
        <v>0</v>
      </c>
      <c r="W2492" s="39">
        <f t="shared" si="377"/>
        <v>0</v>
      </c>
      <c r="X2492" s="40">
        <f t="shared" si="378"/>
        <v>0</v>
      </c>
      <c r="Y2492"/>
      <c r="Z2492"/>
      <c r="AA2492"/>
    </row>
    <row r="2493" spans="1:27" s="51" customFormat="1" ht="18.600000000000001" hidden="1" customHeight="1" x14ac:dyDescent="0.25">
      <c r="A2493" s="82" t="s">
        <v>2653</v>
      </c>
      <c r="B2493" s="41" t="s">
        <v>5760</v>
      </c>
      <c r="C2493" s="42" t="s">
        <v>9340</v>
      </c>
      <c r="D2493" s="41" t="s">
        <v>6347</v>
      </c>
      <c r="E2493" s="43" t="s">
        <v>6348</v>
      </c>
      <c r="F2493" s="43" t="s">
        <v>1937</v>
      </c>
      <c r="G2493" s="43" t="s">
        <v>6312</v>
      </c>
      <c r="H2493" s="85" t="s">
        <v>6349</v>
      </c>
      <c r="I2493" s="23" t="s">
        <v>24</v>
      </c>
      <c r="J2493" s="44">
        <v>380</v>
      </c>
      <c r="K2493" s="45">
        <v>0.25</v>
      </c>
      <c r="L2493" s="46">
        <f t="shared" si="370"/>
        <v>95</v>
      </c>
      <c r="M2493" s="47">
        <f t="shared" si="371"/>
        <v>285</v>
      </c>
      <c r="N2493" s="48">
        <v>0.16</v>
      </c>
      <c r="O2493" s="49">
        <f t="shared" si="372"/>
        <v>45.6</v>
      </c>
      <c r="P2493" s="50">
        <f t="shared" si="373"/>
        <v>330.6</v>
      </c>
      <c r="Q2493" s="23"/>
      <c r="R2493" s="60"/>
      <c r="S2493" s="61"/>
      <c r="T2493" s="62">
        <f t="shared" si="374"/>
        <v>0</v>
      </c>
      <c r="U2493" s="46">
        <f t="shared" si="375"/>
        <v>0</v>
      </c>
      <c r="V2493" s="63">
        <f t="shared" si="376"/>
        <v>0</v>
      </c>
      <c r="W2493" s="49">
        <f t="shared" si="377"/>
        <v>0</v>
      </c>
      <c r="X2493" s="50">
        <f t="shared" si="378"/>
        <v>0</v>
      </c>
      <c r="Y2493"/>
      <c r="Z2493"/>
      <c r="AA2493"/>
    </row>
    <row r="2494" spans="1:27" s="51" customFormat="1" ht="18.600000000000001" hidden="1" customHeight="1" x14ac:dyDescent="0.25">
      <c r="A2494" s="80" t="s">
        <v>2653</v>
      </c>
      <c r="B2494" s="20" t="s">
        <v>5760</v>
      </c>
      <c r="C2494" s="21" t="s">
        <v>9340</v>
      </c>
      <c r="D2494" s="20" t="s">
        <v>6350</v>
      </c>
      <c r="E2494" s="22" t="s">
        <v>6351</v>
      </c>
      <c r="F2494" s="22" t="s">
        <v>1937</v>
      </c>
      <c r="G2494" s="22" t="s">
        <v>6312</v>
      </c>
      <c r="H2494" s="83" t="s">
        <v>6352</v>
      </c>
      <c r="I2494" s="23" t="s">
        <v>24</v>
      </c>
      <c r="J2494" s="24">
        <v>380</v>
      </c>
      <c r="K2494" s="25">
        <v>0.25</v>
      </c>
      <c r="L2494" s="26">
        <f t="shared" si="370"/>
        <v>95</v>
      </c>
      <c r="M2494" s="27">
        <f t="shared" si="371"/>
        <v>285</v>
      </c>
      <c r="N2494" s="28">
        <v>0.16</v>
      </c>
      <c r="O2494" s="29">
        <f t="shared" si="372"/>
        <v>45.6</v>
      </c>
      <c r="P2494" s="30">
        <f t="shared" si="373"/>
        <v>330.6</v>
      </c>
      <c r="Q2494" s="23"/>
      <c r="R2494" s="52"/>
      <c r="S2494" s="53"/>
      <c r="T2494" s="54">
        <f t="shared" si="374"/>
        <v>0</v>
      </c>
      <c r="U2494" s="26">
        <f t="shared" si="375"/>
        <v>0</v>
      </c>
      <c r="V2494" s="55">
        <f t="shared" si="376"/>
        <v>0</v>
      </c>
      <c r="W2494" s="29">
        <f t="shared" si="377"/>
        <v>0</v>
      </c>
      <c r="X2494" s="30">
        <f t="shared" si="378"/>
        <v>0</v>
      </c>
      <c r="Y2494"/>
      <c r="Z2494"/>
      <c r="AA2494"/>
    </row>
    <row r="2495" spans="1:27" s="51" customFormat="1" ht="18.600000000000001" hidden="1" customHeight="1" x14ac:dyDescent="0.25">
      <c r="A2495" s="81" t="s">
        <v>2653</v>
      </c>
      <c r="B2495" s="31" t="s">
        <v>5760</v>
      </c>
      <c r="C2495" s="32" t="s">
        <v>9340</v>
      </c>
      <c r="D2495" s="31" t="s">
        <v>6353</v>
      </c>
      <c r="E2495" s="33" t="s">
        <v>6354</v>
      </c>
      <c r="F2495" s="33" t="s">
        <v>1937</v>
      </c>
      <c r="G2495" s="33" t="s">
        <v>6320</v>
      </c>
      <c r="H2495" s="84" t="s">
        <v>6355</v>
      </c>
      <c r="I2495" s="23" t="s">
        <v>24</v>
      </c>
      <c r="J2495" s="34">
        <v>570</v>
      </c>
      <c r="K2495" s="35">
        <v>0.25</v>
      </c>
      <c r="L2495" s="36">
        <f t="shared" si="370"/>
        <v>142.5</v>
      </c>
      <c r="M2495" s="37">
        <f t="shared" si="371"/>
        <v>427.5</v>
      </c>
      <c r="N2495" s="38">
        <v>0.16</v>
      </c>
      <c r="O2495" s="39">
        <f t="shared" si="372"/>
        <v>68.400000000000006</v>
      </c>
      <c r="P2495" s="40">
        <f t="shared" si="373"/>
        <v>495.9</v>
      </c>
      <c r="Q2495" s="23"/>
      <c r="R2495" s="56"/>
      <c r="S2495" s="57"/>
      <c r="T2495" s="58">
        <f t="shared" si="374"/>
        <v>0</v>
      </c>
      <c r="U2495" s="36">
        <f t="shared" si="375"/>
        <v>0</v>
      </c>
      <c r="V2495" s="59">
        <f t="shared" si="376"/>
        <v>0</v>
      </c>
      <c r="W2495" s="39">
        <f t="shared" si="377"/>
        <v>0</v>
      </c>
      <c r="X2495" s="40">
        <f t="shared" si="378"/>
        <v>0</v>
      </c>
      <c r="Y2495"/>
      <c r="Z2495"/>
      <c r="AA2495"/>
    </row>
    <row r="2496" spans="1:27" s="51" customFormat="1" ht="18.600000000000001" hidden="1" customHeight="1" x14ac:dyDescent="0.25">
      <c r="A2496" s="82" t="s">
        <v>2653</v>
      </c>
      <c r="B2496" s="41" t="s">
        <v>5760</v>
      </c>
      <c r="C2496" s="42" t="s">
        <v>9340</v>
      </c>
      <c r="D2496" s="41" t="s">
        <v>6356</v>
      </c>
      <c r="E2496" s="43" t="s">
        <v>6357</v>
      </c>
      <c r="F2496" s="43" t="s">
        <v>1937</v>
      </c>
      <c r="G2496" s="43" t="s">
        <v>6312</v>
      </c>
      <c r="H2496" s="85" t="s">
        <v>6358</v>
      </c>
      <c r="I2496" s="23" t="s">
        <v>24</v>
      </c>
      <c r="J2496" s="44">
        <v>380</v>
      </c>
      <c r="K2496" s="45">
        <v>0.25</v>
      </c>
      <c r="L2496" s="46">
        <f t="shared" si="370"/>
        <v>95</v>
      </c>
      <c r="M2496" s="47">
        <f t="shared" si="371"/>
        <v>285</v>
      </c>
      <c r="N2496" s="48">
        <v>0.16</v>
      </c>
      <c r="O2496" s="49">
        <f t="shared" si="372"/>
        <v>45.6</v>
      </c>
      <c r="P2496" s="50">
        <f t="shared" si="373"/>
        <v>330.6</v>
      </c>
      <c r="Q2496" s="23"/>
      <c r="R2496" s="60"/>
      <c r="S2496" s="61"/>
      <c r="T2496" s="62">
        <f t="shared" si="374"/>
        <v>0</v>
      </c>
      <c r="U2496" s="46">
        <f t="shared" si="375"/>
        <v>0</v>
      </c>
      <c r="V2496" s="63">
        <f t="shared" si="376"/>
        <v>0</v>
      </c>
      <c r="W2496" s="49">
        <f t="shared" si="377"/>
        <v>0</v>
      </c>
      <c r="X2496" s="50">
        <f t="shared" si="378"/>
        <v>0</v>
      </c>
      <c r="Y2496"/>
      <c r="Z2496"/>
      <c r="AA2496"/>
    </row>
    <row r="2497" spans="1:27" s="51" customFormat="1" ht="18.600000000000001" hidden="1" customHeight="1" x14ac:dyDescent="0.25">
      <c r="A2497" s="80" t="s">
        <v>2653</v>
      </c>
      <c r="B2497" s="20" t="s">
        <v>5760</v>
      </c>
      <c r="C2497" s="21" t="s">
        <v>9340</v>
      </c>
      <c r="D2497" s="20" t="s">
        <v>6359</v>
      </c>
      <c r="E2497" s="22" t="s">
        <v>6360</v>
      </c>
      <c r="F2497" s="22" t="s">
        <v>1937</v>
      </c>
      <c r="G2497" s="22" t="s">
        <v>6320</v>
      </c>
      <c r="H2497" s="83" t="s">
        <v>6361</v>
      </c>
      <c r="I2497" s="23" t="s">
        <v>24</v>
      </c>
      <c r="J2497" s="24">
        <v>570</v>
      </c>
      <c r="K2497" s="25">
        <v>0.25</v>
      </c>
      <c r="L2497" s="26">
        <f t="shared" si="370"/>
        <v>142.5</v>
      </c>
      <c r="M2497" s="27">
        <f t="shared" si="371"/>
        <v>427.5</v>
      </c>
      <c r="N2497" s="28">
        <v>0.16</v>
      </c>
      <c r="O2497" s="29">
        <f t="shared" si="372"/>
        <v>68.400000000000006</v>
      </c>
      <c r="P2497" s="30">
        <f t="shared" si="373"/>
        <v>495.9</v>
      </c>
      <c r="Q2497" s="23"/>
      <c r="R2497" s="52"/>
      <c r="S2497" s="53"/>
      <c r="T2497" s="54">
        <f t="shared" si="374"/>
        <v>0</v>
      </c>
      <c r="U2497" s="26">
        <f t="shared" si="375"/>
        <v>0</v>
      </c>
      <c r="V2497" s="55">
        <f t="shared" si="376"/>
        <v>0</v>
      </c>
      <c r="W2497" s="29">
        <f t="shared" si="377"/>
        <v>0</v>
      </c>
      <c r="X2497" s="30">
        <f t="shared" si="378"/>
        <v>0</v>
      </c>
      <c r="Y2497"/>
      <c r="Z2497"/>
      <c r="AA2497"/>
    </row>
    <row r="2498" spans="1:27" s="51" customFormat="1" ht="18.600000000000001" hidden="1" customHeight="1" x14ac:dyDescent="0.25">
      <c r="A2498" s="81" t="s">
        <v>2653</v>
      </c>
      <c r="B2498" s="31" t="s">
        <v>5760</v>
      </c>
      <c r="C2498" s="32" t="s">
        <v>9340</v>
      </c>
      <c r="D2498" s="31" t="s">
        <v>6362</v>
      </c>
      <c r="E2498" s="33" t="s">
        <v>6363</v>
      </c>
      <c r="F2498" s="33" t="s">
        <v>1937</v>
      </c>
      <c r="G2498" s="33" t="s">
        <v>6324</v>
      </c>
      <c r="H2498" s="84" t="s">
        <v>6364</v>
      </c>
      <c r="I2498" s="23" t="s">
        <v>24</v>
      </c>
      <c r="J2498" s="34">
        <v>285</v>
      </c>
      <c r="K2498" s="35">
        <v>0.25</v>
      </c>
      <c r="L2498" s="36">
        <f t="shared" si="370"/>
        <v>71.25</v>
      </c>
      <c r="M2498" s="37">
        <f t="shared" si="371"/>
        <v>213.75</v>
      </c>
      <c r="N2498" s="38">
        <v>0.16</v>
      </c>
      <c r="O2498" s="39">
        <f t="shared" si="372"/>
        <v>34.200000000000003</v>
      </c>
      <c r="P2498" s="40">
        <f t="shared" si="373"/>
        <v>247.95</v>
      </c>
      <c r="Q2498" s="23"/>
      <c r="R2498" s="56"/>
      <c r="S2498" s="57"/>
      <c r="T2498" s="58">
        <f t="shared" si="374"/>
        <v>0</v>
      </c>
      <c r="U2498" s="36">
        <f t="shared" si="375"/>
        <v>0</v>
      </c>
      <c r="V2498" s="59">
        <f t="shared" si="376"/>
        <v>0</v>
      </c>
      <c r="W2498" s="39">
        <f t="shared" si="377"/>
        <v>0</v>
      </c>
      <c r="X2498" s="40">
        <f t="shared" si="378"/>
        <v>0</v>
      </c>
      <c r="Y2498"/>
      <c r="Z2498"/>
      <c r="AA2498"/>
    </row>
    <row r="2499" spans="1:27" s="51" customFormat="1" ht="18.600000000000001" hidden="1" customHeight="1" x14ac:dyDescent="0.25">
      <c r="A2499" s="82" t="s">
        <v>2653</v>
      </c>
      <c r="B2499" s="41" t="s">
        <v>5760</v>
      </c>
      <c r="C2499" s="42" t="s">
        <v>9340</v>
      </c>
      <c r="D2499" s="41" t="s">
        <v>6365</v>
      </c>
      <c r="E2499" s="43" t="s">
        <v>6366</v>
      </c>
      <c r="F2499" s="43" t="s">
        <v>1937</v>
      </c>
      <c r="G2499" s="43" t="s">
        <v>6312</v>
      </c>
      <c r="H2499" s="85" t="s">
        <v>6367</v>
      </c>
      <c r="I2499" s="23" t="s">
        <v>24</v>
      </c>
      <c r="J2499" s="44">
        <v>380</v>
      </c>
      <c r="K2499" s="45">
        <v>0.25</v>
      </c>
      <c r="L2499" s="46">
        <f t="shared" si="370"/>
        <v>95</v>
      </c>
      <c r="M2499" s="47">
        <f t="shared" si="371"/>
        <v>285</v>
      </c>
      <c r="N2499" s="48">
        <v>0.16</v>
      </c>
      <c r="O2499" s="49">
        <f t="shared" si="372"/>
        <v>45.6</v>
      </c>
      <c r="P2499" s="50">
        <f t="shared" si="373"/>
        <v>330.6</v>
      </c>
      <c r="Q2499" s="23"/>
      <c r="R2499" s="60"/>
      <c r="S2499" s="61"/>
      <c r="T2499" s="62">
        <f t="shared" si="374"/>
        <v>0</v>
      </c>
      <c r="U2499" s="46">
        <f t="shared" si="375"/>
        <v>0</v>
      </c>
      <c r="V2499" s="63">
        <f t="shared" si="376"/>
        <v>0</v>
      </c>
      <c r="W2499" s="49">
        <f t="shared" si="377"/>
        <v>0</v>
      </c>
      <c r="X2499" s="50">
        <f t="shared" si="378"/>
        <v>0</v>
      </c>
      <c r="Y2499"/>
      <c r="Z2499"/>
      <c r="AA2499"/>
    </row>
    <row r="2500" spans="1:27" s="51" customFormat="1" ht="18.600000000000001" hidden="1" customHeight="1" x14ac:dyDescent="0.25">
      <c r="A2500" s="80" t="s">
        <v>2653</v>
      </c>
      <c r="B2500" s="20" t="s">
        <v>5760</v>
      </c>
      <c r="C2500" s="21" t="s">
        <v>9340</v>
      </c>
      <c r="D2500" s="20" t="s">
        <v>6368</v>
      </c>
      <c r="E2500" s="22" t="s">
        <v>6369</v>
      </c>
      <c r="F2500" s="22" t="s">
        <v>1937</v>
      </c>
      <c r="G2500" s="22" t="s">
        <v>6316</v>
      </c>
      <c r="H2500" s="83" t="s">
        <v>6370</v>
      </c>
      <c r="I2500" s="23" t="s">
        <v>24</v>
      </c>
      <c r="J2500" s="24">
        <v>760</v>
      </c>
      <c r="K2500" s="25">
        <v>0.25</v>
      </c>
      <c r="L2500" s="26">
        <f t="shared" si="370"/>
        <v>190</v>
      </c>
      <c r="M2500" s="27">
        <f t="shared" si="371"/>
        <v>570</v>
      </c>
      <c r="N2500" s="28">
        <v>0.16</v>
      </c>
      <c r="O2500" s="29">
        <f t="shared" si="372"/>
        <v>91.2</v>
      </c>
      <c r="P2500" s="30">
        <f t="shared" si="373"/>
        <v>661.2</v>
      </c>
      <c r="Q2500" s="23"/>
      <c r="R2500" s="52"/>
      <c r="S2500" s="53"/>
      <c r="T2500" s="54">
        <f t="shared" si="374"/>
        <v>0</v>
      </c>
      <c r="U2500" s="26">
        <f t="shared" si="375"/>
        <v>0</v>
      </c>
      <c r="V2500" s="55">
        <f t="shared" si="376"/>
        <v>0</v>
      </c>
      <c r="W2500" s="29">
        <f t="shared" si="377"/>
        <v>0</v>
      </c>
      <c r="X2500" s="30">
        <f t="shared" si="378"/>
        <v>0</v>
      </c>
      <c r="Y2500"/>
      <c r="Z2500"/>
      <c r="AA2500"/>
    </row>
    <row r="2501" spans="1:27" s="51" customFormat="1" ht="18.600000000000001" hidden="1" customHeight="1" x14ac:dyDescent="0.25">
      <c r="A2501" s="81" t="s">
        <v>2653</v>
      </c>
      <c r="B2501" s="31" t="s">
        <v>5760</v>
      </c>
      <c r="C2501" s="32" t="s">
        <v>9340</v>
      </c>
      <c r="D2501" s="31" t="s">
        <v>6371</v>
      </c>
      <c r="E2501" s="33" t="s">
        <v>6372</v>
      </c>
      <c r="F2501" s="33" t="s">
        <v>1937</v>
      </c>
      <c r="G2501" s="33" t="s">
        <v>6316</v>
      </c>
      <c r="H2501" s="84" t="s">
        <v>6373</v>
      </c>
      <c r="I2501" s="23" t="s">
        <v>24</v>
      </c>
      <c r="J2501" s="34">
        <v>760</v>
      </c>
      <c r="K2501" s="35">
        <v>0.25</v>
      </c>
      <c r="L2501" s="36">
        <f t="shared" si="370"/>
        <v>190</v>
      </c>
      <c r="M2501" s="37">
        <f t="shared" si="371"/>
        <v>570</v>
      </c>
      <c r="N2501" s="38">
        <v>0.16</v>
      </c>
      <c r="O2501" s="39">
        <f t="shared" si="372"/>
        <v>91.2</v>
      </c>
      <c r="P2501" s="40">
        <f t="shared" si="373"/>
        <v>661.2</v>
      </c>
      <c r="Q2501" s="23"/>
      <c r="R2501" s="56"/>
      <c r="S2501" s="57"/>
      <c r="T2501" s="58">
        <f t="shared" si="374"/>
        <v>0</v>
      </c>
      <c r="U2501" s="36">
        <f t="shared" si="375"/>
        <v>0</v>
      </c>
      <c r="V2501" s="59">
        <f t="shared" si="376"/>
        <v>0</v>
      </c>
      <c r="W2501" s="39">
        <f t="shared" si="377"/>
        <v>0</v>
      </c>
      <c r="X2501" s="40">
        <f t="shared" si="378"/>
        <v>0</v>
      </c>
      <c r="Y2501"/>
      <c r="Z2501"/>
      <c r="AA2501"/>
    </row>
    <row r="2502" spans="1:27" s="51" customFormat="1" ht="18.600000000000001" hidden="1" customHeight="1" x14ac:dyDescent="0.25">
      <c r="A2502" s="82" t="s">
        <v>2653</v>
      </c>
      <c r="B2502" s="41" t="s">
        <v>5760</v>
      </c>
      <c r="C2502" s="42" t="s">
        <v>9340</v>
      </c>
      <c r="D2502" s="41" t="s">
        <v>6374</v>
      </c>
      <c r="E2502" s="43" t="s">
        <v>6375</v>
      </c>
      <c r="F2502" s="43" t="s">
        <v>1937</v>
      </c>
      <c r="G2502" s="43" t="s">
        <v>6324</v>
      </c>
      <c r="H2502" s="85" t="s">
        <v>6376</v>
      </c>
      <c r="I2502" s="23" t="s">
        <v>24</v>
      </c>
      <c r="J2502" s="44">
        <v>285</v>
      </c>
      <c r="K2502" s="45">
        <v>0.25</v>
      </c>
      <c r="L2502" s="46">
        <f t="shared" si="370"/>
        <v>71.25</v>
      </c>
      <c r="M2502" s="47">
        <f t="shared" si="371"/>
        <v>213.75</v>
      </c>
      <c r="N2502" s="48">
        <v>0.16</v>
      </c>
      <c r="O2502" s="49">
        <f t="shared" si="372"/>
        <v>34.200000000000003</v>
      </c>
      <c r="P2502" s="50">
        <f t="shared" si="373"/>
        <v>247.95</v>
      </c>
      <c r="Q2502" s="23"/>
      <c r="R2502" s="60"/>
      <c r="S2502" s="61"/>
      <c r="T2502" s="62">
        <f t="shared" si="374"/>
        <v>0</v>
      </c>
      <c r="U2502" s="46">
        <f t="shared" si="375"/>
        <v>0</v>
      </c>
      <c r="V2502" s="63">
        <f t="shared" si="376"/>
        <v>0</v>
      </c>
      <c r="W2502" s="49">
        <f t="shared" si="377"/>
        <v>0</v>
      </c>
      <c r="X2502" s="50">
        <f t="shared" si="378"/>
        <v>0</v>
      </c>
      <c r="Y2502"/>
      <c r="Z2502"/>
      <c r="AA2502"/>
    </row>
    <row r="2503" spans="1:27" s="51" customFormat="1" ht="18.600000000000001" hidden="1" customHeight="1" x14ac:dyDescent="0.25">
      <c r="A2503" s="80" t="s">
        <v>2653</v>
      </c>
      <c r="B2503" s="20" t="s">
        <v>5760</v>
      </c>
      <c r="C2503" s="21" t="s">
        <v>9340</v>
      </c>
      <c r="D2503" s="20" t="s">
        <v>6377</v>
      </c>
      <c r="E2503" s="22" t="s">
        <v>6378</v>
      </c>
      <c r="F2503" s="22" t="s">
        <v>1937</v>
      </c>
      <c r="G2503" s="22" t="s">
        <v>6320</v>
      </c>
      <c r="H2503" s="83" t="s">
        <v>6379</v>
      </c>
      <c r="I2503" s="23" t="s">
        <v>24</v>
      </c>
      <c r="J2503" s="24">
        <v>570</v>
      </c>
      <c r="K2503" s="25">
        <v>0.25</v>
      </c>
      <c r="L2503" s="26">
        <f t="shared" si="370"/>
        <v>142.5</v>
      </c>
      <c r="M2503" s="27">
        <f t="shared" si="371"/>
        <v>427.5</v>
      </c>
      <c r="N2503" s="28">
        <v>0.16</v>
      </c>
      <c r="O2503" s="29">
        <f t="shared" si="372"/>
        <v>68.400000000000006</v>
      </c>
      <c r="P2503" s="30">
        <f t="shared" si="373"/>
        <v>495.9</v>
      </c>
      <c r="Q2503" s="23"/>
      <c r="R2503" s="52"/>
      <c r="S2503" s="53"/>
      <c r="T2503" s="54">
        <f t="shared" si="374"/>
        <v>0</v>
      </c>
      <c r="U2503" s="26">
        <f t="shared" si="375"/>
        <v>0</v>
      </c>
      <c r="V2503" s="55">
        <f t="shared" si="376"/>
        <v>0</v>
      </c>
      <c r="W2503" s="29">
        <f t="shared" si="377"/>
        <v>0</v>
      </c>
      <c r="X2503" s="30">
        <f t="shared" si="378"/>
        <v>0</v>
      </c>
      <c r="Y2503"/>
      <c r="Z2503"/>
      <c r="AA2503"/>
    </row>
    <row r="2504" spans="1:27" s="51" customFormat="1" ht="18.600000000000001" hidden="1" customHeight="1" x14ac:dyDescent="0.25">
      <c r="A2504" s="81" t="s">
        <v>2653</v>
      </c>
      <c r="B2504" s="31" t="s">
        <v>5760</v>
      </c>
      <c r="C2504" s="32" t="s">
        <v>9340</v>
      </c>
      <c r="D2504" s="31" t="s">
        <v>6380</v>
      </c>
      <c r="E2504" s="33" t="s">
        <v>6381</v>
      </c>
      <c r="F2504" s="33" t="s">
        <v>1937</v>
      </c>
      <c r="G2504" s="33" t="s">
        <v>6320</v>
      </c>
      <c r="H2504" s="84" t="s">
        <v>6382</v>
      </c>
      <c r="I2504" s="23" t="s">
        <v>24</v>
      </c>
      <c r="J2504" s="34">
        <v>570</v>
      </c>
      <c r="K2504" s="35">
        <v>0.25</v>
      </c>
      <c r="L2504" s="36">
        <f t="shared" si="370"/>
        <v>142.5</v>
      </c>
      <c r="M2504" s="37">
        <f t="shared" si="371"/>
        <v>427.5</v>
      </c>
      <c r="N2504" s="38">
        <v>0.16</v>
      </c>
      <c r="O2504" s="39">
        <f t="shared" si="372"/>
        <v>68.400000000000006</v>
      </c>
      <c r="P2504" s="40">
        <f t="shared" si="373"/>
        <v>495.9</v>
      </c>
      <c r="Q2504" s="23"/>
      <c r="R2504" s="56"/>
      <c r="S2504" s="57"/>
      <c r="T2504" s="58">
        <f t="shared" si="374"/>
        <v>0</v>
      </c>
      <c r="U2504" s="36">
        <f t="shared" si="375"/>
        <v>0</v>
      </c>
      <c r="V2504" s="59">
        <f t="shared" si="376"/>
        <v>0</v>
      </c>
      <c r="W2504" s="39">
        <f t="shared" si="377"/>
        <v>0</v>
      </c>
      <c r="X2504" s="40">
        <f t="shared" si="378"/>
        <v>0</v>
      </c>
      <c r="Y2504"/>
      <c r="Z2504"/>
      <c r="AA2504"/>
    </row>
    <row r="2505" spans="1:27" s="51" customFormat="1" ht="18.600000000000001" hidden="1" customHeight="1" x14ac:dyDescent="0.25">
      <c r="A2505" s="82" t="s">
        <v>2653</v>
      </c>
      <c r="B2505" s="41" t="s">
        <v>5760</v>
      </c>
      <c r="C2505" s="42" t="s">
        <v>9340</v>
      </c>
      <c r="D2505" s="41" t="s">
        <v>6383</v>
      </c>
      <c r="E2505" s="43" t="s">
        <v>6384</v>
      </c>
      <c r="F2505" s="43" t="s">
        <v>1937</v>
      </c>
      <c r="G2505" s="43" t="s">
        <v>6320</v>
      </c>
      <c r="H2505" s="85" t="s">
        <v>6385</v>
      </c>
      <c r="I2505" s="23" t="s">
        <v>24</v>
      </c>
      <c r="J2505" s="44">
        <v>570</v>
      </c>
      <c r="K2505" s="45">
        <v>0.25</v>
      </c>
      <c r="L2505" s="46">
        <f t="shared" si="370"/>
        <v>142.5</v>
      </c>
      <c r="M2505" s="47">
        <f t="shared" si="371"/>
        <v>427.5</v>
      </c>
      <c r="N2505" s="48">
        <v>0.16</v>
      </c>
      <c r="O2505" s="49">
        <f t="shared" si="372"/>
        <v>68.400000000000006</v>
      </c>
      <c r="P2505" s="50">
        <f t="shared" si="373"/>
        <v>495.9</v>
      </c>
      <c r="Q2505" s="23"/>
      <c r="R2505" s="60"/>
      <c r="S2505" s="61"/>
      <c r="T2505" s="62">
        <f t="shared" si="374"/>
        <v>0</v>
      </c>
      <c r="U2505" s="46">
        <f t="shared" si="375"/>
        <v>0</v>
      </c>
      <c r="V2505" s="63">
        <f t="shared" si="376"/>
        <v>0</v>
      </c>
      <c r="W2505" s="49">
        <f t="shared" si="377"/>
        <v>0</v>
      </c>
      <c r="X2505" s="50">
        <f t="shared" si="378"/>
        <v>0</v>
      </c>
      <c r="Y2505"/>
      <c r="Z2505"/>
      <c r="AA2505"/>
    </row>
    <row r="2506" spans="1:27" s="51" customFormat="1" ht="18.600000000000001" hidden="1" customHeight="1" x14ac:dyDescent="0.25">
      <c r="A2506" s="80" t="s">
        <v>2653</v>
      </c>
      <c r="B2506" s="20" t="s">
        <v>5760</v>
      </c>
      <c r="C2506" s="21" t="s">
        <v>9340</v>
      </c>
      <c r="D2506" s="20" t="s">
        <v>6386</v>
      </c>
      <c r="E2506" s="22" t="s">
        <v>6387</v>
      </c>
      <c r="F2506" s="22" t="s">
        <v>1937</v>
      </c>
      <c r="G2506" s="22" t="s">
        <v>6324</v>
      </c>
      <c r="H2506" s="83" t="s">
        <v>6388</v>
      </c>
      <c r="I2506" s="23" t="s">
        <v>24</v>
      </c>
      <c r="J2506" s="24">
        <v>285</v>
      </c>
      <c r="K2506" s="25">
        <v>0.25</v>
      </c>
      <c r="L2506" s="26">
        <f t="shared" si="370"/>
        <v>71.25</v>
      </c>
      <c r="M2506" s="27">
        <f t="shared" si="371"/>
        <v>213.75</v>
      </c>
      <c r="N2506" s="28">
        <v>0.16</v>
      </c>
      <c r="O2506" s="29">
        <f t="shared" si="372"/>
        <v>34.200000000000003</v>
      </c>
      <c r="P2506" s="30">
        <f t="shared" si="373"/>
        <v>247.95</v>
      </c>
      <c r="Q2506" s="23"/>
      <c r="R2506" s="52"/>
      <c r="S2506" s="53"/>
      <c r="T2506" s="54">
        <f t="shared" si="374"/>
        <v>0</v>
      </c>
      <c r="U2506" s="26">
        <f t="shared" si="375"/>
        <v>0</v>
      </c>
      <c r="V2506" s="55">
        <f t="shared" si="376"/>
        <v>0</v>
      </c>
      <c r="W2506" s="29">
        <f t="shared" si="377"/>
        <v>0</v>
      </c>
      <c r="X2506" s="30">
        <f t="shared" si="378"/>
        <v>0</v>
      </c>
      <c r="Y2506"/>
      <c r="Z2506"/>
      <c r="AA2506"/>
    </row>
    <row r="2507" spans="1:27" s="51" customFormat="1" ht="18.600000000000001" hidden="1" customHeight="1" x14ac:dyDescent="0.25">
      <c r="A2507" s="81" t="s">
        <v>2653</v>
      </c>
      <c r="B2507" s="31" t="s">
        <v>5760</v>
      </c>
      <c r="C2507" s="32" t="s">
        <v>9340</v>
      </c>
      <c r="D2507" s="31" t="s">
        <v>6389</v>
      </c>
      <c r="E2507" s="33" t="s">
        <v>6390</v>
      </c>
      <c r="F2507" s="33" t="s">
        <v>1937</v>
      </c>
      <c r="G2507" s="33" t="s">
        <v>6312</v>
      </c>
      <c r="H2507" s="84" t="s">
        <v>6391</v>
      </c>
      <c r="I2507" s="23" t="s">
        <v>24</v>
      </c>
      <c r="J2507" s="34">
        <v>380</v>
      </c>
      <c r="K2507" s="35">
        <v>0.25</v>
      </c>
      <c r="L2507" s="36">
        <f t="shared" si="370"/>
        <v>95</v>
      </c>
      <c r="M2507" s="37">
        <f t="shared" si="371"/>
        <v>285</v>
      </c>
      <c r="N2507" s="38">
        <v>0.16</v>
      </c>
      <c r="O2507" s="39">
        <f t="shared" si="372"/>
        <v>45.6</v>
      </c>
      <c r="P2507" s="40">
        <f t="shared" si="373"/>
        <v>330.6</v>
      </c>
      <c r="Q2507" s="23"/>
      <c r="R2507" s="56"/>
      <c r="S2507" s="57"/>
      <c r="T2507" s="58">
        <f t="shared" si="374"/>
        <v>0</v>
      </c>
      <c r="U2507" s="36">
        <f t="shared" si="375"/>
        <v>0</v>
      </c>
      <c r="V2507" s="59">
        <f t="shared" si="376"/>
        <v>0</v>
      </c>
      <c r="W2507" s="39">
        <f t="shared" si="377"/>
        <v>0</v>
      </c>
      <c r="X2507" s="40">
        <f t="shared" si="378"/>
        <v>0</v>
      </c>
      <c r="Y2507"/>
      <c r="Z2507"/>
      <c r="AA2507"/>
    </row>
    <row r="2508" spans="1:27" s="51" customFormat="1" ht="18.600000000000001" hidden="1" customHeight="1" x14ac:dyDescent="0.25">
      <c r="A2508" s="82" t="s">
        <v>2653</v>
      </c>
      <c r="B2508" s="41" t="s">
        <v>5760</v>
      </c>
      <c r="C2508" s="42" t="s">
        <v>9340</v>
      </c>
      <c r="D2508" s="41" t="s">
        <v>6392</v>
      </c>
      <c r="E2508" s="43" t="s">
        <v>6393</v>
      </c>
      <c r="F2508" s="43" t="s">
        <v>1937</v>
      </c>
      <c r="G2508" s="43" t="s">
        <v>6320</v>
      </c>
      <c r="H2508" s="85" t="s">
        <v>6394</v>
      </c>
      <c r="I2508" s="23" t="s">
        <v>24</v>
      </c>
      <c r="J2508" s="44">
        <v>570</v>
      </c>
      <c r="K2508" s="45">
        <v>0.25</v>
      </c>
      <c r="L2508" s="46">
        <f t="shared" si="370"/>
        <v>142.5</v>
      </c>
      <c r="M2508" s="47">
        <f t="shared" si="371"/>
        <v>427.5</v>
      </c>
      <c r="N2508" s="48">
        <v>0.16</v>
      </c>
      <c r="O2508" s="49">
        <f t="shared" si="372"/>
        <v>68.400000000000006</v>
      </c>
      <c r="P2508" s="50">
        <f t="shared" si="373"/>
        <v>495.9</v>
      </c>
      <c r="Q2508" s="23"/>
      <c r="R2508" s="60"/>
      <c r="S2508" s="61"/>
      <c r="T2508" s="62">
        <f t="shared" si="374"/>
        <v>0</v>
      </c>
      <c r="U2508" s="46">
        <f t="shared" si="375"/>
        <v>0</v>
      </c>
      <c r="V2508" s="63">
        <f t="shared" si="376"/>
        <v>0</v>
      </c>
      <c r="W2508" s="49">
        <f t="shared" si="377"/>
        <v>0</v>
      </c>
      <c r="X2508" s="50">
        <f t="shared" si="378"/>
        <v>0</v>
      </c>
      <c r="Y2508"/>
      <c r="Z2508"/>
      <c r="AA2508"/>
    </row>
    <row r="2509" spans="1:27" s="51" customFormat="1" ht="18.600000000000001" hidden="1" customHeight="1" x14ac:dyDescent="0.25">
      <c r="A2509" s="80" t="s">
        <v>2653</v>
      </c>
      <c r="B2509" s="20" t="s">
        <v>5760</v>
      </c>
      <c r="C2509" s="21" t="s">
        <v>9340</v>
      </c>
      <c r="D2509" s="20" t="s">
        <v>6395</v>
      </c>
      <c r="E2509" s="22" t="s">
        <v>6396</v>
      </c>
      <c r="F2509" s="22" t="s">
        <v>1937</v>
      </c>
      <c r="G2509" s="22" t="s">
        <v>6312</v>
      </c>
      <c r="H2509" s="83" t="s">
        <v>6397</v>
      </c>
      <c r="I2509" s="23" t="s">
        <v>24</v>
      </c>
      <c r="J2509" s="24">
        <v>380</v>
      </c>
      <c r="K2509" s="25">
        <v>0.25</v>
      </c>
      <c r="L2509" s="26">
        <f t="shared" si="370"/>
        <v>95</v>
      </c>
      <c r="M2509" s="27">
        <f t="shared" si="371"/>
        <v>285</v>
      </c>
      <c r="N2509" s="28">
        <v>0.16</v>
      </c>
      <c r="O2509" s="29">
        <f t="shared" si="372"/>
        <v>45.6</v>
      </c>
      <c r="P2509" s="30">
        <f t="shared" si="373"/>
        <v>330.6</v>
      </c>
      <c r="Q2509" s="23"/>
      <c r="R2509" s="52"/>
      <c r="S2509" s="53"/>
      <c r="T2509" s="54">
        <f t="shared" si="374"/>
        <v>0</v>
      </c>
      <c r="U2509" s="26">
        <f t="shared" si="375"/>
        <v>0</v>
      </c>
      <c r="V2509" s="55">
        <f t="shared" si="376"/>
        <v>0</v>
      </c>
      <c r="W2509" s="29">
        <f t="shared" si="377"/>
        <v>0</v>
      </c>
      <c r="X2509" s="30">
        <f t="shared" si="378"/>
        <v>0</v>
      </c>
      <c r="Y2509"/>
      <c r="Z2509"/>
      <c r="AA2509"/>
    </row>
    <row r="2510" spans="1:27" s="51" customFormat="1" ht="18.600000000000001" hidden="1" customHeight="1" x14ac:dyDescent="0.25">
      <c r="A2510" s="81" t="s">
        <v>2653</v>
      </c>
      <c r="B2510" s="31" t="s">
        <v>5760</v>
      </c>
      <c r="C2510" s="32" t="s">
        <v>9340</v>
      </c>
      <c r="D2510" s="31" t="s">
        <v>6398</v>
      </c>
      <c r="E2510" s="33" t="s">
        <v>6399</v>
      </c>
      <c r="F2510" s="33" t="s">
        <v>1937</v>
      </c>
      <c r="G2510" s="33" t="s">
        <v>6316</v>
      </c>
      <c r="H2510" s="84" t="s">
        <v>6400</v>
      </c>
      <c r="I2510" s="23" t="s">
        <v>24</v>
      </c>
      <c r="J2510" s="34">
        <v>760</v>
      </c>
      <c r="K2510" s="35">
        <v>0.25</v>
      </c>
      <c r="L2510" s="36">
        <f t="shared" si="370"/>
        <v>190</v>
      </c>
      <c r="M2510" s="37">
        <f t="shared" si="371"/>
        <v>570</v>
      </c>
      <c r="N2510" s="38">
        <v>0.16</v>
      </c>
      <c r="O2510" s="39">
        <f t="shared" si="372"/>
        <v>91.2</v>
      </c>
      <c r="P2510" s="40">
        <f t="shared" si="373"/>
        <v>661.2</v>
      </c>
      <c r="Q2510" s="23"/>
      <c r="R2510" s="56"/>
      <c r="S2510" s="57"/>
      <c r="T2510" s="58">
        <f t="shared" si="374"/>
        <v>0</v>
      </c>
      <c r="U2510" s="36">
        <f t="shared" si="375"/>
        <v>0</v>
      </c>
      <c r="V2510" s="59">
        <f t="shared" si="376"/>
        <v>0</v>
      </c>
      <c r="W2510" s="39">
        <f t="shared" si="377"/>
        <v>0</v>
      </c>
      <c r="X2510" s="40">
        <f t="shared" si="378"/>
        <v>0</v>
      </c>
      <c r="Y2510"/>
      <c r="Z2510"/>
      <c r="AA2510"/>
    </row>
    <row r="2511" spans="1:27" s="51" customFormat="1" ht="18.600000000000001" hidden="1" customHeight="1" x14ac:dyDescent="0.25">
      <c r="A2511" s="82" t="s">
        <v>2653</v>
      </c>
      <c r="B2511" s="41" t="s">
        <v>5760</v>
      </c>
      <c r="C2511" s="42" t="s">
        <v>9340</v>
      </c>
      <c r="D2511" s="41" t="s">
        <v>6401</v>
      </c>
      <c r="E2511" s="43" t="s">
        <v>6402</v>
      </c>
      <c r="F2511" s="43" t="s">
        <v>1937</v>
      </c>
      <c r="G2511" s="43" t="s">
        <v>6312</v>
      </c>
      <c r="H2511" s="85" t="s">
        <v>6403</v>
      </c>
      <c r="I2511" s="23" t="s">
        <v>24</v>
      </c>
      <c r="J2511" s="44">
        <v>380</v>
      </c>
      <c r="K2511" s="45">
        <v>0.25</v>
      </c>
      <c r="L2511" s="46">
        <f t="shared" si="370"/>
        <v>95</v>
      </c>
      <c r="M2511" s="47">
        <f t="shared" si="371"/>
        <v>285</v>
      </c>
      <c r="N2511" s="48">
        <v>0.16</v>
      </c>
      <c r="O2511" s="49">
        <f t="shared" si="372"/>
        <v>45.6</v>
      </c>
      <c r="P2511" s="50">
        <f t="shared" si="373"/>
        <v>330.6</v>
      </c>
      <c r="Q2511" s="23"/>
      <c r="R2511" s="60"/>
      <c r="S2511" s="61"/>
      <c r="T2511" s="62">
        <f t="shared" si="374"/>
        <v>0</v>
      </c>
      <c r="U2511" s="46">
        <f t="shared" si="375"/>
        <v>0</v>
      </c>
      <c r="V2511" s="63">
        <f t="shared" si="376"/>
        <v>0</v>
      </c>
      <c r="W2511" s="49">
        <f t="shared" si="377"/>
        <v>0</v>
      </c>
      <c r="X2511" s="50">
        <f t="shared" si="378"/>
        <v>0</v>
      </c>
      <c r="Y2511"/>
      <c r="Z2511"/>
      <c r="AA2511"/>
    </row>
    <row r="2512" spans="1:27" s="51" customFormat="1" ht="18.600000000000001" hidden="1" customHeight="1" x14ac:dyDescent="0.25">
      <c r="A2512" s="80" t="s">
        <v>2653</v>
      </c>
      <c r="B2512" s="20" t="s">
        <v>5760</v>
      </c>
      <c r="C2512" s="21" t="s">
        <v>9340</v>
      </c>
      <c r="D2512" s="20" t="s">
        <v>6404</v>
      </c>
      <c r="E2512" s="22" t="s">
        <v>6405</v>
      </c>
      <c r="F2512" s="22" t="s">
        <v>1937</v>
      </c>
      <c r="G2512" s="22" t="s">
        <v>6324</v>
      </c>
      <c r="H2512" s="83" t="s">
        <v>6406</v>
      </c>
      <c r="I2512" s="23" t="s">
        <v>24</v>
      </c>
      <c r="J2512" s="24">
        <v>285</v>
      </c>
      <c r="K2512" s="25">
        <v>0.25</v>
      </c>
      <c r="L2512" s="26">
        <f t="shared" si="370"/>
        <v>71.25</v>
      </c>
      <c r="M2512" s="27">
        <f t="shared" si="371"/>
        <v>213.75</v>
      </c>
      <c r="N2512" s="28">
        <v>0.16</v>
      </c>
      <c r="O2512" s="29">
        <f t="shared" si="372"/>
        <v>34.200000000000003</v>
      </c>
      <c r="P2512" s="30">
        <f t="shared" si="373"/>
        <v>247.95</v>
      </c>
      <c r="Q2512" s="23"/>
      <c r="R2512" s="52"/>
      <c r="S2512" s="53"/>
      <c r="T2512" s="54">
        <f t="shared" si="374"/>
        <v>0</v>
      </c>
      <c r="U2512" s="26">
        <f t="shared" si="375"/>
        <v>0</v>
      </c>
      <c r="V2512" s="55">
        <f t="shared" si="376"/>
        <v>0</v>
      </c>
      <c r="W2512" s="29">
        <f t="shared" si="377"/>
        <v>0</v>
      </c>
      <c r="X2512" s="30">
        <f t="shared" si="378"/>
        <v>0</v>
      </c>
      <c r="Y2512"/>
      <c r="Z2512"/>
      <c r="AA2512"/>
    </row>
    <row r="2513" spans="1:27" s="51" customFormat="1" ht="18.600000000000001" hidden="1" customHeight="1" x14ac:dyDescent="0.25">
      <c r="A2513" s="81" t="s">
        <v>2653</v>
      </c>
      <c r="B2513" s="31" t="s">
        <v>5760</v>
      </c>
      <c r="C2513" s="32" t="s">
        <v>9340</v>
      </c>
      <c r="D2513" s="31" t="s">
        <v>6407</v>
      </c>
      <c r="E2513" s="33" t="s">
        <v>6408</v>
      </c>
      <c r="F2513" s="33" t="s">
        <v>1937</v>
      </c>
      <c r="G2513" s="33" t="s">
        <v>6312</v>
      </c>
      <c r="H2513" s="84" t="s">
        <v>6409</v>
      </c>
      <c r="I2513" s="23" t="s">
        <v>24</v>
      </c>
      <c r="J2513" s="34">
        <v>380</v>
      </c>
      <c r="K2513" s="35">
        <v>0.25</v>
      </c>
      <c r="L2513" s="36">
        <f t="shared" si="370"/>
        <v>95</v>
      </c>
      <c r="M2513" s="37">
        <f t="shared" si="371"/>
        <v>285</v>
      </c>
      <c r="N2513" s="38">
        <v>0.16</v>
      </c>
      <c r="O2513" s="39">
        <f t="shared" si="372"/>
        <v>45.6</v>
      </c>
      <c r="P2513" s="40">
        <f t="shared" si="373"/>
        <v>330.6</v>
      </c>
      <c r="Q2513" s="23"/>
      <c r="R2513" s="56"/>
      <c r="S2513" s="57"/>
      <c r="T2513" s="58">
        <f t="shared" si="374"/>
        <v>0</v>
      </c>
      <c r="U2513" s="36">
        <f t="shared" si="375"/>
        <v>0</v>
      </c>
      <c r="V2513" s="59">
        <f t="shared" si="376"/>
        <v>0</v>
      </c>
      <c r="W2513" s="39">
        <f t="shared" si="377"/>
        <v>0</v>
      </c>
      <c r="X2513" s="40">
        <f t="shared" si="378"/>
        <v>0</v>
      </c>
      <c r="Y2513"/>
      <c r="Z2513"/>
      <c r="AA2513"/>
    </row>
    <row r="2514" spans="1:27" s="51" customFormat="1" ht="18.600000000000001" hidden="1" customHeight="1" x14ac:dyDescent="0.25">
      <c r="A2514" s="82" t="s">
        <v>2653</v>
      </c>
      <c r="B2514" s="41" t="s">
        <v>5760</v>
      </c>
      <c r="C2514" s="42" t="s">
        <v>9340</v>
      </c>
      <c r="D2514" s="41" t="s">
        <v>6410</v>
      </c>
      <c r="E2514" s="43" t="s">
        <v>6411</v>
      </c>
      <c r="F2514" s="43" t="s">
        <v>1937</v>
      </c>
      <c r="G2514" s="43" t="s">
        <v>6324</v>
      </c>
      <c r="H2514" s="85" t="s">
        <v>6412</v>
      </c>
      <c r="I2514" s="23" t="s">
        <v>24</v>
      </c>
      <c r="J2514" s="44">
        <v>285</v>
      </c>
      <c r="K2514" s="45">
        <v>0.25</v>
      </c>
      <c r="L2514" s="46">
        <f t="shared" si="370"/>
        <v>71.25</v>
      </c>
      <c r="M2514" s="47">
        <f t="shared" si="371"/>
        <v>213.75</v>
      </c>
      <c r="N2514" s="48">
        <v>0.16</v>
      </c>
      <c r="O2514" s="49">
        <f t="shared" si="372"/>
        <v>34.200000000000003</v>
      </c>
      <c r="P2514" s="50">
        <f t="shared" si="373"/>
        <v>247.95</v>
      </c>
      <c r="Q2514" s="23"/>
      <c r="R2514" s="60"/>
      <c r="S2514" s="61"/>
      <c r="T2514" s="62">
        <f t="shared" si="374"/>
        <v>0</v>
      </c>
      <c r="U2514" s="46">
        <f t="shared" si="375"/>
        <v>0</v>
      </c>
      <c r="V2514" s="63">
        <f t="shared" si="376"/>
        <v>0</v>
      </c>
      <c r="W2514" s="49">
        <f t="shared" si="377"/>
        <v>0</v>
      </c>
      <c r="X2514" s="50">
        <f t="shared" si="378"/>
        <v>0</v>
      </c>
      <c r="Y2514"/>
      <c r="Z2514"/>
      <c r="AA2514"/>
    </row>
    <row r="2515" spans="1:27" s="51" customFormat="1" ht="18.600000000000001" hidden="1" customHeight="1" x14ac:dyDescent="0.25">
      <c r="A2515" s="80" t="s">
        <v>2653</v>
      </c>
      <c r="B2515" s="20" t="s">
        <v>6413</v>
      </c>
      <c r="C2515" s="21" t="s">
        <v>9326</v>
      </c>
      <c r="D2515" s="20">
        <v>8435568339729</v>
      </c>
      <c r="E2515" s="22" t="s">
        <v>6414</v>
      </c>
      <c r="F2515" s="22" t="s">
        <v>1937</v>
      </c>
      <c r="G2515" s="22" t="s">
        <v>6415</v>
      </c>
      <c r="H2515" s="83" t="s">
        <v>6416</v>
      </c>
      <c r="I2515" s="23" t="s">
        <v>24</v>
      </c>
      <c r="J2515" s="24">
        <v>2300</v>
      </c>
      <c r="K2515" s="25">
        <v>0.25</v>
      </c>
      <c r="L2515" s="26">
        <f t="shared" si="370"/>
        <v>575</v>
      </c>
      <c r="M2515" s="27">
        <f t="shared" si="371"/>
        <v>1725</v>
      </c>
      <c r="N2515" s="28">
        <v>0.16</v>
      </c>
      <c r="O2515" s="29">
        <f t="shared" si="372"/>
        <v>276</v>
      </c>
      <c r="P2515" s="30">
        <f t="shared" si="373"/>
        <v>2001</v>
      </c>
      <c r="Q2515" s="23"/>
      <c r="R2515" s="52"/>
      <c r="S2515" s="53"/>
      <c r="T2515" s="54">
        <f t="shared" si="374"/>
        <v>0</v>
      </c>
      <c r="U2515" s="26">
        <f t="shared" si="375"/>
        <v>0</v>
      </c>
      <c r="V2515" s="55">
        <f t="shared" si="376"/>
        <v>0</v>
      </c>
      <c r="W2515" s="29">
        <f t="shared" si="377"/>
        <v>0</v>
      </c>
      <c r="X2515" s="30">
        <f t="shared" si="378"/>
        <v>0</v>
      </c>
      <c r="Y2515"/>
      <c r="Z2515"/>
      <c r="AA2515"/>
    </row>
    <row r="2516" spans="1:27" s="51" customFormat="1" ht="18.600000000000001" hidden="1" customHeight="1" x14ac:dyDescent="0.25">
      <c r="A2516" s="81" t="s">
        <v>2653</v>
      </c>
      <c r="B2516" s="31" t="s">
        <v>6413</v>
      </c>
      <c r="C2516" s="32" t="s">
        <v>9341</v>
      </c>
      <c r="D2516" s="31" t="s">
        <v>6417</v>
      </c>
      <c r="E2516" s="33" t="s">
        <v>6418</v>
      </c>
      <c r="F2516" s="33" t="s">
        <v>1937</v>
      </c>
      <c r="G2516" s="33" t="s">
        <v>6419</v>
      </c>
      <c r="H2516" s="84" t="s">
        <v>6420</v>
      </c>
      <c r="I2516" s="23" t="s">
        <v>24</v>
      </c>
      <c r="J2516" s="34">
        <v>80</v>
      </c>
      <c r="K2516" s="35">
        <v>0.25</v>
      </c>
      <c r="L2516" s="36">
        <f t="shared" si="370"/>
        <v>20</v>
      </c>
      <c r="M2516" s="37">
        <f t="shared" si="371"/>
        <v>60</v>
      </c>
      <c r="N2516" s="38">
        <v>0.16</v>
      </c>
      <c r="O2516" s="39">
        <f t="shared" si="372"/>
        <v>9.6</v>
      </c>
      <c r="P2516" s="40">
        <f t="shared" si="373"/>
        <v>69.599999999999994</v>
      </c>
      <c r="Q2516" s="23"/>
      <c r="R2516" s="56"/>
      <c r="S2516" s="57"/>
      <c r="T2516" s="58">
        <f t="shared" si="374"/>
        <v>0</v>
      </c>
      <c r="U2516" s="36">
        <f t="shared" si="375"/>
        <v>0</v>
      </c>
      <c r="V2516" s="59">
        <f t="shared" si="376"/>
        <v>0</v>
      </c>
      <c r="W2516" s="39">
        <f t="shared" si="377"/>
        <v>0</v>
      </c>
      <c r="X2516" s="40">
        <f t="shared" si="378"/>
        <v>0</v>
      </c>
      <c r="Y2516"/>
      <c r="Z2516"/>
      <c r="AA2516"/>
    </row>
    <row r="2517" spans="1:27" s="51" customFormat="1" ht="18.600000000000001" hidden="1" customHeight="1" x14ac:dyDescent="0.25">
      <c r="A2517" s="82" t="s">
        <v>2653</v>
      </c>
      <c r="B2517" s="41" t="s">
        <v>6413</v>
      </c>
      <c r="C2517" s="42" t="s">
        <v>9341</v>
      </c>
      <c r="D2517" s="41" t="s">
        <v>6421</v>
      </c>
      <c r="E2517" s="43" t="s">
        <v>6422</v>
      </c>
      <c r="F2517" s="43" t="s">
        <v>1937</v>
      </c>
      <c r="G2517" s="43" t="s">
        <v>6419</v>
      </c>
      <c r="H2517" s="85" t="s">
        <v>1092</v>
      </c>
      <c r="I2517" s="23" t="s">
        <v>24</v>
      </c>
      <c r="J2517" s="44">
        <v>80</v>
      </c>
      <c r="K2517" s="45">
        <v>0.25</v>
      </c>
      <c r="L2517" s="46">
        <f t="shared" si="370"/>
        <v>20</v>
      </c>
      <c r="M2517" s="47">
        <f t="shared" si="371"/>
        <v>60</v>
      </c>
      <c r="N2517" s="48">
        <v>0.16</v>
      </c>
      <c r="O2517" s="49">
        <f t="shared" si="372"/>
        <v>9.6</v>
      </c>
      <c r="P2517" s="50">
        <f t="shared" si="373"/>
        <v>69.599999999999994</v>
      </c>
      <c r="Q2517" s="23"/>
      <c r="R2517" s="60"/>
      <c r="S2517" s="61"/>
      <c r="T2517" s="62">
        <f t="shared" si="374"/>
        <v>0</v>
      </c>
      <c r="U2517" s="46">
        <f t="shared" si="375"/>
        <v>0</v>
      </c>
      <c r="V2517" s="63">
        <f t="shared" si="376"/>
        <v>0</v>
      </c>
      <c r="W2517" s="49">
        <f t="shared" si="377"/>
        <v>0</v>
      </c>
      <c r="X2517" s="50">
        <f t="shared" si="378"/>
        <v>0</v>
      </c>
      <c r="Y2517"/>
      <c r="Z2517"/>
      <c r="AA2517"/>
    </row>
    <row r="2518" spans="1:27" s="51" customFormat="1" ht="18.600000000000001" hidden="1" customHeight="1" x14ac:dyDescent="0.25">
      <c r="A2518" s="80" t="s">
        <v>2653</v>
      </c>
      <c r="B2518" s="20" t="s">
        <v>6413</v>
      </c>
      <c r="C2518" s="21" t="s">
        <v>9341</v>
      </c>
      <c r="D2518" s="20" t="s">
        <v>6423</v>
      </c>
      <c r="E2518" s="22" t="s">
        <v>6424</v>
      </c>
      <c r="F2518" s="22" t="s">
        <v>1937</v>
      </c>
      <c r="G2518" s="22" t="s">
        <v>6419</v>
      </c>
      <c r="H2518" s="83" t="s">
        <v>6425</v>
      </c>
      <c r="I2518" s="23" t="s">
        <v>24</v>
      </c>
      <c r="J2518" s="24">
        <v>80</v>
      </c>
      <c r="K2518" s="25">
        <v>0.25</v>
      </c>
      <c r="L2518" s="26">
        <f t="shared" si="370"/>
        <v>20</v>
      </c>
      <c r="M2518" s="27">
        <f t="shared" si="371"/>
        <v>60</v>
      </c>
      <c r="N2518" s="28">
        <v>0.16</v>
      </c>
      <c r="O2518" s="29">
        <f t="shared" si="372"/>
        <v>9.6</v>
      </c>
      <c r="P2518" s="30">
        <f t="shared" si="373"/>
        <v>69.599999999999994</v>
      </c>
      <c r="Q2518" s="23"/>
      <c r="R2518" s="52"/>
      <c r="S2518" s="53"/>
      <c r="T2518" s="54">
        <f t="shared" si="374"/>
        <v>0</v>
      </c>
      <c r="U2518" s="26">
        <f t="shared" si="375"/>
        <v>0</v>
      </c>
      <c r="V2518" s="55">
        <f t="shared" si="376"/>
        <v>0</v>
      </c>
      <c r="W2518" s="29">
        <f t="shared" si="377"/>
        <v>0</v>
      </c>
      <c r="X2518" s="30">
        <f t="shared" si="378"/>
        <v>0</v>
      </c>
      <c r="Y2518"/>
      <c r="Z2518"/>
      <c r="AA2518"/>
    </row>
    <row r="2519" spans="1:27" s="51" customFormat="1" ht="18.600000000000001" hidden="1" customHeight="1" x14ac:dyDescent="0.25">
      <c r="A2519" s="81" t="s">
        <v>2653</v>
      </c>
      <c r="B2519" s="31" t="s">
        <v>6413</v>
      </c>
      <c r="C2519" s="32" t="s">
        <v>9341</v>
      </c>
      <c r="D2519" s="31" t="s">
        <v>6426</v>
      </c>
      <c r="E2519" s="33" t="s">
        <v>6427</v>
      </c>
      <c r="F2519" s="33" t="s">
        <v>1937</v>
      </c>
      <c r="G2519" s="33" t="s">
        <v>6419</v>
      </c>
      <c r="H2519" s="84" t="s">
        <v>6428</v>
      </c>
      <c r="I2519" s="23" t="s">
        <v>24</v>
      </c>
      <c r="J2519" s="34">
        <v>80</v>
      </c>
      <c r="K2519" s="35">
        <v>0.25</v>
      </c>
      <c r="L2519" s="36">
        <f t="shared" ref="L2519:L2582" si="379">+J2519*K2519</f>
        <v>20</v>
      </c>
      <c r="M2519" s="37">
        <f t="shared" ref="M2519:M2582" si="380">+J2519-L2519</f>
        <v>60</v>
      </c>
      <c r="N2519" s="38">
        <v>0.16</v>
      </c>
      <c r="O2519" s="39">
        <f t="shared" ref="O2519:O2582" si="381">+M2519*N2519</f>
        <v>9.6</v>
      </c>
      <c r="P2519" s="40">
        <f t="shared" ref="P2519:P2582" si="382">+M2519+O2519</f>
        <v>69.599999999999994</v>
      </c>
      <c r="Q2519" s="23"/>
      <c r="R2519" s="56"/>
      <c r="S2519" s="57"/>
      <c r="T2519" s="58">
        <f t="shared" ref="T2519:T2582" si="383">+S2519*J2519</f>
        <v>0</v>
      </c>
      <c r="U2519" s="36">
        <f t="shared" ref="U2519:U2582" si="384">+T2519*K2519</f>
        <v>0</v>
      </c>
      <c r="V2519" s="59">
        <f t="shared" ref="V2519:V2582" si="385">+T2519-U2519</f>
        <v>0</v>
      </c>
      <c r="W2519" s="39">
        <f t="shared" ref="W2519:W2582" si="386">+V2519*N2519</f>
        <v>0</v>
      </c>
      <c r="X2519" s="40">
        <f t="shared" ref="X2519:X2582" si="387">+V2519+W2519</f>
        <v>0</v>
      </c>
      <c r="Y2519"/>
      <c r="Z2519"/>
      <c r="AA2519"/>
    </row>
    <row r="2520" spans="1:27" s="51" customFormat="1" ht="18.600000000000001" hidden="1" customHeight="1" x14ac:dyDescent="0.25">
      <c r="A2520" s="82" t="s">
        <v>2653</v>
      </c>
      <c r="B2520" s="41" t="s">
        <v>6413</v>
      </c>
      <c r="C2520" s="42" t="s">
        <v>9341</v>
      </c>
      <c r="D2520" s="41" t="s">
        <v>6429</v>
      </c>
      <c r="E2520" s="43" t="s">
        <v>6430</v>
      </c>
      <c r="F2520" s="43" t="s">
        <v>1937</v>
      </c>
      <c r="G2520" s="43" t="s">
        <v>6419</v>
      </c>
      <c r="H2520" s="85" t="s">
        <v>6431</v>
      </c>
      <c r="I2520" s="23" t="s">
        <v>24</v>
      </c>
      <c r="J2520" s="44">
        <v>80</v>
      </c>
      <c r="K2520" s="45">
        <v>0.25</v>
      </c>
      <c r="L2520" s="46">
        <f t="shared" si="379"/>
        <v>20</v>
      </c>
      <c r="M2520" s="47">
        <f t="shared" si="380"/>
        <v>60</v>
      </c>
      <c r="N2520" s="48">
        <v>0.16</v>
      </c>
      <c r="O2520" s="49">
        <f t="shared" si="381"/>
        <v>9.6</v>
      </c>
      <c r="P2520" s="50">
        <f t="shared" si="382"/>
        <v>69.599999999999994</v>
      </c>
      <c r="Q2520" s="23"/>
      <c r="R2520" s="60"/>
      <c r="S2520" s="61"/>
      <c r="T2520" s="62">
        <f t="shared" si="383"/>
        <v>0</v>
      </c>
      <c r="U2520" s="46">
        <f t="shared" si="384"/>
        <v>0</v>
      </c>
      <c r="V2520" s="63">
        <f t="shared" si="385"/>
        <v>0</v>
      </c>
      <c r="W2520" s="49">
        <f t="shared" si="386"/>
        <v>0</v>
      </c>
      <c r="X2520" s="50">
        <f t="shared" si="387"/>
        <v>0</v>
      </c>
      <c r="Y2520"/>
      <c r="Z2520"/>
      <c r="AA2520"/>
    </row>
    <row r="2521" spans="1:27" s="51" customFormat="1" ht="18.600000000000001" hidden="1" customHeight="1" x14ac:dyDescent="0.25">
      <c r="A2521" s="80" t="s">
        <v>2653</v>
      </c>
      <c r="B2521" s="20" t="s">
        <v>6413</v>
      </c>
      <c r="C2521" s="21" t="s">
        <v>9341</v>
      </c>
      <c r="D2521" s="20" t="s">
        <v>6432</v>
      </c>
      <c r="E2521" s="22" t="s">
        <v>6433</v>
      </c>
      <c r="F2521" s="22" t="s">
        <v>1937</v>
      </c>
      <c r="G2521" s="22" t="s">
        <v>6419</v>
      </c>
      <c r="H2521" s="83" t="s">
        <v>6434</v>
      </c>
      <c r="I2521" s="23" t="s">
        <v>24</v>
      </c>
      <c r="J2521" s="24">
        <v>80</v>
      </c>
      <c r="K2521" s="25">
        <v>0.25</v>
      </c>
      <c r="L2521" s="26">
        <f t="shared" si="379"/>
        <v>20</v>
      </c>
      <c r="M2521" s="27">
        <f t="shared" si="380"/>
        <v>60</v>
      </c>
      <c r="N2521" s="28">
        <v>0.16</v>
      </c>
      <c r="O2521" s="29">
        <f t="shared" si="381"/>
        <v>9.6</v>
      </c>
      <c r="P2521" s="30">
        <f t="shared" si="382"/>
        <v>69.599999999999994</v>
      </c>
      <c r="Q2521" s="23"/>
      <c r="R2521" s="52"/>
      <c r="S2521" s="53"/>
      <c r="T2521" s="54">
        <f t="shared" si="383"/>
        <v>0</v>
      </c>
      <c r="U2521" s="26">
        <f t="shared" si="384"/>
        <v>0</v>
      </c>
      <c r="V2521" s="55">
        <f t="shared" si="385"/>
        <v>0</v>
      </c>
      <c r="W2521" s="29">
        <f t="shared" si="386"/>
        <v>0</v>
      </c>
      <c r="X2521" s="30">
        <f t="shared" si="387"/>
        <v>0</v>
      </c>
      <c r="Y2521"/>
      <c r="Z2521"/>
      <c r="AA2521"/>
    </row>
    <row r="2522" spans="1:27" s="51" customFormat="1" ht="18.600000000000001" hidden="1" customHeight="1" x14ac:dyDescent="0.25">
      <c r="A2522" s="81" t="s">
        <v>2653</v>
      </c>
      <c r="B2522" s="31" t="s">
        <v>6413</v>
      </c>
      <c r="C2522" s="32" t="s">
        <v>9341</v>
      </c>
      <c r="D2522" s="31" t="s">
        <v>6435</v>
      </c>
      <c r="E2522" s="33" t="s">
        <v>6436</v>
      </c>
      <c r="F2522" s="33" t="s">
        <v>1937</v>
      </c>
      <c r="G2522" s="33" t="s">
        <v>6419</v>
      </c>
      <c r="H2522" s="84" t="s">
        <v>6437</v>
      </c>
      <c r="I2522" s="23" t="s">
        <v>24</v>
      </c>
      <c r="J2522" s="34">
        <v>80</v>
      </c>
      <c r="K2522" s="35">
        <v>0.25</v>
      </c>
      <c r="L2522" s="36">
        <f t="shared" si="379"/>
        <v>20</v>
      </c>
      <c r="M2522" s="37">
        <f t="shared" si="380"/>
        <v>60</v>
      </c>
      <c r="N2522" s="38">
        <v>0.16</v>
      </c>
      <c r="O2522" s="39">
        <f t="shared" si="381"/>
        <v>9.6</v>
      </c>
      <c r="P2522" s="40">
        <f t="shared" si="382"/>
        <v>69.599999999999994</v>
      </c>
      <c r="Q2522" s="23"/>
      <c r="R2522" s="56"/>
      <c r="S2522" s="57"/>
      <c r="T2522" s="58">
        <f t="shared" si="383"/>
        <v>0</v>
      </c>
      <c r="U2522" s="36">
        <f t="shared" si="384"/>
        <v>0</v>
      </c>
      <c r="V2522" s="59">
        <f t="shared" si="385"/>
        <v>0</v>
      </c>
      <c r="W2522" s="39">
        <f t="shared" si="386"/>
        <v>0</v>
      </c>
      <c r="X2522" s="40">
        <f t="shared" si="387"/>
        <v>0</v>
      </c>
      <c r="Y2522"/>
      <c r="Z2522"/>
      <c r="AA2522"/>
    </row>
    <row r="2523" spans="1:27" s="51" customFormat="1" ht="18.600000000000001" hidden="1" customHeight="1" x14ac:dyDescent="0.25">
      <c r="A2523" s="82" t="s">
        <v>2653</v>
      </c>
      <c r="B2523" s="41" t="s">
        <v>6413</v>
      </c>
      <c r="C2523" s="42" t="s">
        <v>9341</v>
      </c>
      <c r="D2523" s="41" t="s">
        <v>6438</v>
      </c>
      <c r="E2523" s="43" t="s">
        <v>6439</v>
      </c>
      <c r="F2523" s="43" t="s">
        <v>1937</v>
      </c>
      <c r="G2523" s="43" t="s">
        <v>6419</v>
      </c>
      <c r="H2523" s="85" t="s">
        <v>1027</v>
      </c>
      <c r="I2523" s="23" t="s">
        <v>24</v>
      </c>
      <c r="J2523" s="44">
        <v>80</v>
      </c>
      <c r="K2523" s="45">
        <v>0.25</v>
      </c>
      <c r="L2523" s="46">
        <f t="shared" si="379"/>
        <v>20</v>
      </c>
      <c r="M2523" s="47">
        <f t="shared" si="380"/>
        <v>60</v>
      </c>
      <c r="N2523" s="48">
        <v>0.16</v>
      </c>
      <c r="O2523" s="49">
        <f t="shared" si="381"/>
        <v>9.6</v>
      </c>
      <c r="P2523" s="50">
        <f t="shared" si="382"/>
        <v>69.599999999999994</v>
      </c>
      <c r="Q2523" s="23"/>
      <c r="R2523" s="60"/>
      <c r="S2523" s="61"/>
      <c r="T2523" s="62">
        <f t="shared" si="383"/>
        <v>0</v>
      </c>
      <c r="U2523" s="46">
        <f t="shared" si="384"/>
        <v>0</v>
      </c>
      <c r="V2523" s="63">
        <f t="shared" si="385"/>
        <v>0</v>
      </c>
      <c r="W2523" s="49">
        <f t="shared" si="386"/>
        <v>0</v>
      </c>
      <c r="X2523" s="50">
        <f t="shared" si="387"/>
        <v>0</v>
      </c>
      <c r="Y2523"/>
      <c r="Z2523"/>
      <c r="AA2523"/>
    </row>
    <row r="2524" spans="1:27" s="51" customFormat="1" ht="18.600000000000001" hidden="1" customHeight="1" x14ac:dyDescent="0.25">
      <c r="A2524" s="80" t="s">
        <v>2653</v>
      </c>
      <c r="B2524" s="20" t="s">
        <v>6413</v>
      </c>
      <c r="C2524" s="21" t="s">
        <v>9341</v>
      </c>
      <c r="D2524" s="20" t="s">
        <v>6440</v>
      </c>
      <c r="E2524" s="22" t="s">
        <v>6441</v>
      </c>
      <c r="F2524" s="22" t="s">
        <v>1937</v>
      </c>
      <c r="G2524" s="22" t="s">
        <v>6419</v>
      </c>
      <c r="H2524" s="83" t="s">
        <v>6442</v>
      </c>
      <c r="I2524" s="23" t="s">
        <v>24</v>
      </c>
      <c r="J2524" s="24">
        <v>80</v>
      </c>
      <c r="K2524" s="25">
        <v>0.25</v>
      </c>
      <c r="L2524" s="26">
        <f t="shared" si="379"/>
        <v>20</v>
      </c>
      <c r="M2524" s="27">
        <f t="shared" si="380"/>
        <v>60</v>
      </c>
      <c r="N2524" s="28">
        <v>0.16</v>
      </c>
      <c r="O2524" s="29">
        <f t="shared" si="381"/>
        <v>9.6</v>
      </c>
      <c r="P2524" s="30">
        <f t="shared" si="382"/>
        <v>69.599999999999994</v>
      </c>
      <c r="Q2524" s="23"/>
      <c r="R2524" s="52"/>
      <c r="S2524" s="53"/>
      <c r="T2524" s="54">
        <f t="shared" si="383"/>
        <v>0</v>
      </c>
      <c r="U2524" s="26">
        <f t="shared" si="384"/>
        <v>0</v>
      </c>
      <c r="V2524" s="55">
        <f t="shared" si="385"/>
        <v>0</v>
      </c>
      <c r="W2524" s="29">
        <f t="shared" si="386"/>
        <v>0</v>
      </c>
      <c r="X2524" s="30">
        <f t="shared" si="387"/>
        <v>0</v>
      </c>
      <c r="Y2524"/>
      <c r="Z2524"/>
      <c r="AA2524"/>
    </row>
    <row r="2525" spans="1:27" s="51" customFormat="1" ht="18.600000000000001" hidden="1" customHeight="1" x14ac:dyDescent="0.25">
      <c r="A2525" s="81" t="s">
        <v>2653</v>
      </c>
      <c r="B2525" s="31" t="s">
        <v>6413</v>
      </c>
      <c r="C2525" s="32" t="s">
        <v>9341</v>
      </c>
      <c r="D2525" s="31" t="s">
        <v>6443</v>
      </c>
      <c r="E2525" s="33" t="s">
        <v>6444</v>
      </c>
      <c r="F2525" s="33" t="s">
        <v>1937</v>
      </c>
      <c r="G2525" s="33" t="s">
        <v>6419</v>
      </c>
      <c r="H2525" s="84" t="s">
        <v>1515</v>
      </c>
      <c r="I2525" s="23" t="s">
        <v>24</v>
      </c>
      <c r="J2525" s="34">
        <v>80</v>
      </c>
      <c r="K2525" s="35">
        <v>0.25</v>
      </c>
      <c r="L2525" s="36">
        <f t="shared" si="379"/>
        <v>20</v>
      </c>
      <c r="M2525" s="37">
        <f t="shared" si="380"/>
        <v>60</v>
      </c>
      <c r="N2525" s="38">
        <v>0.16</v>
      </c>
      <c r="O2525" s="39">
        <f t="shared" si="381"/>
        <v>9.6</v>
      </c>
      <c r="P2525" s="40">
        <f t="shared" si="382"/>
        <v>69.599999999999994</v>
      </c>
      <c r="Q2525" s="23"/>
      <c r="R2525" s="56"/>
      <c r="S2525" s="57"/>
      <c r="T2525" s="58">
        <f t="shared" si="383"/>
        <v>0</v>
      </c>
      <c r="U2525" s="36">
        <f t="shared" si="384"/>
        <v>0</v>
      </c>
      <c r="V2525" s="59">
        <f t="shared" si="385"/>
        <v>0</v>
      </c>
      <c r="W2525" s="39">
        <f t="shared" si="386"/>
        <v>0</v>
      </c>
      <c r="X2525" s="40">
        <f t="shared" si="387"/>
        <v>0</v>
      </c>
      <c r="Y2525"/>
      <c r="Z2525"/>
      <c r="AA2525"/>
    </row>
    <row r="2526" spans="1:27" s="51" customFormat="1" ht="18.600000000000001" hidden="1" customHeight="1" x14ac:dyDescent="0.25">
      <c r="A2526" s="82" t="s">
        <v>2653</v>
      </c>
      <c r="B2526" s="41" t="s">
        <v>6413</v>
      </c>
      <c r="C2526" s="42" t="s">
        <v>9341</v>
      </c>
      <c r="D2526" s="41" t="s">
        <v>6445</v>
      </c>
      <c r="E2526" s="43" t="s">
        <v>6446</v>
      </c>
      <c r="F2526" s="43" t="s">
        <v>1937</v>
      </c>
      <c r="G2526" s="43" t="s">
        <v>6419</v>
      </c>
      <c r="H2526" s="85" t="s">
        <v>6447</v>
      </c>
      <c r="I2526" s="23" t="s">
        <v>24</v>
      </c>
      <c r="J2526" s="44">
        <v>80</v>
      </c>
      <c r="K2526" s="45">
        <v>0.25</v>
      </c>
      <c r="L2526" s="46">
        <f t="shared" si="379"/>
        <v>20</v>
      </c>
      <c r="M2526" s="47">
        <f t="shared" si="380"/>
        <v>60</v>
      </c>
      <c r="N2526" s="48">
        <v>0.16</v>
      </c>
      <c r="O2526" s="49">
        <f t="shared" si="381"/>
        <v>9.6</v>
      </c>
      <c r="P2526" s="50">
        <f t="shared" si="382"/>
        <v>69.599999999999994</v>
      </c>
      <c r="Q2526" s="23"/>
      <c r="R2526" s="60"/>
      <c r="S2526" s="61"/>
      <c r="T2526" s="62">
        <f t="shared" si="383"/>
        <v>0</v>
      </c>
      <c r="U2526" s="46">
        <f t="shared" si="384"/>
        <v>0</v>
      </c>
      <c r="V2526" s="63">
        <f t="shared" si="385"/>
        <v>0</v>
      </c>
      <c r="W2526" s="49">
        <f t="shared" si="386"/>
        <v>0</v>
      </c>
      <c r="X2526" s="50">
        <f t="shared" si="387"/>
        <v>0</v>
      </c>
      <c r="Y2526"/>
      <c r="Z2526"/>
      <c r="AA2526"/>
    </row>
    <row r="2527" spans="1:27" s="51" customFormat="1" ht="18.600000000000001" hidden="1" customHeight="1" x14ac:dyDescent="0.25">
      <c r="A2527" s="80" t="s">
        <v>2653</v>
      </c>
      <c r="B2527" s="20" t="s">
        <v>6413</v>
      </c>
      <c r="C2527" s="21" t="s">
        <v>9341</v>
      </c>
      <c r="D2527" s="20" t="s">
        <v>6448</v>
      </c>
      <c r="E2527" s="22" t="s">
        <v>6449</v>
      </c>
      <c r="F2527" s="22" t="s">
        <v>1937</v>
      </c>
      <c r="G2527" s="22" t="s">
        <v>6419</v>
      </c>
      <c r="H2527" s="83" t="s">
        <v>6450</v>
      </c>
      <c r="I2527" s="23" t="s">
        <v>24</v>
      </c>
      <c r="J2527" s="24">
        <v>80</v>
      </c>
      <c r="K2527" s="25">
        <v>0.25</v>
      </c>
      <c r="L2527" s="26">
        <f t="shared" si="379"/>
        <v>20</v>
      </c>
      <c r="M2527" s="27">
        <f t="shared" si="380"/>
        <v>60</v>
      </c>
      <c r="N2527" s="28">
        <v>0.16</v>
      </c>
      <c r="O2527" s="29">
        <f t="shared" si="381"/>
        <v>9.6</v>
      </c>
      <c r="P2527" s="30">
        <f t="shared" si="382"/>
        <v>69.599999999999994</v>
      </c>
      <c r="Q2527" s="23"/>
      <c r="R2527" s="52"/>
      <c r="S2527" s="53"/>
      <c r="T2527" s="54">
        <f t="shared" si="383"/>
        <v>0</v>
      </c>
      <c r="U2527" s="26">
        <f t="shared" si="384"/>
        <v>0</v>
      </c>
      <c r="V2527" s="55">
        <f t="shared" si="385"/>
        <v>0</v>
      </c>
      <c r="W2527" s="29">
        <f t="shared" si="386"/>
        <v>0</v>
      </c>
      <c r="X2527" s="30">
        <f t="shared" si="387"/>
        <v>0</v>
      </c>
      <c r="Y2527"/>
      <c r="Z2527"/>
      <c r="AA2527"/>
    </row>
    <row r="2528" spans="1:27" s="51" customFormat="1" ht="18.600000000000001" hidden="1" customHeight="1" x14ac:dyDescent="0.25">
      <c r="A2528" s="81" t="s">
        <v>2653</v>
      </c>
      <c r="B2528" s="31" t="s">
        <v>6413</v>
      </c>
      <c r="C2528" s="32" t="s">
        <v>9341</v>
      </c>
      <c r="D2528" s="31" t="s">
        <v>6451</v>
      </c>
      <c r="E2528" s="33" t="s">
        <v>6452</v>
      </c>
      <c r="F2528" s="33" t="s">
        <v>1937</v>
      </c>
      <c r="G2528" s="33" t="s">
        <v>6419</v>
      </c>
      <c r="H2528" s="84" t="s">
        <v>6453</v>
      </c>
      <c r="I2528" s="23" t="s">
        <v>24</v>
      </c>
      <c r="J2528" s="34">
        <v>80</v>
      </c>
      <c r="K2528" s="35">
        <v>0.25</v>
      </c>
      <c r="L2528" s="36">
        <f t="shared" si="379"/>
        <v>20</v>
      </c>
      <c r="M2528" s="37">
        <f t="shared" si="380"/>
        <v>60</v>
      </c>
      <c r="N2528" s="38">
        <v>0.16</v>
      </c>
      <c r="O2528" s="39">
        <f t="shared" si="381"/>
        <v>9.6</v>
      </c>
      <c r="P2528" s="40">
        <f t="shared" si="382"/>
        <v>69.599999999999994</v>
      </c>
      <c r="Q2528" s="23"/>
      <c r="R2528" s="56"/>
      <c r="S2528" s="57"/>
      <c r="T2528" s="58">
        <f t="shared" si="383"/>
        <v>0</v>
      </c>
      <c r="U2528" s="36">
        <f t="shared" si="384"/>
        <v>0</v>
      </c>
      <c r="V2528" s="59">
        <f t="shared" si="385"/>
        <v>0</v>
      </c>
      <c r="W2528" s="39">
        <f t="shared" si="386"/>
        <v>0</v>
      </c>
      <c r="X2528" s="40">
        <f t="shared" si="387"/>
        <v>0</v>
      </c>
      <c r="Y2528"/>
      <c r="Z2528"/>
      <c r="AA2528"/>
    </row>
    <row r="2529" spans="1:27" s="51" customFormat="1" ht="18.600000000000001" hidden="1" customHeight="1" x14ac:dyDescent="0.25">
      <c r="A2529" s="82" t="s">
        <v>2653</v>
      </c>
      <c r="B2529" s="41" t="s">
        <v>6413</v>
      </c>
      <c r="C2529" s="42" t="s">
        <v>9341</v>
      </c>
      <c r="D2529" s="41" t="s">
        <v>6454</v>
      </c>
      <c r="E2529" s="43" t="s">
        <v>6455</v>
      </c>
      <c r="F2529" s="43" t="s">
        <v>1937</v>
      </c>
      <c r="G2529" s="43" t="s">
        <v>6419</v>
      </c>
      <c r="H2529" s="85" t="s">
        <v>6456</v>
      </c>
      <c r="I2529" s="23" t="s">
        <v>24</v>
      </c>
      <c r="J2529" s="44">
        <v>80</v>
      </c>
      <c r="K2529" s="45">
        <v>0.25</v>
      </c>
      <c r="L2529" s="46">
        <f t="shared" si="379"/>
        <v>20</v>
      </c>
      <c r="M2529" s="47">
        <f t="shared" si="380"/>
        <v>60</v>
      </c>
      <c r="N2529" s="48">
        <v>0.16</v>
      </c>
      <c r="O2529" s="49">
        <f t="shared" si="381"/>
        <v>9.6</v>
      </c>
      <c r="P2529" s="50">
        <f t="shared" si="382"/>
        <v>69.599999999999994</v>
      </c>
      <c r="Q2529" s="23"/>
      <c r="R2529" s="60"/>
      <c r="S2529" s="61"/>
      <c r="T2529" s="62">
        <f t="shared" si="383"/>
        <v>0</v>
      </c>
      <c r="U2529" s="46">
        <f t="shared" si="384"/>
        <v>0</v>
      </c>
      <c r="V2529" s="63">
        <f t="shared" si="385"/>
        <v>0</v>
      </c>
      <c r="W2529" s="49">
        <f t="shared" si="386"/>
        <v>0</v>
      </c>
      <c r="X2529" s="50">
        <f t="shared" si="387"/>
        <v>0</v>
      </c>
      <c r="Y2529"/>
      <c r="Z2529"/>
      <c r="AA2529"/>
    </row>
    <row r="2530" spans="1:27" s="51" customFormat="1" ht="18.600000000000001" hidden="1" customHeight="1" x14ac:dyDescent="0.25">
      <c r="A2530" s="80" t="s">
        <v>2653</v>
      </c>
      <c r="B2530" s="20" t="s">
        <v>6413</v>
      </c>
      <c r="C2530" s="21" t="s">
        <v>9341</v>
      </c>
      <c r="D2530" s="20" t="s">
        <v>6457</v>
      </c>
      <c r="E2530" s="22" t="s">
        <v>6458</v>
      </c>
      <c r="F2530" s="22" t="s">
        <v>1937</v>
      </c>
      <c r="G2530" s="22" t="s">
        <v>6419</v>
      </c>
      <c r="H2530" s="83" t="s">
        <v>6459</v>
      </c>
      <c r="I2530" s="23" t="s">
        <v>24</v>
      </c>
      <c r="J2530" s="24">
        <v>80</v>
      </c>
      <c r="K2530" s="25">
        <v>0.25</v>
      </c>
      <c r="L2530" s="26">
        <f t="shared" si="379"/>
        <v>20</v>
      </c>
      <c r="M2530" s="27">
        <f t="shared" si="380"/>
        <v>60</v>
      </c>
      <c r="N2530" s="28">
        <v>0.16</v>
      </c>
      <c r="O2530" s="29">
        <f t="shared" si="381"/>
        <v>9.6</v>
      </c>
      <c r="P2530" s="30">
        <f t="shared" si="382"/>
        <v>69.599999999999994</v>
      </c>
      <c r="Q2530" s="23"/>
      <c r="R2530" s="52"/>
      <c r="S2530" s="53"/>
      <c r="T2530" s="54">
        <f t="shared" si="383"/>
        <v>0</v>
      </c>
      <c r="U2530" s="26">
        <f t="shared" si="384"/>
        <v>0</v>
      </c>
      <c r="V2530" s="55">
        <f t="shared" si="385"/>
        <v>0</v>
      </c>
      <c r="W2530" s="29">
        <f t="shared" si="386"/>
        <v>0</v>
      </c>
      <c r="X2530" s="30">
        <f t="shared" si="387"/>
        <v>0</v>
      </c>
      <c r="Y2530"/>
      <c r="Z2530"/>
      <c r="AA2530"/>
    </row>
    <row r="2531" spans="1:27" s="51" customFormat="1" ht="18.600000000000001" hidden="1" customHeight="1" x14ac:dyDescent="0.25">
      <c r="A2531" s="81" t="s">
        <v>2653</v>
      </c>
      <c r="B2531" s="31" t="s">
        <v>6413</v>
      </c>
      <c r="C2531" s="32" t="s">
        <v>9341</v>
      </c>
      <c r="D2531" s="31" t="s">
        <v>6460</v>
      </c>
      <c r="E2531" s="33" t="s">
        <v>6461</v>
      </c>
      <c r="F2531" s="33" t="s">
        <v>1937</v>
      </c>
      <c r="G2531" s="33" t="s">
        <v>6419</v>
      </c>
      <c r="H2531" s="84" t="s">
        <v>6462</v>
      </c>
      <c r="I2531" s="23" t="s">
        <v>24</v>
      </c>
      <c r="J2531" s="34">
        <v>80</v>
      </c>
      <c r="K2531" s="35">
        <v>0.25</v>
      </c>
      <c r="L2531" s="36">
        <f t="shared" si="379"/>
        <v>20</v>
      </c>
      <c r="M2531" s="37">
        <f t="shared" si="380"/>
        <v>60</v>
      </c>
      <c r="N2531" s="38">
        <v>0.16</v>
      </c>
      <c r="O2531" s="39">
        <f t="shared" si="381"/>
        <v>9.6</v>
      </c>
      <c r="P2531" s="40">
        <f t="shared" si="382"/>
        <v>69.599999999999994</v>
      </c>
      <c r="Q2531" s="23"/>
      <c r="R2531" s="56"/>
      <c r="S2531" s="57"/>
      <c r="T2531" s="58">
        <f t="shared" si="383"/>
        <v>0</v>
      </c>
      <c r="U2531" s="36">
        <f t="shared" si="384"/>
        <v>0</v>
      </c>
      <c r="V2531" s="59">
        <f t="shared" si="385"/>
        <v>0</v>
      </c>
      <c r="W2531" s="39">
        <f t="shared" si="386"/>
        <v>0</v>
      </c>
      <c r="X2531" s="40">
        <f t="shared" si="387"/>
        <v>0</v>
      </c>
      <c r="Y2531"/>
      <c r="Z2531"/>
      <c r="AA2531"/>
    </row>
    <row r="2532" spans="1:27" s="51" customFormat="1" ht="18.600000000000001" hidden="1" customHeight="1" x14ac:dyDescent="0.25">
      <c r="A2532" s="82" t="s">
        <v>2653</v>
      </c>
      <c r="B2532" s="41" t="s">
        <v>6413</v>
      </c>
      <c r="C2532" s="42" t="s">
        <v>9341</v>
      </c>
      <c r="D2532" s="41" t="s">
        <v>6463</v>
      </c>
      <c r="E2532" s="43" t="s">
        <v>6464</v>
      </c>
      <c r="F2532" s="43" t="s">
        <v>1937</v>
      </c>
      <c r="G2532" s="43" t="s">
        <v>6419</v>
      </c>
      <c r="H2532" s="85" t="s">
        <v>6465</v>
      </c>
      <c r="I2532" s="23" t="s">
        <v>24</v>
      </c>
      <c r="J2532" s="44">
        <v>80</v>
      </c>
      <c r="K2532" s="45">
        <v>0.25</v>
      </c>
      <c r="L2532" s="46">
        <f t="shared" si="379"/>
        <v>20</v>
      </c>
      <c r="M2532" s="47">
        <f t="shared" si="380"/>
        <v>60</v>
      </c>
      <c r="N2532" s="48">
        <v>0.16</v>
      </c>
      <c r="O2532" s="49">
        <f t="shared" si="381"/>
        <v>9.6</v>
      </c>
      <c r="P2532" s="50">
        <f t="shared" si="382"/>
        <v>69.599999999999994</v>
      </c>
      <c r="Q2532" s="23"/>
      <c r="R2532" s="60"/>
      <c r="S2532" s="61"/>
      <c r="T2532" s="62">
        <f t="shared" si="383"/>
        <v>0</v>
      </c>
      <c r="U2532" s="46">
        <f t="shared" si="384"/>
        <v>0</v>
      </c>
      <c r="V2532" s="63">
        <f t="shared" si="385"/>
        <v>0</v>
      </c>
      <c r="W2532" s="49">
        <f t="shared" si="386"/>
        <v>0</v>
      </c>
      <c r="X2532" s="50">
        <f t="shared" si="387"/>
        <v>0</v>
      </c>
      <c r="Y2532"/>
      <c r="Z2532"/>
      <c r="AA2532"/>
    </row>
    <row r="2533" spans="1:27" s="51" customFormat="1" ht="18.600000000000001" hidden="1" customHeight="1" x14ac:dyDescent="0.25">
      <c r="A2533" s="80" t="s">
        <v>2653</v>
      </c>
      <c r="B2533" s="20" t="s">
        <v>6413</v>
      </c>
      <c r="C2533" s="21" t="s">
        <v>9341</v>
      </c>
      <c r="D2533" s="20" t="s">
        <v>6466</v>
      </c>
      <c r="E2533" s="22" t="s">
        <v>6467</v>
      </c>
      <c r="F2533" s="22" t="s">
        <v>1937</v>
      </c>
      <c r="G2533" s="22" t="s">
        <v>6419</v>
      </c>
      <c r="H2533" s="83" t="s">
        <v>6468</v>
      </c>
      <c r="I2533" s="23" t="s">
        <v>24</v>
      </c>
      <c r="J2533" s="24">
        <v>80</v>
      </c>
      <c r="K2533" s="25">
        <v>0.25</v>
      </c>
      <c r="L2533" s="26">
        <f t="shared" si="379"/>
        <v>20</v>
      </c>
      <c r="M2533" s="27">
        <f t="shared" si="380"/>
        <v>60</v>
      </c>
      <c r="N2533" s="28">
        <v>0.16</v>
      </c>
      <c r="O2533" s="29">
        <f t="shared" si="381"/>
        <v>9.6</v>
      </c>
      <c r="P2533" s="30">
        <f t="shared" si="382"/>
        <v>69.599999999999994</v>
      </c>
      <c r="Q2533" s="23"/>
      <c r="R2533" s="52"/>
      <c r="S2533" s="53"/>
      <c r="T2533" s="54">
        <f t="shared" si="383"/>
        <v>0</v>
      </c>
      <c r="U2533" s="26">
        <f t="shared" si="384"/>
        <v>0</v>
      </c>
      <c r="V2533" s="55">
        <f t="shared" si="385"/>
        <v>0</v>
      </c>
      <c r="W2533" s="29">
        <f t="shared" si="386"/>
        <v>0</v>
      </c>
      <c r="X2533" s="30">
        <f t="shared" si="387"/>
        <v>0</v>
      </c>
      <c r="Y2533"/>
      <c r="Z2533"/>
      <c r="AA2533"/>
    </row>
    <row r="2534" spans="1:27" s="51" customFormat="1" ht="18.600000000000001" hidden="1" customHeight="1" x14ac:dyDescent="0.25">
      <c r="A2534" s="81" t="s">
        <v>2653</v>
      </c>
      <c r="B2534" s="31" t="s">
        <v>6413</v>
      </c>
      <c r="C2534" s="32" t="s">
        <v>9341</v>
      </c>
      <c r="D2534" s="31" t="s">
        <v>6469</v>
      </c>
      <c r="E2534" s="33" t="s">
        <v>6470</v>
      </c>
      <c r="F2534" s="33" t="s">
        <v>1937</v>
      </c>
      <c r="G2534" s="33" t="s">
        <v>6419</v>
      </c>
      <c r="H2534" s="84" t="s">
        <v>6471</v>
      </c>
      <c r="I2534" s="23" t="s">
        <v>24</v>
      </c>
      <c r="J2534" s="34">
        <v>80</v>
      </c>
      <c r="K2534" s="35">
        <v>0.25</v>
      </c>
      <c r="L2534" s="36">
        <f t="shared" si="379"/>
        <v>20</v>
      </c>
      <c r="M2534" s="37">
        <f t="shared" si="380"/>
        <v>60</v>
      </c>
      <c r="N2534" s="38">
        <v>0.16</v>
      </c>
      <c r="O2534" s="39">
        <f t="shared" si="381"/>
        <v>9.6</v>
      </c>
      <c r="P2534" s="40">
        <f t="shared" si="382"/>
        <v>69.599999999999994</v>
      </c>
      <c r="Q2534" s="23"/>
      <c r="R2534" s="56"/>
      <c r="S2534" s="57"/>
      <c r="T2534" s="58">
        <f t="shared" si="383"/>
        <v>0</v>
      </c>
      <c r="U2534" s="36">
        <f t="shared" si="384"/>
        <v>0</v>
      </c>
      <c r="V2534" s="59">
        <f t="shared" si="385"/>
        <v>0</v>
      </c>
      <c r="W2534" s="39">
        <f t="shared" si="386"/>
        <v>0</v>
      </c>
      <c r="X2534" s="40">
        <f t="shared" si="387"/>
        <v>0</v>
      </c>
      <c r="Y2534"/>
      <c r="Z2534"/>
      <c r="AA2534"/>
    </row>
    <row r="2535" spans="1:27" s="51" customFormat="1" ht="18.600000000000001" hidden="1" customHeight="1" x14ac:dyDescent="0.25">
      <c r="A2535" s="82" t="s">
        <v>2653</v>
      </c>
      <c r="B2535" s="41" t="s">
        <v>6413</v>
      </c>
      <c r="C2535" s="42" t="s">
        <v>9341</v>
      </c>
      <c r="D2535" s="41" t="s">
        <v>6472</v>
      </c>
      <c r="E2535" s="43" t="s">
        <v>6473</v>
      </c>
      <c r="F2535" s="43" t="s">
        <v>1937</v>
      </c>
      <c r="G2535" s="43" t="s">
        <v>6419</v>
      </c>
      <c r="H2535" s="85" t="s">
        <v>6474</v>
      </c>
      <c r="I2535" s="23" t="s">
        <v>24</v>
      </c>
      <c r="J2535" s="44">
        <v>80</v>
      </c>
      <c r="K2535" s="45">
        <v>0.25</v>
      </c>
      <c r="L2535" s="46">
        <f t="shared" si="379"/>
        <v>20</v>
      </c>
      <c r="M2535" s="47">
        <f t="shared" si="380"/>
        <v>60</v>
      </c>
      <c r="N2535" s="48">
        <v>0.16</v>
      </c>
      <c r="O2535" s="49">
        <f t="shared" si="381"/>
        <v>9.6</v>
      </c>
      <c r="P2535" s="50">
        <f t="shared" si="382"/>
        <v>69.599999999999994</v>
      </c>
      <c r="Q2535" s="23"/>
      <c r="R2535" s="60"/>
      <c r="S2535" s="61"/>
      <c r="T2535" s="62">
        <f t="shared" si="383"/>
        <v>0</v>
      </c>
      <c r="U2535" s="46">
        <f t="shared" si="384"/>
        <v>0</v>
      </c>
      <c r="V2535" s="63">
        <f t="shared" si="385"/>
        <v>0</v>
      </c>
      <c r="W2535" s="49">
        <f t="shared" si="386"/>
        <v>0</v>
      </c>
      <c r="X2535" s="50">
        <f t="shared" si="387"/>
        <v>0</v>
      </c>
      <c r="Y2535"/>
      <c r="Z2535"/>
      <c r="AA2535"/>
    </row>
    <row r="2536" spans="1:27" s="51" customFormat="1" ht="18.600000000000001" hidden="1" customHeight="1" x14ac:dyDescent="0.25">
      <c r="A2536" s="80" t="s">
        <v>2653</v>
      </c>
      <c r="B2536" s="20" t="s">
        <v>6413</v>
      </c>
      <c r="C2536" s="21" t="s">
        <v>9341</v>
      </c>
      <c r="D2536" s="20" t="s">
        <v>6475</v>
      </c>
      <c r="E2536" s="22" t="s">
        <v>6476</v>
      </c>
      <c r="F2536" s="22" t="s">
        <v>1937</v>
      </c>
      <c r="G2536" s="22" t="s">
        <v>6419</v>
      </c>
      <c r="H2536" s="83" t="s">
        <v>6477</v>
      </c>
      <c r="I2536" s="23" t="s">
        <v>24</v>
      </c>
      <c r="J2536" s="24">
        <v>80</v>
      </c>
      <c r="K2536" s="25">
        <v>0.25</v>
      </c>
      <c r="L2536" s="26">
        <f t="shared" si="379"/>
        <v>20</v>
      </c>
      <c r="M2536" s="27">
        <f t="shared" si="380"/>
        <v>60</v>
      </c>
      <c r="N2536" s="28">
        <v>0.16</v>
      </c>
      <c r="O2536" s="29">
        <f t="shared" si="381"/>
        <v>9.6</v>
      </c>
      <c r="P2536" s="30">
        <f t="shared" si="382"/>
        <v>69.599999999999994</v>
      </c>
      <c r="Q2536" s="23"/>
      <c r="R2536" s="52"/>
      <c r="S2536" s="53"/>
      <c r="T2536" s="54">
        <f t="shared" si="383"/>
        <v>0</v>
      </c>
      <c r="U2536" s="26">
        <f t="shared" si="384"/>
        <v>0</v>
      </c>
      <c r="V2536" s="55">
        <f t="shared" si="385"/>
        <v>0</v>
      </c>
      <c r="W2536" s="29">
        <f t="shared" si="386"/>
        <v>0</v>
      </c>
      <c r="X2536" s="30">
        <f t="shared" si="387"/>
        <v>0</v>
      </c>
      <c r="Y2536"/>
      <c r="Z2536"/>
      <c r="AA2536"/>
    </row>
    <row r="2537" spans="1:27" s="51" customFormat="1" ht="18.600000000000001" hidden="1" customHeight="1" x14ac:dyDescent="0.25">
      <c r="A2537" s="81" t="s">
        <v>2653</v>
      </c>
      <c r="B2537" s="31" t="s">
        <v>6413</v>
      </c>
      <c r="C2537" s="32" t="s">
        <v>9341</v>
      </c>
      <c r="D2537" s="31" t="s">
        <v>6478</v>
      </c>
      <c r="E2537" s="33" t="s">
        <v>6479</v>
      </c>
      <c r="F2537" s="33" t="s">
        <v>1937</v>
      </c>
      <c r="G2537" s="33" t="s">
        <v>6419</v>
      </c>
      <c r="H2537" s="84" t="s">
        <v>6480</v>
      </c>
      <c r="I2537" s="23" t="s">
        <v>24</v>
      </c>
      <c r="J2537" s="34">
        <v>80</v>
      </c>
      <c r="K2537" s="35">
        <v>0.25</v>
      </c>
      <c r="L2537" s="36">
        <f t="shared" si="379"/>
        <v>20</v>
      </c>
      <c r="M2537" s="37">
        <f t="shared" si="380"/>
        <v>60</v>
      </c>
      <c r="N2537" s="38">
        <v>0.16</v>
      </c>
      <c r="O2537" s="39">
        <f t="shared" si="381"/>
        <v>9.6</v>
      </c>
      <c r="P2537" s="40">
        <f t="shared" si="382"/>
        <v>69.599999999999994</v>
      </c>
      <c r="Q2537" s="23"/>
      <c r="R2537" s="56"/>
      <c r="S2537" s="57"/>
      <c r="T2537" s="58">
        <f t="shared" si="383"/>
        <v>0</v>
      </c>
      <c r="U2537" s="36">
        <f t="shared" si="384"/>
        <v>0</v>
      </c>
      <c r="V2537" s="59">
        <f t="shared" si="385"/>
        <v>0</v>
      </c>
      <c r="W2537" s="39">
        <f t="shared" si="386"/>
        <v>0</v>
      </c>
      <c r="X2537" s="40">
        <f t="shared" si="387"/>
        <v>0</v>
      </c>
      <c r="Y2537"/>
      <c r="Z2537"/>
      <c r="AA2537"/>
    </row>
    <row r="2538" spans="1:27" s="51" customFormat="1" ht="18.600000000000001" hidden="1" customHeight="1" x14ac:dyDescent="0.25">
      <c r="A2538" s="82" t="s">
        <v>2653</v>
      </c>
      <c r="B2538" s="41" t="s">
        <v>6413</v>
      </c>
      <c r="C2538" s="42" t="s">
        <v>9341</v>
      </c>
      <c r="D2538" s="41" t="s">
        <v>6481</v>
      </c>
      <c r="E2538" s="43" t="s">
        <v>6482</v>
      </c>
      <c r="F2538" s="43" t="s">
        <v>1937</v>
      </c>
      <c r="G2538" s="43" t="s">
        <v>6419</v>
      </c>
      <c r="H2538" s="85" t="s">
        <v>6483</v>
      </c>
      <c r="I2538" s="23" t="s">
        <v>24</v>
      </c>
      <c r="J2538" s="44">
        <v>80</v>
      </c>
      <c r="K2538" s="45">
        <v>0.25</v>
      </c>
      <c r="L2538" s="46">
        <f t="shared" si="379"/>
        <v>20</v>
      </c>
      <c r="M2538" s="47">
        <f t="shared" si="380"/>
        <v>60</v>
      </c>
      <c r="N2538" s="48">
        <v>0.16</v>
      </c>
      <c r="O2538" s="49">
        <f t="shared" si="381"/>
        <v>9.6</v>
      </c>
      <c r="P2538" s="50">
        <f t="shared" si="382"/>
        <v>69.599999999999994</v>
      </c>
      <c r="Q2538" s="23"/>
      <c r="R2538" s="60"/>
      <c r="S2538" s="61"/>
      <c r="T2538" s="62">
        <f t="shared" si="383"/>
        <v>0</v>
      </c>
      <c r="U2538" s="46">
        <f t="shared" si="384"/>
        <v>0</v>
      </c>
      <c r="V2538" s="63">
        <f t="shared" si="385"/>
        <v>0</v>
      </c>
      <c r="W2538" s="49">
        <f t="shared" si="386"/>
        <v>0</v>
      </c>
      <c r="X2538" s="50">
        <f t="shared" si="387"/>
        <v>0</v>
      </c>
      <c r="Y2538"/>
      <c r="Z2538"/>
      <c r="AA2538"/>
    </row>
    <row r="2539" spans="1:27" s="51" customFormat="1" ht="18.600000000000001" hidden="1" customHeight="1" x14ac:dyDescent="0.25">
      <c r="A2539" s="80" t="s">
        <v>2653</v>
      </c>
      <c r="B2539" s="20" t="s">
        <v>6413</v>
      </c>
      <c r="C2539" s="21" t="s">
        <v>9341</v>
      </c>
      <c r="D2539" s="20" t="s">
        <v>6484</v>
      </c>
      <c r="E2539" s="22" t="s">
        <v>6485</v>
      </c>
      <c r="F2539" s="22" t="s">
        <v>1937</v>
      </c>
      <c r="G2539" s="22" t="s">
        <v>6419</v>
      </c>
      <c r="H2539" s="83" t="s">
        <v>6486</v>
      </c>
      <c r="I2539" s="23" t="s">
        <v>24</v>
      </c>
      <c r="J2539" s="24">
        <v>80</v>
      </c>
      <c r="K2539" s="25">
        <v>0.25</v>
      </c>
      <c r="L2539" s="26">
        <f t="shared" si="379"/>
        <v>20</v>
      </c>
      <c r="M2539" s="27">
        <f t="shared" si="380"/>
        <v>60</v>
      </c>
      <c r="N2539" s="28">
        <v>0.16</v>
      </c>
      <c r="O2539" s="29">
        <f t="shared" si="381"/>
        <v>9.6</v>
      </c>
      <c r="P2539" s="30">
        <f t="shared" si="382"/>
        <v>69.599999999999994</v>
      </c>
      <c r="Q2539" s="23"/>
      <c r="R2539" s="52"/>
      <c r="S2539" s="53"/>
      <c r="T2539" s="54">
        <f t="shared" si="383"/>
        <v>0</v>
      </c>
      <c r="U2539" s="26">
        <f t="shared" si="384"/>
        <v>0</v>
      </c>
      <c r="V2539" s="55">
        <f t="shared" si="385"/>
        <v>0</v>
      </c>
      <c r="W2539" s="29">
        <f t="shared" si="386"/>
        <v>0</v>
      </c>
      <c r="X2539" s="30">
        <f t="shared" si="387"/>
        <v>0</v>
      </c>
      <c r="Y2539"/>
      <c r="Z2539"/>
      <c r="AA2539"/>
    </row>
    <row r="2540" spans="1:27" s="51" customFormat="1" ht="18.600000000000001" hidden="1" customHeight="1" x14ac:dyDescent="0.25">
      <c r="A2540" s="81" t="s">
        <v>2653</v>
      </c>
      <c r="B2540" s="31" t="s">
        <v>6413</v>
      </c>
      <c r="C2540" s="32" t="s">
        <v>9341</v>
      </c>
      <c r="D2540" s="31" t="s">
        <v>6487</v>
      </c>
      <c r="E2540" s="33" t="s">
        <v>6488</v>
      </c>
      <c r="F2540" s="33" t="s">
        <v>1937</v>
      </c>
      <c r="G2540" s="33" t="s">
        <v>6419</v>
      </c>
      <c r="H2540" s="84" t="s">
        <v>6489</v>
      </c>
      <c r="I2540" s="23" t="s">
        <v>24</v>
      </c>
      <c r="J2540" s="34">
        <v>80</v>
      </c>
      <c r="K2540" s="35">
        <v>0.25</v>
      </c>
      <c r="L2540" s="36">
        <f t="shared" si="379"/>
        <v>20</v>
      </c>
      <c r="M2540" s="37">
        <f t="shared" si="380"/>
        <v>60</v>
      </c>
      <c r="N2540" s="38">
        <v>0.16</v>
      </c>
      <c r="O2540" s="39">
        <f t="shared" si="381"/>
        <v>9.6</v>
      </c>
      <c r="P2540" s="40">
        <f t="shared" si="382"/>
        <v>69.599999999999994</v>
      </c>
      <c r="Q2540" s="23"/>
      <c r="R2540" s="56"/>
      <c r="S2540" s="57"/>
      <c r="T2540" s="58">
        <f t="shared" si="383"/>
        <v>0</v>
      </c>
      <c r="U2540" s="36">
        <f t="shared" si="384"/>
        <v>0</v>
      </c>
      <c r="V2540" s="59">
        <f t="shared" si="385"/>
        <v>0</v>
      </c>
      <c r="W2540" s="39">
        <f t="shared" si="386"/>
        <v>0</v>
      </c>
      <c r="X2540" s="40">
        <f t="shared" si="387"/>
        <v>0</v>
      </c>
      <c r="Y2540"/>
      <c r="Z2540"/>
      <c r="AA2540"/>
    </row>
    <row r="2541" spans="1:27" s="51" customFormat="1" ht="18.600000000000001" hidden="1" customHeight="1" x14ac:dyDescent="0.25">
      <c r="A2541" s="82" t="s">
        <v>2653</v>
      </c>
      <c r="B2541" s="41" t="s">
        <v>6413</v>
      </c>
      <c r="C2541" s="42" t="s">
        <v>9341</v>
      </c>
      <c r="D2541" s="41" t="s">
        <v>6490</v>
      </c>
      <c r="E2541" s="43" t="s">
        <v>6491</v>
      </c>
      <c r="F2541" s="43" t="s">
        <v>1937</v>
      </c>
      <c r="G2541" s="43" t="s">
        <v>6419</v>
      </c>
      <c r="H2541" s="85" t="s">
        <v>6492</v>
      </c>
      <c r="I2541" s="23" t="s">
        <v>24</v>
      </c>
      <c r="J2541" s="44">
        <v>80</v>
      </c>
      <c r="K2541" s="45">
        <v>0.25</v>
      </c>
      <c r="L2541" s="46">
        <f t="shared" si="379"/>
        <v>20</v>
      </c>
      <c r="M2541" s="47">
        <f t="shared" si="380"/>
        <v>60</v>
      </c>
      <c r="N2541" s="48">
        <v>0.16</v>
      </c>
      <c r="O2541" s="49">
        <f t="shared" si="381"/>
        <v>9.6</v>
      </c>
      <c r="P2541" s="50">
        <f t="shared" si="382"/>
        <v>69.599999999999994</v>
      </c>
      <c r="Q2541" s="23"/>
      <c r="R2541" s="60"/>
      <c r="S2541" s="61"/>
      <c r="T2541" s="62">
        <f t="shared" si="383"/>
        <v>0</v>
      </c>
      <c r="U2541" s="46">
        <f t="shared" si="384"/>
        <v>0</v>
      </c>
      <c r="V2541" s="63">
        <f t="shared" si="385"/>
        <v>0</v>
      </c>
      <c r="W2541" s="49">
        <f t="shared" si="386"/>
        <v>0</v>
      </c>
      <c r="X2541" s="50">
        <f t="shared" si="387"/>
        <v>0</v>
      </c>
      <c r="Y2541"/>
      <c r="Z2541"/>
      <c r="AA2541"/>
    </row>
    <row r="2542" spans="1:27" s="51" customFormat="1" ht="18.600000000000001" hidden="1" customHeight="1" x14ac:dyDescent="0.25">
      <c r="A2542" s="80" t="s">
        <v>2653</v>
      </c>
      <c r="B2542" s="20" t="s">
        <v>6413</v>
      </c>
      <c r="C2542" s="21" t="s">
        <v>9341</v>
      </c>
      <c r="D2542" s="20" t="s">
        <v>6493</v>
      </c>
      <c r="E2542" s="22" t="s">
        <v>6494</v>
      </c>
      <c r="F2542" s="22" t="s">
        <v>1937</v>
      </c>
      <c r="G2542" s="22" t="s">
        <v>6419</v>
      </c>
      <c r="H2542" s="83" t="s">
        <v>6495</v>
      </c>
      <c r="I2542" s="23" t="s">
        <v>24</v>
      </c>
      <c r="J2542" s="24">
        <v>80</v>
      </c>
      <c r="K2542" s="25">
        <v>0.25</v>
      </c>
      <c r="L2542" s="26">
        <f t="shared" si="379"/>
        <v>20</v>
      </c>
      <c r="M2542" s="27">
        <f t="shared" si="380"/>
        <v>60</v>
      </c>
      <c r="N2542" s="28">
        <v>0.16</v>
      </c>
      <c r="O2542" s="29">
        <f t="shared" si="381"/>
        <v>9.6</v>
      </c>
      <c r="P2542" s="30">
        <f t="shared" si="382"/>
        <v>69.599999999999994</v>
      </c>
      <c r="Q2542" s="23"/>
      <c r="R2542" s="52"/>
      <c r="S2542" s="53"/>
      <c r="T2542" s="54">
        <f t="shared" si="383"/>
        <v>0</v>
      </c>
      <c r="U2542" s="26">
        <f t="shared" si="384"/>
        <v>0</v>
      </c>
      <c r="V2542" s="55">
        <f t="shared" si="385"/>
        <v>0</v>
      </c>
      <c r="W2542" s="29">
        <f t="shared" si="386"/>
        <v>0</v>
      </c>
      <c r="X2542" s="30">
        <f t="shared" si="387"/>
        <v>0</v>
      </c>
      <c r="Y2542"/>
      <c r="Z2542"/>
      <c r="AA2542"/>
    </row>
    <row r="2543" spans="1:27" s="51" customFormat="1" ht="18.600000000000001" hidden="1" customHeight="1" x14ac:dyDescent="0.25">
      <c r="A2543" s="81" t="s">
        <v>2653</v>
      </c>
      <c r="B2543" s="31" t="s">
        <v>6413</v>
      </c>
      <c r="C2543" s="32" t="s">
        <v>9341</v>
      </c>
      <c r="D2543" s="31" t="s">
        <v>6496</v>
      </c>
      <c r="E2543" s="33" t="s">
        <v>6497</v>
      </c>
      <c r="F2543" s="33" t="s">
        <v>1937</v>
      </c>
      <c r="G2543" s="33" t="s">
        <v>6419</v>
      </c>
      <c r="H2543" s="84" t="s">
        <v>6498</v>
      </c>
      <c r="I2543" s="23" t="s">
        <v>24</v>
      </c>
      <c r="J2543" s="34">
        <v>80</v>
      </c>
      <c r="K2543" s="35">
        <v>0.25</v>
      </c>
      <c r="L2543" s="36">
        <f t="shared" si="379"/>
        <v>20</v>
      </c>
      <c r="M2543" s="37">
        <f t="shared" si="380"/>
        <v>60</v>
      </c>
      <c r="N2543" s="38">
        <v>0.16</v>
      </c>
      <c r="O2543" s="39">
        <f t="shared" si="381"/>
        <v>9.6</v>
      </c>
      <c r="P2543" s="40">
        <f t="shared" si="382"/>
        <v>69.599999999999994</v>
      </c>
      <c r="Q2543" s="23"/>
      <c r="R2543" s="56"/>
      <c r="S2543" s="57"/>
      <c r="T2543" s="58">
        <f t="shared" si="383"/>
        <v>0</v>
      </c>
      <c r="U2543" s="36">
        <f t="shared" si="384"/>
        <v>0</v>
      </c>
      <c r="V2543" s="59">
        <f t="shared" si="385"/>
        <v>0</v>
      </c>
      <c r="W2543" s="39">
        <f t="shared" si="386"/>
        <v>0</v>
      </c>
      <c r="X2543" s="40">
        <f t="shared" si="387"/>
        <v>0</v>
      </c>
      <c r="Y2543"/>
      <c r="Z2543"/>
      <c r="AA2543"/>
    </row>
    <row r="2544" spans="1:27" s="51" customFormat="1" ht="18.600000000000001" hidden="1" customHeight="1" x14ac:dyDescent="0.25">
      <c r="A2544" s="82" t="s">
        <v>2653</v>
      </c>
      <c r="B2544" s="41" t="s">
        <v>6413</v>
      </c>
      <c r="C2544" s="42" t="s">
        <v>9341</v>
      </c>
      <c r="D2544" s="41" t="s">
        <v>6499</v>
      </c>
      <c r="E2544" s="43" t="s">
        <v>6500</v>
      </c>
      <c r="F2544" s="43" t="s">
        <v>1937</v>
      </c>
      <c r="G2544" s="43" t="s">
        <v>6419</v>
      </c>
      <c r="H2544" s="85" t="s">
        <v>6501</v>
      </c>
      <c r="I2544" s="23" t="s">
        <v>24</v>
      </c>
      <c r="J2544" s="44">
        <v>80</v>
      </c>
      <c r="K2544" s="45">
        <v>0.25</v>
      </c>
      <c r="L2544" s="46">
        <f t="shared" si="379"/>
        <v>20</v>
      </c>
      <c r="M2544" s="47">
        <f t="shared" si="380"/>
        <v>60</v>
      </c>
      <c r="N2544" s="48">
        <v>0.16</v>
      </c>
      <c r="O2544" s="49">
        <f t="shared" si="381"/>
        <v>9.6</v>
      </c>
      <c r="P2544" s="50">
        <f t="shared" si="382"/>
        <v>69.599999999999994</v>
      </c>
      <c r="Q2544" s="23"/>
      <c r="R2544" s="60"/>
      <c r="S2544" s="61"/>
      <c r="T2544" s="62">
        <f t="shared" si="383"/>
        <v>0</v>
      </c>
      <c r="U2544" s="46">
        <f t="shared" si="384"/>
        <v>0</v>
      </c>
      <c r="V2544" s="63">
        <f t="shared" si="385"/>
        <v>0</v>
      </c>
      <c r="W2544" s="49">
        <f t="shared" si="386"/>
        <v>0</v>
      </c>
      <c r="X2544" s="50">
        <f t="shared" si="387"/>
        <v>0</v>
      </c>
      <c r="Y2544"/>
      <c r="Z2544"/>
      <c r="AA2544"/>
    </row>
    <row r="2545" spans="1:27" s="51" customFormat="1" ht="18.600000000000001" hidden="1" customHeight="1" x14ac:dyDescent="0.25">
      <c r="A2545" s="80" t="s">
        <v>2653</v>
      </c>
      <c r="B2545" s="20" t="s">
        <v>6413</v>
      </c>
      <c r="C2545" s="21" t="s">
        <v>9341</v>
      </c>
      <c r="D2545" s="20" t="s">
        <v>6502</v>
      </c>
      <c r="E2545" s="22" t="s">
        <v>6503</v>
      </c>
      <c r="F2545" s="22" t="s">
        <v>1937</v>
      </c>
      <c r="G2545" s="22" t="s">
        <v>6419</v>
      </c>
      <c r="H2545" s="83" t="s">
        <v>6504</v>
      </c>
      <c r="I2545" s="23" t="s">
        <v>24</v>
      </c>
      <c r="J2545" s="24">
        <v>80</v>
      </c>
      <c r="K2545" s="25">
        <v>0.25</v>
      </c>
      <c r="L2545" s="26">
        <f t="shared" si="379"/>
        <v>20</v>
      </c>
      <c r="M2545" s="27">
        <f t="shared" si="380"/>
        <v>60</v>
      </c>
      <c r="N2545" s="28">
        <v>0.16</v>
      </c>
      <c r="O2545" s="29">
        <f t="shared" si="381"/>
        <v>9.6</v>
      </c>
      <c r="P2545" s="30">
        <f t="shared" si="382"/>
        <v>69.599999999999994</v>
      </c>
      <c r="Q2545" s="23"/>
      <c r="R2545" s="52"/>
      <c r="S2545" s="53"/>
      <c r="T2545" s="54">
        <f t="shared" si="383"/>
        <v>0</v>
      </c>
      <c r="U2545" s="26">
        <f t="shared" si="384"/>
        <v>0</v>
      </c>
      <c r="V2545" s="55">
        <f t="shared" si="385"/>
        <v>0</v>
      </c>
      <c r="W2545" s="29">
        <f t="shared" si="386"/>
        <v>0</v>
      </c>
      <c r="X2545" s="30">
        <f t="shared" si="387"/>
        <v>0</v>
      </c>
      <c r="Y2545"/>
      <c r="Z2545"/>
      <c r="AA2545"/>
    </row>
    <row r="2546" spans="1:27" s="51" customFormat="1" ht="18.600000000000001" hidden="1" customHeight="1" x14ac:dyDescent="0.25">
      <c r="A2546" s="81" t="s">
        <v>2653</v>
      </c>
      <c r="B2546" s="31" t="s">
        <v>6413</v>
      </c>
      <c r="C2546" s="32" t="s">
        <v>9341</v>
      </c>
      <c r="D2546" s="31" t="s">
        <v>6505</v>
      </c>
      <c r="E2546" s="33" t="s">
        <v>6506</v>
      </c>
      <c r="F2546" s="33" t="s">
        <v>1937</v>
      </c>
      <c r="G2546" s="33" t="s">
        <v>6419</v>
      </c>
      <c r="H2546" s="84" t="s">
        <v>6507</v>
      </c>
      <c r="I2546" s="23" t="s">
        <v>24</v>
      </c>
      <c r="J2546" s="34">
        <v>80</v>
      </c>
      <c r="K2546" s="35">
        <v>0.25</v>
      </c>
      <c r="L2546" s="36">
        <f t="shared" si="379"/>
        <v>20</v>
      </c>
      <c r="M2546" s="37">
        <f t="shared" si="380"/>
        <v>60</v>
      </c>
      <c r="N2546" s="38">
        <v>0.16</v>
      </c>
      <c r="O2546" s="39">
        <f t="shared" si="381"/>
        <v>9.6</v>
      </c>
      <c r="P2546" s="40">
        <f t="shared" si="382"/>
        <v>69.599999999999994</v>
      </c>
      <c r="Q2546" s="23"/>
      <c r="R2546" s="56"/>
      <c r="S2546" s="57"/>
      <c r="T2546" s="58">
        <f t="shared" si="383"/>
        <v>0</v>
      </c>
      <c r="U2546" s="36">
        <f t="shared" si="384"/>
        <v>0</v>
      </c>
      <c r="V2546" s="59">
        <f t="shared" si="385"/>
        <v>0</v>
      </c>
      <c r="W2546" s="39">
        <f t="shared" si="386"/>
        <v>0</v>
      </c>
      <c r="X2546" s="40">
        <f t="shared" si="387"/>
        <v>0</v>
      </c>
      <c r="Y2546"/>
      <c r="Z2546"/>
      <c r="AA2546"/>
    </row>
    <row r="2547" spans="1:27" s="51" customFormat="1" ht="18.600000000000001" hidden="1" customHeight="1" x14ac:dyDescent="0.25">
      <c r="A2547" s="82" t="s">
        <v>2653</v>
      </c>
      <c r="B2547" s="41" t="s">
        <v>6413</v>
      </c>
      <c r="C2547" s="42" t="s">
        <v>9341</v>
      </c>
      <c r="D2547" s="41" t="s">
        <v>6508</v>
      </c>
      <c r="E2547" s="43" t="s">
        <v>6509</v>
      </c>
      <c r="F2547" s="43" t="s">
        <v>1937</v>
      </c>
      <c r="G2547" s="43" t="s">
        <v>6419</v>
      </c>
      <c r="H2547" s="85" t="s">
        <v>6510</v>
      </c>
      <c r="I2547" s="23" t="s">
        <v>24</v>
      </c>
      <c r="J2547" s="44">
        <v>80</v>
      </c>
      <c r="K2547" s="45">
        <v>0.25</v>
      </c>
      <c r="L2547" s="46">
        <f t="shared" si="379"/>
        <v>20</v>
      </c>
      <c r="M2547" s="47">
        <f t="shared" si="380"/>
        <v>60</v>
      </c>
      <c r="N2547" s="48">
        <v>0.16</v>
      </c>
      <c r="O2547" s="49">
        <f t="shared" si="381"/>
        <v>9.6</v>
      </c>
      <c r="P2547" s="50">
        <f t="shared" si="382"/>
        <v>69.599999999999994</v>
      </c>
      <c r="Q2547" s="23"/>
      <c r="R2547" s="60"/>
      <c r="S2547" s="61"/>
      <c r="T2547" s="62">
        <f t="shared" si="383"/>
        <v>0</v>
      </c>
      <c r="U2547" s="46">
        <f t="shared" si="384"/>
        <v>0</v>
      </c>
      <c r="V2547" s="63">
        <f t="shared" si="385"/>
        <v>0</v>
      </c>
      <c r="W2547" s="49">
        <f t="shared" si="386"/>
        <v>0</v>
      </c>
      <c r="X2547" s="50">
        <f t="shared" si="387"/>
        <v>0</v>
      </c>
      <c r="Y2547"/>
      <c r="Z2547"/>
      <c r="AA2547"/>
    </row>
    <row r="2548" spans="1:27" s="51" customFormat="1" ht="18.600000000000001" hidden="1" customHeight="1" x14ac:dyDescent="0.25">
      <c r="A2548" s="80" t="s">
        <v>2653</v>
      </c>
      <c r="B2548" s="20" t="s">
        <v>6413</v>
      </c>
      <c r="C2548" s="21" t="s">
        <v>9341</v>
      </c>
      <c r="D2548" s="20" t="s">
        <v>6511</v>
      </c>
      <c r="E2548" s="22" t="s">
        <v>6512</v>
      </c>
      <c r="F2548" s="22" t="s">
        <v>1937</v>
      </c>
      <c r="G2548" s="22" t="s">
        <v>6419</v>
      </c>
      <c r="H2548" s="83" t="s">
        <v>633</v>
      </c>
      <c r="I2548" s="23" t="s">
        <v>24</v>
      </c>
      <c r="J2548" s="24">
        <v>80</v>
      </c>
      <c r="K2548" s="25">
        <v>0.25</v>
      </c>
      <c r="L2548" s="26">
        <f t="shared" si="379"/>
        <v>20</v>
      </c>
      <c r="M2548" s="27">
        <f t="shared" si="380"/>
        <v>60</v>
      </c>
      <c r="N2548" s="28">
        <v>0.16</v>
      </c>
      <c r="O2548" s="29">
        <f t="shared" si="381"/>
        <v>9.6</v>
      </c>
      <c r="P2548" s="30">
        <f t="shared" si="382"/>
        <v>69.599999999999994</v>
      </c>
      <c r="Q2548" s="23"/>
      <c r="R2548" s="52"/>
      <c r="S2548" s="53"/>
      <c r="T2548" s="54">
        <f t="shared" si="383"/>
        <v>0</v>
      </c>
      <c r="U2548" s="26">
        <f t="shared" si="384"/>
        <v>0</v>
      </c>
      <c r="V2548" s="55">
        <f t="shared" si="385"/>
        <v>0</v>
      </c>
      <c r="W2548" s="29">
        <f t="shared" si="386"/>
        <v>0</v>
      </c>
      <c r="X2548" s="30">
        <f t="shared" si="387"/>
        <v>0</v>
      </c>
      <c r="Y2548"/>
      <c r="Z2548"/>
      <c r="AA2548"/>
    </row>
    <row r="2549" spans="1:27" s="51" customFormat="1" ht="18.600000000000001" hidden="1" customHeight="1" x14ac:dyDescent="0.25">
      <c r="A2549" s="81" t="s">
        <v>2653</v>
      </c>
      <c r="B2549" s="31" t="s">
        <v>6413</v>
      </c>
      <c r="C2549" s="32" t="s">
        <v>9341</v>
      </c>
      <c r="D2549" s="31" t="s">
        <v>6513</v>
      </c>
      <c r="E2549" s="33" t="s">
        <v>6514</v>
      </c>
      <c r="F2549" s="33" t="s">
        <v>1937</v>
      </c>
      <c r="G2549" s="33" t="s">
        <v>6419</v>
      </c>
      <c r="H2549" s="84" t="s">
        <v>6515</v>
      </c>
      <c r="I2549" s="23" t="s">
        <v>24</v>
      </c>
      <c r="J2549" s="34">
        <v>80</v>
      </c>
      <c r="K2549" s="35">
        <v>0.25</v>
      </c>
      <c r="L2549" s="36">
        <f t="shared" si="379"/>
        <v>20</v>
      </c>
      <c r="M2549" s="37">
        <f t="shared" si="380"/>
        <v>60</v>
      </c>
      <c r="N2549" s="38">
        <v>0.16</v>
      </c>
      <c r="O2549" s="39">
        <f t="shared" si="381"/>
        <v>9.6</v>
      </c>
      <c r="P2549" s="40">
        <f t="shared" si="382"/>
        <v>69.599999999999994</v>
      </c>
      <c r="Q2549" s="23"/>
      <c r="R2549" s="56"/>
      <c r="S2549" s="57"/>
      <c r="T2549" s="58">
        <f t="shared" si="383"/>
        <v>0</v>
      </c>
      <c r="U2549" s="36">
        <f t="shared" si="384"/>
        <v>0</v>
      </c>
      <c r="V2549" s="59">
        <f t="shared" si="385"/>
        <v>0</v>
      </c>
      <c r="W2549" s="39">
        <f t="shared" si="386"/>
        <v>0</v>
      </c>
      <c r="X2549" s="40">
        <f t="shared" si="387"/>
        <v>0</v>
      </c>
      <c r="Y2549"/>
      <c r="Z2549"/>
      <c r="AA2549"/>
    </row>
    <row r="2550" spans="1:27" s="51" customFormat="1" ht="18.600000000000001" hidden="1" customHeight="1" x14ac:dyDescent="0.25">
      <c r="A2550" s="82" t="s">
        <v>2653</v>
      </c>
      <c r="B2550" s="41" t="s">
        <v>6413</v>
      </c>
      <c r="C2550" s="42" t="s">
        <v>9342</v>
      </c>
      <c r="D2550" s="41" t="s">
        <v>6516</v>
      </c>
      <c r="E2550" s="43" t="s">
        <v>6517</v>
      </c>
      <c r="F2550" s="43" t="s">
        <v>1937</v>
      </c>
      <c r="G2550" s="43" t="s">
        <v>6518</v>
      </c>
      <c r="H2550" s="85" t="s">
        <v>6519</v>
      </c>
      <c r="I2550" s="23" t="s">
        <v>24</v>
      </c>
      <c r="J2550" s="44">
        <v>225</v>
      </c>
      <c r="K2550" s="45">
        <v>0.25</v>
      </c>
      <c r="L2550" s="46">
        <f t="shared" si="379"/>
        <v>56.25</v>
      </c>
      <c r="M2550" s="47">
        <f t="shared" si="380"/>
        <v>168.75</v>
      </c>
      <c r="N2550" s="48">
        <v>0.16</v>
      </c>
      <c r="O2550" s="49">
        <f t="shared" si="381"/>
        <v>27</v>
      </c>
      <c r="P2550" s="50">
        <f t="shared" si="382"/>
        <v>195.75</v>
      </c>
      <c r="Q2550" s="23"/>
      <c r="R2550" s="60"/>
      <c r="S2550" s="61"/>
      <c r="T2550" s="62">
        <f t="shared" si="383"/>
        <v>0</v>
      </c>
      <c r="U2550" s="46">
        <f t="shared" si="384"/>
        <v>0</v>
      </c>
      <c r="V2550" s="63">
        <f t="shared" si="385"/>
        <v>0</v>
      </c>
      <c r="W2550" s="49">
        <f t="shared" si="386"/>
        <v>0</v>
      </c>
      <c r="X2550" s="50">
        <f t="shared" si="387"/>
        <v>0</v>
      </c>
      <c r="Y2550"/>
      <c r="Z2550"/>
      <c r="AA2550"/>
    </row>
    <row r="2551" spans="1:27" s="51" customFormat="1" ht="18.600000000000001" hidden="1" customHeight="1" x14ac:dyDescent="0.25">
      <c r="A2551" s="80" t="s">
        <v>2653</v>
      </c>
      <c r="B2551" s="20" t="s">
        <v>6413</v>
      </c>
      <c r="C2551" s="21" t="s">
        <v>9342</v>
      </c>
      <c r="D2551" s="20" t="s">
        <v>6520</v>
      </c>
      <c r="E2551" s="22" t="s">
        <v>6521</v>
      </c>
      <c r="F2551" s="22" t="s">
        <v>1937</v>
      </c>
      <c r="G2551" s="22" t="s">
        <v>6518</v>
      </c>
      <c r="H2551" s="83" t="s">
        <v>6522</v>
      </c>
      <c r="I2551" s="23" t="s">
        <v>24</v>
      </c>
      <c r="J2551" s="24">
        <v>225</v>
      </c>
      <c r="K2551" s="25">
        <v>0.25</v>
      </c>
      <c r="L2551" s="26">
        <f t="shared" si="379"/>
        <v>56.25</v>
      </c>
      <c r="M2551" s="27">
        <f t="shared" si="380"/>
        <v>168.75</v>
      </c>
      <c r="N2551" s="28">
        <v>0.16</v>
      </c>
      <c r="O2551" s="29">
        <f t="shared" si="381"/>
        <v>27</v>
      </c>
      <c r="P2551" s="30">
        <f t="shared" si="382"/>
        <v>195.75</v>
      </c>
      <c r="Q2551" s="23"/>
      <c r="R2551" s="52"/>
      <c r="S2551" s="53"/>
      <c r="T2551" s="54">
        <f t="shared" si="383"/>
        <v>0</v>
      </c>
      <c r="U2551" s="26">
        <f t="shared" si="384"/>
        <v>0</v>
      </c>
      <c r="V2551" s="55">
        <f t="shared" si="385"/>
        <v>0</v>
      </c>
      <c r="W2551" s="29">
        <f t="shared" si="386"/>
        <v>0</v>
      </c>
      <c r="X2551" s="30">
        <f t="shared" si="387"/>
        <v>0</v>
      </c>
      <c r="Y2551"/>
      <c r="Z2551"/>
      <c r="AA2551"/>
    </row>
    <row r="2552" spans="1:27" s="51" customFormat="1" ht="18.600000000000001" hidden="1" customHeight="1" x14ac:dyDescent="0.25">
      <c r="A2552" s="81" t="s">
        <v>2653</v>
      </c>
      <c r="B2552" s="31" t="s">
        <v>6413</v>
      </c>
      <c r="C2552" s="32" t="s">
        <v>9342</v>
      </c>
      <c r="D2552" s="31" t="s">
        <v>6523</v>
      </c>
      <c r="E2552" s="33" t="s">
        <v>6524</v>
      </c>
      <c r="F2552" s="33" t="s">
        <v>1937</v>
      </c>
      <c r="G2552" s="33" t="s">
        <v>6518</v>
      </c>
      <c r="H2552" s="84" t="s">
        <v>6525</v>
      </c>
      <c r="I2552" s="23" t="s">
        <v>24</v>
      </c>
      <c r="J2552" s="34">
        <v>225</v>
      </c>
      <c r="K2552" s="35">
        <v>0.25</v>
      </c>
      <c r="L2552" s="36">
        <f t="shared" si="379"/>
        <v>56.25</v>
      </c>
      <c r="M2552" s="37">
        <f t="shared" si="380"/>
        <v>168.75</v>
      </c>
      <c r="N2552" s="38">
        <v>0.16</v>
      </c>
      <c r="O2552" s="39">
        <f t="shared" si="381"/>
        <v>27</v>
      </c>
      <c r="P2552" s="40">
        <f t="shared" si="382"/>
        <v>195.75</v>
      </c>
      <c r="Q2552" s="23"/>
      <c r="R2552" s="56"/>
      <c r="S2552" s="57"/>
      <c r="T2552" s="58">
        <f t="shared" si="383"/>
        <v>0</v>
      </c>
      <c r="U2552" s="36">
        <f t="shared" si="384"/>
        <v>0</v>
      </c>
      <c r="V2552" s="59">
        <f t="shared" si="385"/>
        <v>0</v>
      </c>
      <c r="W2552" s="39">
        <f t="shared" si="386"/>
        <v>0</v>
      </c>
      <c r="X2552" s="40">
        <f t="shared" si="387"/>
        <v>0</v>
      </c>
      <c r="Y2552"/>
      <c r="Z2552"/>
      <c r="AA2552"/>
    </row>
    <row r="2553" spans="1:27" s="51" customFormat="1" ht="18.600000000000001" hidden="1" customHeight="1" x14ac:dyDescent="0.25">
      <c r="A2553" s="82" t="s">
        <v>2653</v>
      </c>
      <c r="B2553" s="41" t="s">
        <v>6413</v>
      </c>
      <c r="C2553" s="42" t="s">
        <v>9342</v>
      </c>
      <c r="D2553" s="41" t="s">
        <v>6526</v>
      </c>
      <c r="E2553" s="43" t="s">
        <v>6527</v>
      </c>
      <c r="F2553" s="43" t="s">
        <v>1937</v>
      </c>
      <c r="G2553" s="43" t="s">
        <v>6518</v>
      </c>
      <c r="H2553" s="85" t="s">
        <v>6528</v>
      </c>
      <c r="I2553" s="23" t="s">
        <v>24</v>
      </c>
      <c r="J2553" s="44">
        <v>225</v>
      </c>
      <c r="K2553" s="45">
        <v>0.25</v>
      </c>
      <c r="L2553" s="46">
        <f t="shared" si="379"/>
        <v>56.25</v>
      </c>
      <c r="M2553" s="47">
        <f t="shared" si="380"/>
        <v>168.75</v>
      </c>
      <c r="N2553" s="48">
        <v>0.16</v>
      </c>
      <c r="O2553" s="49">
        <f t="shared" si="381"/>
        <v>27</v>
      </c>
      <c r="P2553" s="50">
        <f t="shared" si="382"/>
        <v>195.75</v>
      </c>
      <c r="Q2553" s="23"/>
      <c r="R2553" s="60"/>
      <c r="S2553" s="61"/>
      <c r="T2553" s="62">
        <f t="shared" si="383"/>
        <v>0</v>
      </c>
      <c r="U2553" s="46">
        <f t="shared" si="384"/>
        <v>0</v>
      </c>
      <c r="V2553" s="63">
        <f t="shared" si="385"/>
        <v>0</v>
      </c>
      <c r="W2553" s="49">
        <f t="shared" si="386"/>
        <v>0</v>
      </c>
      <c r="X2553" s="50">
        <f t="shared" si="387"/>
        <v>0</v>
      </c>
      <c r="Y2553"/>
      <c r="Z2553"/>
      <c r="AA2553"/>
    </row>
    <row r="2554" spans="1:27" s="51" customFormat="1" ht="18.600000000000001" hidden="1" customHeight="1" x14ac:dyDescent="0.25">
      <c r="A2554" s="80" t="s">
        <v>2653</v>
      </c>
      <c r="B2554" s="20" t="s">
        <v>6413</v>
      </c>
      <c r="C2554" s="21" t="s">
        <v>9342</v>
      </c>
      <c r="D2554" s="20" t="s">
        <v>6529</v>
      </c>
      <c r="E2554" s="22" t="s">
        <v>6530</v>
      </c>
      <c r="F2554" s="22" t="s">
        <v>1937</v>
      </c>
      <c r="G2554" s="22" t="s">
        <v>6518</v>
      </c>
      <c r="H2554" s="83" t="s">
        <v>6531</v>
      </c>
      <c r="I2554" s="23" t="s">
        <v>24</v>
      </c>
      <c r="J2554" s="24">
        <v>225</v>
      </c>
      <c r="K2554" s="25">
        <v>0.25</v>
      </c>
      <c r="L2554" s="26">
        <f t="shared" si="379"/>
        <v>56.25</v>
      </c>
      <c r="M2554" s="27">
        <f t="shared" si="380"/>
        <v>168.75</v>
      </c>
      <c r="N2554" s="28">
        <v>0.16</v>
      </c>
      <c r="O2554" s="29">
        <f t="shared" si="381"/>
        <v>27</v>
      </c>
      <c r="P2554" s="30">
        <f t="shared" si="382"/>
        <v>195.75</v>
      </c>
      <c r="Q2554" s="23"/>
      <c r="R2554" s="52"/>
      <c r="S2554" s="53"/>
      <c r="T2554" s="54">
        <f t="shared" si="383"/>
        <v>0</v>
      </c>
      <c r="U2554" s="26">
        <f t="shared" si="384"/>
        <v>0</v>
      </c>
      <c r="V2554" s="55">
        <f t="shared" si="385"/>
        <v>0</v>
      </c>
      <c r="W2554" s="29">
        <f t="shared" si="386"/>
        <v>0</v>
      </c>
      <c r="X2554" s="30">
        <f t="shared" si="387"/>
        <v>0</v>
      </c>
      <c r="Y2554"/>
      <c r="Z2554"/>
      <c r="AA2554"/>
    </row>
    <row r="2555" spans="1:27" s="51" customFormat="1" ht="18.600000000000001" hidden="1" customHeight="1" x14ac:dyDescent="0.25">
      <c r="A2555" s="81" t="s">
        <v>2653</v>
      </c>
      <c r="B2555" s="31" t="s">
        <v>6413</v>
      </c>
      <c r="C2555" s="32" t="s">
        <v>9342</v>
      </c>
      <c r="D2555" s="31" t="s">
        <v>6532</v>
      </c>
      <c r="E2555" s="33" t="s">
        <v>6533</v>
      </c>
      <c r="F2555" s="33" t="s">
        <v>1937</v>
      </c>
      <c r="G2555" s="33" t="s">
        <v>6518</v>
      </c>
      <c r="H2555" s="84" t="s">
        <v>6534</v>
      </c>
      <c r="I2555" s="23" t="s">
        <v>24</v>
      </c>
      <c r="J2555" s="34">
        <v>225</v>
      </c>
      <c r="K2555" s="35">
        <v>0.25</v>
      </c>
      <c r="L2555" s="36">
        <f t="shared" si="379"/>
        <v>56.25</v>
      </c>
      <c r="M2555" s="37">
        <f t="shared" si="380"/>
        <v>168.75</v>
      </c>
      <c r="N2555" s="38">
        <v>0.16</v>
      </c>
      <c r="O2555" s="39">
        <f t="shared" si="381"/>
        <v>27</v>
      </c>
      <c r="P2555" s="40">
        <f t="shared" si="382"/>
        <v>195.75</v>
      </c>
      <c r="Q2555" s="23"/>
      <c r="R2555" s="56"/>
      <c r="S2555" s="57"/>
      <c r="T2555" s="58">
        <f t="shared" si="383"/>
        <v>0</v>
      </c>
      <c r="U2555" s="36">
        <f t="shared" si="384"/>
        <v>0</v>
      </c>
      <c r="V2555" s="59">
        <f t="shared" si="385"/>
        <v>0</v>
      </c>
      <c r="W2555" s="39">
        <f t="shared" si="386"/>
        <v>0</v>
      </c>
      <c r="X2555" s="40">
        <f t="shared" si="387"/>
        <v>0</v>
      </c>
      <c r="Y2555"/>
      <c r="Z2555"/>
      <c r="AA2555"/>
    </row>
    <row r="2556" spans="1:27" s="51" customFormat="1" ht="18.600000000000001" hidden="1" customHeight="1" x14ac:dyDescent="0.25">
      <c r="A2556" s="82" t="s">
        <v>2653</v>
      </c>
      <c r="B2556" s="41" t="s">
        <v>6413</v>
      </c>
      <c r="C2556" s="42" t="s">
        <v>9342</v>
      </c>
      <c r="D2556" s="41" t="s">
        <v>6535</v>
      </c>
      <c r="E2556" s="43" t="s">
        <v>6536</v>
      </c>
      <c r="F2556" s="43" t="s">
        <v>1937</v>
      </c>
      <c r="G2556" s="43" t="s">
        <v>6518</v>
      </c>
      <c r="H2556" s="85" t="s">
        <v>6537</v>
      </c>
      <c r="I2556" s="23" t="s">
        <v>24</v>
      </c>
      <c r="J2556" s="44">
        <v>225</v>
      </c>
      <c r="K2556" s="45">
        <v>0.25</v>
      </c>
      <c r="L2556" s="46">
        <f t="shared" si="379"/>
        <v>56.25</v>
      </c>
      <c r="M2556" s="47">
        <f t="shared" si="380"/>
        <v>168.75</v>
      </c>
      <c r="N2556" s="48">
        <v>0.16</v>
      </c>
      <c r="O2556" s="49">
        <f t="shared" si="381"/>
        <v>27</v>
      </c>
      <c r="P2556" s="50">
        <f t="shared" si="382"/>
        <v>195.75</v>
      </c>
      <c r="Q2556" s="23"/>
      <c r="R2556" s="60"/>
      <c r="S2556" s="61"/>
      <c r="T2556" s="62">
        <f t="shared" si="383"/>
        <v>0</v>
      </c>
      <c r="U2556" s="46">
        <f t="shared" si="384"/>
        <v>0</v>
      </c>
      <c r="V2556" s="63">
        <f t="shared" si="385"/>
        <v>0</v>
      </c>
      <c r="W2556" s="49">
        <f t="shared" si="386"/>
        <v>0</v>
      </c>
      <c r="X2556" s="50">
        <f t="shared" si="387"/>
        <v>0</v>
      </c>
      <c r="Y2556"/>
      <c r="Z2556"/>
      <c r="AA2556"/>
    </row>
    <row r="2557" spans="1:27" s="51" customFormat="1" ht="18.600000000000001" hidden="1" customHeight="1" x14ac:dyDescent="0.25">
      <c r="A2557" s="80" t="s">
        <v>2653</v>
      </c>
      <c r="B2557" s="20" t="s">
        <v>6413</v>
      </c>
      <c r="C2557" s="21" t="s">
        <v>9342</v>
      </c>
      <c r="D2557" s="20" t="s">
        <v>6538</v>
      </c>
      <c r="E2557" s="22" t="s">
        <v>6539</v>
      </c>
      <c r="F2557" s="22" t="s">
        <v>1937</v>
      </c>
      <c r="G2557" s="22" t="s">
        <v>6518</v>
      </c>
      <c r="H2557" s="83" t="s">
        <v>6540</v>
      </c>
      <c r="I2557" s="23" t="s">
        <v>24</v>
      </c>
      <c r="J2557" s="24">
        <v>225</v>
      </c>
      <c r="K2557" s="25">
        <v>0.25</v>
      </c>
      <c r="L2557" s="26">
        <f t="shared" si="379"/>
        <v>56.25</v>
      </c>
      <c r="M2557" s="27">
        <f t="shared" si="380"/>
        <v>168.75</v>
      </c>
      <c r="N2557" s="28">
        <v>0.16</v>
      </c>
      <c r="O2557" s="29">
        <f t="shared" si="381"/>
        <v>27</v>
      </c>
      <c r="P2557" s="30">
        <f t="shared" si="382"/>
        <v>195.75</v>
      </c>
      <c r="Q2557" s="23"/>
      <c r="R2557" s="52"/>
      <c r="S2557" s="53"/>
      <c r="T2557" s="54">
        <f t="shared" si="383"/>
        <v>0</v>
      </c>
      <c r="U2557" s="26">
        <f t="shared" si="384"/>
        <v>0</v>
      </c>
      <c r="V2557" s="55">
        <f t="shared" si="385"/>
        <v>0</v>
      </c>
      <c r="W2557" s="29">
        <f t="shared" si="386"/>
        <v>0</v>
      </c>
      <c r="X2557" s="30">
        <f t="shared" si="387"/>
        <v>0</v>
      </c>
      <c r="Y2557"/>
      <c r="Z2557"/>
      <c r="AA2557"/>
    </row>
    <row r="2558" spans="1:27" s="51" customFormat="1" ht="18.600000000000001" hidden="1" customHeight="1" x14ac:dyDescent="0.25">
      <c r="A2558" s="81" t="s">
        <v>2653</v>
      </c>
      <c r="B2558" s="31" t="s">
        <v>6413</v>
      </c>
      <c r="C2558" s="32" t="s">
        <v>9342</v>
      </c>
      <c r="D2558" s="31" t="s">
        <v>6541</v>
      </c>
      <c r="E2558" s="33" t="s">
        <v>6542</v>
      </c>
      <c r="F2558" s="33" t="s">
        <v>1937</v>
      </c>
      <c r="G2558" s="33" t="s">
        <v>6518</v>
      </c>
      <c r="H2558" s="84" t="s">
        <v>6543</v>
      </c>
      <c r="I2558" s="23" t="s">
        <v>24</v>
      </c>
      <c r="J2558" s="34">
        <v>225</v>
      </c>
      <c r="K2558" s="35">
        <v>0.25</v>
      </c>
      <c r="L2558" s="36">
        <f t="shared" si="379"/>
        <v>56.25</v>
      </c>
      <c r="M2558" s="37">
        <f t="shared" si="380"/>
        <v>168.75</v>
      </c>
      <c r="N2558" s="38">
        <v>0.16</v>
      </c>
      <c r="O2558" s="39">
        <f t="shared" si="381"/>
        <v>27</v>
      </c>
      <c r="P2558" s="40">
        <f t="shared" si="382"/>
        <v>195.75</v>
      </c>
      <c r="Q2558" s="23"/>
      <c r="R2558" s="56"/>
      <c r="S2558" s="57"/>
      <c r="T2558" s="58">
        <f t="shared" si="383"/>
        <v>0</v>
      </c>
      <c r="U2558" s="36">
        <f t="shared" si="384"/>
        <v>0</v>
      </c>
      <c r="V2558" s="59">
        <f t="shared" si="385"/>
        <v>0</v>
      </c>
      <c r="W2558" s="39">
        <f t="shared" si="386"/>
        <v>0</v>
      </c>
      <c r="X2558" s="40">
        <f t="shared" si="387"/>
        <v>0</v>
      </c>
      <c r="Y2558"/>
      <c r="Z2558"/>
      <c r="AA2558"/>
    </row>
    <row r="2559" spans="1:27" s="51" customFormat="1" ht="18.600000000000001" hidden="1" customHeight="1" x14ac:dyDescent="0.25">
      <c r="A2559" s="82" t="s">
        <v>2653</v>
      </c>
      <c r="B2559" s="41" t="s">
        <v>6413</v>
      </c>
      <c r="C2559" s="42" t="s">
        <v>9342</v>
      </c>
      <c r="D2559" s="41" t="s">
        <v>6544</v>
      </c>
      <c r="E2559" s="43" t="s">
        <v>6545</v>
      </c>
      <c r="F2559" s="43" t="s">
        <v>1937</v>
      </c>
      <c r="G2559" s="43" t="s">
        <v>6518</v>
      </c>
      <c r="H2559" s="85" t="s">
        <v>6546</v>
      </c>
      <c r="I2559" s="23" t="s">
        <v>24</v>
      </c>
      <c r="J2559" s="44">
        <v>225</v>
      </c>
      <c r="K2559" s="45">
        <v>0.25</v>
      </c>
      <c r="L2559" s="46">
        <f t="shared" si="379"/>
        <v>56.25</v>
      </c>
      <c r="M2559" s="47">
        <f t="shared" si="380"/>
        <v>168.75</v>
      </c>
      <c r="N2559" s="48">
        <v>0.16</v>
      </c>
      <c r="O2559" s="49">
        <f t="shared" si="381"/>
        <v>27</v>
      </c>
      <c r="P2559" s="50">
        <f t="shared" si="382"/>
        <v>195.75</v>
      </c>
      <c r="Q2559" s="23"/>
      <c r="R2559" s="60"/>
      <c r="S2559" s="61"/>
      <c r="T2559" s="62">
        <f t="shared" si="383"/>
        <v>0</v>
      </c>
      <c r="U2559" s="46">
        <f t="shared" si="384"/>
        <v>0</v>
      </c>
      <c r="V2559" s="63">
        <f t="shared" si="385"/>
        <v>0</v>
      </c>
      <c r="W2559" s="49">
        <f t="shared" si="386"/>
        <v>0</v>
      </c>
      <c r="X2559" s="50">
        <f t="shared" si="387"/>
        <v>0</v>
      </c>
      <c r="Y2559"/>
      <c r="Z2559"/>
      <c r="AA2559"/>
    </row>
    <row r="2560" spans="1:27" s="51" customFormat="1" ht="18.600000000000001" hidden="1" customHeight="1" x14ac:dyDescent="0.25">
      <c r="A2560" s="80" t="s">
        <v>2653</v>
      </c>
      <c r="B2560" s="20" t="s">
        <v>6413</v>
      </c>
      <c r="C2560" s="21" t="s">
        <v>9342</v>
      </c>
      <c r="D2560" s="20" t="s">
        <v>6547</v>
      </c>
      <c r="E2560" s="22" t="s">
        <v>6548</v>
      </c>
      <c r="F2560" s="22" t="s">
        <v>1937</v>
      </c>
      <c r="G2560" s="22" t="s">
        <v>6518</v>
      </c>
      <c r="H2560" s="83" t="s">
        <v>6549</v>
      </c>
      <c r="I2560" s="23" t="s">
        <v>24</v>
      </c>
      <c r="J2560" s="24">
        <v>225</v>
      </c>
      <c r="K2560" s="25">
        <v>0.25</v>
      </c>
      <c r="L2560" s="26">
        <f t="shared" si="379"/>
        <v>56.25</v>
      </c>
      <c r="M2560" s="27">
        <f t="shared" si="380"/>
        <v>168.75</v>
      </c>
      <c r="N2560" s="28">
        <v>0.16</v>
      </c>
      <c r="O2560" s="29">
        <f t="shared" si="381"/>
        <v>27</v>
      </c>
      <c r="P2560" s="30">
        <f t="shared" si="382"/>
        <v>195.75</v>
      </c>
      <c r="Q2560" s="23"/>
      <c r="R2560" s="52"/>
      <c r="S2560" s="53"/>
      <c r="T2560" s="54">
        <f t="shared" si="383"/>
        <v>0</v>
      </c>
      <c r="U2560" s="26">
        <f t="shared" si="384"/>
        <v>0</v>
      </c>
      <c r="V2560" s="55">
        <f t="shared" si="385"/>
        <v>0</v>
      </c>
      <c r="W2560" s="29">
        <f t="shared" si="386"/>
        <v>0</v>
      </c>
      <c r="X2560" s="30">
        <f t="shared" si="387"/>
        <v>0</v>
      </c>
      <c r="Y2560"/>
      <c r="Z2560"/>
      <c r="AA2560"/>
    </row>
    <row r="2561" spans="1:27" s="51" customFormat="1" ht="18.600000000000001" hidden="1" customHeight="1" x14ac:dyDescent="0.25">
      <c r="A2561" s="81" t="s">
        <v>2653</v>
      </c>
      <c r="B2561" s="31" t="s">
        <v>9343</v>
      </c>
      <c r="C2561" s="32" t="s">
        <v>9344</v>
      </c>
      <c r="D2561" s="31" t="s">
        <v>6550</v>
      </c>
      <c r="E2561" s="33" t="s">
        <v>6551</v>
      </c>
      <c r="F2561" s="33" t="s">
        <v>1937</v>
      </c>
      <c r="G2561" s="33" t="s">
        <v>5026</v>
      </c>
      <c r="H2561" s="84" t="s">
        <v>6552</v>
      </c>
      <c r="I2561" s="23" t="s">
        <v>24</v>
      </c>
      <c r="J2561" s="34">
        <v>220</v>
      </c>
      <c r="K2561" s="35">
        <v>0.25</v>
      </c>
      <c r="L2561" s="36">
        <f t="shared" si="379"/>
        <v>55</v>
      </c>
      <c r="M2561" s="37">
        <f t="shared" si="380"/>
        <v>165</v>
      </c>
      <c r="N2561" s="38">
        <v>0.16</v>
      </c>
      <c r="O2561" s="39">
        <f t="shared" si="381"/>
        <v>26.400000000000002</v>
      </c>
      <c r="P2561" s="40">
        <f t="shared" si="382"/>
        <v>191.4</v>
      </c>
      <c r="Q2561" s="23"/>
      <c r="R2561" s="56"/>
      <c r="S2561" s="57"/>
      <c r="T2561" s="58">
        <f t="shared" si="383"/>
        <v>0</v>
      </c>
      <c r="U2561" s="36">
        <f t="shared" si="384"/>
        <v>0</v>
      </c>
      <c r="V2561" s="59">
        <f t="shared" si="385"/>
        <v>0</v>
      </c>
      <c r="W2561" s="39">
        <f t="shared" si="386"/>
        <v>0</v>
      </c>
      <c r="X2561" s="40">
        <f t="shared" si="387"/>
        <v>0</v>
      </c>
      <c r="Y2561"/>
      <c r="Z2561"/>
      <c r="AA2561"/>
    </row>
    <row r="2562" spans="1:27" s="51" customFormat="1" ht="18.600000000000001" hidden="1" customHeight="1" x14ac:dyDescent="0.25">
      <c r="A2562" s="82" t="s">
        <v>2653</v>
      </c>
      <c r="B2562" s="41" t="s">
        <v>9343</v>
      </c>
      <c r="C2562" s="42" t="s">
        <v>9344</v>
      </c>
      <c r="D2562" s="41" t="s">
        <v>6553</v>
      </c>
      <c r="E2562" s="43" t="s">
        <v>6554</v>
      </c>
      <c r="F2562" s="43" t="s">
        <v>1937</v>
      </c>
      <c r="G2562" s="43" t="s">
        <v>2655</v>
      </c>
      <c r="H2562" s="85" t="s">
        <v>6555</v>
      </c>
      <c r="I2562" s="23" t="s">
        <v>24</v>
      </c>
      <c r="J2562" s="44">
        <v>190</v>
      </c>
      <c r="K2562" s="45">
        <v>0.25</v>
      </c>
      <c r="L2562" s="46">
        <f t="shared" si="379"/>
        <v>47.5</v>
      </c>
      <c r="M2562" s="47">
        <f t="shared" si="380"/>
        <v>142.5</v>
      </c>
      <c r="N2562" s="48">
        <v>0.16</v>
      </c>
      <c r="O2562" s="49">
        <f t="shared" si="381"/>
        <v>22.8</v>
      </c>
      <c r="P2562" s="50">
        <f t="shared" si="382"/>
        <v>165.3</v>
      </c>
      <c r="Q2562" s="23"/>
      <c r="R2562" s="60"/>
      <c r="S2562" s="61"/>
      <c r="T2562" s="62">
        <f t="shared" si="383"/>
        <v>0</v>
      </c>
      <c r="U2562" s="46">
        <f t="shared" si="384"/>
        <v>0</v>
      </c>
      <c r="V2562" s="63">
        <f t="shared" si="385"/>
        <v>0</v>
      </c>
      <c r="W2562" s="49">
        <f t="shared" si="386"/>
        <v>0</v>
      </c>
      <c r="X2562" s="50">
        <f t="shared" si="387"/>
        <v>0</v>
      </c>
      <c r="Y2562"/>
      <c r="Z2562"/>
      <c r="AA2562"/>
    </row>
    <row r="2563" spans="1:27" s="51" customFormat="1" ht="18.600000000000001" hidden="1" customHeight="1" x14ac:dyDescent="0.25">
      <c r="A2563" s="80" t="s">
        <v>2653</v>
      </c>
      <c r="B2563" s="20" t="s">
        <v>9343</v>
      </c>
      <c r="C2563" s="21" t="s">
        <v>9344</v>
      </c>
      <c r="D2563" s="20" t="s">
        <v>6556</v>
      </c>
      <c r="E2563" s="22" t="s">
        <v>6557</v>
      </c>
      <c r="F2563" s="22" t="s">
        <v>1937</v>
      </c>
      <c r="G2563" s="22" t="s">
        <v>2655</v>
      </c>
      <c r="H2563" s="83" t="s">
        <v>6558</v>
      </c>
      <c r="I2563" s="23" t="s">
        <v>24</v>
      </c>
      <c r="J2563" s="24">
        <v>190</v>
      </c>
      <c r="K2563" s="25">
        <v>0.25</v>
      </c>
      <c r="L2563" s="26">
        <f t="shared" si="379"/>
        <v>47.5</v>
      </c>
      <c r="M2563" s="27">
        <f t="shared" si="380"/>
        <v>142.5</v>
      </c>
      <c r="N2563" s="28">
        <v>0.16</v>
      </c>
      <c r="O2563" s="29">
        <f t="shared" si="381"/>
        <v>22.8</v>
      </c>
      <c r="P2563" s="30">
        <f t="shared" si="382"/>
        <v>165.3</v>
      </c>
      <c r="Q2563" s="23"/>
      <c r="R2563" s="52"/>
      <c r="S2563" s="53"/>
      <c r="T2563" s="54">
        <f t="shared" si="383"/>
        <v>0</v>
      </c>
      <c r="U2563" s="26">
        <f t="shared" si="384"/>
        <v>0</v>
      </c>
      <c r="V2563" s="55">
        <f t="shared" si="385"/>
        <v>0</v>
      </c>
      <c r="W2563" s="29">
        <f t="shared" si="386"/>
        <v>0</v>
      </c>
      <c r="X2563" s="30">
        <f t="shared" si="387"/>
        <v>0</v>
      </c>
      <c r="Y2563"/>
      <c r="Z2563"/>
      <c r="AA2563"/>
    </row>
    <row r="2564" spans="1:27" s="51" customFormat="1" ht="18.600000000000001" hidden="1" customHeight="1" x14ac:dyDescent="0.25">
      <c r="A2564" s="81" t="s">
        <v>2653</v>
      </c>
      <c r="B2564" s="31" t="s">
        <v>9343</v>
      </c>
      <c r="C2564" s="32" t="s">
        <v>9344</v>
      </c>
      <c r="D2564" s="31" t="s">
        <v>6559</v>
      </c>
      <c r="E2564" s="33" t="s">
        <v>6560</v>
      </c>
      <c r="F2564" s="33" t="s">
        <v>1937</v>
      </c>
      <c r="G2564" s="33" t="s">
        <v>2655</v>
      </c>
      <c r="H2564" s="84" t="s">
        <v>6561</v>
      </c>
      <c r="I2564" s="23" t="s">
        <v>24</v>
      </c>
      <c r="J2564" s="34">
        <v>190</v>
      </c>
      <c r="K2564" s="35">
        <v>0.25</v>
      </c>
      <c r="L2564" s="36">
        <f t="shared" si="379"/>
        <v>47.5</v>
      </c>
      <c r="M2564" s="37">
        <f t="shared" si="380"/>
        <v>142.5</v>
      </c>
      <c r="N2564" s="38">
        <v>0.16</v>
      </c>
      <c r="O2564" s="39">
        <f t="shared" si="381"/>
        <v>22.8</v>
      </c>
      <c r="P2564" s="40">
        <f t="shared" si="382"/>
        <v>165.3</v>
      </c>
      <c r="Q2564" s="23"/>
      <c r="R2564" s="56"/>
      <c r="S2564" s="57"/>
      <c r="T2564" s="58">
        <f t="shared" si="383"/>
        <v>0</v>
      </c>
      <c r="U2564" s="36">
        <f t="shared" si="384"/>
        <v>0</v>
      </c>
      <c r="V2564" s="59">
        <f t="shared" si="385"/>
        <v>0</v>
      </c>
      <c r="W2564" s="39">
        <f t="shared" si="386"/>
        <v>0</v>
      </c>
      <c r="X2564" s="40">
        <f t="shared" si="387"/>
        <v>0</v>
      </c>
      <c r="Y2564"/>
      <c r="Z2564"/>
      <c r="AA2564"/>
    </row>
    <row r="2565" spans="1:27" s="51" customFormat="1" ht="18.600000000000001" hidden="1" customHeight="1" x14ac:dyDescent="0.25">
      <c r="A2565" s="82" t="s">
        <v>2653</v>
      </c>
      <c r="B2565" s="41" t="s">
        <v>9343</v>
      </c>
      <c r="C2565" s="42" t="s">
        <v>9344</v>
      </c>
      <c r="D2565" s="41" t="s">
        <v>6562</v>
      </c>
      <c r="E2565" s="43" t="s">
        <v>6563</v>
      </c>
      <c r="F2565" s="43" t="s">
        <v>1937</v>
      </c>
      <c r="G2565" s="43" t="s">
        <v>2655</v>
      </c>
      <c r="H2565" s="85" t="s">
        <v>6564</v>
      </c>
      <c r="I2565" s="23" t="s">
        <v>24</v>
      </c>
      <c r="J2565" s="44">
        <v>190</v>
      </c>
      <c r="K2565" s="45">
        <v>0.25</v>
      </c>
      <c r="L2565" s="46">
        <f t="shared" si="379"/>
        <v>47.5</v>
      </c>
      <c r="M2565" s="47">
        <f t="shared" si="380"/>
        <v>142.5</v>
      </c>
      <c r="N2565" s="48">
        <v>0.16</v>
      </c>
      <c r="O2565" s="49">
        <f t="shared" si="381"/>
        <v>22.8</v>
      </c>
      <c r="P2565" s="50">
        <f t="shared" si="382"/>
        <v>165.3</v>
      </c>
      <c r="Q2565" s="23"/>
      <c r="R2565" s="60"/>
      <c r="S2565" s="61"/>
      <c r="T2565" s="62">
        <f t="shared" si="383"/>
        <v>0</v>
      </c>
      <c r="U2565" s="46">
        <f t="shared" si="384"/>
        <v>0</v>
      </c>
      <c r="V2565" s="63">
        <f t="shared" si="385"/>
        <v>0</v>
      </c>
      <c r="W2565" s="49">
        <f t="shared" si="386"/>
        <v>0</v>
      </c>
      <c r="X2565" s="50">
        <f t="shared" si="387"/>
        <v>0</v>
      </c>
      <c r="Y2565"/>
      <c r="Z2565"/>
      <c r="AA2565"/>
    </row>
    <row r="2566" spans="1:27" s="51" customFormat="1" ht="18.600000000000001" hidden="1" customHeight="1" x14ac:dyDescent="0.25">
      <c r="A2566" s="80" t="s">
        <v>2653</v>
      </c>
      <c r="B2566" s="20" t="s">
        <v>9343</v>
      </c>
      <c r="C2566" s="21" t="s">
        <v>9344</v>
      </c>
      <c r="D2566" s="20" t="s">
        <v>6565</v>
      </c>
      <c r="E2566" s="22" t="s">
        <v>6566</v>
      </c>
      <c r="F2566" s="22" t="s">
        <v>1937</v>
      </c>
      <c r="G2566" s="22" t="s">
        <v>2655</v>
      </c>
      <c r="H2566" s="83" t="s">
        <v>6567</v>
      </c>
      <c r="I2566" s="23" t="s">
        <v>24</v>
      </c>
      <c r="J2566" s="24">
        <v>190</v>
      </c>
      <c r="K2566" s="25">
        <v>0.25</v>
      </c>
      <c r="L2566" s="26">
        <f t="shared" si="379"/>
        <v>47.5</v>
      </c>
      <c r="M2566" s="27">
        <f t="shared" si="380"/>
        <v>142.5</v>
      </c>
      <c r="N2566" s="28">
        <v>0.16</v>
      </c>
      <c r="O2566" s="29">
        <f t="shared" si="381"/>
        <v>22.8</v>
      </c>
      <c r="P2566" s="30">
        <f t="shared" si="382"/>
        <v>165.3</v>
      </c>
      <c r="Q2566" s="23"/>
      <c r="R2566" s="52"/>
      <c r="S2566" s="53"/>
      <c r="T2566" s="54">
        <f t="shared" si="383"/>
        <v>0</v>
      </c>
      <c r="U2566" s="26">
        <f t="shared" si="384"/>
        <v>0</v>
      </c>
      <c r="V2566" s="55">
        <f t="shared" si="385"/>
        <v>0</v>
      </c>
      <c r="W2566" s="29">
        <f t="shared" si="386"/>
        <v>0</v>
      </c>
      <c r="X2566" s="30">
        <f t="shared" si="387"/>
        <v>0</v>
      </c>
      <c r="Y2566"/>
      <c r="Z2566"/>
      <c r="AA2566"/>
    </row>
    <row r="2567" spans="1:27" s="51" customFormat="1" ht="18.600000000000001" hidden="1" customHeight="1" x14ac:dyDescent="0.25">
      <c r="A2567" s="81" t="s">
        <v>2653</v>
      </c>
      <c r="B2567" s="31" t="s">
        <v>9343</v>
      </c>
      <c r="C2567" s="32" t="s">
        <v>9344</v>
      </c>
      <c r="D2567" s="31" t="s">
        <v>6568</v>
      </c>
      <c r="E2567" s="33" t="s">
        <v>6569</v>
      </c>
      <c r="F2567" s="33" t="s">
        <v>1937</v>
      </c>
      <c r="G2567" s="33" t="s">
        <v>2655</v>
      </c>
      <c r="H2567" s="84" t="s">
        <v>6570</v>
      </c>
      <c r="I2567" s="23" t="s">
        <v>24</v>
      </c>
      <c r="J2567" s="34">
        <v>190</v>
      </c>
      <c r="K2567" s="35">
        <v>0.25</v>
      </c>
      <c r="L2567" s="36">
        <f t="shared" si="379"/>
        <v>47.5</v>
      </c>
      <c r="M2567" s="37">
        <f t="shared" si="380"/>
        <v>142.5</v>
      </c>
      <c r="N2567" s="38">
        <v>0.16</v>
      </c>
      <c r="O2567" s="39">
        <f t="shared" si="381"/>
        <v>22.8</v>
      </c>
      <c r="P2567" s="40">
        <f t="shared" si="382"/>
        <v>165.3</v>
      </c>
      <c r="Q2567" s="23"/>
      <c r="R2567" s="56"/>
      <c r="S2567" s="57"/>
      <c r="T2567" s="58">
        <f t="shared" si="383"/>
        <v>0</v>
      </c>
      <c r="U2567" s="36">
        <f t="shared" si="384"/>
        <v>0</v>
      </c>
      <c r="V2567" s="59">
        <f t="shared" si="385"/>
        <v>0</v>
      </c>
      <c r="W2567" s="39">
        <f t="shared" si="386"/>
        <v>0</v>
      </c>
      <c r="X2567" s="40">
        <f t="shared" si="387"/>
        <v>0</v>
      </c>
      <c r="Y2567"/>
      <c r="Z2567"/>
      <c r="AA2567"/>
    </row>
    <row r="2568" spans="1:27" s="51" customFormat="1" ht="18.600000000000001" hidden="1" customHeight="1" x14ac:dyDescent="0.25">
      <c r="A2568" s="82" t="s">
        <v>2653</v>
      </c>
      <c r="B2568" s="41" t="s">
        <v>9343</v>
      </c>
      <c r="C2568" s="42" t="s">
        <v>9344</v>
      </c>
      <c r="D2568" s="41" t="s">
        <v>6571</v>
      </c>
      <c r="E2568" s="43" t="s">
        <v>6572</v>
      </c>
      <c r="F2568" s="43" t="s">
        <v>1937</v>
      </c>
      <c r="G2568" s="43" t="s">
        <v>2655</v>
      </c>
      <c r="H2568" s="85" t="s">
        <v>6573</v>
      </c>
      <c r="I2568" s="23" t="s">
        <v>24</v>
      </c>
      <c r="J2568" s="44">
        <v>190</v>
      </c>
      <c r="K2568" s="45">
        <v>0.25</v>
      </c>
      <c r="L2568" s="46">
        <f t="shared" si="379"/>
        <v>47.5</v>
      </c>
      <c r="M2568" s="47">
        <f t="shared" si="380"/>
        <v>142.5</v>
      </c>
      <c r="N2568" s="48">
        <v>0.16</v>
      </c>
      <c r="O2568" s="49">
        <f t="shared" si="381"/>
        <v>22.8</v>
      </c>
      <c r="P2568" s="50">
        <f t="shared" si="382"/>
        <v>165.3</v>
      </c>
      <c r="Q2568" s="23"/>
      <c r="R2568" s="60"/>
      <c r="S2568" s="61"/>
      <c r="T2568" s="62">
        <f t="shared" si="383"/>
        <v>0</v>
      </c>
      <c r="U2568" s="46">
        <f t="shared" si="384"/>
        <v>0</v>
      </c>
      <c r="V2568" s="63">
        <f t="shared" si="385"/>
        <v>0</v>
      </c>
      <c r="W2568" s="49">
        <f t="shared" si="386"/>
        <v>0</v>
      </c>
      <c r="X2568" s="50">
        <f t="shared" si="387"/>
        <v>0</v>
      </c>
      <c r="Y2568"/>
      <c r="Z2568"/>
      <c r="AA2568"/>
    </row>
    <row r="2569" spans="1:27" s="51" customFormat="1" ht="18.600000000000001" hidden="1" customHeight="1" x14ac:dyDescent="0.25">
      <c r="A2569" s="80" t="s">
        <v>2653</v>
      </c>
      <c r="B2569" s="20" t="s">
        <v>9343</v>
      </c>
      <c r="C2569" s="21" t="s">
        <v>9344</v>
      </c>
      <c r="D2569" s="20" t="s">
        <v>6574</v>
      </c>
      <c r="E2569" s="22" t="s">
        <v>6575</v>
      </c>
      <c r="F2569" s="22" t="s">
        <v>1937</v>
      </c>
      <c r="G2569" s="22" t="s">
        <v>2655</v>
      </c>
      <c r="H2569" s="83" t="s">
        <v>6576</v>
      </c>
      <c r="I2569" s="23" t="s">
        <v>24</v>
      </c>
      <c r="J2569" s="24">
        <v>190</v>
      </c>
      <c r="K2569" s="25">
        <v>0.25</v>
      </c>
      <c r="L2569" s="26">
        <f t="shared" si="379"/>
        <v>47.5</v>
      </c>
      <c r="M2569" s="27">
        <f t="shared" si="380"/>
        <v>142.5</v>
      </c>
      <c r="N2569" s="28">
        <v>0.16</v>
      </c>
      <c r="O2569" s="29">
        <f t="shared" si="381"/>
        <v>22.8</v>
      </c>
      <c r="P2569" s="30">
        <f t="shared" si="382"/>
        <v>165.3</v>
      </c>
      <c r="Q2569" s="23"/>
      <c r="R2569" s="52"/>
      <c r="S2569" s="53"/>
      <c r="T2569" s="54">
        <f t="shared" si="383"/>
        <v>0</v>
      </c>
      <c r="U2569" s="26">
        <f t="shared" si="384"/>
        <v>0</v>
      </c>
      <c r="V2569" s="55">
        <f t="shared" si="385"/>
        <v>0</v>
      </c>
      <c r="W2569" s="29">
        <f t="shared" si="386"/>
        <v>0</v>
      </c>
      <c r="X2569" s="30">
        <f t="shared" si="387"/>
        <v>0</v>
      </c>
      <c r="Y2569"/>
      <c r="Z2569"/>
      <c r="AA2569"/>
    </row>
    <row r="2570" spans="1:27" s="51" customFormat="1" ht="18.600000000000001" hidden="1" customHeight="1" x14ac:dyDescent="0.25">
      <c r="A2570" s="81" t="s">
        <v>2653</v>
      </c>
      <c r="B2570" s="31" t="s">
        <v>9343</v>
      </c>
      <c r="C2570" s="32" t="s">
        <v>9344</v>
      </c>
      <c r="D2570" s="31" t="s">
        <v>6577</v>
      </c>
      <c r="E2570" s="33" t="s">
        <v>6578</v>
      </c>
      <c r="F2570" s="33" t="s">
        <v>1937</v>
      </c>
      <c r="G2570" s="33" t="s">
        <v>2655</v>
      </c>
      <c r="H2570" s="84" t="s">
        <v>6579</v>
      </c>
      <c r="I2570" s="23" t="s">
        <v>24</v>
      </c>
      <c r="J2570" s="34">
        <v>190</v>
      </c>
      <c r="K2570" s="35">
        <v>0.25</v>
      </c>
      <c r="L2570" s="36">
        <f t="shared" si="379"/>
        <v>47.5</v>
      </c>
      <c r="M2570" s="37">
        <f t="shared" si="380"/>
        <v>142.5</v>
      </c>
      <c r="N2570" s="38">
        <v>0.16</v>
      </c>
      <c r="O2570" s="39">
        <f t="shared" si="381"/>
        <v>22.8</v>
      </c>
      <c r="P2570" s="40">
        <f t="shared" si="382"/>
        <v>165.3</v>
      </c>
      <c r="Q2570" s="23"/>
      <c r="R2570" s="56"/>
      <c r="S2570" s="57"/>
      <c r="T2570" s="58">
        <f t="shared" si="383"/>
        <v>0</v>
      </c>
      <c r="U2570" s="36">
        <f t="shared" si="384"/>
        <v>0</v>
      </c>
      <c r="V2570" s="59">
        <f t="shared" si="385"/>
        <v>0</v>
      </c>
      <c r="W2570" s="39">
        <f t="shared" si="386"/>
        <v>0</v>
      </c>
      <c r="X2570" s="40">
        <f t="shared" si="387"/>
        <v>0</v>
      </c>
      <c r="Y2570"/>
      <c r="Z2570"/>
      <c r="AA2570"/>
    </row>
    <row r="2571" spans="1:27" s="51" customFormat="1" ht="18.600000000000001" hidden="1" customHeight="1" x14ac:dyDescent="0.25">
      <c r="A2571" s="82" t="s">
        <v>2653</v>
      </c>
      <c r="B2571" s="41" t="s">
        <v>9343</v>
      </c>
      <c r="C2571" s="42" t="s">
        <v>9344</v>
      </c>
      <c r="D2571" s="41" t="s">
        <v>6580</v>
      </c>
      <c r="E2571" s="43" t="s">
        <v>6581</v>
      </c>
      <c r="F2571" s="43" t="s">
        <v>1937</v>
      </c>
      <c r="G2571" s="43" t="s">
        <v>2655</v>
      </c>
      <c r="H2571" s="85" t="s">
        <v>6582</v>
      </c>
      <c r="I2571" s="23" t="s">
        <v>24</v>
      </c>
      <c r="J2571" s="44">
        <v>190</v>
      </c>
      <c r="K2571" s="45">
        <v>0.25</v>
      </c>
      <c r="L2571" s="46">
        <f t="shared" si="379"/>
        <v>47.5</v>
      </c>
      <c r="M2571" s="47">
        <f t="shared" si="380"/>
        <v>142.5</v>
      </c>
      <c r="N2571" s="48">
        <v>0.16</v>
      </c>
      <c r="O2571" s="49">
        <f t="shared" si="381"/>
        <v>22.8</v>
      </c>
      <c r="P2571" s="50">
        <f t="shared" si="382"/>
        <v>165.3</v>
      </c>
      <c r="Q2571" s="23"/>
      <c r="R2571" s="60"/>
      <c r="S2571" s="61"/>
      <c r="T2571" s="62">
        <f t="shared" si="383"/>
        <v>0</v>
      </c>
      <c r="U2571" s="46">
        <f t="shared" si="384"/>
        <v>0</v>
      </c>
      <c r="V2571" s="63">
        <f t="shared" si="385"/>
        <v>0</v>
      </c>
      <c r="W2571" s="49">
        <f t="shared" si="386"/>
        <v>0</v>
      </c>
      <c r="X2571" s="50">
        <f t="shared" si="387"/>
        <v>0</v>
      </c>
      <c r="Y2571"/>
      <c r="Z2571"/>
      <c r="AA2571"/>
    </row>
    <row r="2572" spans="1:27" s="51" customFormat="1" ht="18.600000000000001" hidden="1" customHeight="1" x14ac:dyDescent="0.25">
      <c r="A2572" s="80" t="s">
        <v>2653</v>
      </c>
      <c r="B2572" s="20" t="s">
        <v>9343</v>
      </c>
      <c r="C2572" s="21" t="s">
        <v>9344</v>
      </c>
      <c r="D2572" s="20" t="s">
        <v>6583</v>
      </c>
      <c r="E2572" s="22" t="s">
        <v>6584</v>
      </c>
      <c r="F2572" s="22" t="s">
        <v>1937</v>
      </c>
      <c r="G2572" s="22" t="s">
        <v>2655</v>
      </c>
      <c r="H2572" s="83" t="s">
        <v>6585</v>
      </c>
      <c r="I2572" s="23" t="s">
        <v>24</v>
      </c>
      <c r="J2572" s="24">
        <v>190</v>
      </c>
      <c r="K2572" s="25">
        <v>0.25</v>
      </c>
      <c r="L2572" s="26">
        <f t="shared" si="379"/>
        <v>47.5</v>
      </c>
      <c r="M2572" s="27">
        <f t="shared" si="380"/>
        <v>142.5</v>
      </c>
      <c r="N2572" s="28">
        <v>0.16</v>
      </c>
      <c r="O2572" s="29">
        <f t="shared" si="381"/>
        <v>22.8</v>
      </c>
      <c r="P2572" s="30">
        <f t="shared" si="382"/>
        <v>165.3</v>
      </c>
      <c r="Q2572" s="23"/>
      <c r="R2572" s="52"/>
      <c r="S2572" s="53"/>
      <c r="T2572" s="54">
        <f t="shared" si="383"/>
        <v>0</v>
      </c>
      <c r="U2572" s="26">
        <f t="shared" si="384"/>
        <v>0</v>
      </c>
      <c r="V2572" s="55">
        <f t="shared" si="385"/>
        <v>0</v>
      </c>
      <c r="W2572" s="29">
        <f t="shared" si="386"/>
        <v>0</v>
      </c>
      <c r="X2572" s="30">
        <f t="shared" si="387"/>
        <v>0</v>
      </c>
      <c r="Y2572"/>
      <c r="Z2572"/>
      <c r="AA2572"/>
    </row>
    <row r="2573" spans="1:27" s="51" customFormat="1" ht="18.600000000000001" hidden="1" customHeight="1" x14ac:dyDescent="0.25">
      <c r="A2573" s="81" t="s">
        <v>2653</v>
      </c>
      <c r="B2573" s="31" t="s">
        <v>9343</v>
      </c>
      <c r="C2573" s="32" t="s">
        <v>9344</v>
      </c>
      <c r="D2573" s="31" t="s">
        <v>6586</v>
      </c>
      <c r="E2573" s="33" t="s">
        <v>6587</v>
      </c>
      <c r="F2573" s="33" t="s">
        <v>1937</v>
      </c>
      <c r="G2573" s="33" t="s">
        <v>2655</v>
      </c>
      <c r="H2573" s="84" t="s">
        <v>6588</v>
      </c>
      <c r="I2573" s="23" t="s">
        <v>24</v>
      </c>
      <c r="J2573" s="34">
        <v>190</v>
      </c>
      <c r="K2573" s="35">
        <v>0.25</v>
      </c>
      <c r="L2573" s="36">
        <f t="shared" si="379"/>
        <v>47.5</v>
      </c>
      <c r="M2573" s="37">
        <f t="shared" si="380"/>
        <v>142.5</v>
      </c>
      <c r="N2573" s="38">
        <v>0.16</v>
      </c>
      <c r="O2573" s="39">
        <f t="shared" si="381"/>
        <v>22.8</v>
      </c>
      <c r="P2573" s="40">
        <f t="shared" si="382"/>
        <v>165.3</v>
      </c>
      <c r="Q2573" s="23"/>
      <c r="R2573" s="56"/>
      <c r="S2573" s="57"/>
      <c r="T2573" s="58">
        <f t="shared" si="383"/>
        <v>0</v>
      </c>
      <c r="U2573" s="36">
        <f t="shared" si="384"/>
        <v>0</v>
      </c>
      <c r="V2573" s="59">
        <f t="shared" si="385"/>
        <v>0</v>
      </c>
      <c r="W2573" s="39">
        <f t="shared" si="386"/>
        <v>0</v>
      </c>
      <c r="X2573" s="40">
        <f t="shared" si="387"/>
        <v>0</v>
      </c>
      <c r="Y2573"/>
      <c r="Z2573"/>
      <c r="AA2573"/>
    </row>
    <row r="2574" spans="1:27" s="51" customFormat="1" ht="18.600000000000001" hidden="1" customHeight="1" x14ac:dyDescent="0.25">
      <c r="A2574" s="82" t="s">
        <v>2653</v>
      </c>
      <c r="B2574" s="41" t="s">
        <v>9343</v>
      </c>
      <c r="C2574" s="42" t="s">
        <v>9344</v>
      </c>
      <c r="D2574" s="41" t="s">
        <v>6589</v>
      </c>
      <c r="E2574" s="43" t="s">
        <v>6590</v>
      </c>
      <c r="F2574" s="43" t="s">
        <v>1937</v>
      </c>
      <c r="G2574" s="43" t="s">
        <v>2655</v>
      </c>
      <c r="H2574" s="85" t="s">
        <v>6591</v>
      </c>
      <c r="I2574" s="23" t="s">
        <v>24</v>
      </c>
      <c r="J2574" s="44">
        <v>190</v>
      </c>
      <c r="K2574" s="45">
        <v>0.25</v>
      </c>
      <c r="L2574" s="46">
        <f t="shared" si="379"/>
        <v>47.5</v>
      </c>
      <c r="M2574" s="47">
        <f t="shared" si="380"/>
        <v>142.5</v>
      </c>
      <c r="N2574" s="48">
        <v>0.16</v>
      </c>
      <c r="O2574" s="49">
        <f t="shared" si="381"/>
        <v>22.8</v>
      </c>
      <c r="P2574" s="50">
        <f t="shared" si="382"/>
        <v>165.3</v>
      </c>
      <c r="Q2574" s="23"/>
      <c r="R2574" s="60"/>
      <c r="S2574" s="61"/>
      <c r="T2574" s="62">
        <f t="shared" si="383"/>
        <v>0</v>
      </c>
      <c r="U2574" s="46">
        <f t="shared" si="384"/>
        <v>0</v>
      </c>
      <c r="V2574" s="63">
        <f t="shared" si="385"/>
        <v>0</v>
      </c>
      <c r="W2574" s="49">
        <f t="shared" si="386"/>
        <v>0</v>
      </c>
      <c r="X2574" s="50">
        <f t="shared" si="387"/>
        <v>0</v>
      </c>
      <c r="Y2574"/>
      <c r="Z2574"/>
      <c r="AA2574"/>
    </row>
    <row r="2575" spans="1:27" s="51" customFormat="1" ht="18.600000000000001" hidden="1" customHeight="1" x14ac:dyDescent="0.25">
      <c r="A2575" s="80" t="s">
        <v>2653</v>
      </c>
      <c r="B2575" s="20" t="s">
        <v>9343</v>
      </c>
      <c r="C2575" s="21" t="s">
        <v>9344</v>
      </c>
      <c r="D2575" s="20" t="s">
        <v>6592</v>
      </c>
      <c r="E2575" s="22" t="s">
        <v>6593</v>
      </c>
      <c r="F2575" s="22" t="s">
        <v>1937</v>
      </c>
      <c r="G2575" s="22" t="s">
        <v>2655</v>
      </c>
      <c r="H2575" s="83" t="s">
        <v>6594</v>
      </c>
      <c r="I2575" s="23" t="s">
        <v>24</v>
      </c>
      <c r="J2575" s="24">
        <v>190</v>
      </c>
      <c r="K2575" s="25">
        <v>0.25</v>
      </c>
      <c r="L2575" s="26">
        <f t="shared" si="379"/>
        <v>47.5</v>
      </c>
      <c r="M2575" s="27">
        <f t="shared" si="380"/>
        <v>142.5</v>
      </c>
      <c r="N2575" s="28">
        <v>0.16</v>
      </c>
      <c r="O2575" s="29">
        <f t="shared" si="381"/>
        <v>22.8</v>
      </c>
      <c r="P2575" s="30">
        <f t="shared" si="382"/>
        <v>165.3</v>
      </c>
      <c r="Q2575" s="23"/>
      <c r="R2575" s="52"/>
      <c r="S2575" s="53"/>
      <c r="T2575" s="54">
        <f t="shared" si="383"/>
        <v>0</v>
      </c>
      <c r="U2575" s="26">
        <f t="shared" si="384"/>
        <v>0</v>
      </c>
      <c r="V2575" s="55">
        <f t="shared" si="385"/>
        <v>0</v>
      </c>
      <c r="W2575" s="29">
        <f t="shared" si="386"/>
        <v>0</v>
      </c>
      <c r="X2575" s="30">
        <f t="shared" si="387"/>
        <v>0</v>
      </c>
      <c r="Y2575"/>
      <c r="Z2575"/>
      <c r="AA2575"/>
    </row>
    <row r="2576" spans="1:27" s="51" customFormat="1" ht="18.600000000000001" hidden="1" customHeight="1" x14ac:dyDescent="0.25">
      <c r="A2576" s="81" t="s">
        <v>2653</v>
      </c>
      <c r="B2576" s="31" t="s">
        <v>9343</v>
      </c>
      <c r="C2576" s="32" t="s">
        <v>9344</v>
      </c>
      <c r="D2576" s="31" t="s">
        <v>6595</v>
      </c>
      <c r="E2576" s="33" t="s">
        <v>6596</v>
      </c>
      <c r="F2576" s="33" t="s">
        <v>1937</v>
      </c>
      <c r="G2576" s="33" t="s">
        <v>2655</v>
      </c>
      <c r="H2576" s="84" t="s">
        <v>6597</v>
      </c>
      <c r="I2576" s="23" t="s">
        <v>24</v>
      </c>
      <c r="J2576" s="34">
        <v>190</v>
      </c>
      <c r="K2576" s="35">
        <v>0.25</v>
      </c>
      <c r="L2576" s="36">
        <f t="shared" si="379"/>
        <v>47.5</v>
      </c>
      <c r="M2576" s="37">
        <f t="shared" si="380"/>
        <v>142.5</v>
      </c>
      <c r="N2576" s="38">
        <v>0.16</v>
      </c>
      <c r="O2576" s="39">
        <f t="shared" si="381"/>
        <v>22.8</v>
      </c>
      <c r="P2576" s="40">
        <f t="shared" si="382"/>
        <v>165.3</v>
      </c>
      <c r="Q2576" s="23"/>
      <c r="R2576" s="56"/>
      <c r="S2576" s="57"/>
      <c r="T2576" s="58">
        <f t="shared" si="383"/>
        <v>0</v>
      </c>
      <c r="U2576" s="36">
        <f t="shared" si="384"/>
        <v>0</v>
      </c>
      <c r="V2576" s="59">
        <f t="shared" si="385"/>
        <v>0</v>
      </c>
      <c r="W2576" s="39">
        <f t="shared" si="386"/>
        <v>0</v>
      </c>
      <c r="X2576" s="40">
        <f t="shared" si="387"/>
        <v>0</v>
      </c>
      <c r="Y2576"/>
      <c r="Z2576"/>
      <c r="AA2576"/>
    </row>
    <row r="2577" spans="1:27" s="51" customFormat="1" ht="18.600000000000001" hidden="1" customHeight="1" x14ac:dyDescent="0.25">
      <c r="A2577" s="82" t="s">
        <v>2653</v>
      </c>
      <c r="B2577" s="41" t="s">
        <v>9343</v>
      </c>
      <c r="C2577" s="42" t="s">
        <v>9344</v>
      </c>
      <c r="D2577" s="41" t="s">
        <v>6598</v>
      </c>
      <c r="E2577" s="43" t="s">
        <v>6599</v>
      </c>
      <c r="F2577" s="43" t="s">
        <v>1937</v>
      </c>
      <c r="G2577" s="43" t="s">
        <v>2655</v>
      </c>
      <c r="H2577" s="85" t="s">
        <v>6600</v>
      </c>
      <c r="I2577" s="23" t="s">
        <v>24</v>
      </c>
      <c r="J2577" s="44">
        <v>190</v>
      </c>
      <c r="K2577" s="45">
        <v>0.25</v>
      </c>
      <c r="L2577" s="46">
        <f t="shared" si="379"/>
        <v>47.5</v>
      </c>
      <c r="M2577" s="47">
        <f t="shared" si="380"/>
        <v>142.5</v>
      </c>
      <c r="N2577" s="48">
        <v>0.16</v>
      </c>
      <c r="O2577" s="49">
        <f t="shared" si="381"/>
        <v>22.8</v>
      </c>
      <c r="P2577" s="50">
        <f t="shared" si="382"/>
        <v>165.3</v>
      </c>
      <c r="Q2577" s="23"/>
      <c r="R2577" s="60"/>
      <c r="S2577" s="61"/>
      <c r="T2577" s="62">
        <f t="shared" si="383"/>
        <v>0</v>
      </c>
      <c r="U2577" s="46">
        <f t="shared" si="384"/>
        <v>0</v>
      </c>
      <c r="V2577" s="63">
        <f t="shared" si="385"/>
        <v>0</v>
      </c>
      <c r="W2577" s="49">
        <f t="shared" si="386"/>
        <v>0</v>
      </c>
      <c r="X2577" s="50">
        <f t="shared" si="387"/>
        <v>0</v>
      </c>
      <c r="Y2577"/>
      <c r="Z2577"/>
      <c r="AA2577"/>
    </row>
    <row r="2578" spans="1:27" s="51" customFormat="1" ht="18.600000000000001" hidden="1" customHeight="1" x14ac:dyDescent="0.25">
      <c r="A2578" s="80" t="s">
        <v>2653</v>
      </c>
      <c r="B2578" s="20" t="s">
        <v>9343</v>
      </c>
      <c r="C2578" s="21" t="s">
        <v>9344</v>
      </c>
      <c r="D2578" s="20" t="s">
        <v>6601</v>
      </c>
      <c r="E2578" s="22" t="s">
        <v>6602</v>
      </c>
      <c r="F2578" s="22" t="s">
        <v>1937</v>
      </c>
      <c r="G2578" s="22" t="s">
        <v>2655</v>
      </c>
      <c r="H2578" s="83" t="s">
        <v>6603</v>
      </c>
      <c r="I2578" s="23" t="s">
        <v>24</v>
      </c>
      <c r="J2578" s="24">
        <v>190</v>
      </c>
      <c r="K2578" s="25">
        <v>0.25</v>
      </c>
      <c r="L2578" s="26">
        <f t="shared" si="379"/>
        <v>47.5</v>
      </c>
      <c r="M2578" s="27">
        <f t="shared" si="380"/>
        <v>142.5</v>
      </c>
      <c r="N2578" s="28">
        <v>0.16</v>
      </c>
      <c r="O2578" s="29">
        <f t="shared" si="381"/>
        <v>22.8</v>
      </c>
      <c r="P2578" s="30">
        <f t="shared" si="382"/>
        <v>165.3</v>
      </c>
      <c r="Q2578" s="23"/>
      <c r="R2578" s="52"/>
      <c r="S2578" s="53"/>
      <c r="T2578" s="54">
        <f t="shared" si="383"/>
        <v>0</v>
      </c>
      <c r="U2578" s="26">
        <f t="shared" si="384"/>
        <v>0</v>
      </c>
      <c r="V2578" s="55">
        <f t="shared" si="385"/>
        <v>0</v>
      </c>
      <c r="W2578" s="29">
        <f t="shared" si="386"/>
        <v>0</v>
      </c>
      <c r="X2578" s="30">
        <f t="shared" si="387"/>
        <v>0</v>
      </c>
      <c r="Y2578"/>
      <c r="Z2578"/>
      <c r="AA2578"/>
    </row>
    <row r="2579" spans="1:27" s="51" customFormat="1" ht="18.600000000000001" hidden="1" customHeight="1" x14ac:dyDescent="0.25">
      <c r="A2579" s="81" t="s">
        <v>2653</v>
      </c>
      <c r="B2579" s="31" t="s">
        <v>9343</v>
      </c>
      <c r="C2579" s="32" t="s">
        <v>9344</v>
      </c>
      <c r="D2579" s="31" t="s">
        <v>6604</v>
      </c>
      <c r="E2579" s="33" t="s">
        <v>6605</v>
      </c>
      <c r="F2579" s="33" t="s">
        <v>1937</v>
      </c>
      <c r="G2579" s="33" t="s">
        <v>2655</v>
      </c>
      <c r="H2579" s="84" t="s">
        <v>6606</v>
      </c>
      <c r="I2579" s="23" t="s">
        <v>24</v>
      </c>
      <c r="J2579" s="34">
        <v>190</v>
      </c>
      <c r="K2579" s="35">
        <v>0.25</v>
      </c>
      <c r="L2579" s="36">
        <f t="shared" si="379"/>
        <v>47.5</v>
      </c>
      <c r="M2579" s="37">
        <f t="shared" si="380"/>
        <v>142.5</v>
      </c>
      <c r="N2579" s="38">
        <v>0.16</v>
      </c>
      <c r="O2579" s="39">
        <f t="shared" si="381"/>
        <v>22.8</v>
      </c>
      <c r="P2579" s="40">
        <f t="shared" si="382"/>
        <v>165.3</v>
      </c>
      <c r="Q2579" s="23"/>
      <c r="R2579" s="56"/>
      <c r="S2579" s="57"/>
      <c r="T2579" s="58">
        <f t="shared" si="383"/>
        <v>0</v>
      </c>
      <c r="U2579" s="36">
        <f t="shared" si="384"/>
        <v>0</v>
      </c>
      <c r="V2579" s="59">
        <f t="shared" si="385"/>
        <v>0</v>
      </c>
      <c r="W2579" s="39">
        <f t="shared" si="386"/>
        <v>0</v>
      </c>
      <c r="X2579" s="40">
        <f t="shared" si="387"/>
        <v>0</v>
      </c>
      <c r="Y2579"/>
      <c r="Z2579"/>
      <c r="AA2579"/>
    </row>
    <row r="2580" spans="1:27" s="51" customFormat="1" ht="18.600000000000001" hidden="1" customHeight="1" x14ac:dyDescent="0.25">
      <c r="A2580" s="82" t="s">
        <v>2653</v>
      </c>
      <c r="B2580" s="41" t="s">
        <v>9343</v>
      </c>
      <c r="C2580" s="42" t="s">
        <v>9344</v>
      </c>
      <c r="D2580" s="41" t="s">
        <v>6607</v>
      </c>
      <c r="E2580" s="43" t="s">
        <v>6608</v>
      </c>
      <c r="F2580" s="43" t="s">
        <v>1937</v>
      </c>
      <c r="G2580" s="43" t="s">
        <v>2655</v>
      </c>
      <c r="H2580" s="85" t="s">
        <v>6609</v>
      </c>
      <c r="I2580" s="23" t="s">
        <v>24</v>
      </c>
      <c r="J2580" s="44">
        <v>190</v>
      </c>
      <c r="K2580" s="45">
        <v>0.25</v>
      </c>
      <c r="L2580" s="46">
        <f t="shared" si="379"/>
        <v>47.5</v>
      </c>
      <c r="M2580" s="47">
        <f t="shared" si="380"/>
        <v>142.5</v>
      </c>
      <c r="N2580" s="48">
        <v>0.16</v>
      </c>
      <c r="O2580" s="49">
        <f t="shared" si="381"/>
        <v>22.8</v>
      </c>
      <c r="P2580" s="50">
        <f t="shared" si="382"/>
        <v>165.3</v>
      </c>
      <c r="Q2580" s="23"/>
      <c r="R2580" s="60"/>
      <c r="S2580" s="61"/>
      <c r="T2580" s="62">
        <f t="shared" si="383"/>
        <v>0</v>
      </c>
      <c r="U2580" s="46">
        <f t="shared" si="384"/>
        <v>0</v>
      </c>
      <c r="V2580" s="63">
        <f t="shared" si="385"/>
        <v>0</v>
      </c>
      <c r="W2580" s="49">
        <f t="shared" si="386"/>
        <v>0</v>
      </c>
      <c r="X2580" s="50">
        <f t="shared" si="387"/>
        <v>0</v>
      </c>
      <c r="Y2580"/>
      <c r="Z2580"/>
      <c r="AA2580"/>
    </row>
    <row r="2581" spans="1:27" s="51" customFormat="1" ht="18.600000000000001" hidden="1" customHeight="1" x14ac:dyDescent="0.25">
      <c r="A2581" s="80" t="s">
        <v>2653</v>
      </c>
      <c r="B2581" s="20" t="s">
        <v>9343</v>
      </c>
      <c r="C2581" s="21" t="s">
        <v>9344</v>
      </c>
      <c r="D2581" s="20" t="s">
        <v>6610</v>
      </c>
      <c r="E2581" s="22" t="s">
        <v>6611</v>
      </c>
      <c r="F2581" s="22" t="s">
        <v>1937</v>
      </c>
      <c r="G2581" s="22" t="s">
        <v>2655</v>
      </c>
      <c r="H2581" s="83" t="s">
        <v>6612</v>
      </c>
      <c r="I2581" s="23" t="s">
        <v>24</v>
      </c>
      <c r="J2581" s="24">
        <v>190</v>
      </c>
      <c r="K2581" s="25">
        <v>0.25</v>
      </c>
      <c r="L2581" s="26">
        <f t="shared" si="379"/>
        <v>47.5</v>
      </c>
      <c r="M2581" s="27">
        <f t="shared" si="380"/>
        <v>142.5</v>
      </c>
      <c r="N2581" s="28">
        <v>0.16</v>
      </c>
      <c r="O2581" s="29">
        <f t="shared" si="381"/>
        <v>22.8</v>
      </c>
      <c r="P2581" s="30">
        <f t="shared" si="382"/>
        <v>165.3</v>
      </c>
      <c r="Q2581" s="23"/>
      <c r="R2581" s="52"/>
      <c r="S2581" s="53"/>
      <c r="T2581" s="54">
        <f t="shared" si="383"/>
        <v>0</v>
      </c>
      <c r="U2581" s="26">
        <f t="shared" si="384"/>
        <v>0</v>
      </c>
      <c r="V2581" s="55">
        <f t="shared" si="385"/>
        <v>0</v>
      </c>
      <c r="W2581" s="29">
        <f t="shared" si="386"/>
        <v>0</v>
      </c>
      <c r="X2581" s="30">
        <f t="shared" si="387"/>
        <v>0</v>
      </c>
      <c r="Y2581"/>
      <c r="Z2581"/>
      <c r="AA2581"/>
    </row>
    <row r="2582" spans="1:27" s="51" customFormat="1" ht="18.600000000000001" hidden="1" customHeight="1" x14ac:dyDescent="0.25">
      <c r="A2582" s="81" t="s">
        <v>2653</v>
      </c>
      <c r="B2582" s="31" t="s">
        <v>9343</v>
      </c>
      <c r="C2582" s="32" t="s">
        <v>9344</v>
      </c>
      <c r="D2582" s="31" t="s">
        <v>6613</v>
      </c>
      <c r="E2582" s="33" t="s">
        <v>6614</v>
      </c>
      <c r="F2582" s="33" t="s">
        <v>1937</v>
      </c>
      <c r="G2582" s="33" t="s">
        <v>2655</v>
      </c>
      <c r="H2582" s="84" t="s">
        <v>6615</v>
      </c>
      <c r="I2582" s="23" t="s">
        <v>24</v>
      </c>
      <c r="J2582" s="34">
        <v>190</v>
      </c>
      <c r="K2582" s="35">
        <v>0.25</v>
      </c>
      <c r="L2582" s="36">
        <f t="shared" si="379"/>
        <v>47.5</v>
      </c>
      <c r="M2582" s="37">
        <f t="shared" si="380"/>
        <v>142.5</v>
      </c>
      <c r="N2582" s="38">
        <v>0.16</v>
      </c>
      <c r="O2582" s="39">
        <f t="shared" si="381"/>
        <v>22.8</v>
      </c>
      <c r="P2582" s="40">
        <f t="shared" si="382"/>
        <v>165.3</v>
      </c>
      <c r="Q2582" s="23"/>
      <c r="R2582" s="56"/>
      <c r="S2582" s="57"/>
      <c r="T2582" s="58">
        <f t="shared" si="383"/>
        <v>0</v>
      </c>
      <c r="U2582" s="36">
        <f t="shared" si="384"/>
        <v>0</v>
      </c>
      <c r="V2582" s="59">
        <f t="shared" si="385"/>
        <v>0</v>
      </c>
      <c r="W2582" s="39">
        <f t="shared" si="386"/>
        <v>0</v>
      </c>
      <c r="X2582" s="40">
        <f t="shared" si="387"/>
        <v>0</v>
      </c>
      <c r="Y2582"/>
      <c r="Z2582"/>
      <c r="AA2582"/>
    </row>
    <row r="2583" spans="1:27" s="51" customFormat="1" ht="18.600000000000001" hidden="1" customHeight="1" x14ac:dyDescent="0.25">
      <c r="A2583" s="82" t="s">
        <v>2653</v>
      </c>
      <c r="B2583" s="41" t="s">
        <v>9343</v>
      </c>
      <c r="C2583" s="42" t="s">
        <v>9344</v>
      </c>
      <c r="D2583" s="41" t="s">
        <v>6616</v>
      </c>
      <c r="E2583" s="43" t="s">
        <v>6617</v>
      </c>
      <c r="F2583" s="43" t="s">
        <v>1937</v>
      </c>
      <c r="G2583" s="43" t="s">
        <v>2655</v>
      </c>
      <c r="H2583" s="85" t="s">
        <v>6618</v>
      </c>
      <c r="I2583" s="23" t="s">
        <v>24</v>
      </c>
      <c r="J2583" s="44">
        <v>190</v>
      </c>
      <c r="K2583" s="45">
        <v>0.25</v>
      </c>
      <c r="L2583" s="46">
        <f t="shared" ref="L2583:L2637" si="388">+J2583*K2583</f>
        <v>47.5</v>
      </c>
      <c r="M2583" s="47">
        <f t="shared" ref="M2583:M2637" si="389">+J2583-L2583</f>
        <v>142.5</v>
      </c>
      <c r="N2583" s="48">
        <v>0.16</v>
      </c>
      <c r="O2583" s="49">
        <f t="shared" ref="O2583:O2637" si="390">+M2583*N2583</f>
        <v>22.8</v>
      </c>
      <c r="P2583" s="50">
        <f t="shared" ref="P2583:P2637" si="391">+M2583+O2583</f>
        <v>165.3</v>
      </c>
      <c r="Q2583" s="23"/>
      <c r="R2583" s="60"/>
      <c r="S2583" s="61"/>
      <c r="T2583" s="62">
        <f t="shared" ref="T2583:T2637" si="392">+S2583*J2583</f>
        <v>0</v>
      </c>
      <c r="U2583" s="46">
        <f t="shared" ref="U2583:U2637" si="393">+T2583*K2583</f>
        <v>0</v>
      </c>
      <c r="V2583" s="63">
        <f t="shared" ref="V2583:V2637" si="394">+T2583-U2583</f>
        <v>0</v>
      </c>
      <c r="W2583" s="49">
        <f t="shared" ref="W2583:W2637" si="395">+V2583*N2583</f>
        <v>0</v>
      </c>
      <c r="X2583" s="50">
        <f t="shared" ref="X2583:X2637" si="396">+V2583+W2583</f>
        <v>0</v>
      </c>
      <c r="Y2583"/>
      <c r="Z2583"/>
      <c r="AA2583"/>
    </row>
    <row r="2584" spans="1:27" s="51" customFormat="1" ht="18.600000000000001" hidden="1" customHeight="1" x14ac:dyDescent="0.25">
      <c r="A2584" s="80" t="s">
        <v>2653</v>
      </c>
      <c r="B2584" s="20" t="s">
        <v>9343</v>
      </c>
      <c r="C2584" s="21" t="s">
        <v>9344</v>
      </c>
      <c r="D2584" s="20">
        <v>8436535576741</v>
      </c>
      <c r="E2584" s="22" t="s">
        <v>6619</v>
      </c>
      <c r="F2584" s="22" t="s">
        <v>1937</v>
      </c>
      <c r="G2584" s="22" t="s">
        <v>2655</v>
      </c>
      <c r="H2584" s="83" t="s">
        <v>6620</v>
      </c>
      <c r="I2584" s="23" t="s">
        <v>24</v>
      </c>
      <c r="J2584" s="24">
        <v>190</v>
      </c>
      <c r="K2584" s="25">
        <v>0.25</v>
      </c>
      <c r="L2584" s="26">
        <f t="shared" si="388"/>
        <v>47.5</v>
      </c>
      <c r="M2584" s="27">
        <f t="shared" si="389"/>
        <v>142.5</v>
      </c>
      <c r="N2584" s="28">
        <v>0.16</v>
      </c>
      <c r="O2584" s="29">
        <f t="shared" si="390"/>
        <v>22.8</v>
      </c>
      <c r="P2584" s="30">
        <f t="shared" si="391"/>
        <v>165.3</v>
      </c>
      <c r="Q2584" s="23"/>
      <c r="R2584" s="52"/>
      <c r="S2584" s="53"/>
      <c r="T2584" s="54">
        <f t="shared" si="392"/>
        <v>0</v>
      </c>
      <c r="U2584" s="26">
        <f t="shared" si="393"/>
        <v>0</v>
      </c>
      <c r="V2584" s="55">
        <f t="shared" si="394"/>
        <v>0</v>
      </c>
      <c r="W2584" s="29">
        <f t="shared" si="395"/>
        <v>0</v>
      </c>
      <c r="X2584" s="30">
        <f t="shared" si="396"/>
        <v>0</v>
      </c>
      <c r="Y2584"/>
      <c r="Z2584"/>
      <c r="AA2584"/>
    </row>
    <row r="2585" spans="1:27" s="51" customFormat="1" ht="18.600000000000001" hidden="1" customHeight="1" x14ac:dyDescent="0.25">
      <c r="A2585" s="81" t="s">
        <v>2653</v>
      </c>
      <c r="B2585" s="31" t="s">
        <v>9343</v>
      </c>
      <c r="C2585" s="32" t="s">
        <v>9345</v>
      </c>
      <c r="D2585" s="31" t="s">
        <v>6621</v>
      </c>
      <c r="E2585" s="33" t="s">
        <v>6622</v>
      </c>
      <c r="F2585" s="33" t="s">
        <v>1937</v>
      </c>
      <c r="G2585" s="33" t="s">
        <v>5026</v>
      </c>
      <c r="H2585" s="84" t="s">
        <v>6623</v>
      </c>
      <c r="I2585" s="23" t="s">
        <v>24</v>
      </c>
      <c r="J2585" s="34">
        <v>280</v>
      </c>
      <c r="K2585" s="35">
        <v>0.25</v>
      </c>
      <c r="L2585" s="36">
        <f t="shared" si="388"/>
        <v>70</v>
      </c>
      <c r="M2585" s="37">
        <f t="shared" si="389"/>
        <v>210</v>
      </c>
      <c r="N2585" s="38">
        <v>0.16</v>
      </c>
      <c r="O2585" s="39">
        <f t="shared" si="390"/>
        <v>33.6</v>
      </c>
      <c r="P2585" s="40">
        <f t="shared" si="391"/>
        <v>243.6</v>
      </c>
      <c r="Q2585" s="23"/>
      <c r="R2585" s="56"/>
      <c r="S2585" s="57"/>
      <c r="T2585" s="58">
        <f t="shared" si="392"/>
        <v>0</v>
      </c>
      <c r="U2585" s="36">
        <f t="shared" si="393"/>
        <v>0</v>
      </c>
      <c r="V2585" s="59">
        <f t="shared" si="394"/>
        <v>0</v>
      </c>
      <c r="W2585" s="39">
        <f t="shared" si="395"/>
        <v>0</v>
      </c>
      <c r="X2585" s="40">
        <f t="shared" si="396"/>
        <v>0</v>
      </c>
      <c r="Y2585"/>
      <c r="Z2585"/>
      <c r="AA2585"/>
    </row>
    <row r="2586" spans="1:27" s="51" customFormat="1" ht="18.600000000000001" hidden="1" customHeight="1" x14ac:dyDescent="0.25">
      <c r="A2586" s="82" t="s">
        <v>2653</v>
      </c>
      <c r="B2586" s="41" t="s">
        <v>9343</v>
      </c>
      <c r="C2586" s="42" t="s">
        <v>9345</v>
      </c>
      <c r="D2586" s="41" t="s">
        <v>6624</v>
      </c>
      <c r="E2586" s="43" t="s">
        <v>6625</v>
      </c>
      <c r="F2586" s="43" t="s">
        <v>1937</v>
      </c>
      <c r="G2586" s="43" t="s">
        <v>5026</v>
      </c>
      <c r="H2586" s="85" t="s">
        <v>6626</v>
      </c>
      <c r="I2586" s="23" t="s">
        <v>24</v>
      </c>
      <c r="J2586" s="44">
        <v>280</v>
      </c>
      <c r="K2586" s="45">
        <v>0.25</v>
      </c>
      <c r="L2586" s="46">
        <f t="shared" si="388"/>
        <v>70</v>
      </c>
      <c r="M2586" s="47">
        <f t="shared" si="389"/>
        <v>210</v>
      </c>
      <c r="N2586" s="48">
        <v>0.16</v>
      </c>
      <c r="O2586" s="49">
        <f t="shared" si="390"/>
        <v>33.6</v>
      </c>
      <c r="P2586" s="50">
        <f t="shared" si="391"/>
        <v>243.6</v>
      </c>
      <c r="Q2586" s="23"/>
      <c r="R2586" s="60"/>
      <c r="S2586" s="61"/>
      <c r="T2586" s="62">
        <f t="shared" si="392"/>
        <v>0</v>
      </c>
      <c r="U2586" s="46">
        <f t="shared" si="393"/>
        <v>0</v>
      </c>
      <c r="V2586" s="63">
        <f t="shared" si="394"/>
        <v>0</v>
      </c>
      <c r="W2586" s="49">
        <f t="shared" si="395"/>
        <v>0</v>
      </c>
      <c r="X2586" s="50">
        <f t="shared" si="396"/>
        <v>0</v>
      </c>
      <c r="Y2586"/>
      <c r="Z2586"/>
      <c r="AA2586"/>
    </row>
    <row r="2587" spans="1:27" s="51" customFormat="1" ht="18.600000000000001" hidden="1" customHeight="1" x14ac:dyDescent="0.25">
      <c r="A2587" s="80" t="s">
        <v>2653</v>
      </c>
      <c r="B2587" s="20" t="s">
        <v>9343</v>
      </c>
      <c r="C2587" s="21" t="s">
        <v>9345</v>
      </c>
      <c r="D2587" s="20" t="s">
        <v>6627</v>
      </c>
      <c r="E2587" s="22" t="s">
        <v>6628</v>
      </c>
      <c r="F2587" s="22" t="s">
        <v>1937</v>
      </c>
      <c r="G2587" s="22" t="s">
        <v>5026</v>
      </c>
      <c r="H2587" s="83" t="s">
        <v>6629</v>
      </c>
      <c r="I2587" s="23" t="s">
        <v>24</v>
      </c>
      <c r="J2587" s="24">
        <v>280</v>
      </c>
      <c r="K2587" s="25">
        <v>0.25</v>
      </c>
      <c r="L2587" s="26">
        <f t="shared" si="388"/>
        <v>70</v>
      </c>
      <c r="M2587" s="27">
        <f t="shared" si="389"/>
        <v>210</v>
      </c>
      <c r="N2587" s="28">
        <v>0.16</v>
      </c>
      <c r="O2587" s="29">
        <f t="shared" si="390"/>
        <v>33.6</v>
      </c>
      <c r="P2587" s="30">
        <f t="shared" si="391"/>
        <v>243.6</v>
      </c>
      <c r="Q2587" s="23"/>
      <c r="R2587" s="52"/>
      <c r="S2587" s="53"/>
      <c r="T2587" s="54">
        <f t="shared" si="392"/>
        <v>0</v>
      </c>
      <c r="U2587" s="26">
        <f t="shared" si="393"/>
        <v>0</v>
      </c>
      <c r="V2587" s="55">
        <f t="shared" si="394"/>
        <v>0</v>
      </c>
      <c r="W2587" s="29">
        <f t="shared" si="395"/>
        <v>0</v>
      </c>
      <c r="X2587" s="30">
        <f t="shared" si="396"/>
        <v>0</v>
      </c>
      <c r="Y2587"/>
      <c r="Z2587"/>
      <c r="AA2587"/>
    </row>
    <row r="2588" spans="1:27" s="51" customFormat="1" ht="18.600000000000001" hidden="1" customHeight="1" x14ac:dyDescent="0.25">
      <c r="A2588" s="81" t="s">
        <v>2653</v>
      </c>
      <c r="B2588" s="31" t="s">
        <v>9343</v>
      </c>
      <c r="C2588" s="32" t="s">
        <v>6632</v>
      </c>
      <c r="D2588" s="31" t="s">
        <v>6630</v>
      </c>
      <c r="E2588" s="33" t="s">
        <v>6631</v>
      </c>
      <c r="F2588" s="33" t="s">
        <v>1937</v>
      </c>
      <c r="G2588" s="33" t="s">
        <v>5292</v>
      </c>
      <c r="H2588" s="84" t="s">
        <v>6632</v>
      </c>
      <c r="I2588" s="23" t="s">
        <v>24</v>
      </c>
      <c r="J2588" s="34">
        <v>550</v>
      </c>
      <c r="K2588" s="35">
        <v>0.25</v>
      </c>
      <c r="L2588" s="36">
        <f t="shared" si="388"/>
        <v>137.5</v>
      </c>
      <c r="M2588" s="37">
        <f t="shared" si="389"/>
        <v>412.5</v>
      </c>
      <c r="N2588" s="38">
        <v>0.16</v>
      </c>
      <c r="O2588" s="39">
        <f t="shared" si="390"/>
        <v>66</v>
      </c>
      <c r="P2588" s="40">
        <f t="shared" si="391"/>
        <v>478.5</v>
      </c>
      <c r="Q2588" s="23"/>
      <c r="R2588" s="56"/>
      <c r="S2588" s="57"/>
      <c r="T2588" s="58">
        <f t="shared" si="392"/>
        <v>0</v>
      </c>
      <c r="U2588" s="36">
        <f t="shared" si="393"/>
        <v>0</v>
      </c>
      <c r="V2588" s="59">
        <f t="shared" si="394"/>
        <v>0</v>
      </c>
      <c r="W2588" s="39">
        <f t="shared" si="395"/>
        <v>0</v>
      </c>
      <c r="X2588" s="40">
        <f t="shared" si="396"/>
        <v>0</v>
      </c>
      <c r="Y2588"/>
      <c r="Z2588"/>
      <c r="AA2588"/>
    </row>
    <row r="2589" spans="1:27" s="51" customFormat="1" ht="18.600000000000001" hidden="1" customHeight="1" x14ac:dyDescent="0.25">
      <c r="A2589" s="82" t="s">
        <v>2653</v>
      </c>
      <c r="B2589" s="41" t="s">
        <v>9343</v>
      </c>
      <c r="C2589" s="42" t="s">
        <v>6632</v>
      </c>
      <c r="D2589" s="41" t="s">
        <v>6633</v>
      </c>
      <c r="E2589" s="43" t="s">
        <v>6634</v>
      </c>
      <c r="F2589" s="43" t="s">
        <v>1937</v>
      </c>
      <c r="G2589" s="43" t="s">
        <v>5292</v>
      </c>
      <c r="H2589" s="85" t="s">
        <v>6635</v>
      </c>
      <c r="I2589" s="23" t="s">
        <v>24</v>
      </c>
      <c r="J2589" s="44">
        <v>280</v>
      </c>
      <c r="K2589" s="45">
        <v>0.25</v>
      </c>
      <c r="L2589" s="46">
        <f t="shared" si="388"/>
        <v>70</v>
      </c>
      <c r="M2589" s="47">
        <f t="shared" si="389"/>
        <v>210</v>
      </c>
      <c r="N2589" s="48">
        <v>0.16</v>
      </c>
      <c r="O2589" s="49">
        <f t="shared" si="390"/>
        <v>33.6</v>
      </c>
      <c r="P2589" s="50">
        <f t="shared" si="391"/>
        <v>243.6</v>
      </c>
      <c r="Q2589" s="23"/>
      <c r="R2589" s="60"/>
      <c r="S2589" s="61"/>
      <c r="T2589" s="62">
        <f t="shared" si="392"/>
        <v>0</v>
      </c>
      <c r="U2589" s="46">
        <f t="shared" si="393"/>
        <v>0</v>
      </c>
      <c r="V2589" s="63">
        <f t="shared" si="394"/>
        <v>0</v>
      </c>
      <c r="W2589" s="49">
        <f t="shared" si="395"/>
        <v>0</v>
      </c>
      <c r="X2589" s="50">
        <f t="shared" si="396"/>
        <v>0</v>
      </c>
      <c r="Y2589"/>
      <c r="Z2589"/>
      <c r="AA2589"/>
    </row>
    <row r="2590" spans="1:27" s="51" customFormat="1" ht="18.600000000000001" hidden="1" customHeight="1" x14ac:dyDescent="0.25">
      <c r="A2590" s="80" t="s">
        <v>2653</v>
      </c>
      <c r="B2590" s="20" t="s">
        <v>9343</v>
      </c>
      <c r="C2590" s="21" t="s">
        <v>9346</v>
      </c>
      <c r="D2590" s="20">
        <v>8436535574501</v>
      </c>
      <c r="E2590" s="22" t="s">
        <v>6636</v>
      </c>
      <c r="F2590" s="22" t="s">
        <v>1937</v>
      </c>
      <c r="G2590" s="22" t="s">
        <v>6637</v>
      </c>
      <c r="H2590" s="83" t="s">
        <v>6638</v>
      </c>
      <c r="I2590" s="23" t="s">
        <v>24</v>
      </c>
      <c r="J2590" s="24">
        <v>215</v>
      </c>
      <c r="K2590" s="25">
        <v>0.25</v>
      </c>
      <c r="L2590" s="26">
        <f t="shared" si="388"/>
        <v>53.75</v>
      </c>
      <c r="M2590" s="27">
        <f t="shared" si="389"/>
        <v>161.25</v>
      </c>
      <c r="N2590" s="28">
        <v>0.16</v>
      </c>
      <c r="O2590" s="29">
        <f t="shared" si="390"/>
        <v>25.8</v>
      </c>
      <c r="P2590" s="30">
        <f t="shared" si="391"/>
        <v>187.05</v>
      </c>
      <c r="Q2590" s="23"/>
      <c r="R2590" s="52"/>
      <c r="S2590" s="53"/>
      <c r="T2590" s="54">
        <f t="shared" si="392"/>
        <v>0</v>
      </c>
      <c r="U2590" s="26">
        <f t="shared" si="393"/>
        <v>0</v>
      </c>
      <c r="V2590" s="55">
        <f t="shared" si="394"/>
        <v>0</v>
      </c>
      <c r="W2590" s="29">
        <f t="shared" si="395"/>
        <v>0</v>
      </c>
      <c r="X2590" s="30">
        <f t="shared" si="396"/>
        <v>0</v>
      </c>
      <c r="Y2590"/>
      <c r="Z2590"/>
      <c r="AA2590"/>
    </row>
    <row r="2591" spans="1:27" s="51" customFormat="1" ht="18.600000000000001" hidden="1" customHeight="1" x14ac:dyDescent="0.25">
      <c r="A2591" s="81" t="s">
        <v>2653</v>
      </c>
      <c r="B2591" s="31" t="s">
        <v>9343</v>
      </c>
      <c r="C2591" s="32" t="s">
        <v>9346</v>
      </c>
      <c r="D2591" s="31">
        <v>8436535574518</v>
      </c>
      <c r="E2591" s="33" t="s">
        <v>6639</v>
      </c>
      <c r="F2591" s="33" t="s">
        <v>1937</v>
      </c>
      <c r="G2591" s="33" t="s">
        <v>6637</v>
      </c>
      <c r="H2591" s="84" t="s">
        <v>6640</v>
      </c>
      <c r="I2591" s="23" t="s">
        <v>24</v>
      </c>
      <c r="J2591" s="34">
        <v>215</v>
      </c>
      <c r="K2591" s="35">
        <v>0.25</v>
      </c>
      <c r="L2591" s="36">
        <f t="shared" si="388"/>
        <v>53.75</v>
      </c>
      <c r="M2591" s="37">
        <f t="shared" si="389"/>
        <v>161.25</v>
      </c>
      <c r="N2591" s="38">
        <v>0.16</v>
      </c>
      <c r="O2591" s="39">
        <f t="shared" si="390"/>
        <v>25.8</v>
      </c>
      <c r="P2591" s="40">
        <f t="shared" si="391"/>
        <v>187.05</v>
      </c>
      <c r="Q2591" s="23"/>
      <c r="R2591" s="56"/>
      <c r="S2591" s="57"/>
      <c r="T2591" s="58">
        <f t="shared" si="392"/>
        <v>0</v>
      </c>
      <c r="U2591" s="36">
        <f t="shared" si="393"/>
        <v>0</v>
      </c>
      <c r="V2591" s="59">
        <f t="shared" si="394"/>
        <v>0</v>
      </c>
      <c r="W2591" s="39">
        <f t="shared" si="395"/>
        <v>0</v>
      </c>
      <c r="X2591" s="40">
        <f t="shared" si="396"/>
        <v>0</v>
      </c>
      <c r="Y2591"/>
      <c r="Z2591"/>
      <c r="AA2591"/>
    </row>
    <row r="2592" spans="1:27" s="51" customFormat="1" ht="18.600000000000001" hidden="1" customHeight="1" x14ac:dyDescent="0.25">
      <c r="A2592" s="82" t="s">
        <v>2653</v>
      </c>
      <c r="B2592" s="41" t="s">
        <v>9343</v>
      </c>
      <c r="C2592" s="42" t="s">
        <v>9346</v>
      </c>
      <c r="D2592" s="41">
        <v>8436535574525</v>
      </c>
      <c r="E2592" s="43" t="s">
        <v>6641</v>
      </c>
      <c r="F2592" s="43" t="s">
        <v>1937</v>
      </c>
      <c r="G2592" s="43" t="s">
        <v>6637</v>
      </c>
      <c r="H2592" s="85" t="s">
        <v>6642</v>
      </c>
      <c r="I2592" s="23" t="s">
        <v>24</v>
      </c>
      <c r="J2592" s="44">
        <v>215</v>
      </c>
      <c r="K2592" s="45">
        <v>0.25</v>
      </c>
      <c r="L2592" s="46">
        <f t="shared" si="388"/>
        <v>53.75</v>
      </c>
      <c r="M2592" s="47">
        <f t="shared" si="389"/>
        <v>161.25</v>
      </c>
      <c r="N2592" s="48">
        <v>0.16</v>
      </c>
      <c r="O2592" s="49">
        <f t="shared" si="390"/>
        <v>25.8</v>
      </c>
      <c r="P2592" s="50">
        <f t="shared" si="391"/>
        <v>187.05</v>
      </c>
      <c r="Q2592" s="23"/>
      <c r="R2592" s="60"/>
      <c r="S2592" s="61"/>
      <c r="T2592" s="62">
        <f t="shared" si="392"/>
        <v>0</v>
      </c>
      <c r="U2592" s="46">
        <f t="shared" si="393"/>
        <v>0</v>
      </c>
      <c r="V2592" s="63">
        <f t="shared" si="394"/>
        <v>0</v>
      </c>
      <c r="W2592" s="49">
        <f t="shared" si="395"/>
        <v>0</v>
      </c>
      <c r="X2592" s="50">
        <f t="shared" si="396"/>
        <v>0</v>
      </c>
      <c r="Y2592"/>
      <c r="Z2592"/>
      <c r="AA2592"/>
    </row>
    <row r="2593" spans="1:27" s="51" customFormat="1" ht="18.600000000000001" hidden="1" customHeight="1" x14ac:dyDescent="0.25">
      <c r="A2593" s="80" t="s">
        <v>2653</v>
      </c>
      <c r="B2593" s="20" t="s">
        <v>9343</v>
      </c>
      <c r="C2593" s="21" t="s">
        <v>9346</v>
      </c>
      <c r="D2593" s="20">
        <v>8436535574532</v>
      </c>
      <c r="E2593" s="22" t="s">
        <v>6643</v>
      </c>
      <c r="F2593" s="22" t="s">
        <v>1937</v>
      </c>
      <c r="G2593" s="22" t="s">
        <v>6637</v>
      </c>
      <c r="H2593" s="83" t="s">
        <v>6644</v>
      </c>
      <c r="I2593" s="23" t="s">
        <v>24</v>
      </c>
      <c r="J2593" s="24">
        <v>215</v>
      </c>
      <c r="K2593" s="25">
        <v>0.25</v>
      </c>
      <c r="L2593" s="26">
        <f t="shared" si="388"/>
        <v>53.75</v>
      </c>
      <c r="M2593" s="27">
        <f t="shared" si="389"/>
        <v>161.25</v>
      </c>
      <c r="N2593" s="28">
        <v>0.16</v>
      </c>
      <c r="O2593" s="29">
        <f t="shared" si="390"/>
        <v>25.8</v>
      </c>
      <c r="P2593" s="30">
        <f t="shared" si="391"/>
        <v>187.05</v>
      </c>
      <c r="Q2593" s="23"/>
      <c r="R2593" s="52"/>
      <c r="S2593" s="53"/>
      <c r="T2593" s="54">
        <f t="shared" si="392"/>
        <v>0</v>
      </c>
      <c r="U2593" s="26">
        <f t="shared" si="393"/>
        <v>0</v>
      </c>
      <c r="V2593" s="55">
        <f t="shared" si="394"/>
        <v>0</v>
      </c>
      <c r="W2593" s="29">
        <f t="shared" si="395"/>
        <v>0</v>
      </c>
      <c r="X2593" s="30">
        <f t="shared" si="396"/>
        <v>0</v>
      </c>
      <c r="Y2593"/>
      <c r="Z2593"/>
      <c r="AA2593"/>
    </row>
    <row r="2594" spans="1:27" s="51" customFormat="1" ht="18.600000000000001" hidden="1" customHeight="1" x14ac:dyDescent="0.25">
      <c r="A2594" s="81" t="s">
        <v>2653</v>
      </c>
      <c r="B2594" s="31" t="s">
        <v>9343</v>
      </c>
      <c r="C2594" s="32" t="s">
        <v>9346</v>
      </c>
      <c r="D2594" s="31">
        <v>8436535574549</v>
      </c>
      <c r="E2594" s="33" t="s">
        <v>6645</v>
      </c>
      <c r="F2594" s="33" t="s">
        <v>1937</v>
      </c>
      <c r="G2594" s="33" t="s">
        <v>6637</v>
      </c>
      <c r="H2594" s="84" t="s">
        <v>6646</v>
      </c>
      <c r="I2594" s="23" t="s">
        <v>24</v>
      </c>
      <c r="J2594" s="34">
        <v>215</v>
      </c>
      <c r="K2594" s="35">
        <v>0.25</v>
      </c>
      <c r="L2594" s="36">
        <f t="shared" si="388"/>
        <v>53.75</v>
      </c>
      <c r="M2594" s="37">
        <f t="shared" si="389"/>
        <v>161.25</v>
      </c>
      <c r="N2594" s="38">
        <v>0.16</v>
      </c>
      <c r="O2594" s="39">
        <f t="shared" si="390"/>
        <v>25.8</v>
      </c>
      <c r="P2594" s="40">
        <f t="shared" si="391"/>
        <v>187.05</v>
      </c>
      <c r="Q2594" s="23"/>
      <c r="R2594" s="56"/>
      <c r="S2594" s="57"/>
      <c r="T2594" s="58">
        <f t="shared" si="392"/>
        <v>0</v>
      </c>
      <c r="U2594" s="36">
        <f t="shared" si="393"/>
        <v>0</v>
      </c>
      <c r="V2594" s="59">
        <f t="shared" si="394"/>
        <v>0</v>
      </c>
      <c r="W2594" s="39">
        <f t="shared" si="395"/>
        <v>0</v>
      </c>
      <c r="X2594" s="40">
        <f t="shared" si="396"/>
        <v>0</v>
      </c>
      <c r="Y2594"/>
      <c r="Z2594"/>
      <c r="AA2594"/>
    </row>
    <row r="2595" spans="1:27" s="51" customFormat="1" ht="18.600000000000001" hidden="1" customHeight="1" x14ac:dyDescent="0.25">
      <c r="A2595" s="82" t="s">
        <v>2653</v>
      </c>
      <c r="B2595" s="41" t="s">
        <v>9343</v>
      </c>
      <c r="C2595" s="42" t="s">
        <v>9346</v>
      </c>
      <c r="D2595" s="41">
        <v>8436535574556</v>
      </c>
      <c r="E2595" s="43" t="s">
        <v>6647</v>
      </c>
      <c r="F2595" s="43" t="s">
        <v>1937</v>
      </c>
      <c r="G2595" s="43" t="s">
        <v>6637</v>
      </c>
      <c r="H2595" s="85" t="s">
        <v>6648</v>
      </c>
      <c r="I2595" s="23" t="s">
        <v>24</v>
      </c>
      <c r="J2595" s="44">
        <v>215</v>
      </c>
      <c r="K2595" s="45">
        <v>0.25</v>
      </c>
      <c r="L2595" s="46">
        <f t="shared" si="388"/>
        <v>53.75</v>
      </c>
      <c r="M2595" s="47">
        <f t="shared" si="389"/>
        <v>161.25</v>
      </c>
      <c r="N2595" s="48">
        <v>0.16</v>
      </c>
      <c r="O2595" s="49">
        <f t="shared" si="390"/>
        <v>25.8</v>
      </c>
      <c r="P2595" s="50">
        <f t="shared" si="391"/>
        <v>187.05</v>
      </c>
      <c r="Q2595" s="23"/>
      <c r="R2595" s="60"/>
      <c r="S2595" s="61"/>
      <c r="T2595" s="62">
        <f t="shared" si="392"/>
        <v>0</v>
      </c>
      <c r="U2595" s="46">
        <f t="shared" si="393"/>
        <v>0</v>
      </c>
      <c r="V2595" s="63">
        <f t="shared" si="394"/>
        <v>0</v>
      </c>
      <c r="W2595" s="49">
        <f t="shared" si="395"/>
        <v>0</v>
      </c>
      <c r="X2595" s="50">
        <f t="shared" si="396"/>
        <v>0</v>
      </c>
      <c r="Y2595"/>
      <c r="Z2595"/>
      <c r="AA2595"/>
    </row>
    <row r="2596" spans="1:27" s="51" customFormat="1" ht="18.600000000000001" hidden="1" customHeight="1" x14ac:dyDescent="0.25">
      <c r="A2596" s="80" t="s">
        <v>2653</v>
      </c>
      <c r="B2596" s="20" t="s">
        <v>9343</v>
      </c>
      <c r="C2596" s="21" t="s">
        <v>9346</v>
      </c>
      <c r="D2596" s="20">
        <v>8436535574563</v>
      </c>
      <c r="E2596" s="22" t="s">
        <v>6649</v>
      </c>
      <c r="F2596" s="22" t="s">
        <v>1937</v>
      </c>
      <c r="G2596" s="22" t="s">
        <v>6637</v>
      </c>
      <c r="H2596" s="83" t="s">
        <v>6650</v>
      </c>
      <c r="I2596" s="23" t="s">
        <v>24</v>
      </c>
      <c r="J2596" s="24">
        <v>215</v>
      </c>
      <c r="K2596" s="25">
        <v>0.25</v>
      </c>
      <c r="L2596" s="26">
        <f t="shared" si="388"/>
        <v>53.75</v>
      </c>
      <c r="M2596" s="27">
        <f t="shared" si="389"/>
        <v>161.25</v>
      </c>
      <c r="N2596" s="28">
        <v>0.16</v>
      </c>
      <c r="O2596" s="29">
        <f t="shared" si="390"/>
        <v>25.8</v>
      </c>
      <c r="P2596" s="30">
        <f t="shared" si="391"/>
        <v>187.05</v>
      </c>
      <c r="Q2596" s="23"/>
      <c r="R2596" s="52"/>
      <c r="S2596" s="53"/>
      <c r="T2596" s="54">
        <f t="shared" si="392"/>
        <v>0</v>
      </c>
      <c r="U2596" s="26">
        <f t="shared" si="393"/>
        <v>0</v>
      </c>
      <c r="V2596" s="55">
        <f t="shared" si="394"/>
        <v>0</v>
      </c>
      <c r="W2596" s="29">
        <f t="shared" si="395"/>
        <v>0</v>
      </c>
      <c r="X2596" s="30">
        <f t="shared" si="396"/>
        <v>0</v>
      </c>
      <c r="Y2596"/>
      <c r="Z2596"/>
      <c r="AA2596"/>
    </row>
    <row r="2597" spans="1:27" s="51" customFormat="1" ht="18.600000000000001" hidden="1" customHeight="1" x14ac:dyDescent="0.25">
      <c r="A2597" s="81" t="s">
        <v>2653</v>
      </c>
      <c r="B2597" s="31" t="s">
        <v>9343</v>
      </c>
      <c r="C2597" s="32" t="s">
        <v>9346</v>
      </c>
      <c r="D2597" s="31">
        <v>8436535574570</v>
      </c>
      <c r="E2597" s="33" t="s">
        <v>6651</v>
      </c>
      <c r="F2597" s="33" t="s">
        <v>1937</v>
      </c>
      <c r="G2597" s="33" t="s">
        <v>6637</v>
      </c>
      <c r="H2597" s="84" t="s">
        <v>6652</v>
      </c>
      <c r="I2597" s="23" t="s">
        <v>24</v>
      </c>
      <c r="J2597" s="34">
        <v>215</v>
      </c>
      <c r="K2597" s="35">
        <v>0.25</v>
      </c>
      <c r="L2597" s="36">
        <f t="shared" si="388"/>
        <v>53.75</v>
      </c>
      <c r="M2597" s="37">
        <f t="shared" si="389"/>
        <v>161.25</v>
      </c>
      <c r="N2597" s="38">
        <v>0.16</v>
      </c>
      <c r="O2597" s="39">
        <f t="shared" si="390"/>
        <v>25.8</v>
      </c>
      <c r="P2597" s="40">
        <f t="shared" si="391"/>
        <v>187.05</v>
      </c>
      <c r="Q2597" s="23"/>
      <c r="R2597" s="56"/>
      <c r="S2597" s="57"/>
      <c r="T2597" s="58">
        <f t="shared" si="392"/>
        <v>0</v>
      </c>
      <c r="U2597" s="36">
        <f t="shared" si="393"/>
        <v>0</v>
      </c>
      <c r="V2597" s="59">
        <f t="shared" si="394"/>
        <v>0</v>
      </c>
      <c r="W2597" s="39">
        <f t="shared" si="395"/>
        <v>0</v>
      </c>
      <c r="X2597" s="40">
        <f t="shared" si="396"/>
        <v>0</v>
      </c>
      <c r="Y2597"/>
      <c r="Z2597"/>
      <c r="AA2597"/>
    </row>
    <row r="2598" spans="1:27" s="51" customFormat="1" ht="18.600000000000001" hidden="1" customHeight="1" x14ac:dyDescent="0.25">
      <c r="A2598" s="82" t="s">
        <v>2653</v>
      </c>
      <c r="B2598" s="41" t="s">
        <v>9343</v>
      </c>
      <c r="C2598" s="42" t="s">
        <v>9346</v>
      </c>
      <c r="D2598" s="41">
        <v>8436535574587</v>
      </c>
      <c r="E2598" s="43" t="s">
        <v>6653</v>
      </c>
      <c r="F2598" s="43" t="s">
        <v>1937</v>
      </c>
      <c r="G2598" s="43" t="s">
        <v>6637</v>
      </c>
      <c r="H2598" s="85" t="s">
        <v>6654</v>
      </c>
      <c r="I2598" s="23" t="s">
        <v>24</v>
      </c>
      <c r="J2598" s="44">
        <v>215</v>
      </c>
      <c r="K2598" s="45">
        <v>0.25</v>
      </c>
      <c r="L2598" s="46">
        <f t="shared" si="388"/>
        <v>53.75</v>
      </c>
      <c r="M2598" s="47">
        <f t="shared" si="389"/>
        <v>161.25</v>
      </c>
      <c r="N2598" s="48">
        <v>0.16</v>
      </c>
      <c r="O2598" s="49">
        <f t="shared" si="390"/>
        <v>25.8</v>
      </c>
      <c r="P2598" s="50">
        <f t="shared" si="391"/>
        <v>187.05</v>
      </c>
      <c r="Q2598" s="23"/>
      <c r="R2598" s="60"/>
      <c r="S2598" s="61"/>
      <c r="T2598" s="62">
        <f t="shared" si="392"/>
        <v>0</v>
      </c>
      <c r="U2598" s="46">
        <f t="shared" si="393"/>
        <v>0</v>
      </c>
      <c r="V2598" s="63">
        <f t="shared" si="394"/>
        <v>0</v>
      </c>
      <c r="W2598" s="49">
        <f t="shared" si="395"/>
        <v>0</v>
      </c>
      <c r="X2598" s="50">
        <f t="shared" si="396"/>
        <v>0</v>
      </c>
      <c r="Y2598"/>
      <c r="Z2598"/>
      <c r="AA2598"/>
    </row>
    <row r="2599" spans="1:27" s="51" customFormat="1" ht="18.600000000000001" hidden="1" customHeight="1" x14ac:dyDescent="0.25">
      <c r="A2599" s="80" t="s">
        <v>2653</v>
      </c>
      <c r="B2599" s="20" t="s">
        <v>9343</v>
      </c>
      <c r="C2599" s="21" t="s">
        <v>9346</v>
      </c>
      <c r="D2599" s="20">
        <v>8436535574594</v>
      </c>
      <c r="E2599" s="22" t="s">
        <v>6655</v>
      </c>
      <c r="F2599" s="22" t="s">
        <v>1937</v>
      </c>
      <c r="G2599" s="22" t="s">
        <v>6637</v>
      </c>
      <c r="H2599" s="83" t="s">
        <v>6656</v>
      </c>
      <c r="I2599" s="23" t="s">
        <v>24</v>
      </c>
      <c r="J2599" s="24">
        <v>215</v>
      </c>
      <c r="K2599" s="25">
        <v>0.25</v>
      </c>
      <c r="L2599" s="26">
        <f t="shared" si="388"/>
        <v>53.75</v>
      </c>
      <c r="M2599" s="27">
        <f t="shared" si="389"/>
        <v>161.25</v>
      </c>
      <c r="N2599" s="28">
        <v>0.16</v>
      </c>
      <c r="O2599" s="29">
        <f t="shared" si="390"/>
        <v>25.8</v>
      </c>
      <c r="P2599" s="30">
        <f t="shared" si="391"/>
        <v>187.05</v>
      </c>
      <c r="Q2599" s="23"/>
      <c r="R2599" s="52"/>
      <c r="S2599" s="53"/>
      <c r="T2599" s="54">
        <f t="shared" si="392"/>
        <v>0</v>
      </c>
      <c r="U2599" s="26">
        <f t="shared" si="393"/>
        <v>0</v>
      </c>
      <c r="V2599" s="55">
        <f t="shared" si="394"/>
        <v>0</v>
      </c>
      <c r="W2599" s="29">
        <f t="shared" si="395"/>
        <v>0</v>
      </c>
      <c r="X2599" s="30">
        <f t="shared" si="396"/>
        <v>0</v>
      </c>
      <c r="Y2599"/>
      <c r="Z2599"/>
      <c r="AA2599"/>
    </row>
    <row r="2600" spans="1:27" s="51" customFormat="1" ht="18.600000000000001" hidden="1" customHeight="1" x14ac:dyDescent="0.25">
      <c r="A2600" s="81" t="s">
        <v>2653</v>
      </c>
      <c r="B2600" s="31" t="s">
        <v>9343</v>
      </c>
      <c r="C2600" s="32" t="s">
        <v>9346</v>
      </c>
      <c r="D2600" s="31">
        <v>8436535574600</v>
      </c>
      <c r="E2600" s="33" t="s">
        <v>6657</v>
      </c>
      <c r="F2600" s="33" t="s">
        <v>1937</v>
      </c>
      <c r="G2600" s="33" t="s">
        <v>6637</v>
      </c>
      <c r="H2600" s="84" t="s">
        <v>6658</v>
      </c>
      <c r="I2600" s="23" t="s">
        <v>24</v>
      </c>
      <c r="J2600" s="34">
        <v>215</v>
      </c>
      <c r="K2600" s="35">
        <v>0.25</v>
      </c>
      <c r="L2600" s="36">
        <f t="shared" si="388"/>
        <v>53.75</v>
      </c>
      <c r="M2600" s="37">
        <f t="shared" si="389"/>
        <v>161.25</v>
      </c>
      <c r="N2600" s="38">
        <v>0.16</v>
      </c>
      <c r="O2600" s="39">
        <f t="shared" si="390"/>
        <v>25.8</v>
      </c>
      <c r="P2600" s="40">
        <f t="shared" si="391"/>
        <v>187.05</v>
      </c>
      <c r="Q2600" s="23"/>
      <c r="R2600" s="56"/>
      <c r="S2600" s="57"/>
      <c r="T2600" s="58">
        <f t="shared" si="392"/>
        <v>0</v>
      </c>
      <c r="U2600" s="36">
        <f t="shared" si="393"/>
        <v>0</v>
      </c>
      <c r="V2600" s="59">
        <f t="shared" si="394"/>
        <v>0</v>
      </c>
      <c r="W2600" s="39">
        <f t="shared" si="395"/>
        <v>0</v>
      </c>
      <c r="X2600" s="40">
        <f t="shared" si="396"/>
        <v>0</v>
      </c>
      <c r="Y2600"/>
      <c r="Z2600"/>
      <c r="AA2600"/>
    </row>
    <row r="2601" spans="1:27" s="51" customFormat="1" ht="18.600000000000001" hidden="1" customHeight="1" x14ac:dyDescent="0.25">
      <c r="A2601" s="82" t="s">
        <v>2653</v>
      </c>
      <c r="B2601" s="41" t="s">
        <v>9343</v>
      </c>
      <c r="C2601" s="42" t="s">
        <v>9346</v>
      </c>
      <c r="D2601" s="41">
        <v>8436535574617</v>
      </c>
      <c r="E2601" s="43" t="s">
        <v>6659</v>
      </c>
      <c r="F2601" s="43" t="s">
        <v>1937</v>
      </c>
      <c r="G2601" s="43" t="s">
        <v>6637</v>
      </c>
      <c r="H2601" s="85" t="s">
        <v>6660</v>
      </c>
      <c r="I2601" s="23" t="s">
        <v>24</v>
      </c>
      <c r="J2601" s="44">
        <v>215</v>
      </c>
      <c r="K2601" s="45">
        <v>0.25</v>
      </c>
      <c r="L2601" s="46">
        <f t="shared" si="388"/>
        <v>53.75</v>
      </c>
      <c r="M2601" s="47">
        <f t="shared" si="389"/>
        <v>161.25</v>
      </c>
      <c r="N2601" s="48">
        <v>0.16</v>
      </c>
      <c r="O2601" s="49">
        <f t="shared" si="390"/>
        <v>25.8</v>
      </c>
      <c r="P2601" s="50">
        <f t="shared" si="391"/>
        <v>187.05</v>
      </c>
      <c r="Q2601" s="23"/>
      <c r="R2601" s="60"/>
      <c r="S2601" s="61"/>
      <c r="T2601" s="62">
        <f t="shared" si="392"/>
        <v>0</v>
      </c>
      <c r="U2601" s="46">
        <f t="shared" si="393"/>
        <v>0</v>
      </c>
      <c r="V2601" s="63">
        <f t="shared" si="394"/>
        <v>0</v>
      </c>
      <c r="W2601" s="49">
        <f t="shared" si="395"/>
        <v>0</v>
      </c>
      <c r="X2601" s="50">
        <f t="shared" si="396"/>
        <v>0</v>
      </c>
      <c r="Y2601"/>
      <c r="Z2601"/>
      <c r="AA2601"/>
    </row>
    <row r="2602" spans="1:27" s="51" customFormat="1" ht="18.600000000000001" hidden="1" customHeight="1" x14ac:dyDescent="0.25">
      <c r="A2602" s="80" t="s">
        <v>2653</v>
      </c>
      <c r="B2602" s="20" t="s">
        <v>9347</v>
      </c>
      <c r="C2602" s="21"/>
      <c r="D2602" s="20" t="s">
        <v>6661</v>
      </c>
      <c r="E2602" s="22" t="s">
        <v>6662</v>
      </c>
      <c r="F2602" s="22" t="s">
        <v>1937</v>
      </c>
      <c r="G2602" s="22"/>
      <c r="H2602" s="83" t="s">
        <v>6663</v>
      </c>
      <c r="I2602" s="23" t="s">
        <v>24</v>
      </c>
      <c r="J2602" s="24">
        <v>215</v>
      </c>
      <c r="K2602" s="25">
        <v>0.25</v>
      </c>
      <c r="L2602" s="26">
        <f t="shared" si="388"/>
        <v>53.75</v>
      </c>
      <c r="M2602" s="27">
        <f t="shared" si="389"/>
        <v>161.25</v>
      </c>
      <c r="N2602" s="28">
        <v>0.16</v>
      </c>
      <c r="O2602" s="29">
        <f t="shared" si="390"/>
        <v>25.8</v>
      </c>
      <c r="P2602" s="30">
        <f t="shared" si="391"/>
        <v>187.05</v>
      </c>
      <c r="Q2602" s="23"/>
      <c r="R2602" s="52"/>
      <c r="S2602" s="53"/>
      <c r="T2602" s="54">
        <f t="shared" si="392"/>
        <v>0</v>
      </c>
      <c r="U2602" s="26">
        <f t="shared" si="393"/>
        <v>0</v>
      </c>
      <c r="V2602" s="55">
        <f t="shared" si="394"/>
        <v>0</v>
      </c>
      <c r="W2602" s="29">
        <f t="shared" si="395"/>
        <v>0</v>
      </c>
      <c r="X2602" s="30">
        <f t="shared" si="396"/>
        <v>0</v>
      </c>
      <c r="Y2602"/>
      <c r="Z2602"/>
      <c r="AA2602"/>
    </row>
    <row r="2603" spans="1:27" s="51" customFormat="1" ht="18.600000000000001" hidden="1" customHeight="1" x14ac:dyDescent="0.25">
      <c r="A2603" s="81" t="s">
        <v>2653</v>
      </c>
      <c r="B2603" s="31" t="s">
        <v>9343</v>
      </c>
      <c r="C2603" s="32" t="s">
        <v>9348</v>
      </c>
      <c r="D2603" s="31">
        <v>8435568331532</v>
      </c>
      <c r="E2603" s="33" t="s">
        <v>3167</v>
      </c>
      <c r="F2603" s="33" t="s">
        <v>1937</v>
      </c>
      <c r="G2603" s="33"/>
      <c r="H2603" s="84" t="s">
        <v>6664</v>
      </c>
      <c r="I2603" s="23" t="s">
        <v>24</v>
      </c>
      <c r="J2603" s="34">
        <v>700</v>
      </c>
      <c r="K2603" s="35">
        <v>0.25</v>
      </c>
      <c r="L2603" s="36">
        <f t="shared" si="388"/>
        <v>175</v>
      </c>
      <c r="M2603" s="37">
        <f t="shared" si="389"/>
        <v>525</v>
      </c>
      <c r="N2603" s="38">
        <v>0.16</v>
      </c>
      <c r="O2603" s="39">
        <f t="shared" si="390"/>
        <v>84</v>
      </c>
      <c r="P2603" s="40">
        <f t="shared" si="391"/>
        <v>609</v>
      </c>
      <c r="Q2603" s="23"/>
      <c r="R2603" s="56"/>
      <c r="S2603" s="57"/>
      <c r="T2603" s="58">
        <f t="shared" si="392"/>
        <v>0</v>
      </c>
      <c r="U2603" s="36">
        <f t="shared" si="393"/>
        <v>0</v>
      </c>
      <c r="V2603" s="59">
        <f t="shared" si="394"/>
        <v>0</v>
      </c>
      <c r="W2603" s="39">
        <f t="shared" si="395"/>
        <v>0</v>
      </c>
      <c r="X2603" s="40">
        <f t="shared" si="396"/>
        <v>0</v>
      </c>
      <c r="Y2603"/>
      <c r="Z2603"/>
      <c r="AA2603"/>
    </row>
    <row r="2604" spans="1:27" s="51" customFormat="1" ht="18.600000000000001" hidden="1" customHeight="1" x14ac:dyDescent="0.25">
      <c r="A2604" s="82" t="s">
        <v>2653</v>
      </c>
      <c r="B2604" s="41" t="s">
        <v>9343</v>
      </c>
      <c r="C2604" s="42" t="s">
        <v>9348</v>
      </c>
      <c r="D2604" s="41">
        <v>8435568331549</v>
      </c>
      <c r="E2604" s="43" t="s">
        <v>6665</v>
      </c>
      <c r="F2604" s="43" t="s">
        <v>1937</v>
      </c>
      <c r="G2604" s="43"/>
      <c r="H2604" s="85" t="s">
        <v>6666</v>
      </c>
      <c r="I2604" s="23" t="s">
        <v>24</v>
      </c>
      <c r="J2604" s="44">
        <v>175</v>
      </c>
      <c r="K2604" s="45">
        <v>0.25</v>
      </c>
      <c r="L2604" s="46">
        <f t="shared" si="388"/>
        <v>43.75</v>
      </c>
      <c r="M2604" s="47">
        <f t="shared" si="389"/>
        <v>131.25</v>
      </c>
      <c r="N2604" s="48">
        <v>0.16</v>
      </c>
      <c r="O2604" s="49">
        <f t="shared" si="390"/>
        <v>21</v>
      </c>
      <c r="P2604" s="50">
        <f t="shared" si="391"/>
        <v>152.25</v>
      </c>
      <c r="Q2604" s="23"/>
      <c r="R2604" s="60"/>
      <c r="S2604" s="61"/>
      <c r="T2604" s="62">
        <f t="shared" si="392"/>
        <v>0</v>
      </c>
      <c r="U2604" s="46">
        <f t="shared" si="393"/>
        <v>0</v>
      </c>
      <c r="V2604" s="63">
        <f t="shared" si="394"/>
        <v>0</v>
      </c>
      <c r="W2604" s="49">
        <f t="shared" si="395"/>
        <v>0</v>
      </c>
      <c r="X2604" s="50">
        <f t="shared" si="396"/>
        <v>0</v>
      </c>
      <c r="Y2604"/>
      <c r="Z2604"/>
      <c r="AA2604"/>
    </row>
    <row r="2605" spans="1:27" s="51" customFormat="1" ht="18.600000000000001" hidden="1" customHeight="1" x14ac:dyDescent="0.25">
      <c r="A2605" s="80" t="s">
        <v>2653</v>
      </c>
      <c r="B2605" s="20" t="s">
        <v>9343</v>
      </c>
      <c r="C2605" s="21" t="s">
        <v>9348</v>
      </c>
      <c r="D2605" s="20">
        <v>8435568331556</v>
      </c>
      <c r="E2605" s="22" t="s">
        <v>6667</v>
      </c>
      <c r="F2605" s="22" t="s">
        <v>1937</v>
      </c>
      <c r="G2605" s="22"/>
      <c r="H2605" s="83" t="s">
        <v>6668</v>
      </c>
      <c r="I2605" s="23" t="s">
        <v>24</v>
      </c>
      <c r="J2605" s="24">
        <v>175</v>
      </c>
      <c r="K2605" s="25">
        <v>0.25</v>
      </c>
      <c r="L2605" s="26">
        <f t="shared" si="388"/>
        <v>43.75</v>
      </c>
      <c r="M2605" s="27">
        <f t="shared" si="389"/>
        <v>131.25</v>
      </c>
      <c r="N2605" s="28">
        <v>0.16</v>
      </c>
      <c r="O2605" s="29">
        <f t="shared" si="390"/>
        <v>21</v>
      </c>
      <c r="P2605" s="30">
        <f t="shared" si="391"/>
        <v>152.25</v>
      </c>
      <c r="Q2605" s="23"/>
      <c r="R2605" s="52"/>
      <c r="S2605" s="53"/>
      <c r="T2605" s="54">
        <f t="shared" si="392"/>
        <v>0</v>
      </c>
      <c r="U2605" s="26">
        <f t="shared" si="393"/>
        <v>0</v>
      </c>
      <c r="V2605" s="55">
        <f t="shared" si="394"/>
        <v>0</v>
      </c>
      <c r="W2605" s="29">
        <f t="shared" si="395"/>
        <v>0</v>
      </c>
      <c r="X2605" s="30">
        <f t="shared" si="396"/>
        <v>0</v>
      </c>
      <c r="Y2605"/>
      <c r="Z2605"/>
      <c r="AA2605"/>
    </row>
    <row r="2606" spans="1:27" s="51" customFormat="1" ht="18.600000000000001" hidden="1" customHeight="1" x14ac:dyDescent="0.25">
      <c r="A2606" s="81" t="s">
        <v>2653</v>
      </c>
      <c r="B2606" s="31" t="s">
        <v>9343</v>
      </c>
      <c r="C2606" s="32" t="s">
        <v>9348</v>
      </c>
      <c r="D2606" s="31">
        <v>8435568331563</v>
      </c>
      <c r="E2606" s="33" t="s">
        <v>6669</v>
      </c>
      <c r="F2606" s="33" t="s">
        <v>1937</v>
      </c>
      <c r="G2606" s="33"/>
      <c r="H2606" s="84" t="s">
        <v>6670</v>
      </c>
      <c r="I2606" s="23" t="s">
        <v>24</v>
      </c>
      <c r="J2606" s="34">
        <v>175</v>
      </c>
      <c r="K2606" s="35">
        <v>0.25</v>
      </c>
      <c r="L2606" s="36">
        <f t="shared" si="388"/>
        <v>43.75</v>
      </c>
      <c r="M2606" s="37">
        <f t="shared" si="389"/>
        <v>131.25</v>
      </c>
      <c r="N2606" s="38">
        <v>0.16</v>
      </c>
      <c r="O2606" s="39">
        <f t="shared" si="390"/>
        <v>21</v>
      </c>
      <c r="P2606" s="40">
        <f t="shared" si="391"/>
        <v>152.25</v>
      </c>
      <c r="Q2606" s="23"/>
      <c r="R2606" s="56"/>
      <c r="S2606" s="57"/>
      <c r="T2606" s="58">
        <f t="shared" si="392"/>
        <v>0</v>
      </c>
      <c r="U2606" s="36">
        <f t="shared" si="393"/>
        <v>0</v>
      </c>
      <c r="V2606" s="59">
        <f t="shared" si="394"/>
        <v>0</v>
      </c>
      <c r="W2606" s="39">
        <f t="shared" si="395"/>
        <v>0</v>
      </c>
      <c r="X2606" s="40">
        <f t="shared" si="396"/>
        <v>0</v>
      </c>
      <c r="Y2606"/>
      <c r="Z2606"/>
      <c r="AA2606"/>
    </row>
    <row r="2607" spans="1:27" s="51" customFormat="1" ht="18.600000000000001" hidden="1" customHeight="1" x14ac:dyDescent="0.25">
      <c r="A2607" s="82" t="s">
        <v>2653</v>
      </c>
      <c r="B2607" s="41" t="s">
        <v>9343</v>
      </c>
      <c r="C2607" s="42" t="s">
        <v>9348</v>
      </c>
      <c r="D2607" s="41">
        <v>8435568331570</v>
      </c>
      <c r="E2607" s="43" t="s">
        <v>6671</v>
      </c>
      <c r="F2607" s="43" t="s">
        <v>1937</v>
      </c>
      <c r="G2607" s="43"/>
      <c r="H2607" s="85" t="s">
        <v>6672</v>
      </c>
      <c r="I2607" s="23" t="s">
        <v>24</v>
      </c>
      <c r="J2607" s="44">
        <v>175</v>
      </c>
      <c r="K2607" s="45">
        <v>0.25</v>
      </c>
      <c r="L2607" s="46">
        <f t="shared" si="388"/>
        <v>43.75</v>
      </c>
      <c r="M2607" s="47">
        <f t="shared" si="389"/>
        <v>131.25</v>
      </c>
      <c r="N2607" s="48">
        <v>0.16</v>
      </c>
      <c r="O2607" s="49">
        <f t="shared" si="390"/>
        <v>21</v>
      </c>
      <c r="P2607" s="50">
        <f t="shared" si="391"/>
        <v>152.25</v>
      </c>
      <c r="Q2607" s="23"/>
      <c r="R2607" s="60"/>
      <c r="S2607" s="61"/>
      <c r="T2607" s="62">
        <f t="shared" si="392"/>
        <v>0</v>
      </c>
      <c r="U2607" s="46">
        <f t="shared" si="393"/>
        <v>0</v>
      </c>
      <c r="V2607" s="63">
        <f t="shared" si="394"/>
        <v>0</v>
      </c>
      <c r="W2607" s="49">
        <f t="shared" si="395"/>
        <v>0</v>
      </c>
      <c r="X2607" s="50">
        <f t="shared" si="396"/>
        <v>0</v>
      </c>
      <c r="Y2607"/>
      <c r="Z2607"/>
      <c r="AA2607"/>
    </row>
    <row r="2608" spans="1:27" s="51" customFormat="1" ht="18.600000000000001" customHeight="1" x14ac:dyDescent="0.25">
      <c r="A2608" s="80" t="s">
        <v>2653</v>
      </c>
      <c r="B2608" s="20" t="s">
        <v>9349</v>
      </c>
      <c r="C2608" s="21" t="s">
        <v>9350</v>
      </c>
      <c r="D2608" s="20" t="s">
        <v>6673</v>
      </c>
      <c r="E2608" s="22" t="s">
        <v>6674</v>
      </c>
      <c r="F2608" s="22" t="s">
        <v>1937</v>
      </c>
      <c r="G2608" s="22" t="s">
        <v>5765</v>
      </c>
      <c r="H2608" s="83" t="s">
        <v>6675</v>
      </c>
      <c r="I2608" s="23" t="s">
        <v>24</v>
      </c>
      <c r="J2608" s="24">
        <v>400</v>
      </c>
      <c r="K2608" s="25">
        <v>0.25</v>
      </c>
      <c r="L2608" s="26">
        <f t="shared" si="388"/>
        <v>100</v>
      </c>
      <c r="M2608" s="27">
        <f t="shared" si="389"/>
        <v>300</v>
      </c>
      <c r="N2608" s="28">
        <v>0.16</v>
      </c>
      <c r="O2608" s="29">
        <f t="shared" si="390"/>
        <v>48</v>
      </c>
      <c r="P2608" s="30">
        <f t="shared" si="391"/>
        <v>348</v>
      </c>
      <c r="Q2608" s="23"/>
      <c r="R2608" s="52"/>
      <c r="S2608" s="53">
        <v>1</v>
      </c>
      <c r="T2608" s="54">
        <f t="shared" si="392"/>
        <v>400</v>
      </c>
      <c r="U2608" s="26">
        <f t="shared" si="393"/>
        <v>100</v>
      </c>
      <c r="V2608" s="55">
        <f t="shared" si="394"/>
        <v>300</v>
      </c>
      <c r="W2608" s="29">
        <f t="shared" si="395"/>
        <v>48</v>
      </c>
      <c r="X2608" s="30">
        <f t="shared" si="396"/>
        <v>348</v>
      </c>
      <c r="Y2608"/>
      <c r="Z2608"/>
      <c r="AA2608"/>
    </row>
    <row r="2609" spans="1:27" s="51" customFormat="1" ht="18.600000000000001" customHeight="1" x14ac:dyDescent="0.25">
      <c r="A2609" s="81" t="s">
        <v>2653</v>
      </c>
      <c r="B2609" s="31" t="s">
        <v>9349</v>
      </c>
      <c r="C2609" s="32" t="s">
        <v>9350</v>
      </c>
      <c r="D2609" s="31" t="s">
        <v>6676</v>
      </c>
      <c r="E2609" s="33" t="s">
        <v>6677</v>
      </c>
      <c r="F2609" s="33" t="s">
        <v>1937</v>
      </c>
      <c r="G2609" s="33" t="s">
        <v>5765</v>
      </c>
      <c r="H2609" s="84" t="s">
        <v>6678</v>
      </c>
      <c r="I2609" s="23" t="s">
        <v>24</v>
      </c>
      <c r="J2609" s="34">
        <v>400</v>
      </c>
      <c r="K2609" s="35">
        <v>0.25</v>
      </c>
      <c r="L2609" s="36">
        <f t="shared" si="388"/>
        <v>100</v>
      </c>
      <c r="M2609" s="37">
        <f t="shared" si="389"/>
        <v>300</v>
      </c>
      <c r="N2609" s="38">
        <v>0.16</v>
      </c>
      <c r="O2609" s="39">
        <f t="shared" si="390"/>
        <v>48</v>
      </c>
      <c r="P2609" s="40">
        <f t="shared" si="391"/>
        <v>348</v>
      </c>
      <c r="Q2609" s="23"/>
      <c r="R2609" s="56"/>
      <c r="S2609" s="57">
        <v>1</v>
      </c>
      <c r="T2609" s="58">
        <f t="shared" si="392"/>
        <v>400</v>
      </c>
      <c r="U2609" s="36">
        <f t="shared" si="393"/>
        <v>100</v>
      </c>
      <c r="V2609" s="59">
        <f t="shared" si="394"/>
        <v>300</v>
      </c>
      <c r="W2609" s="39">
        <f t="shared" si="395"/>
        <v>48</v>
      </c>
      <c r="X2609" s="40">
        <f t="shared" si="396"/>
        <v>348</v>
      </c>
      <c r="Y2609"/>
      <c r="Z2609"/>
      <c r="AA2609"/>
    </row>
    <row r="2610" spans="1:27" s="51" customFormat="1" ht="18.600000000000001" customHeight="1" x14ac:dyDescent="0.25">
      <c r="A2610" s="82" t="s">
        <v>2653</v>
      </c>
      <c r="B2610" s="41" t="s">
        <v>9349</v>
      </c>
      <c r="C2610" s="42" t="s">
        <v>9350</v>
      </c>
      <c r="D2610" s="41" t="s">
        <v>6679</v>
      </c>
      <c r="E2610" s="43" t="s">
        <v>6680</v>
      </c>
      <c r="F2610" s="43" t="s">
        <v>1937</v>
      </c>
      <c r="G2610" s="43" t="s">
        <v>5765</v>
      </c>
      <c r="H2610" s="85" t="s">
        <v>6681</v>
      </c>
      <c r="I2610" s="23" t="s">
        <v>24</v>
      </c>
      <c r="J2610" s="44">
        <v>400</v>
      </c>
      <c r="K2610" s="45">
        <v>0.25</v>
      </c>
      <c r="L2610" s="46">
        <f t="shared" si="388"/>
        <v>100</v>
      </c>
      <c r="M2610" s="47">
        <f t="shared" si="389"/>
        <v>300</v>
      </c>
      <c r="N2610" s="48">
        <v>0.16</v>
      </c>
      <c r="O2610" s="49">
        <f t="shared" si="390"/>
        <v>48</v>
      </c>
      <c r="P2610" s="50">
        <f t="shared" si="391"/>
        <v>348</v>
      </c>
      <c r="Q2610" s="23"/>
      <c r="R2610" s="60"/>
      <c r="S2610" s="61">
        <v>1</v>
      </c>
      <c r="T2610" s="62">
        <f t="shared" si="392"/>
        <v>400</v>
      </c>
      <c r="U2610" s="46">
        <f t="shared" si="393"/>
        <v>100</v>
      </c>
      <c r="V2610" s="63">
        <f t="shared" si="394"/>
        <v>300</v>
      </c>
      <c r="W2610" s="49">
        <f t="shared" si="395"/>
        <v>48</v>
      </c>
      <c r="X2610" s="50">
        <f t="shared" si="396"/>
        <v>348</v>
      </c>
      <c r="Y2610"/>
      <c r="Z2610"/>
      <c r="AA2610"/>
    </row>
    <row r="2611" spans="1:27" s="51" customFormat="1" ht="18.600000000000001" hidden="1" customHeight="1" x14ac:dyDescent="0.25">
      <c r="A2611" s="80" t="s">
        <v>2653</v>
      </c>
      <c r="B2611" s="20" t="s">
        <v>9349</v>
      </c>
      <c r="C2611" s="21" t="s">
        <v>9350</v>
      </c>
      <c r="D2611" s="20" t="s">
        <v>6682</v>
      </c>
      <c r="E2611" s="22" t="s">
        <v>6683</v>
      </c>
      <c r="F2611" s="22" t="s">
        <v>1937</v>
      </c>
      <c r="G2611" s="22" t="s">
        <v>5765</v>
      </c>
      <c r="H2611" s="83" t="s">
        <v>6684</v>
      </c>
      <c r="I2611" s="23" t="s">
        <v>24</v>
      </c>
      <c r="J2611" s="24">
        <v>400</v>
      </c>
      <c r="K2611" s="25">
        <v>0.25</v>
      </c>
      <c r="L2611" s="26">
        <f t="shared" si="388"/>
        <v>100</v>
      </c>
      <c r="M2611" s="27">
        <f t="shared" si="389"/>
        <v>300</v>
      </c>
      <c r="N2611" s="28">
        <v>0.16</v>
      </c>
      <c r="O2611" s="29">
        <f t="shared" si="390"/>
        <v>48</v>
      </c>
      <c r="P2611" s="30">
        <f t="shared" si="391"/>
        <v>348</v>
      </c>
      <c r="Q2611" s="23"/>
      <c r="R2611" s="52"/>
      <c r="S2611" s="53"/>
      <c r="T2611" s="54">
        <f t="shared" si="392"/>
        <v>0</v>
      </c>
      <c r="U2611" s="26">
        <f t="shared" si="393"/>
        <v>0</v>
      </c>
      <c r="V2611" s="55">
        <f t="shared" si="394"/>
        <v>0</v>
      </c>
      <c r="W2611" s="29">
        <f t="shared" si="395"/>
        <v>0</v>
      </c>
      <c r="X2611" s="30">
        <f t="shared" si="396"/>
        <v>0</v>
      </c>
      <c r="Y2611"/>
      <c r="Z2611"/>
      <c r="AA2611"/>
    </row>
    <row r="2612" spans="1:27" s="51" customFormat="1" ht="18.600000000000001" hidden="1" customHeight="1" x14ac:dyDescent="0.25">
      <c r="A2612" s="81" t="s">
        <v>2653</v>
      </c>
      <c r="B2612" s="31" t="s">
        <v>9349</v>
      </c>
      <c r="C2612" s="32" t="s">
        <v>9350</v>
      </c>
      <c r="D2612" s="31" t="s">
        <v>6685</v>
      </c>
      <c r="E2612" s="33" t="s">
        <v>6686</v>
      </c>
      <c r="F2612" s="33" t="s">
        <v>1937</v>
      </c>
      <c r="G2612" s="33" t="s">
        <v>5765</v>
      </c>
      <c r="H2612" s="84" t="s">
        <v>6687</v>
      </c>
      <c r="I2612" s="23" t="s">
        <v>24</v>
      </c>
      <c r="J2612" s="34">
        <v>400</v>
      </c>
      <c r="K2612" s="35">
        <v>0.25</v>
      </c>
      <c r="L2612" s="36">
        <f t="shared" si="388"/>
        <v>100</v>
      </c>
      <c r="M2612" s="37">
        <f t="shared" si="389"/>
        <v>300</v>
      </c>
      <c r="N2612" s="38">
        <v>0.16</v>
      </c>
      <c r="O2612" s="39">
        <f t="shared" si="390"/>
        <v>48</v>
      </c>
      <c r="P2612" s="40">
        <f t="shared" si="391"/>
        <v>348</v>
      </c>
      <c r="Q2612" s="23"/>
      <c r="R2612" s="56"/>
      <c r="S2612" s="57"/>
      <c r="T2612" s="58">
        <f t="shared" si="392"/>
        <v>0</v>
      </c>
      <c r="U2612" s="36">
        <f t="shared" si="393"/>
        <v>0</v>
      </c>
      <c r="V2612" s="59">
        <f t="shared" si="394"/>
        <v>0</v>
      </c>
      <c r="W2612" s="39">
        <f t="shared" si="395"/>
        <v>0</v>
      </c>
      <c r="X2612" s="40">
        <f t="shared" si="396"/>
        <v>0</v>
      </c>
      <c r="Y2612"/>
      <c r="Z2612"/>
      <c r="AA2612"/>
    </row>
    <row r="2613" spans="1:27" s="51" customFormat="1" ht="18.600000000000001" hidden="1" customHeight="1" x14ac:dyDescent="0.25">
      <c r="A2613" s="82" t="s">
        <v>2653</v>
      </c>
      <c r="B2613" s="41" t="s">
        <v>9349</v>
      </c>
      <c r="C2613" s="42" t="s">
        <v>9350</v>
      </c>
      <c r="D2613" s="41" t="s">
        <v>6688</v>
      </c>
      <c r="E2613" s="43" t="s">
        <v>6689</v>
      </c>
      <c r="F2613" s="43" t="s">
        <v>1937</v>
      </c>
      <c r="G2613" s="43" t="s">
        <v>5765</v>
      </c>
      <c r="H2613" s="85" t="s">
        <v>6690</v>
      </c>
      <c r="I2613" s="23" t="s">
        <v>24</v>
      </c>
      <c r="J2613" s="44">
        <v>400</v>
      </c>
      <c r="K2613" s="45">
        <v>0.25</v>
      </c>
      <c r="L2613" s="46">
        <f t="shared" si="388"/>
        <v>100</v>
      </c>
      <c r="M2613" s="47">
        <f t="shared" si="389"/>
        <v>300</v>
      </c>
      <c r="N2613" s="48">
        <v>0.16</v>
      </c>
      <c r="O2613" s="49">
        <f t="shared" si="390"/>
        <v>48</v>
      </c>
      <c r="P2613" s="50">
        <f t="shared" si="391"/>
        <v>348</v>
      </c>
      <c r="Q2613" s="23"/>
      <c r="R2613" s="60"/>
      <c r="S2613" s="61"/>
      <c r="T2613" s="62">
        <f t="shared" si="392"/>
        <v>0</v>
      </c>
      <c r="U2613" s="46">
        <f t="shared" si="393"/>
        <v>0</v>
      </c>
      <c r="V2613" s="63">
        <f t="shared" si="394"/>
        <v>0</v>
      </c>
      <c r="W2613" s="49">
        <f t="shared" si="395"/>
        <v>0</v>
      </c>
      <c r="X2613" s="50">
        <f t="shared" si="396"/>
        <v>0</v>
      </c>
      <c r="Y2613"/>
      <c r="Z2613"/>
      <c r="AA2613"/>
    </row>
    <row r="2614" spans="1:27" s="51" customFormat="1" ht="18.600000000000001" hidden="1" customHeight="1" x14ac:dyDescent="0.25">
      <c r="A2614" s="80" t="s">
        <v>2653</v>
      </c>
      <c r="B2614" s="20" t="s">
        <v>9349</v>
      </c>
      <c r="C2614" s="21" t="s">
        <v>9350</v>
      </c>
      <c r="D2614" s="20" t="s">
        <v>6691</v>
      </c>
      <c r="E2614" s="22" t="s">
        <v>6692</v>
      </c>
      <c r="F2614" s="22" t="s">
        <v>1937</v>
      </c>
      <c r="G2614" s="22" t="s">
        <v>5765</v>
      </c>
      <c r="H2614" s="83" t="s">
        <v>6693</v>
      </c>
      <c r="I2614" s="23" t="s">
        <v>24</v>
      </c>
      <c r="J2614" s="24">
        <v>400</v>
      </c>
      <c r="K2614" s="25">
        <v>0.25</v>
      </c>
      <c r="L2614" s="26">
        <f t="shared" si="388"/>
        <v>100</v>
      </c>
      <c r="M2614" s="27">
        <f t="shared" si="389"/>
        <v>300</v>
      </c>
      <c r="N2614" s="28">
        <v>0.16</v>
      </c>
      <c r="O2614" s="29">
        <f t="shared" si="390"/>
        <v>48</v>
      </c>
      <c r="P2614" s="30">
        <f t="shared" si="391"/>
        <v>348</v>
      </c>
      <c r="Q2614" s="23"/>
      <c r="R2614" s="52"/>
      <c r="S2614" s="53"/>
      <c r="T2614" s="54">
        <f t="shared" si="392"/>
        <v>0</v>
      </c>
      <c r="U2614" s="26">
        <f t="shared" si="393"/>
        <v>0</v>
      </c>
      <c r="V2614" s="55">
        <f t="shared" si="394"/>
        <v>0</v>
      </c>
      <c r="W2614" s="29">
        <f t="shared" si="395"/>
        <v>0</v>
      </c>
      <c r="X2614" s="30">
        <f t="shared" si="396"/>
        <v>0</v>
      </c>
      <c r="Y2614"/>
      <c r="Z2614"/>
      <c r="AA2614"/>
    </row>
    <row r="2615" spans="1:27" s="51" customFormat="1" ht="18.600000000000001" hidden="1" customHeight="1" x14ac:dyDescent="0.25">
      <c r="A2615" s="81" t="s">
        <v>2653</v>
      </c>
      <c r="B2615" s="31" t="s">
        <v>9349</v>
      </c>
      <c r="C2615" s="32" t="s">
        <v>9350</v>
      </c>
      <c r="D2615" s="31" t="s">
        <v>6694</v>
      </c>
      <c r="E2615" s="33" t="s">
        <v>6695</v>
      </c>
      <c r="F2615" s="33" t="s">
        <v>1937</v>
      </c>
      <c r="G2615" s="33" t="s">
        <v>6696</v>
      </c>
      <c r="H2615" s="84" t="s">
        <v>6697</v>
      </c>
      <c r="I2615" s="23" t="s">
        <v>24</v>
      </c>
      <c r="J2615" s="34">
        <v>270</v>
      </c>
      <c r="K2615" s="35">
        <v>0.25</v>
      </c>
      <c r="L2615" s="36">
        <f t="shared" si="388"/>
        <v>67.5</v>
      </c>
      <c r="M2615" s="37">
        <f t="shared" si="389"/>
        <v>202.5</v>
      </c>
      <c r="N2615" s="38">
        <v>0.16</v>
      </c>
      <c r="O2615" s="39">
        <f t="shared" si="390"/>
        <v>32.4</v>
      </c>
      <c r="P2615" s="40">
        <f t="shared" si="391"/>
        <v>234.9</v>
      </c>
      <c r="Q2615" s="23"/>
      <c r="R2615" s="56"/>
      <c r="S2615" s="57"/>
      <c r="T2615" s="58">
        <f t="shared" si="392"/>
        <v>0</v>
      </c>
      <c r="U2615" s="36">
        <f t="shared" si="393"/>
        <v>0</v>
      </c>
      <c r="V2615" s="59">
        <f t="shared" si="394"/>
        <v>0</v>
      </c>
      <c r="W2615" s="39">
        <f t="shared" si="395"/>
        <v>0</v>
      </c>
      <c r="X2615" s="40">
        <f t="shared" si="396"/>
        <v>0</v>
      </c>
      <c r="Y2615"/>
      <c r="Z2615"/>
      <c r="AA2615"/>
    </row>
    <row r="2616" spans="1:27" s="51" customFormat="1" ht="18.600000000000001" hidden="1" customHeight="1" x14ac:dyDescent="0.25">
      <c r="A2616" s="82" t="s">
        <v>2653</v>
      </c>
      <c r="B2616" s="41" t="s">
        <v>9349</v>
      </c>
      <c r="C2616" s="42" t="s">
        <v>9350</v>
      </c>
      <c r="D2616" s="41" t="s">
        <v>6698</v>
      </c>
      <c r="E2616" s="43" t="s">
        <v>6699</v>
      </c>
      <c r="F2616" s="43" t="s">
        <v>1937</v>
      </c>
      <c r="G2616" s="43" t="s">
        <v>6696</v>
      </c>
      <c r="H2616" s="85" t="s">
        <v>6700</v>
      </c>
      <c r="I2616" s="23" t="s">
        <v>24</v>
      </c>
      <c r="J2616" s="44">
        <v>270</v>
      </c>
      <c r="K2616" s="45">
        <v>0.25</v>
      </c>
      <c r="L2616" s="46">
        <f t="shared" si="388"/>
        <v>67.5</v>
      </c>
      <c r="M2616" s="47">
        <f t="shared" si="389"/>
        <v>202.5</v>
      </c>
      <c r="N2616" s="48">
        <v>0.16</v>
      </c>
      <c r="O2616" s="49">
        <f t="shared" si="390"/>
        <v>32.4</v>
      </c>
      <c r="P2616" s="50">
        <f t="shared" si="391"/>
        <v>234.9</v>
      </c>
      <c r="Q2616" s="23"/>
      <c r="R2616" s="60"/>
      <c r="S2616" s="61"/>
      <c r="T2616" s="62">
        <f t="shared" si="392"/>
        <v>0</v>
      </c>
      <c r="U2616" s="46">
        <f t="shared" si="393"/>
        <v>0</v>
      </c>
      <c r="V2616" s="63">
        <f t="shared" si="394"/>
        <v>0</v>
      </c>
      <c r="W2616" s="49">
        <f t="shared" si="395"/>
        <v>0</v>
      </c>
      <c r="X2616" s="50">
        <f t="shared" si="396"/>
        <v>0</v>
      </c>
      <c r="Y2616"/>
      <c r="Z2616"/>
      <c r="AA2616"/>
    </row>
    <row r="2617" spans="1:27" s="51" customFormat="1" ht="18.600000000000001" hidden="1" customHeight="1" x14ac:dyDescent="0.25">
      <c r="A2617" s="80" t="s">
        <v>2653</v>
      </c>
      <c r="B2617" s="20" t="s">
        <v>9349</v>
      </c>
      <c r="C2617" s="21" t="s">
        <v>9350</v>
      </c>
      <c r="D2617" s="20" t="s">
        <v>6701</v>
      </c>
      <c r="E2617" s="22" t="s">
        <v>6702</v>
      </c>
      <c r="F2617" s="22" t="s">
        <v>1937</v>
      </c>
      <c r="G2617" s="22" t="s">
        <v>6696</v>
      </c>
      <c r="H2617" s="83" t="s">
        <v>6703</v>
      </c>
      <c r="I2617" s="23" t="s">
        <v>24</v>
      </c>
      <c r="J2617" s="24">
        <v>340</v>
      </c>
      <c r="K2617" s="25">
        <v>0.25</v>
      </c>
      <c r="L2617" s="26">
        <f t="shared" si="388"/>
        <v>85</v>
      </c>
      <c r="M2617" s="27">
        <f t="shared" si="389"/>
        <v>255</v>
      </c>
      <c r="N2617" s="28">
        <v>0.16</v>
      </c>
      <c r="O2617" s="29">
        <f t="shared" si="390"/>
        <v>40.800000000000004</v>
      </c>
      <c r="P2617" s="30">
        <f t="shared" si="391"/>
        <v>295.8</v>
      </c>
      <c r="Q2617" s="23"/>
      <c r="R2617" s="52"/>
      <c r="S2617" s="53"/>
      <c r="T2617" s="54">
        <f t="shared" si="392"/>
        <v>0</v>
      </c>
      <c r="U2617" s="26">
        <f t="shared" si="393"/>
        <v>0</v>
      </c>
      <c r="V2617" s="55">
        <f t="shared" si="394"/>
        <v>0</v>
      </c>
      <c r="W2617" s="29">
        <f t="shared" si="395"/>
        <v>0</v>
      </c>
      <c r="X2617" s="30">
        <f t="shared" si="396"/>
        <v>0</v>
      </c>
      <c r="Y2617"/>
      <c r="Z2617"/>
      <c r="AA2617"/>
    </row>
    <row r="2618" spans="1:27" s="51" customFormat="1" ht="18.600000000000001" hidden="1" customHeight="1" x14ac:dyDescent="0.25">
      <c r="A2618" s="81" t="s">
        <v>2653</v>
      </c>
      <c r="B2618" s="31" t="s">
        <v>9349</v>
      </c>
      <c r="C2618" s="32" t="s">
        <v>9350</v>
      </c>
      <c r="D2618" s="31" t="s">
        <v>6704</v>
      </c>
      <c r="E2618" s="33" t="s">
        <v>6705</v>
      </c>
      <c r="F2618" s="33" t="s">
        <v>1937</v>
      </c>
      <c r="G2618" s="33" t="s">
        <v>6696</v>
      </c>
      <c r="H2618" s="84" t="s">
        <v>6706</v>
      </c>
      <c r="I2618" s="23" t="s">
        <v>24</v>
      </c>
      <c r="J2618" s="34">
        <v>270</v>
      </c>
      <c r="K2618" s="35">
        <v>0.25</v>
      </c>
      <c r="L2618" s="36">
        <f t="shared" si="388"/>
        <v>67.5</v>
      </c>
      <c r="M2618" s="37">
        <f t="shared" si="389"/>
        <v>202.5</v>
      </c>
      <c r="N2618" s="38">
        <v>0.16</v>
      </c>
      <c r="O2618" s="39">
        <f t="shared" si="390"/>
        <v>32.4</v>
      </c>
      <c r="P2618" s="40">
        <f t="shared" si="391"/>
        <v>234.9</v>
      </c>
      <c r="Q2618" s="23"/>
      <c r="R2618" s="56"/>
      <c r="S2618" s="57"/>
      <c r="T2618" s="58">
        <f t="shared" si="392"/>
        <v>0</v>
      </c>
      <c r="U2618" s="36">
        <f t="shared" si="393"/>
        <v>0</v>
      </c>
      <c r="V2618" s="59">
        <f t="shared" si="394"/>
        <v>0</v>
      </c>
      <c r="W2618" s="39">
        <f t="shared" si="395"/>
        <v>0</v>
      </c>
      <c r="X2618" s="40">
        <f t="shared" si="396"/>
        <v>0</v>
      </c>
      <c r="Y2618"/>
      <c r="Z2618"/>
      <c r="AA2618"/>
    </row>
    <row r="2619" spans="1:27" s="51" customFormat="1" ht="18.600000000000001" hidden="1" customHeight="1" x14ac:dyDescent="0.25">
      <c r="A2619" s="82" t="s">
        <v>2653</v>
      </c>
      <c r="B2619" s="41" t="s">
        <v>9349</v>
      </c>
      <c r="C2619" s="42" t="s">
        <v>9350</v>
      </c>
      <c r="D2619" s="41" t="s">
        <v>6707</v>
      </c>
      <c r="E2619" s="43" t="s">
        <v>6708</v>
      </c>
      <c r="F2619" s="43" t="s">
        <v>1937</v>
      </c>
      <c r="G2619" s="43" t="s">
        <v>6696</v>
      </c>
      <c r="H2619" s="85" t="s">
        <v>6709</v>
      </c>
      <c r="I2619" s="23" t="s">
        <v>24</v>
      </c>
      <c r="J2619" s="44">
        <v>270</v>
      </c>
      <c r="K2619" s="45">
        <v>0.25</v>
      </c>
      <c r="L2619" s="46">
        <f t="shared" si="388"/>
        <v>67.5</v>
      </c>
      <c r="M2619" s="47">
        <f t="shared" si="389"/>
        <v>202.5</v>
      </c>
      <c r="N2619" s="48">
        <v>0.16</v>
      </c>
      <c r="O2619" s="49">
        <f t="shared" si="390"/>
        <v>32.4</v>
      </c>
      <c r="P2619" s="50">
        <f t="shared" si="391"/>
        <v>234.9</v>
      </c>
      <c r="Q2619" s="23"/>
      <c r="R2619" s="60"/>
      <c r="S2619" s="61"/>
      <c r="T2619" s="62">
        <f t="shared" si="392"/>
        <v>0</v>
      </c>
      <c r="U2619" s="46">
        <f t="shared" si="393"/>
        <v>0</v>
      </c>
      <c r="V2619" s="63">
        <f t="shared" si="394"/>
        <v>0</v>
      </c>
      <c r="W2619" s="49">
        <f t="shared" si="395"/>
        <v>0</v>
      </c>
      <c r="X2619" s="50">
        <f t="shared" si="396"/>
        <v>0</v>
      </c>
      <c r="Y2619"/>
      <c r="Z2619"/>
      <c r="AA2619"/>
    </row>
    <row r="2620" spans="1:27" s="51" customFormat="1" ht="18.600000000000001" hidden="1" customHeight="1" x14ac:dyDescent="0.25">
      <c r="A2620" s="80" t="s">
        <v>2653</v>
      </c>
      <c r="B2620" s="20" t="s">
        <v>9349</v>
      </c>
      <c r="C2620" s="21" t="s">
        <v>9350</v>
      </c>
      <c r="D2620" s="20" t="s">
        <v>6710</v>
      </c>
      <c r="E2620" s="22" t="s">
        <v>6711</v>
      </c>
      <c r="F2620" s="22" t="s">
        <v>1937</v>
      </c>
      <c r="G2620" s="22" t="s">
        <v>6696</v>
      </c>
      <c r="H2620" s="83" t="s">
        <v>6712</v>
      </c>
      <c r="I2620" s="23" t="s">
        <v>24</v>
      </c>
      <c r="J2620" s="24">
        <v>270</v>
      </c>
      <c r="K2620" s="25">
        <v>0.25</v>
      </c>
      <c r="L2620" s="26">
        <f t="shared" si="388"/>
        <v>67.5</v>
      </c>
      <c r="M2620" s="27">
        <f t="shared" si="389"/>
        <v>202.5</v>
      </c>
      <c r="N2620" s="28">
        <v>0.16</v>
      </c>
      <c r="O2620" s="29">
        <f t="shared" si="390"/>
        <v>32.4</v>
      </c>
      <c r="P2620" s="30">
        <f t="shared" si="391"/>
        <v>234.9</v>
      </c>
      <c r="Q2620" s="23"/>
      <c r="R2620" s="52"/>
      <c r="S2620" s="53"/>
      <c r="T2620" s="54">
        <f t="shared" si="392"/>
        <v>0</v>
      </c>
      <c r="U2620" s="26">
        <f t="shared" si="393"/>
        <v>0</v>
      </c>
      <c r="V2620" s="55">
        <f t="shared" si="394"/>
        <v>0</v>
      </c>
      <c r="W2620" s="29">
        <f t="shared" si="395"/>
        <v>0</v>
      </c>
      <c r="X2620" s="30">
        <f t="shared" si="396"/>
        <v>0</v>
      </c>
      <c r="Y2620"/>
      <c r="Z2620"/>
      <c r="AA2620"/>
    </row>
    <row r="2621" spans="1:27" s="51" customFormat="1" ht="18.600000000000001" hidden="1" customHeight="1" x14ac:dyDescent="0.25">
      <c r="A2621" s="81" t="s">
        <v>2653</v>
      </c>
      <c r="B2621" s="31" t="s">
        <v>9349</v>
      </c>
      <c r="C2621" s="32" t="s">
        <v>9350</v>
      </c>
      <c r="D2621" s="31" t="s">
        <v>6713</v>
      </c>
      <c r="E2621" s="33" t="s">
        <v>6714</v>
      </c>
      <c r="F2621" s="33" t="s">
        <v>1937</v>
      </c>
      <c r="G2621" s="33" t="s">
        <v>6696</v>
      </c>
      <c r="H2621" s="84" t="s">
        <v>6715</v>
      </c>
      <c r="I2621" s="23" t="s">
        <v>24</v>
      </c>
      <c r="J2621" s="34">
        <v>270</v>
      </c>
      <c r="K2621" s="35">
        <v>0.25</v>
      </c>
      <c r="L2621" s="36">
        <f t="shared" si="388"/>
        <v>67.5</v>
      </c>
      <c r="M2621" s="37">
        <f t="shared" si="389"/>
        <v>202.5</v>
      </c>
      <c r="N2621" s="38">
        <v>0.16</v>
      </c>
      <c r="O2621" s="39">
        <f t="shared" si="390"/>
        <v>32.4</v>
      </c>
      <c r="P2621" s="40">
        <f t="shared" si="391"/>
        <v>234.9</v>
      </c>
      <c r="Q2621" s="23"/>
      <c r="R2621" s="56"/>
      <c r="S2621" s="57"/>
      <c r="T2621" s="58">
        <f t="shared" si="392"/>
        <v>0</v>
      </c>
      <c r="U2621" s="36">
        <f t="shared" si="393"/>
        <v>0</v>
      </c>
      <c r="V2621" s="59">
        <f t="shared" si="394"/>
        <v>0</v>
      </c>
      <c r="W2621" s="39">
        <f t="shared" si="395"/>
        <v>0</v>
      </c>
      <c r="X2621" s="40">
        <f t="shared" si="396"/>
        <v>0</v>
      </c>
      <c r="Y2621"/>
      <c r="Z2621"/>
      <c r="AA2621"/>
    </row>
    <row r="2622" spans="1:27" s="51" customFormat="1" ht="18.600000000000001" hidden="1" customHeight="1" x14ac:dyDescent="0.25">
      <c r="A2622" s="82" t="s">
        <v>2653</v>
      </c>
      <c r="B2622" s="41" t="s">
        <v>9349</v>
      </c>
      <c r="C2622" s="42" t="s">
        <v>9350</v>
      </c>
      <c r="D2622" s="41" t="s">
        <v>6716</v>
      </c>
      <c r="E2622" s="43" t="s">
        <v>6717</v>
      </c>
      <c r="F2622" s="43" t="s">
        <v>1937</v>
      </c>
      <c r="G2622" s="43" t="s">
        <v>6696</v>
      </c>
      <c r="H2622" s="85" t="s">
        <v>6718</v>
      </c>
      <c r="I2622" s="23" t="s">
        <v>24</v>
      </c>
      <c r="J2622" s="44">
        <v>270</v>
      </c>
      <c r="K2622" s="45">
        <v>0.25</v>
      </c>
      <c r="L2622" s="46">
        <f t="shared" si="388"/>
        <v>67.5</v>
      </c>
      <c r="M2622" s="47">
        <f t="shared" si="389"/>
        <v>202.5</v>
      </c>
      <c r="N2622" s="48">
        <v>0.16</v>
      </c>
      <c r="O2622" s="49">
        <f t="shared" si="390"/>
        <v>32.4</v>
      </c>
      <c r="P2622" s="50">
        <f t="shared" si="391"/>
        <v>234.9</v>
      </c>
      <c r="Q2622" s="23"/>
      <c r="R2622" s="60"/>
      <c r="S2622" s="61"/>
      <c r="T2622" s="62">
        <f t="shared" si="392"/>
        <v>0</v>
      </c>
      <c r="U2622" s="46">
        <f t="shared" si="393"/>
        <v>0</v>
      </c>
      <c r="V2622" s="63">
        <f t="shared" si="394"/>
        <v>0</v>
      </c>
      <c r="W2622" s="49">
        <f t="shared" si="395"/>
        <v>0</v>
      </c>
      <c r="X2622" s="50">
        <f t="shared" si="396"/>
        <v>0</v>
      </c>
      <c r="Y2622"/>
      <c r="Z2622"/>
      <c r="AA2622"/>
    </row>
    <row r="2623" spans="1:27" s="51" customFormat="1" ht="18.600000000000001" hidden="1" customHeight="1" x14ac:dyDescent="0.25">
      <c r="A2623" s="80" t="s">
        <v>2653</v>
      </c>
      <c r="B2623" s="20" t="s">
        <v>9349</v>
      </c>
      <c r="C2623" s="21" t="s">
        <v>9350</v>
      </c>
      <c r="D2623" s="20" t="s">
        <v>6719</v>
      </c>
      <c r="E2623" s="22" t="s">
        <v>6720</v>
      </c>
      <c r="F2623" s="22" t="s">
        <v>1937</v>
      </c>
      <c r="G2623" s="22" t="s">
        <v>6696</v>
      </c>
      <c r="H2623" s="83" t="s">
        <v>6721</v>
      </c>
      <c r="I2623" s="23" t="s">
        <v>24</v>
      </c>
      <c r="J2623" s="24">
        <v>270</v>
      </c>
      <c r="K2623" s="25">
        <v>0.25</v>
      </c>
      <c r="L2623" s="26">
        <f t="shared" si="388"/>
        <v>67.5</v>
      </c>
      <c r="M2623" s="27">
        <f t="shared" si="389"/>
        <v>202.5</v>
      </c>
      <c r="N2623" s="28">
        <v>0.16</v>
      </c>
      <c r="O2623" s="29">
        <f t="shared" si="390"/>
        <v>32.4</v>
      </c>
      <c r="P2623" s="30">
        <f t="shared" si="391"/>
        <v>234.9</v>
      </c>
      <c r="Q2623" s="23"/>
      <c r="R2623" s="52"/>
      <c r="S2623" s="53"/>
      <c r="T2623" s="54">
        <f t="shared" si="392"/>
        <v>0</v>
      </c>
      <c r="U2623" s="26">
        <f t="shared" si="393"/>
        <v>0</v>
      </c>
      <c r="V2623" s="55">
        <f t="shared" si="394"/>
        <v>0</v>
      </c>
      <c r="W2623" s="29">
        <f t="shared" si="395"/>
        <v>0</v>
      </c>
      <c r="X2623" s="30">
        <f t="shared" si="396"/>
        <v>0</v>
      </c>
      <c r="Y2623"/>
      <c r="Z2623"/>
      <c r="AA2623"/>
    </row>
    <row r="2624" spans="1:27" s="51" customFormat="1" ht="18.600000000000001" hidden="1" customHeight="1" x14ac:dyDescent="0.25">
      <c r="A2624" s="81" t="s">
        <v>2653</v>
      </c>
      <c r="B2624" s="31" t="s">
        <v>9349</v>
      </c>
      <c r="C2624" s="32" t="s">
        <v>9350</v>
      </c>
      <c r="D2624" s="31" t="s">
        <v>6722</v>
      </c>
      <c r="E2624" s="33" t="s">
        <v>6723</v>
      </c>
      <c r="F2624" s="33" t="s">
        <v>1937</v>
      </c>
      <c r="G2624" s="33" t="s">
        <v>6696</v>
      </c>
      <c r="H2624" s="84" t="s">
        <v>6724</v>
      </c>
      <c r="I2624" s="23" t="s">
        <v>24</v>
      </c>
      <c r="J2624" s="34">
        <v>270</v>
      </c>
      <c r="K2624" s="35">
        <v>0.25</v>
      </c>
      <c r="L2624" s="36">
        <f t="shared" si="388"/>
        <v>67.5</v>
      </c>
      <c r="M2624" s="37">
        <f t="shared" si="389"/>
        <v>202.5</v>
      </c>
      <c r="N2624" s="38">
        <v>0.16</v>
      </c>
      <c r="O2624" s="39">
        <f t="shared" si="390"/>
        <v>32.4</v>
      </c>
      <c r="P2624" s="40">
        <f t="shared" si="391"/>
        <v>234.9</v>
      </c>
      <c r="Q2624" s="23"/>
      <c r="R2624" s="56"/>
      <c r="S2624" s="57"/>
      <c r="T2624" s="58">
        <f t="shared" si="392"/>
        <v>0</v>
      </c>
      <c r="U2624" s="36">
        <f t="shared" si="393"/>
        <v>0</v>
      </c>
      <c r="V2624" s="59">
        <f t="shared" si="394"/>
        <v>0</v>
      </c>
      <c r="W2624" s="39">
        <f t="shared" si="395"/>
        <v>0</v>
      </c>
      <c r="X2624" s="40">
        <f t="shared" si="396"/>
        <v>0</v>
      </c>
      <c r="Y2624"/>
      <c r="Z2624"/>
      <c r="AA2624"/>
    </row>
    <row r="2625" spans="1:27" s="51" customFormat="1" ht="18.600000000000001" hidden="1" customHeight="1" x14ac:dyDescent="0.25">
      <c r="A2625" s="82" t="s">
        <v>2653</v>
      </c>
      <c r="B2625" s="41" t="s">
        <v>9349</v>
      </c>
      <c r="C2625" s="42" t="s">
        <v>9351</v>
      </c>
      <c r="D2625" s="41" t="s">
        <v>6725</v>
      </c>
      <c r="E2625" s="43" t="s">
        <v>6726</v>
      </c>
      <c r="F2625" s="43" t="s">
        <v>1937</v>
      </c>
      <c r="G2625" s="43" t="s">
        <v>6727</v>
      </c>
      <c r="H2625" s="85" t="s">
        <v>6728</v>
      </c>
      <c r="I2625" s="23" t="s">
        <v>24</v>
      </c>
      <c r="J2625" s="44">
        <v>400</v>
      </c>
      <c r="K2625" s="45">
        <v>0.25</v>
      </c>
      <c r="L2625" s="46">
        <f t="shared" si="388"/>
        <v>100</v>
      </c>
      <c r="M2625" s="47">
        <f t="shared" si="389"/>
        <v>300</v>
      </c>
      <c r="N2625" s="48">
        <v>0.16</v>
      </c>
      <c r="O2625" s="49">
        <f t="shared" si="390"/>
        <v>48</v>
      </c>
      <c r="P2625" s="50">
        <f t="shared" si="391"/>
        <v>348</v>
      </c>
      <c r="Q2625" s="23"/>
      <c r="R2625" s="60"/>
      <c r="S2625" s="61"/>
      <c r="T2625" s="62">
        <f t="shared" si="392"/>
        <v>0</v>
      </c>
      <c r="U2625" s="46">
        <f t="shared" si="393"/>
        <v>0</v>
      </c>
      <c r="V2625" s="63">
        <f t="shared" si="394"/>
        <v>0</v>
      </c>
      <c r="W2625" s="49">
        <f t="shared" si="395"/>
        <v>0</v>
      </c>
      <c r="X2625" s="50">
        <f t="shared" si="396"/>
        <v>0</v>
      </c>
      <c r="Y2625"/>
      <c r="Z2625"/>
      <c r="AA2625"/>
    </row>
    <row r="2626" spans="1:27" s="51" customFormat="1" ht="18.600000000000001" hidden="1" customHeight="1" x14ac:dyDescent="0.25">
      <c r="A2626" s="80" t="s">
        <v>2653</v>
      </c>
      <c r="B2626" s="20" t="s">
        <v>9349</v>
      </c>
      <c r="C2626" s="21" t="s">
        <v>9351</v>
      </c>
      <c r="D2626" s="20" t="s">
        <v>6729</v>
      </c>
      <c r="E2626" s="22" t="s">
        <v>6730</v>
      </c>
      <c r="F2626" s="22" t="s">
        <v>1937</v>
      </c>
      <c r="G2626" s="22" t="s">
        <v>6727</v>
      </c>
      <c r="H2626" s="83" t="s">
        <v>6731</v>
      </c>
      <c r="I2626" s="23" t="s">
        <v>24</v>
      </c>
      <c r="J2626" s="24">
        <v>400</v>
      </c>
      <c r="K2626" s="25">
        <v>0.25</v>
      </c>
      <c r="L2626" s="26">
        <f t="shared" si="388"/>
        <v>100</v>
      </c>
      <c r="M2626" s="27">
        <f t="shared" si="389"/>
        <v>300</v>
      </c>
      <c r="N2626" s="28">
        <v>0.16</v>
      </c>
      <c r="O2626" s="29">
        <f t="shared" si="390"/>
        <v>48</v>
      </c>
      <c r="P2626" s="30">
        <f t="shared" si="391"/>
        <v>348</v>
      </c>
      <c r="Q2626" s="23"/>
      <c r="R2626" s="52"/>
      <c r="S2626" s="53"/>
      <c r="T2626" s="54">
        <f t="shared" si="392"/>
        <v>0</v>
      </c>
      <c r="U2626" s="26">
        <f t="shared" si="393"/>
        <v>0</v>
      </c>
      <c r="V2626" s="55">
        <f t="shared" si="394"/>
        <v>0</v>
      </c>
      <c r="W2626" s="29">
        <f t="shared" si="395"/>
        <v>0</v>
      </c>
      <c r="X2626" s="30">
        <f t="shared" si="396"/>
        <v>0</v>
      </c>
      <c r="Y2626"/>
      <c r="Z2626"/>
      <c r="AA2626"/>
    </row>
    <row r="2627" spans="1:27" s="51" customFormat="1" ht="18.600000000000001" hidden="1" customHeight="1" x14ac:dyDescent="0.25">
      <c r="A2627" s="81" t="s">
        <v>2653</v>
      </c>
      <c r="B2627" s="31" t="s">
        <v>9349</v>
      </c>
      <c r="C2627" s="32" t="s">
        <v>9350</v>
      </c>
      <c r="D2627" s="31" t="s">
        <v>9446</v>
      </c>
      <c r="E2627" s="33" t="s">
        <v>9535</v>
      </c>
      <c r="F2627" s="33" t="s">
        <v>1937</v>
      </c>
      <c r="G2627" s="33" t="s">
        <v>6727</v>
      </c>
      <c r="H2627" s="84" t="s">
        <v>9664</v>
      </c>
      <c r="I2627" s="23" t="s">
        <v>24</v>
      </c>
      <c r="J2627" s="34">
        <v>390</v>
      </c>
      <c r="K2627" s="35">
        <v>0.25</v>
      </c>
      <c r="L2627" s="36">
        <f t="shared" si="388"/>
        <v>97.5</v>
      </c>
      <c r="M2627" s="37">
        <f t="shared" si="389"/>
        <v>292.5</v>
      </c>
      <c r="N2627" s="38">
        <v>0.16</v>
      </c>
      <c r="O2627" s="39">
        <f t="shared" si="390"/>
        <v>46.800000000000004</v>
      </c>
      <c r="P2627" s="40">
        <f t="shared" si="391"/>
        <v>339.3</v>
      </c>
      <c r="Q2627" s="23"/>
      <c r="R2627" s="56"/>
      <c r="S2627" s="57"/>
      <c r="T2627" s="58">
        <f t="shared" si="392"/>
        <v>0</v>
      </c>
      <c r="U2627" s="36">
        <f t="shared" si="393"/>
        <v>0</v>
      </c>
      <c r="V2627" s="59">
        <f t="shared" si="394"/>
        <v>0</v>
      </c>
      <c r="W2627" s="39">
        <f t="shared" si="395"/>
        <v>0</v>
      </c>
      <c r="X2627" s="40">
        <f t="shared" si="396"/>
        <v>0</v>
      </c>
      <c r="Y2627"/>
      <c r="Z2627"/>
      <c r="AA2627"/>
    </row>
    <row r="2628" spans="1:27" s="51" customFormat="1" ht="18.600000000000001" hidden="1" customHeight="1" x14ac:dyDescent="0.25">
      <c r="A2628" s="82" t="s">
        <v>2653</v>
      </c>
      <c r="B2628" s="41" t="s">
        <v>6732</v>
      </c>
      <c r="C2628" s="42" t="s">
        <v>9352</v>
      </c>
      <c r="D2628" s="41" t="s">
        <v>6733</v>
      </c>
      <c r="E2628" s="43" t="s">
        <v>6734</v>
      </c>
      <c r="F2628" s="43" t="s">
        <v>1937</v>
      </c>
      <c r="G2628" s="43" t="s">
        <v>5391</v>
      </c>
      <c r="H2628" s="85" t="s">
        <v>6735</v>
      </c>
      <c r="I2628" s="23" t="s">
        <v>24</v>
      </c>
      <c r="J2628" s="44">
        <v>160</v>
      </c>
      <c r="K2628" s="45">
        <v>0.25</v>
      </c>
      <c r="L2628" s="46">
        <f t="shared" si="388"/>
        <v>40</v>
      </c>
      <c r="M2628" s="47">
        <f t="shared" si="389"/>
        <v>120</v>
      </c>
      <c r="N2628" s="48">
        <v>0.16</v>
      </c>
      <c r="O2628" s="49">
        <f t="shared" si="390"/>
        <v>19.2</v>
      </c>
      <c r="P2628" s="50">
        <f t="shared" si="391"/>
        <v>139.19999999999999</v>
      </c>
      <c r="Q2628" s="23"/>
      <c r="R2628" s="60"/>
      <c r="S2628" s="61"/>
      <c r="T2628" s="62">
        <f t="shared" si="392"/>
        <v>0</v>
      </c>
      <c r="U2628" s="46">
        <f t="shared" si="393"/>
        <v>0</v>
      </c>
      <c r="V2628" s="63">
        <f t="shared" si="394"/>
        <v>0</v>
      </c>
      <c r="W2628" s="49">
        <f t="shared" si="395"/>
        <v>0</v>
      </c>
      <c r="X2628" s="50">
        <f t="shared" si="396"/>
        <v>0</v>
      </c>
      <c r="Y2628"/>
      <c r="Z2628"/>
      <c r="AA2628"/>
    </row>
    <row r="2629" spans="1:27" s="51" customFormat="1" ht="18.600000000000001" hidden="1" customHeight="1" x14ac:dyDescent="0.25">
      <c r="A2629" s="80" t="s">
        <v>2653</v>
      </c>
      <c r="B2629" s="20" t="s">
        <v>6732</v>
      </c>
      <c r="C2629" s="21" t="s">
        <v>9352</v>
      </c>
      <c r="D2629" s="20" t="s">
        <v>6736</v>
      </c>
      <c r="E2629" s="22" t="s">
        <v>6737</v>
      </c>
      <c r="F2629" s="22" t="s">
        <v>1937</v>
      </c>
      <c r="G2629" s="22" t="s">
        <v>5391</v>
      </c>
      <c r="H2629" s="83" t="s">
        <v>6738</v>
      </c>
      <c r="I2629" s="23" t="s">
        <v>24</v>
      </c>
      <c r="J2629" s="24">
        <v>160</v>
      </c>
      <c r="K2629" s="25">
        <v>0.25</v>
      </c>
      <c r="L2629" s="26">
        <f t="shared" si="388"/>
        <v>40</v>
      </c>
      <c r="M2629" s="27">
        <f t="shared" si="389"/>
        <v>120</v>
      </c>
      <c r="N2629" s="28">
        <v>0.16</v>
      </c>
      <c r="O2629" s="29">
        <f t="shared" si="390"/>
        <v>19.2</v>
      </c>
      <c r="P2629" s="30">
        <f t="shared" si="391"/>
        <v>139.19999999999999</v>
      </c>
      <c r="Q2629" s="23"/>
      <c r="R2629" s="52"/>
      <c r="S2629" s="53"/>
      <c r="T2629" s="54">
        <f t="shared" si="392"/>
        <v>0</v>
      </c>
      <c r="U2629" s="26">
        <f t="shared" si="393"/>
        <v>0</v>
      </c>
      <c r="V2629" s="55">
        <f t="shared" si="394"/>
        <v>0</v>
      </c>
      <c r="W2629" s="29">
        <f t="shared" si="395"/>
        <v>0</v>
      </c>
      <c r="X2629" s="30">
        <f t="shared" si="396"/>
        <v>0</v>
      </c>
      <c r="Y2629"/>
      <c r="Z2629"/>
      <c r="AA2629"/>
    </row>
    <row r="2630" spans="1:27" s="51" customFormat="1" ht="18.600000000000001" hidden="1" customHeight="1" x14ac:dyDescent="0.25">
      <c r="A2630" s="81" t="s">
        <v>2653</v>
      </c>
      <c r="B2630" s="31" t="s">
        <v>6732</v>
      </c>
      <c r="C2630" s="32" t="s">
        <v>9352</v>
      </c>
      <c r="D2630" s="31" t="s">
        <v>6739</v>
      </c>
      <c r="E2630" s="33" t="s">
        <v>6740</v>
      </c>
      <c r="F2630" s="33" t="s">
        <v>1937</v>
      </c>
      <c r="G2630" s="33" t="s">
        <v>5391</v>
      </c>
      <c r="H2630" s="84" t="s">
        <v>6741</v>
      </c>
      <c r="I2630" s="23" t="s">
        <v>24</v>
      </c>
      <c r="J2630" s="34">
        <v>160</v>
      </c>
      <c r="K2630" s="35">
        <v>0.25</v>
      </c>
      <c r="L2630" s="36">
        <f t="shared" si="388"/>
        <v>40</v>
      </c>
      <c r="M2630" s="37">
        <f t="shared" si="389"/>
        <v>120</v>
      </c>
      <c r="N2630" s="38">
        <v>0.16</v>
      </c>
      <c r="O2630" s="39">
        <f t="shared" si="390"/>
        <v>19.2</v>
      </c>
      <c r="P2630" s="40">
        <f t="shared" si="391"/>
        <v>139.19999999999999</v>
      </c>
      <c r="Q2630" s="23"/>
      <c r="R2630" s="56"/>
      <c r="S2630" s="57"/>
      <c r="T2630" s="58">
        <f t="shared" si="392"/>
        <v>0</v>
      </c>
      <c r="U2630" s="36">
        <f t="shared" si="393"/>
        <v>0</v>
      </c>
      <c r="V2630" s="59">
        <f t="shared" si="394"/>
        <v>0</v>
      </c>
      <c r="W2630" s="39">
        <f t="shared" si="395"/>
        <v>0</v>
      </c>
      <c r="X2630" s="40">
        <f t="shared" si="396"/>
        <v>0</v>
      </c>
      <c r="Y2630"/>
      <c r="Z2630"/>
      <c r="AA2630"/>
    </row>
    <row r="2631" spans="1:27" s="51" customFormat="1" ht="18.600000000000001" hidden="1" customHeight="1" x14ac:dyDescent="0.25">
      <c r="A2631" s="82" t="s">
        <v>2653</v>
      </c>
      <c r="B2631" s="41" t="s">
        <v>6732</v>
      </c>
      <c r="C2631" s="42" t="s">
        <v>9352</v>
      </c>
      <c r="D2631" s="41" t="s">
        <v>6742</v>
      </c>
      <c r="E2631" s="43" t="s">
        <v>6743</v>
      </c>
      <c r="F2631" s="43" t="s">
        <v>1937</v>
      </c>
      <c r="G2631" s="43" t="s">
        <v>5391</v>
      </c>
      <c r="H2631" s="85" t="s">
        <v>6744</v>
      </c>
      <c r="I2631" s="23" t="s">
        <v>24</v>
      </c>
      <c r="J2631" s="44">
        <v>160</v>
      </c>
      <c r="K2631" s="45">
        <v>0.25</v>
      </c>
      <c r="L2631" s="46">
        <f t="shared" si="388"/>
        <v>40</v>
      </c>
      <c r="M2631" s="47">
        <f t="shared" si="389"/>
        <v>120</v>
      </c>
      <c r="N2631" s="48">
        <v>0.16</v>
      </c>
      <c r="O2631" s="49">
        <f t="shared" si="390"/>
        <v>19.2</v>
      </c>
      <c r="P2631" s="50">
        <f t="shared" si="391"/>
        <v>139.19999999999999</v>
      </c>
      <c r="Q2631" s="23"/>
      <c r="R2631" s="60"/>
      <c r="S2631" s="61"/>
      <c r="T2631" s="62">
        <f t="shared" si="392"/>
        <v>0</v>
      </c>
      <c r="U2631" s="46">
        <f t="shared" si="393"/>
        <v>0</v>
      </c>
      <c r="V2631" s="63">
        <f t="shared" si="394"/>
        <v>0</v>
      </c>
      <c r="W2631" s="49">
        <f t="shared" si="395"/>
        <v>0</v>
      </c>
      <c r="X2631" s="50">
        <f t="shared" si="396"/>
        <v>0</v>
      </c>
      <c r="Y2631"/>
      <c r="Z2631"/>
      <c r="AA2631"/>
    </row>
    <row r="2632" spans="1:27" s="51" customFormat="1" ht="18.600000000000001" hidden="1" customHeight="1" x14ac:dyDescent="0.25">
      <c r="A2632" s="80" t="s">
        <v>2653</v>
      </c>
      <c r="B2632" s="20" t="s">
        <v>6732</v>
      </c>
      <c r="C2632" s="21" t="s">
        <v>9352</v>
      </c>
      <c r="D2632" s="20" t="s">
        <v>6745</v>
      </c>
      <c r="E2632" s="22" t="s">
        <v>6746</v>
      </c>
      <c r="F2632" s="22" t="s">
        <v>1937</v>
      </c>
      <c r="G2632" s="22" t="s">
        <v>5391</v>
      </c>
      <c r="H2632" s="83" t="s">
        <v>6747</v>
      </c>
      <c r="I2632" s="23" t="s">
        <v>24</v>
      </c>
      <c r="J2632" s="24">
        <v>160</v>
      </c>
      <c r="K2632" s="25">
        <v>0.25</v>
      </c>
      <c r="L2632" s="26">
        <f t="shared" si="388"/>
        <v>40</v>
      </c>
      <c r="M2632" s="27">
        <f t="shared" si="389"/>
        <v>120</v>
      </c>
      <c r="N2632" s="28">
        <v>0.16</v>
      </c>
      <c r="O2632" s="29">
        <f t="shared" si="390"/>
        <v>19.2</v>
      </c>
      <c r="P2632" s="30">
        <f t="shared" si="391"/>
        <v>139.19999999999999</v>
      </c>
      <c r="Q2632" s="23"/>
      <c r="R2632" s="52"/>
      <c r="S2632" s="53"/>
      <c r="T2632" s="54">
        <f t="shared" si="392"/>
        <v>0</v>
      </c>
      <c r="U2632" s="26">
        <f t="shared" si="393"/>
        <v>0</v>
      </c>
      <c r="V2632" s="55">
        <f t="shared" si="394"/>
        <v>0</v>
      </c>
      <c r="W2632" s="29">
        <f t="shared" si="395"/>
        <v>0</v>
      </c>
      <c r="X2632" s="30">
        <f t="shared" si="396"/>
        <v>0</v>
      </c>
      <c r="Y2632"/>
      <c r="Z2632"/>
      <c r="AA2632"/>
    </row>
    <row r="2633" spans="1:27" s="51" customFormat="1" ht="18.600000000000001" hidden="1" customHeight="1" x14ac:dyDescent="0.25">
      <c r="A2633" s="81" t="s">
        <v>2653</v>
      </c>
      <c r="B2633" s="31" t="s">
        <v>6732</v>
      </c>
      <c r="C2633" s="32" t="s">
        <v>9352</v>
      </c>
      <c r="D2633" s="31" t="s">
        <v>6748</v>
      </c>
      <c r="E2633" s="33" t="s">
        <v>6749</v>
      </c>
      <c r="F2633" s="33" t="s">
        <v>1937</v>
      </c>
      <c r="G2633" s="33" t="s">
        <v>5391</v>
      </c>
      <c r="H2633" s="84" t="s">
        <v>6750</v>
      </c>
      <c r="I2633" s="23" t="s">
        <v>24</v>
      </c>
      <c r="J2633" s="34">
        <v>160</v>
      </c>
      <c r="K2633" s="35">
        <v>0.25</v>
      </c>
      <c r="L2633" s="36">
        <f t="shared" si="388"/>
        <v>40</v>
      </c>
      <c r="M2633" s="37">
        <f t="shared" si="389"/>
        <v>120</v>
      </c>
      <c r="N2633" s="38">
        <v>0.16</v>
      </c>
      <c r="O2633" s="39">
        <f t="shared" si="390"/>
        <v>19.2</v>
      </c>
      <c r="P2633" s="40">
        <f t="shared" si="391"/>
        <v>139.19999999999999</v>
      </c>
      <c r="Q2633" s="23"/>
      <c r="R2633" s="56"/>
      <c r="S2633" s="57"/>
      <c r="T2633" s="58">
        <f t="shared" si="392"/>
        <v>0</v>
      </c>
      <c r="U2633" s="36">
        <f t="shared" si="393"/>
        <v>0</v>
      </c>
      <c r="V2633" s="59">
        <f t="shared" si="394"/>
        <v>0</v>
      </c>
      <c r="W2633" s="39">
        <f t="shared" si="395"/>
        <v>0</v>
      </c>
      <c r="X2633" s="40">
        <f t="shared" si="396"/>
        <v>0</v>
      </c>
      <c r="Y2633"/>
      <c r="Z2633"/>
      <c r="AA2633"/>
    </row>
    <row r="2634" spans="1:27" s="51" customFormat="1" ht="18.600000000000001" hidden="1" customHeight="1" x14ac:dyDescent="0.25">
      <c r="A2634" s="82" t="s">
        <v>2653</v>
      </c>
      <c r="B2634" s="41" t="s">
        <v>6732</v>
      </c>
      <c r="C2634" s="42" t="s">
        <v>9352</v>
      </c>
      <c r="D2634" s="41" t="s">
        <v>6751</v>
      </c>
      <c r="E2634" s="43" t="s">
        <v>6752</v>
      </c>
      <c r="F2634" s="43" t="s">
        <v>1937</v>
      </c>
      <c r="G2634" s="43" t="s">
        <v>5391</v>
      </c>
      <c r="H2634" s="85" t="s">
        <v>6753</v>
      </c>
      <c r="I2634" s="23" t="s">
        <v>24</v>
      </c>
      <c r="J2634" s="44">
        <v>160</v>
      </c>
      <c r="K2634" s="45">
        <v>0.25</v>
      </c>
      <c r="L2634" s="46">
        <f t="shared" si="388"/>
        <v>40</v>
      </c>
      <c r="M2634" s="47">
        <f t="shared" si="389"/>
        <v>120</v>
      </c>
      <c r="N2634" s="48">
        <v>0.16</v>
      </c>
      <c r="O2634" s="49">
        <f t="shared" si="390"/>
        <v>19.2</v>
      </c>
      <c r="P2634" s="50">
        <f t="shared" si="391"/>
        <v>139.19999999999999</v>
      </c>
      <c r="Q2634" s="23"/>
      <c r="R2634" s="60"/>
      <c r="S2634" s="61"/>
      <c r="T2634" s="62">
        <f t="shared" si="392"/>
        <v>0</v>
      </c>
      <c r="U2634" s="46">
        <f t="shared" si="393"/>
        <v>0</v>
      </c>
      <c r="V2634" s="63">
        <f t="shared" si="394"/>
        <v>0</v>
      </c>
      <c r="W2634" s="49">
        <f t="shared" si="395"/>
        <v>0</v>
      </c>
      <c r="X2634" s="50">
        <f t="shared" si="396"/>
        <v>0</v>
      </c>
      <c r="Y2634"/>
      <c r="Z2634"/>
      <c r="AA2634"/>
    </row>
    <row r="2635" spans="1:27" s="51" customFormat="1" ht="18.600000000000001" hidden="1" customHeight="1" x14ac:dyDescent="0.25">
      <c r="A2635" s="80" t="s">
        <v>2653</v>
      </c>
      <c r="B2635" s="20" t="s">
        <v>6732</v>
      </c>
      <c r="C2635" s="21" t="s">
        <v>9352</v>
      </c>
      <c r="D2635" s="20" t="s">
        <v>6754</v>
      </c>
      <c r="E2635" s="22" t="s">
        <v>6755</v>
      </c>
      <c r="F2635" s="22" t="s">
        <v>1937</v>
      </c>
      <c r="G2635" s="22" t="s">
        <v>5391</v>
      </c>
      <c r="H2635" s="83" t="s">
        <v>6756</v>
      </c>
      <c r="I2635" s="23" t="s">
        <v>24</v>
      </c>
      <c r="J2635" s="24">
        <v>160</v>
      </c>
      <c r="K2635" s="25">
        <v>0.25</v>
      </c>
      <c r="L2635" s="26">
        <f t="shared" si="388"/>
        <v>40</v>
      </c>
      <c r="M2635" s="27">
        <f t="shared" si="389"/>
        <v>120</v>
      </c>
      <c r="N2635" s="28">
        <v>0.16</v>
      </c>
      <c r="O2635" s="29">
        <f t="shared" si="390"/>
        <v>19.2</v>
      </c>
      <c r="P2635" s="30">
        <f t="shared" si="391"/>
        <v>139.19999999999999</v>
      </c>
      <c r="Q2635" s="23"/>
      <c r="R2635" s="52"/>
      <c r="S2635" s="53"/>
      <c r="T2635" s="54">
        <f t="shared" si="392"/>
        <v>0</v>
      </c>
      <c r="U2635" s="26">
        <f t="shared" si="393"/>
        <v>0</v>
      </c>
      <c r="V2635" s="55">
        <f t="shared" si="394"/>
        <v>0</v>
      </c>
      <c r="W2635" s="29">
        <f t="shared" si="395"/>
        <v>0</v>
      </c>
      <c r="X2635" s="30">
        <f t="shared" si="396"/>
        <v>0</v>
      </c>
      <c r="Y2635"/>
      <c r="Z2635"/>
      <c r="AA2635"/>
    </row>
    <row r="2636" spans="1:27" s="51" customFormat="1" ht="18.600000000000001" hidden="1" customHeight="1" x14ac:dyDescent="0.25">
      <c r="A2636" s="81" t="s">
        <v>2653</v>
      </c>
      <c r="B2636" s="31" t="s">
        <v>6732</v>
      </c>
      <c r="C2636" s="32" t="s">
        <v>9352</v>
      </c>
      <c r="D2636" s="31" t="s">
        <v>6757</v>
      </c>
      <c r="E2636" s="33" t="s">
        <v>6758</v>
      </c>
      <c r="F2636" s="33" t="s">
        <v>1937</v>
      </c>
      <c r="G2636" s="33" t="s">
        <v>5391</v>
      </c>
      <c r="H2636" s="84" t="s">
        <v>6759</v>
      </c>
      <c r="I2636" s="23" t="s">
        <v>24</v>
      </c>
      <c r="J2636" s="34">
        <v>160</v>
      </c>
      <c r="K2636" s="35">
        <v>0.25</v>
      </c>
      <c r="L2636" s="36">
        <f t="shared" si="388"/>
        <v>40</v>
      </c>
      <c r="M2636" s="37">
        <f t="shared" si="389"/>
        <v>120</v>
      </c>
      <c r="N2636" s="38">
        <v>0.16</v>
      </c>
      <c r="O2636" s="39">
        <f t="shared" si="390"/>
        <v>19.2</v>
      </c>
      <c r="P2636" s="40">
        <f t="shared" si="391"/>
        <v>139.19999999999999</v>
      </c>
      <c r="Q2636" s="23"/>
      <c r="R2636" s="56"/>
      <c r="S2636" s="57"/>
      <c r="T2636" s="58">
        <f t="shared" si="392"/>
        <v>0</v>
      </c>
      <c r="U2636" s="36">
        <f t="shared" si="393"/>
        <v>0</v>
      </c>
      <c r="V2636" s="59">
        <f t="shared" si="394"/>
        <v>0</v>
      </c>
      <c r="W2636" s="39">
        <f t="shared" si="395"/>
        <v>0</v>
      </c>
      <c r="X2636" s="40">
        <f t="shared" si="396"/>
        <v>0</v>
      </c>
      <c r="Y2636"/>
      <c r="Z2636"/>
      <c r="AA2636"/>
    </row>
    <row r="2637" spans="1:27" s="51" customFormat="1" ht="18.600000000000001" hidden="1" customHeight="1" x14ac:dyDescent="0.25">
      <c r="A2637" s="82" t="s">
        <v>2653</v>
      </c>
      <c r="B2637" s="41" t="s">
        <v>6732</v>
      </c>
      <c r="C2637" s="42" t="s">
        <v>9352</v>
      </c>
      <c r="D2637" s="41" t="s">
        <v>6760</v>
      </c>
      <c r="E2637" s="43" t="s">
        <v>6761</v>
      </c>
      <c r="F2637" s="43" t="s">
        <v>1937</v>
      </c>
      <c r="G2637" s="43" t="s">
        <v>5391</v>
      </c>
      <c r="H2637" s="85" t="s">
        <v>6762</v>
      </c>
      <c r="I2637" s="23" t="s">
        <v>24</v>
      </c>
      <c r="J2637" s="44">
        <v>160</v>
      </c>
      <c r="K2637" s="45">
        <v>0.25</v>
      </c>
      <c r="L2637" s="46">
        <f t="shared" si="388"/>
        <v>40</v>
      </c>
      <c r="M2637" s="47">
        <f t="shared" si="389"/>
        <v>120</v>
      </c>
      <c r="N2637" s="48">
        <v>0.16</v>
      </c>
      <c r="O2637" s="49">
        <f t="shared" si="390"/>
        <v>19.2</v>
      </c>
      <c r="P2637" s="50">
        <f t="shared" si="391"/>
        <v>139.19999999999999</v>
      </c>
      <c r="Q2637" s="23"/>
      <c r="R2637" s="60"/>
      <c r="S2637" s="61"/>
      <c r="T2637" s="62">
        <f t="shared" si="392"/>
        <v>0</v>
      </c>
      <c r="U2637" s="46">
        <f t="shared" si="393"/>
        <v>0</v>
      </c>
      <c r="V2637" s="63">
        <f t="shared" si="394"/>
        <v>0</v>
      </c>
      <c r="W2637" s="49">
        <f t="shared" si="395"/>
        <v>0</v>
      </c>
      <c r="X2637" s="50">
        <f t="shared" si="396"/>
        <v>0</v>
      </c>
      <c r="Y2637"/>
      <c r="Z2637"/>
      <c r="AA2637"/>
    </row>
    <row r="2638" spans="1:27" s="51" customFormat="1" ht="18.600000000000001" hidden="1" customHeight="1" x14ac:dyDescent="0.25">
      <c r="A2638" s="80" t="s">
        <v>2653</v>
      </c>
      <c r="B2638" s="20" t="s">
        <v>9353</v>
      </c>
      <c r="C2638" s="21" t="s">
        <v>9354</v>
      </c>
      <c r="D2638" s="20" t="s">
        <v>6763</v>
      </c>
      <c r="E2638" s="22" t="s">
        <v>6764</v>
      </c>
      <c r="F2638" s="22" t="s">
        <v>1937</v>
      </c>
      <c r="G2638" s="22" t="s">
        <v>5026</v>
      </c>
      <c r="H2638" s="83" t="s">
        <v>6765</v>
      </c>
      <c r="I2638" s="23" t="s">
        <v>24</v>
      </c>
      <c r="J2638" s="24">
        <v>250</v>
      </c>
      <c r="K2638" s="25">
        <v>0.25</v>
      </c>
      <c r="L2638" s="26">
        <f t="shared" ref="L2638:L2685" si="397">+J2638*K2638</f>
        <v>62.5</v>
      </c>
      <c r="M2638" s="27">
        <f t="shared" ref="M2638:M2685" si="398">+J2638-L2638</f>
        <v>187.5</v>
      </c>
      <c r="N2638" s="28">
        <v>0.16</v>
      </c>
      <c r="O2638" s="29">
        <f t="shared" ref="O2638:O2685" si="399">+M2638*N2638</f>
        <v>30</v>
      </c>
      <c r="P2638" s="30">
        <f t="shared" ref="P2638:P2685" si="400">+M2638+O2638</f>
        <v>217.5</v>
      </c>
      <c r="Q2638" s="23"/>
      <c r="R2638" s="52"/>
      <c r="S2638" s="53"/>
      <c r="T2638" s="54">
        <f t="shared" ref="T2638:T2685" si="401">+S2638*J2638</f>
        <v>0</v>
      </c>
      <c r="U2638" s="26">
        <f t="shared" ref="U2638:U2685" si="402">+T2638*K2638</f>
        <v>0</v>
      </c>
      <c r="V2638" s="55">
        <f t="shared" ref="V2638:V2685" si="403">+T2638-U2638</f>
        <v>0</v>
      </c>
      <c r="W2638" s="29">
        <f t="shared" ref="W2638:W2685" si="404">+V2638*N2638</f>
        <v>0</v>
      </c>
      <c r="X2638" s="30">
        <f t="shared" ref="X2638:X2685" si="405">+V2638+W2638</f>
        <v>0</v>
      </c>
      <c r="Y2638"/>
      <c r="Z2638"/>
      <c r="AA2638"/>
    </row>
    <row r="2639" spans="1:27" s="51" customFormat="1" ht="18.600000000000001" hidden="1" customHeight="1" x14ac:dyDescent="0.25">
      <c r="A2639" s="81" t="s">
        <v>2653</v>
      </c>
      <c r="B2639" s="31" t="s">
        <v>9353</v>
      </c>
      <c r="C2639" s="32" t="s">
        <v>9354</v>
      </c>
      <c r="D2639" s="31" t="s">
        <v>6766</v>
      </c>
      <c r="E2639" s="33" t="s">
        <v>6767</v>
      </c>
      <c r="F2639" s="33" t="s">
        <v>1937</v>
      </c>
      <c r="G2639" s="33" t="s">
        <v>5026</v>
      </c>
      <c r="H2639" s="84" t="s">
        <v>6768</v>
      </c>
      <c r="I2639" s="23" t="s">
        <v>24</v>
      </c>
      <c r="J2639" s="34">
        <v>250</v>
      </c>
      <c r="K2639" s="35">
        <v>0.25</v>
      </c>
      <c r="L2639" s="36">
        <f t="shared" si="397"/>
        <v>62.5</v>
      </c>
      <c r="M2639" s="37">
        <f t="shared" si="398"/>
        <v>187.5</v>
      </c>
      <c r="N2639" s="38">
        <v>0.16</v>
      </c>
      <c r="O2639" s="39">
        <f t="shared" si="399"/>
        <v>30</v>
      </c>
      <c r="P2639" s="40">
        <f t="shared" si="400"/>
        <v>217.5</v>
      </c>
      <c r="Q2639" s="23"/>
      <c r="R2639" s="56"/>
      <c r="S2639" s="57"/>
      <c r="T2639" s="58">
        <f t="shared" si="401"/>
        <v>0</v>
      </c>
      <c r="U2639" s="36">
        <f t="shared" si="402"/>
        <v>0</v>
      </c>
      <c r="V2639" s="59">
        <f t="shared" si="403"/>
        <v>0</v>
      </c>
      <c r="W2639" s="39">
        <f t="shared" si="404"/>
        <v>0</v>
      </c>
      <c r="X2639" s="40">
        <f t="shared" si="405"/>
        <v>0</v>
      </c>
      <c r="Y2639"/>
      <c r="Z2639"/>
      <c r="AA2639"/>
    </row>
    <row r="2640" spans="1:27" s="51" customFormat="1" ht="18.600000000000001" hidden="1" customHeight="1" x14ac:dyDescent="0.25">
      <c r="A2640" s="82" t="s">
        <v>2653</v>
      </c>
      <c r="B2640" s="41" t="s">
        <v>9353</v>
      </c>
      <c r="C2640" s="42" t="s">
        <v>9354</v>
      </c>
      <c r="D2640" s="41" t="s">
        <v>6769</v>
      </c>
      <c r="E2640" s="43" t="s">
        <v>6770</v>
      </c>
      <c r="F2640" s="43" t="s">
        <v>1937</v>
      </c>
      <c r="G2640" s="43" t="s">
        <v>5026</v>
      </c>
      <c r="H2640" s="85" t="s">
        <v>6771</v>
      </c>
      <c r="I2640" s="23" t="s">
        <v>24</v>
      </c>
      <c r="J2640" s="44">
        <v>250</v>
      </c>
      <c r="K2640" s="45">
        <v>0.25</v>
      </c>
      <c r="L2640" s="46">
        <f t="shared" si="397"/>
        <v>62.5</v>
      </c>
      <c r="M2640" s="47">
        <f t="shared" si="398"/>
        <v>187.5</v>
      </c>
      <c r="N2640" s="48">
        <v>0.16</v>
      </c>
      <c r="O2640" s="49">
        <f t="shared" si="399"/>
        <v>30</v>
      </c>
      <c r="P2640" s="50">
        <f t="shared" si="400"/>
        <v>217.5</v>
      </c>
      <c r="Q2640" s="23"/>
      <c r="R2640" s="60"/>
      <c r="S2640" s="61"/>
      <c r="T2640" s="62">
        <f t="shared" si="401"/>
        <v>0</v>
      </c>
      <c r="U2640" s="46">
        <f t="shared" si="402"/>
        <v>0</v>
      </c>
      <c r="V2640" s="63">
        <f t="shared" si="403"/>
        <v>0</v>
      </c>
      <c r="W2640" s="49">
        <f t="shared" si="404"/>
        <v>0</v>
      </c>
      <c r="X2640" s="50">
        <f t="shared" si="405"/>
        <v>0</v>
      </c>
      <c r="Y2640"/>
      <c r="Z2640"/>
      <c r="AA2640"/>
    </row>
    <row r="2641" spans="1:27" s="51" customFormat="1" ht="18.600000000000001" hidden="1" customHeight="1" x14ac:dyDescent="0.25">
      <c r="A2641" s="80" t="s">
        <v>2653</v>
      </c>
      <c r="B2641" s="20" t="s">
        <v>9353</v>
      </c>
      <c r="C2641" s="21" t="s">
        <v>9354</v>
      </c>
      <c r="D2641" s="20" t="s">
        <v>6772</v>
      </c>
      <c r="E2641" s="22" t="s">
        <v>6773</v>
      </c>
      <c r="F2641" s="22" t="s">
        <v>1937</v>
      </c>
      <c r="G2641" s="22" t="s">
        <v>5026</v>
      </c>
      <c r="H2641" s="83" t="s">
        <v>6774</v>
      </c>
      <c r="I2641" s="23" t="s">
        <v>24</v>
      </c>
      <c r="J2641" s="24">
        <v>250</v>
      </c>
      <c r="K2641" s="25">
        <v>0.25</v>
      </c>
      <c r="L2641" s="26">
        <f t="shared" si="397"/>
        <v>62.5</v>
      </c>
      <c r="M2641" s="27">
        <f t="shared" si="398"/>
        <v>187.5</v>
      </c>
      <c r="N2641" s="28">
        <v>0.16</v>
      </c>
      <c r="O2641" s="29">
        <f t="shared" si="399"/>
        <v>30</v>
      </c>
      <c r="P2641" s="30">
        <f t="shared" si="400"/>
        <v>217.5</v>
      </c>
      <c r="Q2641" s="23"/>
      <c r="R2641" s="52"/>
      <c r="S2641" s="53"/>
      <c r="T2641" s="54">
        <f t="shared" si="401"/>
        <v>0</v>
      </c>
      <c r="U2641" s="26">
        <f t="shared" si="402"/>
        <v>0</v>
      </c>
      <c r="V2641" s="55">
        <f t="shared" si="403"/>
        <v>0</v>
      </c>
      <c r="W2641" s="29">
        <f t="shared" si="404"/>
        <v>0</v>
      </c>
      <c r="X2641" s="30">
        <f t="shared" si="405"/>
        <v>0</v>
      </c>
      <c r="Y2641"/>
      <c r="Z2641"/>
      <c r="AA2641"/>
    </row>
    <row r="2642" spans="1:27" s="51" customFormat="1" ht="18.600000000000001" hidden="1" customHeight="1" x14ac:dyDescent="0.25">
      <c r="A2642" s="81" t="s">
        <v>2653</v>
      </c>
      <c r="B2642" s="31" t="s">
        <v>9353</v>
      </c>
      <c r="C2642" s="32" t="s">
        <v>9354</v>
      </c>
      <c r="D2642" s="31" t="s">
        <v>6775</v>
      </c>
      <c r="E2642" s="33" t="s">
        <v>6776</v>
      </c>
      <c r="F2642" s="33" t="s">
        <v>1937</v>
      </c>
      <c r="G2642" s="33" t="s">
        <v>5026</v>
      </c>
      <c r="H2642" s="84" t="s">
        <v>6777</v>
      </c>
      <c r="I2642" s="23" t="s">
        <v>24</v>
      </c>
      <c r="J2642" s="34">
        <v>250</v>
      </c>
      <c r="K2642" s="35">
        <v>0.25</v>
      </c>
      <c r="L2642" s="36">
        <f t="shared" si="397"/>
        <v>62.5</v>
      </c>
      <c r="M2642" s="37">
        <f t="shared" si="398"/>
        <v>187.5</v>
      </c>
      <c r="N2642" s="38">
        <v>0.16</v>
      </c>
      <c r="O2642" s="39">
        <f t="shared" si="399"/>
        <v>30</v>
      </c>
      <c r="P2642" s="40">
        <f t="shared" si="400"/>
        <v>217.5</v>
      </c>
      <c r="Q2642" s="23"/>
      <c r="R2642" s="56"/>
      <c r="S2642" s="57"/>
      <c r="T2642" s="58">
        <f t="shared" si="401"/>
        <v>0</v>
      </c>
      <c r="U2642" s="36">
        <f t="shared" si="402"/>
        <v>0</v>
      </c>
      <c r="V2642" s="59">
        <f t="shared" si="403"/>
        <v>0</v>
      </c>
      <c r="W2642" s="39">
        <f t="shared" si="404"/>
        <v>0</v>
      </c>
      <c r="X2642" s="40">
        <f t="shared" si="405"/>
        <v>0</v>
      </c>
      <c r="Y2642"/>
      <c r="Z2642"/>
      <c r="AA2642"/>
    </row>
    <row r="2643" spans="1:27" s="51" customFormat="1" ht="18.600000000000001" hidden="1" customHeight="1" x14ac:dyDescent="0.25">
      <c r="A2643" s="82" t="s">
        <v>2653</v>
      </c>
      <c r="B2643" s="41" t="s">
        <v>9353</v>
      </c>
      <c r="C2643" s="42" t="s">
        <v>9354</v>
      </c>
      <c r="D2643" s="41" t="s">
        <v>6778</v>
      </c>
      <c r="E2643" s="43" t="s">
        <v>6779</v>
      </c>
      <c r="F2643" s="43" t="s">
        <v>1937</v>
      </c>
      <c r="G2643" s="43" t="s">
        <v>5026</v>
      </c>
      <c r="H2643" s="85" t="s">
        <v>6780</v>
      </c>
      <c r="I2643" s="23" t="s">
        <v>24</v>
      </c>
      <c r="J2643" s="44">
        <v>250</v>
      </c>
      <c r="K2643" s="45">
        <v>0.25</v>
      </c>
      <c r="L2643" s="46">
        <f t="shared" si="397"/>
        <v>62.5</v>
      </c>
      <c r="M2643" s="47">
        <f t="shared" si="398"/>
        <v>187.5</v>
      </c>
      <c r="N2643" s="48">
        <v>0.16</v>
      </c>
      <c r="O2643" s="49">
        <f t="shared" si="399"/>
        <v>30</v>
      </c>
      <c r="P2643" s="50">
        <f t="shared" si="400"/>
        <v>217.5</v>
      </c>
      <c r="Q2643" s="23"/>
      <c r="R2643" s="60"/>
      <c r="S2643" s="61"/>
      <c r="T2643" s="62">
        <f t="shared" si="401"/>
        <v>0</v>
      </c>
      <c r="U2643" s="46">
        <f t="shared" si="402"/>
        <v>0</v>
      </c>
      <c r="V2643" s="63">
        <f t="shared" si="403"/>
        <v>0</v>
      </c>
      <c r="W2643" s="49">
        <f t="shared" si="404"/>
        <v>0</v>
      </c>
      <c r="X2643" s="50">
        <f t="shared" si="405"/>
        <v>0</v>
      </c>
      <c r="Y2643"/>
      <c r="Z2643"/>
      <c r="AA2643"/>
    </row>
    <row r="2644" spans="1:27" s="51" customFormat="1" ht="18.600000000000001" hidden="1" customHeight="1" x14ac:dyDescent="0.25">
      <c r="A2644" s="80" t="s">
        <v>2653</v>
      </c>
      <c r="B2644" s="20" t="s">
        <v>9353</v>
      </c>
      <c r="C2644" s="21" t="s">
        <v>9354</v>
      </c>
      <c r="D2644" s="20" t="s">
        <v>6781</v>
      </c>
      <c r="E2644" s="22" t="s">
        <v>6782</v>
      </c>
      <c r="F2644" s="22" t="s">
        <v>1937</v>
      </c>
      <c r="G2644" s="22" t="s">
        <v>5026</v>
      </c>
      <c r="H2644" s="83" t="s">
        <v>6783</v>
      </c>
      <c r="I2644" s="23" t="s">
        <v>24</v>
      </c>
      <c r="J2644" s="24">
        <v>250</v>
      </c>
      <c r="K2644" s="25">
        <v>0.25</v>
      </c>
      <c r="L2644" s="26">
        <f t="shared" si="397"/>
        <v>62.5</v>
      </c>
      <c r="M2644" s="27">
        <f t="shared" si="398"/>
        <v>187.5</v>
      </c>
      <c r="N2644" s="28">
        <v>0.16</v>
      </c>
      <c r="O2644" s="29">
        <f t="shared" si="399"/>
        <v>30</v>
      </c>
      <c r="P2644" s="30">
        <f t="shared" si="400"/>
        <v>217.5</v>
      </c>
      <c r="Q2644" s="23"/>
      <c r="R2644" s="52"/>
      <c r="S2644" s="53"/>
      <c r="T2644" s="54">
        <f t="shared" si="401"/>
        <v>0</v>
      </c>
      <c r="U2644" s="26">
        <f t="shared" si="402"/>
        <v>0</v>
      </c>
      <c r="V2644" s="55">
        <f t="shared" si="403"/>
        <v>0</v>
      </c>
      <c r="W2644" s="29">
        <f t="shared" si="404"/>
        <v>0</v>
      </c>
      <c r="X2644" s="30">
        <f t="shared" si="405"/>
        <v>0</v>
      </c>
      <c r="Y2644"/>
      <c r="Z2644"/>
      <c r="AA2644"/>
    </row>
    <row r="2645" spans="1:27" s="51" customFormat="1" ht="18.600000000000001" hidden="1" customHeight="1" x14ac:dyDescent="0.25">
      <c r="A2645" s="81" t="s">
        <v>2653</v>
      </c>
      <c r="B2645" s="31" t="s">
        <v>9353</v>
      </c>
      <c r="C2645" s="32" t="s">
        <v>9354</v>
      </c>
      <c r="D2645" s="31" t="s">
        <v>6784</v>
      </c>
      <c r="E2645" s="33" t="s">
        <v>6785</v>
      </c>
      <c r="F2645" s="33" t="s">
        <v>1937</v>
      </c>
      <c r="G2645" s="33" t="s">
        <v>5026</v>
      </c>
      <c r="H2645" s="84" t="s">
        <v>6786</v>
      </c>
      <c r="I2645" s="23" t="s">
        <v>24</v>
      </c>
      <c r="J2645" s="34">
        <v>250</v>
      </c>
      <c r="K2645" s="35">
        <v>0.25</v>
      </c>
      <c r="L2645" s="36">
        <f t="shared" si="397"/>
        <v>62.5</v>
      </c>
      <c r="M2645" s="37">
        <f t="shared" si="398"/>
        <v>187.5</v>
      </c>
      <c r="N2645" s="38">
        <v>0.16</v>
      </c>
      <c r="O2645" s="39">
        <f t="shared" si="399"/>
        <v>30</v>
      </c>
      <c r="P2645" s="40">
        <f t="shared" si="400"/>
        <v>217.5</v>
      </c>
      <c r="Q2645" s="23"/>
      <c r="R2645" s="56"/>
      <c r="S2645" s="57"/>
      <c r="T2645" s="58">
        <f t="shared" si="401"/>
        <v>0</v>
      </c>
      <c r="U2645" s="36">
        <f t="shared" si="402"/>
        <v>0</v>
      </c>
      <c r="V2645" s="59">
        <f t="shared" si="403"/>
        <v>0</v>
      </c>
      <c r="W2645" s="39">
        <f t="shared" si="404"/>
        <v>0</v>
      </c>
      <c r="X2645" s="40">
        <f t="shared" si="405"/>
        <v>0</v>
      </c>
      <c r="Y2645"/>
      <c r="Z2645"/>
      <c r="AA2645"/>
    </row>
    <row r="2646" spans="1:27" s="51" customFormat="1" ht="18.600000000000001" hidden="1" customHeight="1" x14ac:dyDescent="0.25">
      <c r="A2646" s="82" t="s">
        <v>2653</v>
      </c>
      <c r="B2646" s="41" t="s">
        <v>9353</v>
      </c>
      <c r="C2646" s="42" t="s">
        <v>9354</v>
      </c>
      <c r="D2646" s="41" t="s">
        <v>6787</v>
      </c>
      <c r="E2646" s="43" t="s">
        <v>6788</v>
      </c>
      <c r="F2646" s="43" t="s">
        <v>1937</v>
      </c>
      <c r="G2646" s="43" t="s">
        <v>5026</v>
      </c>
      <c r="H2646" s="85" t="s">
        <v>6789</v>
      </c>
      <c r="I2646" s="23" t="s">
        <v>24</v>
      </c>
      <c r="J2646" s="44">
        <v>250</v>
      </c>
      <c r="K2646" s="45">
        <v>0.25</v>
      </c>
      <c r="L2646" s="46">
        <f t="shared" si="397"/>
        <v>62.5</v>
      </c>
      <c r="M2646" s="47">
        <f t="shared" si="398"/>
        <v>187.5</v>
      </c>
      <c r="N2646" s="48">
        <v>0.16</v>
      </c>
      <c r="O2646" s="49">
        <f t="shared" si="399"/>
        <v>30</v>
      </c>
      <c r="P2646" s="50">
        <f t="shared" si="400"/>
        <v>217.5</v>
      </c>
      <c r="Q2646" s="23"/>
      <c r="R2646" s="60"/>
      <c r="S2646" s="61"/>
      <c r="T2646" s="62">
        <f t="shared" si="401"/>
        <v>0</v>
      </c>
      <c r="U2646" s="46">
        <f t="shared" si="402"/>
        <v>0</v>
      </c>
      <c r="V2646" s="63">
        <f t="shared" si="403"/>
        <v>0</v>
      </c>
      <c r="W2646" s="49">
        <f t="shared" si="404"/>
        <v>0</v>
      </c>
      <c r="X2646" s="50">
        <f t="shared" si="405"/>
        <v>0</v>
      </c>
      <c r="Y2646"/>
      <c r="Z2646"/>
      <c r="AA2646"/>
    </row>
    <row r="2647" spans="1:27" s="51" customFormat="1" ht="18.600000000000001" hidden="1" customHeight="1" x14ac:dyDescent="0.25">
      <c r="A2647" s="80" t="s">
        <v>2653</v>
      </c>
      <c r="B2647" s="20" t="s">
        <v>9353</v>
      </c>
      <c r="C2647" s="21" t="s">
        <v>9354</v>
      </c>
      <c r="D2647" s="20" t="s">
        <v>6790</v>
      </c>
      <c r="E2647" s="22" t="s">
        <v>6791</v>
      </c>
      <c r="F2647" s="22" t="s">
        <v>1937</v>
      </c>
      <c r="G2647" s="22" t="s">
        <v>5026</v>
      </c>
      <c r="H2647" s="83" t="s">
        <v>6792</v>
      </c>
      <c r="I2647" s="23" t="s">
        <v>24</v>
      </c>
      <c r="J2647" s="24">
        <v>250</v>
      </c>
      <c r="K2647" s="25">
        <v>0.25</v>
      </c>
      <c r="L2647" s="26">
        <f t="shared" si="397"/>
        <v>62.5</v>
      </c>
      <c r="M2647" s="27">
        <f t="shared" si="398"/>
        <v>187.5</v>
      </c>
      <c r="N2647" s="28">
        <v>0.16</v>
      </c>
      <c r="O2647" s="29">
        <f t="shared" si="399"/>
        <v>30</v>
      </c>
      <c r="P2647" s="30">
        <f t="shared" si="400"/>
        <v>217.5</v>
      </c>
      <c r="Q2647" s="23"/>
      <c r="R2647" s="52"/>
      <c r="S2647" s="53"/>
      <c r="T2647" s="54">
        <f t="shared" si="401"/>
        <v>0</v>
      </c>
      <c r="U2647" s="26">
        <f t="shared" si="402"/>
        <v>0</v>
      </c>
      <c r="V2647" s="55">
        <f t="shared" si="403"/>
        <v>0</v>
      </c>
      <c r="W2647" s="29">
        <f t="shared" si="404"/>
        <v>0</v>
      </c>
      <c r="X2647" s="30">
        <f t="shared" si="405"/>
        <v>0</v>
      </c>
      <c r="Y2647"/>
      <c r="Z2647"/>
      <c r="AA2647"/>
    </row>
    <row r="2648" spans="1:27" s="51" customFormat="1" ht="18.600000000000001" hidden="1" customHeight="1" x14ac:dyDescent="0.25">
      <c r="A2648" s="81" t="s">
        <v>2653</v>
      </c>
      <c r="B2648" s="31" t="s">
        <v>9353</v>
      </c>
      <c r="C2648" s="32" t="s">
        <v>9354</v>
      </c>
      <c r="D2648" s="31" t="s">
        <v>6793</v>
      </c>
      <c r="E2648" s="33" t="s">
        <v>6794</v>
      </c>
      <c r="F2648" s="33" t="s">
        <v>1937</v>
      </c>
      <c r="G2648" s="33" t="s">
        <v>5026</v>
      </c>
      <c r="H2648" s="84" t="s">
        <v>6795</v>
      </c>
      <c r="I2648" s="23" t="s">
        <v>24</v>
      </c>
      <c r="J2648" s="34">
        <v>250</v>
      </c>
      <c r="K2648" s="35">
        <v>0.25</v>
      </c>
      <c r="L2648" s="36">
        <f t="shared" si="397"/>
        <v>62.5</v>
      </c>
      <c r="M2648" s="37">
        <f t="shared" si="398"/>
        <v>187.5</v>
      </c>
      <c r="N2648" s="38">
        <v>0.16</v>
      </c>
      <c r="O2648" s="39">
        <f t="shared" si="399"/>
        <v>30</v>
      </c>
      <c r="P2648" s="40">
        <f t="shared" si="400"/>
        <v>217.5</v>
      </c>
      <c r="Q2648" s="23"/>
      <c r="R2648" s="56"/>
      <c r="S2648" s="57"/>
      <c r="T2648" s="58">
        <f t="shared" si="401"/>
        <v>0</v>
      </c>
      <c r="U2648" s="36">
        <f t="shared" si="402"/>
        <v>0</v>
      </c>
      <c r="V2648" s="59">
        <f t="shared" si="403"/>
        <v>0</v>
      </c>
      <c r="W2648" s="39">
        <f t="shared" si="404"/>
        <v>0</v>
      </c>
      <c r="X2648" s="40">
        <f t="shared" si="405"/>
        <v>0</v>
      </c>
      <c r="Y2648"/>
      <c r="Z2648"/>
      <c r="AA2648"/>
    </row>
    <row r="2649" spans="1:27" s="51" customFormat="1" ht="18.600000000000001" hidden="1" customHeight="1" x14ac:dyDescent="0.25">
      <c r="A2649" s="82" t="s">
        <v>2653</v>
      </c>
      <c r="B2649" s="41" t="s">
        <v>9353</v>
      </c>
      <c r="C2649" s="42" t="s">
        <v>9354</v>
      </c>
      <c r="D2649" s="41" t="s">
        <v>6796</v>
      </c>
      <c r="E2649" s="43" t="s">
        <v>6797</v>
      </c>
      <c r="F2649" s="43" t="s">
        <v>1937</v>
      </c>
      <c r="G2649" s="43" t="s">
        <v>5026</v>
      </c>
      <c r="H2649" s="85" t="s">
        <v>6798</v>
      </c>
      <c r="I2649" s="23" t="s">
        <v>24</v>
      </c>
      <c r="J2649" s="44">
        <v>250</v>
      </c>
      <c r="K2649" s="45">
        <v>0.25</v>
      </c>
      <c r="L2649" s="46">
        <f t="shared" si="397"/>
        <v>62.5</v>
      </c>
      <c r="M2649" s="47">
        <f t="shared" si="398"/>
        <v>187.5</v>
      </c>
      <c r="N2649" s="48">
        <v>0.16</v>
      </c>
      <c r="O2649" s="49">
        <f t="shared" si="399"/>
        <v>30</v>
      </c>
      <c r="P2649" s="50">
        <f t="shared" si="400"/>
        <v>217.5</v>
      </c>
      <c r="Q2649" s="23"/>
      <c r="R2649" s="60"/>
      <c r="S2649" s="61"/>
      <c r="T2649" s="62">
        <f t="shared" si="401"/>
        <v>0</v>
      </c>
      <c r="U2649" s="46">
        <f t="shared" si="402"/>
        <v>0</v>
      </c>
      <c r="V2649" s="63">
        <f t="shared" si="403"/>
        <v>0</v>
      </c>
      <c r="W2649" s="49">
        <f t="shared" si="404"/>
        <v>0</v>
      </c>
      <c r="X2649" s="50">
        <f t="shared" si="405"/>
        <v>0</v>
      </c>
      <c r="Y2649"/>
      <c r="Z2649"/>
      <c r="AA2649"/>
    </row>
    <row r="2650" spans="1:27" s="51" customFormat="1" ht="18.600000000000001" hidden="1" customHeight="1" x14ac:dyDescent="0.25">
      <c r="A2650" s="80" t="s">
        <v>2653</v>
      </c>
      <c r="B2650" s="20" t="s">
        <v>9353</v>
      </c>
      <c r="C2650" s="21" t="s">
        <v>9354</v>
      </c>
      <c r="D2650" s="20" t="s">
        <v>6799</v>
      </c>
      <c r="E2650" s="22" t="s">
        <v>6800</v>
      </c>
      <c r="F2650" s="22" t="s">
        <v>1937</v>
      </c>
      <c r="G2650" s="22" t="s">
        <v>5026</v>
      </c>
      <c r="H2650" s="83" t="s">
        <v>6801</v>
      </c>
      <c r="I2650" s="23" t="s">
        <v>24</v>
      </c>
      <c r="J2650" s="24">
        <v>250</v>
      </c>
      <c r="K2650" s="25">
        <v>0.25</v>
      </c>
      <c r="L2650" s="26">
        <f t="shared" si="397"/>
        <v>62.5</v>
      </c>
      <c r="M2650" s="27">
        <f t="shared" si="398"/>
        <v>187.5</v>
      </c>
      <c r="N2650" s="28">
        <v>0.16</v>
      </c>
      <c r="O2650" s="29">
        <f t="shared" si="399"/>
        <v>30</v>
      </c>
      <c r="P2650" s="30">
        <f t="shared" si="400"/>
        <v>217.5</v>
      </c>
      <c r="Q2650" s="23"/>
      <c r="R2650" s="52"/>
      <c r="S2650" s="53"/>
      <c r="T2650" s="54">
        <f t="shared" si="401"/>
        <v>0</v>
      </c>
      <c r="U2650" s="26">
        <f t="shared" si="402"/>
        <v>0</v>
      </c>
      <c r="V2650" s="55">
        <f t="shared" si="403"/>
        <v>0</v>
      </c>
      <c r="W2650" s="29">
        <f t="shared" si="404"/>
        <v>0</v>
      </c>
      <c r="X2650" s="30">
        <f t="shared" si="405"/>
        <v>0</v>
      </c>
      <c r="Y2650"/>
      <c r="Z2650"/>
      <c r="AA2650"/>
    </row>
    <row r="2651" spans="1:27" s="51" customFormat="1" ht="18.600000000000001" hidden="1" customHeight="1" x14ac:dyDescent="0.25">
      <c r="A2651" s="81" t="s">
        <v>2653</v>
      </c>
      <c r="B2651" s="31" t="s">
        <v>9353</v>
      </c>
      <c r="C2651" s="32" t="s">
        <v>9354</v>
      </c>
      <c r="D2651" s="31" t="s">
        <v>6802</v>
      </c>
      <c r="E2651" s="33" t="s">
        <v>6803</v>
      </c>
      <c r="F2651" s="33" t="s">
        <v>1937</v>
      </c>
      <c r="G2651" s="33" t="s">
        <v>5026</v>
      </c>
      <c r="H2651" s="84" t="s">
        <v>6804</v>
      </c>
      <c r="I2651" s="23" t="s">
        <v>24</v>
      </c>
      <c r="J2651" s="34">
        <v>250</v>
      </c>
      <c r="K2651" s="35">
        <v>0.25</v>
      </c>
      <c r="L2651" s="36">
        <f t="shared" si="397"/>
        <v>62.5</v>
      </c>
      <c r="M2651" s="37">
        <f t="shared" si="398"/>
        <v>187.5</v>
      </c>
      <c r="N2651" s="38">
        <v>0.16</v>
      </c>
      <c r="O2651" s="39">
        <f t="shared" si="399"/>
        <v>30</v>
      </c>
      <c r="P2651" s="40">
        <f t="shared" si="400"/>
        <v>217.5</v>
      </c>
      <c r="Q2651" s="23"/>
      <c r="R2651" s="56"/>
      <c r="S2651" s="57"/>
      <c r="T2651" s="58">
        <f t="shared" si="401"/>
        <v>0</v>
      </c>
      <c r="U2651" s="36">
        <f t="shared" si="402"/>
        <v>0</v>
      </c>
      <c r="V2651" s="59">
        <f t="shared" si="403"/>
        <v>0</v>
      </c>
      <c r="W2651" s="39">
        <f t="shared" si="404"/>
        <v>0</v>
      </c>
      <c r="X2651" s="40">
        <f t="shared" si="405"/>
        <v>0</v>
      </c>
      <c r="Y2651"/>
      <c r="Z2651"/>
      <c r="AA2651"/>
    </row>
    <row r="2652" spans="1:27" s="51" customFormat="1" ht="18.600000000000001" hidden="1" customHeight="1" x14ac:dyDescent="0.25">
      <c r="A2652" s="82" t="s">
        <v>2653</v>
      </c>
      <c r="B2652" s="41" t="s">
        <v>9353</v>
      </c>
      <c r="C2652" s="42" t="s">
        <v>9354</v>
      </c>
      <c r="D2652" s="41" t="s">
        <v>6805</v>
      </c>
      <c r="E2652" s="43" t="s">
        <v>6806</v>
      </c>
      <c r="F2652" s="43" t="s">
        <v>1937</v>
      </c>
      <c r="G2652" s="43" t="s">
        <v>5026</v>
      </c>
      <c r="H2652" s="85" t="s">
        <v>6807</v>
      </c>
      <c r="I2652" s="23" t="s">
        <v>24</v>
      </c>
      <c r="J2652" s="44">
        <v>250</v>
      </c>
      <c r="K2652" s="45">
        <v>0.25</v>
      </c>
      <c r="L2652" s="46">
        <f t="shared" si="397"/>
        <v>62.5</v>
      </c>
      <c r="M2652" s="47">
        <f t="shared" si="398"/>
        <v>187.5</v>
      </c>
      <c r="N2652" s="48">
        <v>0.16</v>
      </c>
      <c r="O2652" s="49">
        <f t="shared" si="399"/>
        <v>30</v>
      </c>
      <c r="P2652" s="50">
        <f t="shared" si="400"/>
        <v>217.5</v>
      </c>
      <c r="Q2652" s="23"/>
      <c r="R2652" s="60"/>
      <c r="S2652" s="61"/>
      <c r="T2652" s="62">
        <f t="shared" si="401"/>
        <v>0</v>
      </c>
      <c r="U2652" s="46">
        <f t="shared" si="402"/>
        <v>0</v>
      </c>
      <c r="V2652" s="63">
        <f t="shared" si="403"/>
        <v>0</v>
      </c>
      <c r="W2652" s="49">
        <f t="shared" si="404"/>
        <v>0</v>
      </c>
      <c r="X2652" s="50">
        <f t="shared" si="405"/>
        <v>0</v>
      </c>
      <c r="Y2652"/>
      <c r="Z2652"/>
      <c r="AA2652"/>
    </row>
    <row r="2653" spans="1:27" s="51" customFormat="1" ht="18.600000000000001" hidden="1" customHeight="1" x14ac:dyDescent="0.25">
      <c r="A2653" s="80" t="s">
        <v>2653</v>
      </c>
      <c r="B2653" s="20" t="s">
        <v>9353</v>
      </c>
      <c r="C2653" s="21" t="s">
        <v>9354</v>
      </c>
      <c r="D2653" s="20" t="s">
        <v>6808</v>
      </c>
      <c r="E2653" s="22" t="s">
        <v>6809</v>
      </c>
      <c r="F2653" s="22" t="s">
        <v>1937</v>
      </c>
      <c r="G2653" s="22" t="s">
        <v>5026</v>
      </c>
      <c r="H2653" s="83" t="s">
        <v>6810</v>
      </c>
      <c r="I2653" s="23" t="s">
        <v>24</v>
      </c>
      <c r="J2653" s="24">
        <v>250</v>
      </c>
      <c r="K2653" s="25">
        <v>0.25</v>
      </c>
      <c r="L2653" s="26">
        <f t="shared" si="397"/>
        <v>62.5</v>
      </c>
      <c r="M2653" s="27">
        <f t="shared" si="398"/>
        <v>187.5</v>
      </c>
      <c r="N2653" s="28">
        <v>0.16</v>
      </c>
      <c r="O2653" s="29">
        <f t="shared" si="399"/>
        <v>30</v>
      </c>
      <c r="P2653" s="30">
        <f t="shared" si="400"/>
        <v>217.5</v>
      </c>
      <c r="Q2653" s="23"/>
      <c r="R2653" s="52"/>
      <c r="S2653" s="53"/>
      <c r="T2653" s="54">
        <f t="shared" si="401"/>
        <v>0</v>
      </c>
      <c r="U2653" s="26">
        <f t="shared" si="402"/>
        <v>0</v>
      </c>
      <c r="V2653" s="55">
        <f t="shared" si="403"/>
        <v>0</v>
      </c>
      <c r="W2653" s="29">
        <f t="shared" si="404"/>
        <v>0</v>
      </c>
      <c r="X2653" s="30">
        <f t="shared" si="405"/>
        <v>0</v>
      </c>
      <c r="Y2653"/>
      <c r="Z2653"/>
      <c r="AA2653"/>
    </row>
    <row r="2654" spans="1:27" s="51" customFormat="1" ht="18.600000000000001" hidden="1" customHeight="1" x14ac:dyDescent="0.25">
      <c r="A2654" s="81" t="s">
        <v>2653</v>
      </c>
      <c r="B2654" s="31" t="s">
        <v>9353</v>
      </c>
      <c r="C2654" s="32" t="s">
        <v>9354</v>
      </c>
      <c r="D2654" s="31" t="s">
        <v>6811</v>
      </c>
      <c r="E2654" s="33" t="s">
        <v>6812</v>
      </c>
      <c r="F2654" s="33" t="s">
        <v>1937</v>
      </c>
      <c r="G2654" s="33" t="s">
        <v>5026</v>
      </c>
      <c r="H2654" s="84" t="s">
        <v>6813</v>
      </c>
      <c r="I2654" s="23" t="s">
        <v>24</v>
      </c>
      <c r="J2654" s="34">
        <v>250</v>
      </c>
      <c r="K2654" s="35">
        <v>0.25</v>
      </c>
      <c r="L2654" s="36">
        <f t="shared" si="397"/>
        <v>62.5</v>
      </c>
      <c r="M2654" s="37">
        <f t="shared" si="398"/>
        <v>187.5</v>
      </c>
      <c r="N2654" s="38">
        <v>0.16</v>
      </c>
      <c r="O2654" s="39">
        <f t="shared" si="399"/>
        <v>30</v>
      </c>
      <c r="P2654" s="40">
        <f t="shared" si="400"/>
        <v>217.5</v>
      </c>
      <c r="Q2654" s="23"/>
      <c r="R2654" s="56"/>
      <c r="S2654" s="57"/>
      <c r="T2654" s="58">
        <f t="shared" si="401"/>
        <v>0</v>
      </c>
      <c r="U2654" s="36">
        <f t="shared" si="402"/>
        <v>0</v>
      </c>
      <c r="V2654" s="59">
        <f t="shared" si="403"/>
        <v>0</v>
      </c>
      <c r="W2654" s="39">
        <f t="shared" si="404"/>
        <v>0</v>
      </c>
      <c r="X2654" s="40">
        <f t="shared" si="405"/>
        <v>0</v>
      </c>
      <c r="Y2654"/>
      <c r="Z2654"/>
      <c r="AA2654"/>
    </row>
    <row r="2655" spans="1:27" s="51" customFormat="1" ht="18.600000000000001" hidden="1" customHeight="1" x14ac:dyDescent="0.25">
      <c r="A2655" s="82" t="s">
        <v>2653</v>
      </c>
      <c r="B2655" s="41" t="s">
        <v>9353</v>
      </c>
      <c r="C2655" s="42" t="s">
        <v>9354</v>
      </c>
      <c r="D2655" s="41" t="s">
        <v>6814</v>
      </c>
      <c r="E2655" s="43" t="s">
        <v>6815</v>
      </c>
      <c r="F2655" s="43" t="s">
        <v>1937</v>
      </c>
      <c r="G2655" s="43" t="s">
        <v>5026</v>
      </c>
      <c r="H2655" s="85" t="s">
        <v>6816</v>
      </c>
      <c r="I2655" s="23" t="s">
        <v>24</v>
      </c>
      <c r="J2655" s="44">
        <v>250</v>
      </c>
      <c r="K2655" s="45">
        <v>0.25</v>
      </c>
      <c r="L2655" s="46">
        <f t="shared" si="397"/>
        <v>62.5</v>
      </c>
      <c r="M2655" s="47">
        <f t="shared" si="398"/>
        <v>187.5</v>
      </c>
      <c r="N2655" s="48">
        <v>0.16</v>
      </c>
      <c r="O2655" s="49">
        <f t="shared" si="399"/>
        <v>30</v>
      </c>
      <c r="P2655" s="50">
        <f t="shared" si="400"/>
        <v>217.5</v>
      </c>
      <c r="Q2655" s="23"/>
      <c r="R2655" s="60"/>
      <c r="S2655" s="61"/>
      <c r="T2655" s="62">
        <f t="shared" si="401"/>
        <v>0</v>
      </c>
      <c r="U2655" s="46">
        <f t="shared" si="402"/>
        <v>0</v>
      </c>
      <c r="V2655" s="63">
        <f t="shared" si="403"/>
        <v>0</v>
      </c>
      <c r="W2655" s="49">
        <f t="shared" si="404"/>
        <v>0</v>
      </c>
      <c r="X2655" s="50">
        <f t="shared" si="405"/>
        <v>0</v>
      </c>
      <c r="Y2655"/>
      <c r="Z2655"/>
      <c r="AA2655"/>
    </row>
    <row r="2656" spans="1:27" s="51" customFormat="1" ht="18.600000000000001" hidden="1" customHeight="1" x14ac:dyDescent="0.25">
      <c r="A2656" s="80" t="s">
        <v>2653</v>
      </c>
      <c r="B2656" s="20" t="s">
        <v>9355</v>
      </c>
      <c r="C2656" s="21" t="s">
        <v>9356</v>
      </c>
      <c r="D2656" s="20" t="s">
        <v>6818</v>
      </c>
      <c r="E2656" s="22" t="s">
        <v>6819</v>
      </c>
      <c r="F2656" s="22" t="s">
        <v>1937</v>
      </c>
      <c r="G2656" s="22"/>
      <c r="H2656" s="83" t="s">
        <v>6820</v>
      </c>
      <c r="I2656" s="23" t="s">
        <v>24</v>
      </c>
      <c r="J2656" s="24">
        <v>320</v>
      </c>
      <c r="K2656" s="25">
        <v>0.25</v>
      </c>
      <c r="L2656" s="26">
        <f t="shared" si="397"/>
        <v>80</v>
      </c>
      <c r="M2656" s="27">
        <f t="shared" si="398"/>
        <v>240</v>
      </c>
      <c r="N2656" s="28">
        <v>0.16</v>
      </c>
      <c r="O2656" s="29">
        <f t="shared" si="399"/>
        <v>38.4</v>
      </c>
      <c r="P2656" s="30">
        <f t="shared" si="400"/>
        <v>278.39999999999998</v>
      </c>
      <c r="Q2656" s="23"/>
      <c r="R2656" s="52"/>
      <c r="S2656" s="53"/>
      <c r="T2656" s="54">
        <f t="shared" si="401"/>
        <v>0</v>
      </c>
      <c r="U2656" s="26">
        <f t="shared" si="402"/>
        <v>0</v>
      </c>
      <c r="V2656" s="55">
        <f t="shared" si="403"/>
        <v>0</v>
      </c>
      <c r="W2656" s="29">
        <f t="shared" si="404"/>
        <v>0</v>
      </c>
      <c r="X2656" s="30">
        <f t="shared" si="405"/>
        <v>0</v>
      </c>
      <c r="Y2656"/>
      <c r="Z2656"/>
      <c r="AA2656"/>
    </row>
    <row r="2657" spans="1:27" s="51" customFormat="1" ht="18.600000000000001" hidden="1" customHeight="1" x14ac:dyDescent="0.25">
      <c r="A2657" s="81" t="s">
        <v>2653</v>
      </c>
      <c r="B2657" s="31" t="s">
        <v>9355</v>
      </c>
      <c r="C2657" s="32" t="s">
        <v>9356</v>
      </c>
      <c r="D2657" s="31" t="s">
        <v>6821</v>
      </c>
      <c r="E2657" s="33" t="s">
        <v>6822</v>
      </c>
      <c r="F2657" s="33" t="s">
        <v>1937</v>
      </c>
      <c r="G2657" s="33"/>
      <c r="H2657" s="84" t="s">
        <v>6823</v>
      </c>
      <c r="I2657" s="23" t="s">
        <v>24</v>
      </c>
      <c r="J2657" s="34">
        <v>320</v>
      </c>
      <c r="K2657" s="35">
        <v>0.25</v>
      </c>
      <c r="L2657" s="36">
        <f t="shared" si="397"/>
        <v>80</v>
      </c>
      <c r="M2657" s="37">
        <f t="shared" si="398"/>
        <v>240</v>
      </c>
      <c r="N2657" s="38">
        <v>0.16</v>
      </c>
      <c r="O2657" s="39">
        <f t="shared" si="399"/>
        <v>38.4</v>
      </c>
      <c r="P2657" s="40">
        <f t="shared" si="400"/>
        <v>278.39999999999998</v>
      </c>
      <c r="Q2657" s="23"/>
      <c r="R2657" s="56"/>
      <c r="S2657" s="57"/>
      <c r="T2657" s="58">
        <f t="shared" si="401"/>
        <v>0</v>
      </c>
      <c r="U2657" s="36">
        <f t="shared" si="402"/>
        <v>0</v>
      </c>
      <c r="V2657" s="59">
        <f t="shared" si="403"/>
        <v>0</v>
      </c>
      <c r="W2657" s="39">
        <f t="shared" si="404"/>
        <v>0</v>
      </c>
      <c r="X2657" s="40">
        <f t="shared" si="405"/>
        <v>0</v>
      </c>
      <c r="Y2657"/>
      <c r="Z2657"/>
      <c r="AA2657"/>
    </row>
    <row r="2658" spans="1:27" s="51" customFormat="1" ht="18.600000000000001" hidden="1" customHeight="1" x14ac:dyDescent="0.25">
      <c r="A2658" s="82" t="s">
        <v>2653</v>
      </c>
      <c r="B2658" s="41" t="s">
        <v>9357</v>
      </c>
      <c r="C2658" s="42" t="s">
        <v>9358</v>
      </c>
      <c r="D2658" s="41" t="s">
        <v>9447</v>
      </c>
      <c r="E2658" s="43" t="s">
        <v>9536</v>
      </c>
      <c r="F2658" s="43" t="s">
        <v>1937</v>
      </c>
      <c r="G2658" s="43" t="s">
        <v>9617</v>
      </c>
      <c r="H2658" s="85" t="s">
        <v>9665</v>
      </c>
      <c r="I2658" s="23" t="s">
        <v>24</v>
      </c>
      <c r="J2658" s="44">
        <v>250</v>
      </c>
      <c r="K2658" s="45">
        <v>0.25</v>
      </c>
      <c r="L2658" s="46">
        <f t="shared" si="397"/>
        <v>62.5</v>
      </c>
      <c r="M2658" s="47">
        <f t="shared" si="398"/>
        <v>187.5</v>
      </c>
      <c r="N2658" s="48">
        <v>0.16</v>
      </c>
      <c r="O2658" s="49">
        <f t="shared" si="399"/>
        <v>30</v>
      </c>
      <c r="P2658" s="50">
        <f t="shared" si="400"/>
        <v>217.5</v>
      </c>
      <c r="Q2658" s="23"/>
      <c r="R2658" s="60"/>
      <c r="S2658" s="61"/>
      <c r="T2658" s="62">
        <f t="shared" si="401"/>
        <v>0</v>
      </c>
      <c r="U2658" s="46">
        <f t="shared" si="402"/>
        <v>0</v>
      </c>
      <c r="V2658" s="63">
        <f t="shared" si="403"/>
        <v>0</v>
      </c>
      <c r="W2658" s="49">
        <f t="shared" si="404"/>
        <v>0</v>
      </c>
      <c r="X2658" s="50">
        <f t="shared" si="405"/>
        <v>0</v>
      </c>
      <c r="Y2658"/>
      <c r="Z2658"/>
      <c r="AA2658"/>
    </row>
    <row r="2659" spans="1:27" s="51" customFormat="1" ht="18.600000000000001" hidden="1" customHeight="1" x14ac:dyDescent="0.25">
      <c r="A2659" s="80" t="s">
        <v>2653</v>
      </c>
      <c r="B2659" s="20" t="s">
        <v>9357</v>
      </c>
      <c r="C2659" s="21" t="s">
        <v>9358</v>
      </c>
      <c r="D2659" s="20" t="s">
        <v>9448</v>
      </c>
      <c r="E2659" s="22" t="s">
        <v>9537</v>
      </c>
      <c r="F2659" s="22" t="s">
        <v>1937</v>
      </c>
      <c r="G2659" s="22" t="s">
        <v>9618</v>
      </c>
      <c r="H2659" s="83" t="s">
        <v>9666</v>
      </c>
      <c r="I2659" s="23" t="s">
        <v>24</v>
      </c>
      <c r="J2659" s="24">
        <v>250</v>
      </c>
      <c r="K2659" s="25">
        <v>0.25</v>
      </c>
      <c r="L2659" s="26">
        <f t="shared" si="397"/>
        <v>62.5</v>
      </c>
      <c r="M2659" s="27">
        <f t="shared" si="398"/>
        <v>187.5</v>
      </c>
      <c r="N2659" s="28">
        <v>0.16</v>
      </c>
      <c r="O2659" s="29">
        <f t="shared" si="399"/>
        <v>30</v>
      </c>
      <c r="P2659" s="30">
        <f t="shared" si="400"/>
        <v>217.5</v>
      </c>
      <c r="Q2659" s="23"/>
      <c r="R2659" s="52"/>
      <c r="S2659" s="53"/>
      <c r="T2659" s="54">
        <f t="shared" si="401"/>
        <v>0</v>
      </c>
      <c r="U2659" s="26">
        <f t="shared" si="402"/>
        <v>0</v>
      </c>
      <c r="V2659" s="55">
        <f t="shared" si="403"/>
        <v>0</v>
      </c>
      <c r="W2659" s="29">
        <f t="shared" si="404"/>
        <v>0</v>
      </c>
      <c r="X2659" s="30">
        <f t="shared" si="405"/>
        <v>0</v>
      </c>
      <c r="Y2659"/>
      <c r="Z2659"/>
      <c r="AA2659"/>
    </row>
    <row r="2660" spans="1:27" s="51" customFormat="1" ht="18.600000000000001" hidden="1" customHeight="1" x14ac:dyDescent="0.25">
      <c r="A2660" s="81" t="s">
        <v>2653</v>
      </c>
      <c r="B2660" s="31" t="s">
        <v>9357</v>
      </c>
      <c r="C2660" s="32" t="s">
        <v>9358</v>
      </c>
      <c r="D2660" s="31" t="s">
        <v>9449</v>
      </c>
      <c r="E2660" s="33" t="s">
        <v>9538</v>
      </c>
      <c r="F2660" s="33" t="s">
        <v>1937</v>
      </c>
      <c r="G2660" s="33" t="s">
        <v>9619</v>
      </c>
      <c r="H2660" s="84" t="s">
        <v>9667</v>
      </c>
      <c r="I2660" s="23" t="s">
        <v>24</v>
      </c>
      <c r="J2660" s="34">
        <v>250</v>
      </c>
      <c r="K2660" s="35">
        <v>0.25</v>
      </c>
      <c r="L2660" s="36">
        <f t="shared" si="397"/>
        <v>62.5</v>
      </c>
      <c r="M2660" s="37">
        <f t="shared" si="398"/>
        <v>187.5</v>
      </c>
      <c r="N2660" s="38">
        <v>0.16</v>
      </c>
      <c r="O2660" s="39">
        <f t="shared" si="399"/>
        <v>30</v>
      </c>
      <c r="P2660" s="40">
        <f t="shared" si="400"/>
        <v>217.5</v>
      </c>
      <c r="Q2660" s="23"/>
      <c r="R2660" s="56"/>
      <c r="S2660" s="57"/>
      <c r="T2660" s="58">
        <f t="shared" si="401"/>
        <v>0</v>
      </c>
      <c r="U2660" s="36">
        <f t="shared" si="402"/>
        <v>0</v>
      </c>
      <c r="V2660" s="59">
        <f t="shared" si="403"/>
        <v>0</v>
      </c>
      <c r="W2660" s="39">
        <f t="shared" si="404"/>
        <v>0</v>
      </c>
      <c r="X2660" s="40">
        <f t="shared" si="405"/>
        <v>0</v>
      </c>
      <c r="Y2660"/>
      <c r="Z2660"/>
      <c r="AA2660"/>
    </row>
    <row r="2661" spans="1:27" s="51" customFormat="1" ht="18.600000000000001" hidden="1" customHeight="1" x14ac:dyDescent="0.25">
      <c r="A2661" s="82" t="s">
        <v>2653</v>
      </c>
      <c r="B2661" s="41" t="s">
        <v>9357</v>
      </c>
      <c r="C2661" s="42" t="s">
        <v>9358</v>
      </c>
      <c r="D2661" s="41" t="s">
        <v>9450</v>
      </c>
      <c r="E2661" s="43" t="s">
        <v>9539</v>
      </c>
      <c r="F2661" s="43" t="s">
        <v>1937</v>
      </c>
      <c r="G2661" s="43" t="s">
        <v>9618</v>
      </c>
      <c r="H2661" s="85" t="s">
        <v>9668</v>
      </c>
      <c r="I2661" s="23" t="s">
        <v>24</v>
      </c>
      <c r="J2661" s="44">
        <v>250</v>
      </c>
      <c r="K2661" s="45">
        <v>0.25</v>
      </c>
      <c r="L2661" s="46">
        <f t="shared" si="397"/>
        <v>62.5</v>
      </c>
      <c r="M2661" s="47">
        <f t="shared" si="398"/>
        <v>187.5</v>
      </c>
      <c r="N2661" s="48">
        <v>0.16</v>
      </c>
      <c r="O2661" s="49">
        <f t="shared" si="399"/>
        <v>30</v>
      </c>
      <c r="P2661" s="50">
        <f t="shared" si="400"/>
        <v>217.5</v>
      </c>
      <c r="Q2661" s="23"/>
      <c r="R2661" s="60"/>
      <c r="S2661" s="61"/>
      <c r="T2661" s="62">
        <f t="shared" si="401"/>
        <v>0</v>
      </c>
      <c r="U2661" s="46">
        <f t="shared" si="402"/>
        <v>0</v>
      </c>
      <c r="V2661" s="63">
        <f t="shared" si="403"/>
        <v>0</v>
      </c>
      <c r="W2661" s="49">
        <f t="shared" si="404"/>
        <v>0</v>
      </c>
      <c r="X2661" s="50">
        <f t="shared" si="405"/>
        <v>0</v>
      </c>
      <c r="Y2661"/>
      <c r="Z2661"/>
      <c r="AA2661"/>
    </row>
    <row r="2662" spans="1:27" s="51" customFormat="1" ht="18.600000000000001" hidden="1" customHeight="1" x14ac:dyDescent="0.25">
      <c r="A2662" s="80" t="s">
        <v>2653</v>
      </c>
      <c r="B2662" s="20" t="s">
        <v>9357</v>
      </c>
      <c r="C2662" s="21" t="s">
        <v>9358</v>
      </c>
      <c r="D2662" s="20" t="s">
        <v>9451</v>
      </c>
      <c r="E2662" s="22" t="s">
        <v>9540</v>
      </c>
      <c r="F2662" s="22" t="s">
        <v>1937</v>
      </c>
      <c r="G2662" s="22" t="s">
        <v>9620</v>
      </c>
      <c r="H2662" s="83" t="s">
        <v>9669</v>
      </c>
      <c r="I2662" s="23" t="s">
        <v>24</v>
      </c>
      <c r="J2662" s="24">
        <v>250</v>
      </c>
      <c r="K2662" s="25">
        <v>0.25</v>
      </c>
      <c r="L2662" s="26">
        <f t="shared" si="397"/>
        <v>62.5</v>
      </c>
      <c r="M2662" s="27">
        <f t="shared" si="398"/>
        <v>187.5</v>
      </c>
      <c r="N2662" s="28">
        <v>0.16</v>
      </c>
      <c r="O2662" s="29">
        <f t="shared" si="399"/>
        <v>30</v>
      </c>
      <c r="P2662" s="30">
        <f t="shared" si="400"/>
        <v>217.5</v>
      </c>
      <c r="Q2662" s="23"/>
      <c r="R2662" s="52"/>
      <c r="S2662" s="53"/>
      <c r="T2662" s="54">
        <f t="shared" si="401"/>
        <v>0</v>
      </c>
      <c r="U2662" s="26">
        <f t="shared" si="402"/>
        <v>0</v>
      </c>
      <c r="V2662" s="55">
        <f t="shared" si="403"/>
        <v>0</v>
      </c>
      <c r="W2662" s="29">
        <f t="shared" si="404"/>
        <v>0</v>
      </c>
      <c r="X2662" s="30">
        <f t="shared" si="405"/>
        <v>0</v>
      </c>
      <c r="Y2662"/>
      <c r="Z2662"/>
      <c r="AA2662"/>
    </row>
    <row r="2663" spans="1:27" s="51" customFormat="1" ht="18.600000000000001" hidden="1" customHeight="1" x14ac:dyDescent="0.25">
      <c r="A2663" s="81" t="s">
        <v>2653</v>
      </c>
      <c r="B2663" s="31" t="s">
        <v>9357</v>
      </c>
      <c r="C2663" s="32" t="s">
        <v>9358</v>
      </c>
      <c r="D2663" s="31" t="s">
        <v>9452</v>
      </c>
      <c r="E2663" s="33" t="s">
        <v>9541</v>
      </c>
      <c r="F2663" s="33" t="s">
        <v>1937</v>
      </c>
      <c r="G2663" s="33" t="s">
        <v>9621</v>
      </c>
      <c r="H2663" s="84" t="s">
        <v>9670</v>
      </c>
      <c r="I2663" s="23" t="s">
        <v>24</v>
      </c>
      <c r="J2663" s="34">
        <v>390</v>
      </c>
      <c r="K2663" s="35">
        <v>0.25</v>
      </c>
      <c r="L2663" s="36">
        <f t="shared" si="397"/>
        <v>97.5</v>
      </c>
      <c r="M2663" s="37">
        <f t="shared" si="398"/>
        <v>292.5</v>
      </c>
      <c r="N2663" s="38">
        <v>0.16</v>
      </c>
      <c r="O2663" s="39">
        <f t="shared" si="399"/>
        <v>46.800000000000004</v>
      </c>
      <c r="P2663" s="40">
        <f t="shared" si="400"/>
        <v>339.3</v>
      </c>
      <c r="Q2663" s="23"/>
      <c r="R2663" s="56"/>
      <c r="S2663" s="57"/>
      <c r="T2663" s="58">
        <f t="shared" si="401"/>
        <v>0</v>
      </c>
      <c r="U2663" s="36">
        <f t="shared" si="402"/>
        <v>0</v>
      </c>
      <c r="V2663" s="59">
        <f t="shared" si="403"/>
        <v>0</v>
      </c>
      <c r="W2663" s="39">
        <f t="shared" si="404"/>
        <v>0</v>
      </c>
      <c r="X2663" s="40">
        <f t="shared" si="405"/>
        <v>0</v>
      </c>
      <c r="Y2663"/>
      <c r="Z2663"/>
      <c r="AA2663"/>
    </row>
    <row r="2664" spans="1:27" s="51" customFormat="1" ht="18.600000000000001" hidden="1" customHeight="1" x14ac:dyDescent="0.25">
      <c r="A2664" s="82" t="s">
        <v>2653</v>
      </c>
      <c r="B2664" s="41" t="s">
        <v>9357</v>
      </c>
      <c r="C2664" s="42" t="s">
        <v>9358</v>
      </c>
      <c r="D2664" s="41" t="s">
        <v>9453</v>
      </c>
      <c r="E2664" s="43" t="s">
        <v>9542</v>
      </c>
      <c r="F2664" s="43" t="s">
        <v>1937</v>
      </c>
      <c r="G2664" s="43" t="s">
        <v>9622</v>
      </c>
      <c r="H2664" s="85" t="s">
        <v>9671</v>
      </c>
      <c r="I2664" s="23" t="s">
        <v>24</v>
      </c>
      <c r="J2664" s="44">
        <v>250</v>
      </c>
      <c r="K2664" s="45">
        <v>0.25</v>
      </c>
      <c r="L2664" s="46">
        <f t="shared" si="397"/>
        <v>62.5</v>
      </c>
      <c r="M2664" s="47">
        <f t="shared" si="398"/>
        <v>187.5</v>
      </c>
      <c r="N2664" s="48">
        <v>0.16</v>
      </c>
      <c r="O2664" s="49">
        <f t="shared" si="399"/>
        <v>30</v>
      </c>
      <c r="P2664" s="50">
        <f t="shared" si="400"/>
        <v>217.5</v>
      </c>
      <c r="Q2664" s="23"/>
      <c r="R2664" s="60"/>
      <c r="S2664" s="61"/>
      <c r="T2664" s="62">
        <f t="shared" si="401"/>
        <v>0</v>
      </c>
      <c r="U2664" s="46">
        <f t="shared" si="402"/>
        <v>0</v>
      </c>
      <c r="V2664" s="63">
        <f t="shared" si="403"/>
        <v>0</v>
      </c>
      <c r="W2664" s="49">
        <f t="shared" si="404"/>
        <v>0</v>
      </c>
      <c r="X2664" s="50">
        <f t="shared" si="405"/>
        <v>0</v>
      </c>
      <c r="Y2664"/>
      <c r="Z2664"/>
      <c r="AA2664"/>
    </row>
    <row r="2665" spans="1:27" s="51" customFormat="1" ht="18.600000000000001" hidden="1" customHeight="1" x14ac:dyDescent="0.25">
      <c r="A2665" s="80" t="s">
        <v>2653</v>
      </c>
      <c r="B2665" s="20" t="s">
        <v>9357</v>
      </c>
      <c r="C2665" s="21" t="s">
        <v>9359</v>
      </c>
      <c r="D2665" s="20" t="s">
        <v>9454</v>
      </c>
      <c r="E2665" s="22" t="s">
        <v>9543</v>
      </c>
      <c r="F2665" s="22" t="s">
        <v>1937</v>
      </c>
      <c r="G2665" s="22" t="s">
        <v>9623</v>
      </c>
      <c r="H2665" s="83" t="s">
        <v>9672</v>
      </c>
      <c r="I2665" s="23" t="s">
        <v>24</v>
      </c>
      <c r="J2665" s="24">
        <v>250</v>
      </c>
      <c r="K2665" s="25">
        <v>0.25</v>
      </c>
      <c r="L2665" s="26">
        <f t="shared" si="397"/>
        <v>62.5</v>
      </c>
      <c r="M2665" s="27">
        <f t="shared" si="398"/>
        <v>187.5</v>
      </c>
      <c r="N2665" s="28">
        <v>0.16</v>
      </c>
      <c r="O2665" s="29">
        <f t="shared" si="399"/>
        <v>30</v>
      </c>
      <c r="P2665" s="30">
        <f t="shared" si="400"/>
        <v>217.5</v>
      </c>
      <c r="Q2665" s="23"/>
      <c r="R2665" s="52"/>
      <c r="S2665" s="53"/>
      <c r="T2665" s="54">
        <f t="shared" si="401"/>
        <v>0</v>
      </c>
      <c r="U2665" s="26">
        <f t="shared" si="402"/>
        <v>0</v>
      </c>
      <c r="V2665" s="55">
        <f t="shared" si="403"/>
        <v>0</v>
      </c>
      <c r="W2665" s="29">
        <f t="shared" si="404"/>
        <v>0</v>
      </c>
      <c r="X2665" s="30">
        <f t="shared" si="405"/>
        <v>0</v>
      </c>
      <c r="Y2665"/>
      <c r="Z2665"/>
      <c r="AA2665"/>
    </row>
    <row r="2666" spans="1:27" s="51" customFormat="1" ht="18.600000000000001" hidden="1" customHeight="1" x14ac:dyDescent="0.25">
      <c r="A2666" s="81" t="s">
        <v>2653</v>
      </c>
      <c r="B2666" s="31" t="s">
        <v>9357</v>
      </c>
      <c r="C2666" s="32" t="s">
        <v>9359</v>
      </c>
      <c r="D2666" s="31" t="s">
        <v>9455</v>
      </c>
      <c r="E2666" s="33" t="s">
        <v>9544</v>
      </c>
      <c r="F2666" s="33" t="s">
        <v>1937</v>
      </c>
      <c r="G2666" s="33" t="s">
        <v>9624</v>
      </c>
      <c r="H2666" s="84" t="s">
        <v>9673</v>
      </c>
      <c r="I2666" s="23" t="s">
        <v>24</v>
      </c>
      <c r="J2666" s="34">
        <v>250</v>
      </c>
      <c r="K2666" s="35">
        <v>0.25</v>
      </c>
      <c r="L2666" s="36">
        <f t="shared" si="397"/>
        <v>62.5</v>
      </c>
      <c r="M2666" s="37">
        <f t="shared" si="398"/>
        <v>187.5</v>
      </c>
      <c r="N2666" s="38">
        <v>0.16</v>
      </c>
      <c r="O2666" s="39">
        <f t="shared" si="399"/>
        <v>30</v>
      </c>
      <c r="P2666" s="40">
        <f t="shared" si="400"/>
        <v>217.5</v>
      </c>
      <c r="Q2666" s="23"/>
      <c r="R2666" s="56"/>
      <c r="S2666" s="57"/>
      <c r="T2666" s="58">
        <f t="shared" si="401"/>
        <v>0</v>
      </c>
      <c r="U2666" s="36">
        <f t="shared" si="402"/>
        <v>0</v>
      </c>
      <c r="V2666" s="59">
        <f t="shared" si="403"/>
        <v>0</v>
      </c>
      <c r="W2666" s="39">
        <f t="shared" si="404"/>
        <v>0</v>
      </c>
      <c r="X2666" s="40">
        <f t="shared" si="405"/>
        <v>0</v>
      </c>
      <c r="Y2666"/>
      <c r="Z2666"/>
      <c r="AA2666"/>
    </row>
    <row r="2667" spans="1:27" s="51" customFormat="1" ht="18.600000000000001" hidden="1" customHeight="1" x14ac:dyDescent="0.25">
      <c r="A2667" s="82" t="s">
        <v>2653</v>
      </c>
      <c r="B2667" s="41" t="s">
        <v>9357</v>
      </c>
      <c r="C2667" s="42" t="s">
        <v>9359</v>
      </c>
      <c r="D2667" s="41" t="s">
        <v>9456</v>
      </c>
      <c r="E2667" s="43" t="s">
        <v>9545</v>
      </c>
      <c r="F2667" s="43" t="s">
        <v>1937</v>
      </c>
      <c r="G2667" s="43" t="s">
        <v>9625</v>
      </c>
      <c r="H2667" s="85" t="s">
        <v>9674</v>
      </c>
      <c r="I2667" s="23" t="s">
        <v>24</v>
      </c>
      <c r="J2667" s="44">
        <v>250</v>
      </c>
      <c r="K2667" s="45">
        <v>0.25</v>
      </c>
      <c r="L2667" s="46">
        <f t="shared" si="397"/>
        <v>62.5</v>
      </c>
      <c r="M2667" s="47">
        <f t="shared" si="398"/>
        <v>187.5</v>
      </c>
      <c r="N2667" s="48">
        <v>0.16</v>
      </c>
      <c r="O2667" s="49">
        <f t="shared" si="399"/>
        <v>30</v>
      </c>
      <c r="P2667" s="50">
        <f t="shared" si="400"/>
        <v>217.5</v>
      </c>
      <c r="Q2667" s="23"/>
      <c r="R2667" s="60"/>
      <c r="S2667" s="61"/>
      <c r="T2667" s="62">
        <f t="shared" si="401"/>
        <v>0</v>
      </c>
      <c r="U2667" s="46">
        <f t="shared" si="402"/>
        <v>0</v>
      </c>
      <c r="V2667" s="63">
        <f t="shared" si="403"/>
        <v>0</v>
      </c>
      <c r="W2667" s="49">
        <f t="shared" si="404"/>
        <v>0</v>
      </c>
      <c r="X2667" s="50">
        <f t="shared" si="405"/>
        <v>0</v>
      </c>
      <c r="Y2667"/>
      <c r="Z2667"/>
      <c r="AA2667"/>
    </row>
    <row r="2668" spans="1:27" s="51" customFormat="1" ht="18.600000000000001" hidden="1" customHeight="1" x14ac:dyDescent="0.25">
      <c r="A2668" s="80" t="s">
        <v>2653</v>
      </c>
      <c r="B2668" s="20" t="s">
        <v>9357</v>
      </c>
      <c r="C2668" s="21" t="s">
        <v>9359</v>
      </c>
      <c r="D2668" s="20" t="s">
        <v>9457</v>
      </c>
      <c r="E2668" s="22" t="s">
        <v>9546</v>
      </c>
      <c r="F2668" s="22" t="s">
        <v>1937</v>
      </c>
      <c r="G2668" s="22" t="s">
        <v>9626</v>
      </c>
      <c r="H2668" s="83" t="s">
        <v>9675</v>
      </c>
      <c r="I2668" s="23" t="s">
        <v>24</v>
      </c>
      <c r="J2668" s="24">
        <v>390</v>
      </c>
      <c r="K2668" s="25">
        <v>0.25</v>
      </c>
      <c r="L2668" s="26">
        <f t="shared" si="397"/>
        <v>97.5</v>
      </c>
      <c r="M2668" s="27">
        <f t="shared" si="398"/>
        <v>292.5</v>
      </c>
      <c r="N2668" s="28">
        <v>0.16</v>
      </c>
      <c r="O2668" s="29">
        <f t="shared" si="399"/>
        <v>46.800000000000004</v>
      </c>
      <c r="P2668" s="30">
        <f t="shared" si="400"/>
        <v>339.3</v>
      </c>
      <c r="Q2668" s="23"/>
      <c r="R2668" s="52"/>
      <c r="S2668" s="53"/>
      <c r="T2668" s="54">
        <f t="shared" si="401"/>
        <v>0</v>
      </c>
      <c r="U2668" s="26">
        <f t="shared" si="402"/>
        <v>0</v>
      </c>
      <c r="V2668" s="55">
        <f t="shared" si="403"/>
        <v>0</v>
      </c>
      <c r="W2668" s="29">
        <f t="shared" si="404"/>
        <v>0</v>
      </c>
      <c r="X2668" s="30">
        <f t="shared" si="405"/>
        <v>0</v>
      </c>
      <c r="Y2668"/>
      <c r="Z2668"/>
      <c r="AA2668"/>
    </row>
    <row r="2669" spans="1:27" s="51" customFormat="1" ht="18.600000000000001" hidden="1" customHeight="1" x14ac:dyDescent="0.25">
      <c r="A2669" s="81" t="s">
        <v>2653</v>
      </c>
      <c r="B2669" s="31" t="s">
        <v>9357</v>
      </c>
      <c r="C2669" s="32" t="s">
        <v>9359</v>
      </c>
      <c r="D2669" s="31" t="s">
        <v>9458</v>
      </c>
      <c r="E2669" s="33" t="s">
        <v>9547</v>
      </c>
      <c r="F2669" s="33" t="s">
        <v>1937</v>
      </c>
      <c r="G2669" s="33" t="s">
        <v>9619</v>
      </c>
      <c r="H2669" s="84" t="s">
        <v>9676</v>
      </c>
      <c r="I2669" s="23" t="s">
        <v>24</v>
      </c>
      <c r="J2669" s="34">
        <v>250</v>
      </c>
      <c r="K2669" s="35">
        <v>0.25</v>
      </c>
      <c r="L2669" s="36">
        <f t="shared" si="397"/>
        <v>62.5</v>
      </c>
      <c r="M2669" s="37">
        <f t="shared" si="398"/>
        <v>187.5</v>
      </c>
      <c r="N2669" s="38">
        <v>0.16</v>
      </c>
      <c r="O2669" s="39">
        <f t="shared" si="399"/>
        <v>30</v>
      </c>
      <c r="P2669" s="40">
        <f t="shared" si="400"/>
        <v>217.5</v>
      </c>
      <c r="Q2669" s="23"/>
      <c r="R2669" s="56"/>
      <c r="S2669" s="57"/>
      <c r="T2669" s="58">
        <f t="shared" si="401"/>
        <v>0</v>
      </c>
      <c r="U2669" s="36">
        <f t="shared" si="402"/>
        <v>0</v>
      </c>
      <c r="V2669" s="59">
        <f t="shared" si="403"/>
        <v>0</v>
      </c>
      <c r="W2669" s="39">
        <f t="shared" si="404"/>
        <v>0</v>
      </c>
      <c r="X2669" s="40">
        <f t="shared" si="405"/>
        <v>0</v>
      </c>
      <c r="Y2669"/>
      <c r="Z2669"/>
      <c r="AA2669"/>
    </row>
    <row r="2670" spans="1:27" s="51" customFormat="1" ht="18.600000000000001" hidden="1" customHeight="1" x14ac:dyDescent="0.25">
      <c r="A2670" s="82" t="s">
        <v>2653</v>
      </c>
      <c r="B2670" s="41" t="s">
        <v>9357</v>
      </c>
      <c r="C2670" s="42" t="s">
        <v>9359</v>
      </c>
      <c r="D2670" s="41" t="s">
        <v>9459</v>
      </c>
      <c r="E2670" s="43" t="s">
        <v>9548</v>
      </c>
      <c r="F2670" s="43" t="s">
        <v>1937</v>
      </c>
      <c r="G2670" s="43" t="s">
        <v>9627</v>
      </c>
      <c r="H2670" s="85" t="s">
        <v>9677</v>
      </c>
      <c r="I2670" s="23" t="s">
        <v>24</v>
      </c>
      <c r="J2670" s="44">
        <v>250</v>
      </c>
      <c r="K2670" s="45">
        <v>0.25</v>
      </c>
      <c r="L2670" s="46">
        <f t="shared" si="397"/>
        <v>62.5</v>
      </c>
      <c r="M2670" s="47">
        <f t="shared" si="398"/>
        <v>187.5</v>
      </c>
      <c r="N2670" s="48">
        <v>0.16</v>
      </c>
      <c r="O2670" s="49">
        <f t="shared" si="399"/>
        <v>30</v>
      </c>
      <c r="P2670" s="50">
        <f t="shared" si="400"/>
        <v>217.5</v>
      </c>
      <c r="Q2670" s="23"/>
      <c r="R2670" s="60"/>
      <c r="S2670" s="61"/>
      <c r="T2670" s="62">
        <f t="shared" si="401"/>
        <v>0</v>
      </c>
      <c r="U2670" s="46">
        <f t="shared" si="402"/>
        <v>0</v>
      </c>
      <c r="V2670" s="63">
        <f t="shared" si="403"/>
        <v>0</v>
      </c>
      <c r="W2670" s="49">
        <f t="shared" si="404"/>
        <v>0</v>
      </c>
      <c r="X2670" s="50">
        <f t="shared" si="405"/>
        <v>0</v>
      </c>
      <c r="Y2670"/>
      <c r="Z2670"/>
      <c r="AA2670"/>
    </row>
    <row r="2671" spans="1:27" s="51" customFormat="1" ht="18.600000000000001" hidden="1" customHeight="1" x14ac:dyDescent="0.25">
      <c r="A2671" s="80" t="s">
        <v>2653</v>
      </c>
      <c r="B2671" s="20" t="s">
        <v>9357</v>
      </c>
      <c r="C2671" s="21" t="s">
        <v>9359</v>
      </c>
      <c r="D2671" s="20" t="s">
        <v>9460</v>
      </c>
      <c r="E2671" s="22" t="s">
        <v>9549</v>
      </c>
      <c r="F2671" s="22" t="s">
        <v>1937</v>
      </c>
      <c r="G2671" s="22" t="s">
        <v>9619</v>
      </c>
      <c r="H2671" s="83" t="s">
        <v>9678</v>
      </c>
      <c r="I2671" s="23" t="s">
        <v>24</v>
      </c>
      <c r="J2671" s="24">
        <v>250</v>
      </c>
      <c r="K2671" s="25">
        <v>0.25</v>
      </c>
      <c r="L2671" s="26">
        <f t="shared" si="397"/>
        <v>62.5</v>
      </c>
      <c r="M2671" s="27">
        <f t="shared" si="398"/>
        <v>187.5</v>
      </c>
      <c r="N2671" s="28">
        <v>0.16</v>
      </c>
      <c r="O2671" s="29">
        <f t="shared" si="399"/>
        <v>30</v>
      </c>
      <c r="P2671" s="30">
        <f t="shared" si="400"/>
        <v>217.5</v>
      </c>
      <c r="Q2671" s="23"/>
      <c r="R2671" s="52"/>
      <c r="S2671" s="53"/>
      <c r="T2671" s="54">
        <f t="shared" si="401"/>
        <v>0</v>
      </c>
      <c r="U2671" s="26">
        <f t="shared" si="402"/>
        <v>0</v>
      </c>
      <c r="V2671" s="55">
        <f t="shared" si="403"/>
        <v>0</v>
      </c>
      <c r="W2671" s="29">
        <f t="shared" si="404"/>
        <v>0</v>
      </c>
      <c r="X2671" s="30">
        <f t="shared" si="405"/>
        <v>0</v>
      </c>
      <c r="Y2671"/>
      <c r="Z2671"/>
      <c r="AA2671"/>
    </row>
    <row r="2672" spans="1:27" s="51" customFormat="1" ht="18.600000000000001" hidden="1" customHeight="1" x14ac:dyDescent="0.25">
      <c r="A2672" s="81" t="s">
        <v>2653</v>
      </c>
      <c r="B2672" s="31" t="s">
        <v>9357</v>
      </c>
      <c r="C2672" s="32" t="s">
        <v>9360</v>
      </c>
      <c r="D2672" s="31" t="s">
        <v>9461</v>
      </c>
      <c r="E2672" s="33" t="s">
        <v>9550</v>
      </c>
      <c r="F2672" s="33" t="s">
        <v>1937</v>
      </c>
      <c r="G2672" s="33" t="s">
        <v>9628</v>
      </c>
      <c r="H2672" s="84" t="s">
        <v>9679</v>
      </c>
      <c r="I2672" s="23" t="s">
        <v>24</v>
      </c>
      <c r="J2672" s="34">
        <v>250</v>
      </c>
      <c r="K2672" s="35">
        <v>0.25</v>
      </c>
      <c r="L2672" s="36">
        <f t="shared" si="397"/>
        <v>62.5</v>
      </c>
      <c r="M2672" s="37">
        <f t="shared" si="398"/>
        <v>187.5</v>
      </c>
      <c r="N2672" s="38">
        <v>0.16</v>
      </c>
      <c r="O2672" s="39">
        <f t="shared" si="399"/>
        <v>30</v>
      </c>
      <c r="P2672" s="40">
        <f t="shared" si="400"/>
        <v>217.5</v>
      </c>
      <c r="Q2672" s="23"/>
      <c r="R2672" s="56"/>
      <c r="S2672" s="57"/>
      <c r="T2672" s="58">
        <f t="shared" si="401"/>
        <v>0</v>
      </c>
      <c r="U2672" s="36">
        <f t="shared" si="402"/>
        <v>0</v>
      </c>
      <c r="V2672" s="59">
        <f t="shared" si="403"/>
        <v>0</v>
      </c>
      <c r="W2672" s="39">
        <f t="shared" si="404"/>
        <v>0</v>
      </c>
      <c r="X2672" s="40">
        <f t="shared" si="405"/>
        <v>0</v>
      </c>
      <c r="Y2672"/>
      <c r="Z2672"/>
      <c r="AA2672"/>
    </row>
    <row r="2673" spans="1:27" s="51" customFormat="1" ht="18.600000000000001" hidden="1" customHeight="1" x14ac:dyDescent="0.25">
      <c r="A2673" s="82" t="s">
        <v>2653</v>
      </c>
      <c r="B2673" s="41" t="s">
        <v>9357</v>
      </c>
      <c r="C2673" s="42" t="s">
        <v>9360</v>
      </c>
      <c r="D2673" s="41" t="s">
        <v>9462</v>
      </c>
      <c r="E2673" s="43" t="s">
        <v>9551</v>
      </c>
      <c r="F2673" s="43" t="s">
        <v>1937</v>
      </c>
      <c r="G2673" s="43" t="s">
        <v>9629</v>
      </c>
      <c r="H2673" s="85" t="s">
        <v>9680</v>
      </c>
      <c r="I2673" s="23" t="s">
        <v>24</v>
      </c>
      <c r="J2673" s="44">
        <v>390</v>
      </c>
      <c r="K2673" s="45">
        <v>0.25</v>
      </c>
      <c r="L2673" s="46">
        <f t="shared" si="397"/>
        <v>97.5</v>
      </c>
      <c r="M2673" s="47">
        <f t="shared" si="398"/>
        <v>292.5</v>
      </c>
      <c r="N2673" s="48">
        <v>0.16</v>
      </c>
      <c r="O2673" s="49">
        <f t="shared" si="399"/>
        <v>46.800000000000004</v>
      </c>
      <c r="P2673" s="50">
        <f t="shared" si="400"/>
        <v>339.3</v>
      </c>
      <c r="Q2673" s="23"/>
      <c r="R2673" s="60"/>
      <c r="S2673" s="61"/>
      <c r="T2673" s="62">
        <f t="shared" si="401"/>
        <v>0</v>
      </c>
      <c r="U2673" s="46">
        <f t="shared" si="402"/>
        <v>0</v>
      </c>
      <c r="V2673" s="63">
        <f t="shared" si="403"/>
        <v>0</v>
      </c>
      <c r="W2673" s="49">
        <f t="shared" si="404"/>
        <v>0</v>
      </c>
      <c r="X2673" s="50">
        <f t="shared" si="405"/>
        <v>0</v>
      </c>
      <c r="Y2673"/>
      <c r="Z2673"/>
      <c r="AA2673"/>
    </row>
    <row r="2674" spans="1:27" s="51" customFormat="1" ht="18.600000000000001" hidden="1" customHeight="1" x14ac:dyDescent="0.25">
      <c r="A2674" s="80" t="s">
        <v>2653</v>
      </c>
      <c r="B2674" s="20" t="s">
        <v>9357</v>
      </c>
      <c r="C2674" s="21" t="s">
        <v>9360</v>
      </c>
      <c r="D2674" s="20" t="s">
        <v>9463</v>
      </c>
      <c r="E2674" s="22" t="s">
        <v>9552</v>
      </c>
      <c r="F2674" s="22" t="s">
        <v>1937</v>
      </c>
      <c r="G2674" s="22" t="s">
        <v>9630</v>
      </c>
      <c r="H2674" s="83" t="s">
        <v>9681</v>
      </c>
      <c r="I2674" s="23" t="s">
        <v>24</v>
      </c>
      <c r="J2674" s="24">
        <v>250</v>
      </c>
      <c r="K2674" s="25">
        <v>0.25</v>
      </c>
      <c r="L2674" s="26">
        <f t="shared" si="397"/>
        <v>62.5</v>
      </c>
      <c r="M2674" s="27">
        <f t="shared" si="398"/>
        <v>187.5</v>
      </c>
      <c r="N2674" s="28">
        <v>0.16</v>
      </c>
      <c r="O2674" s="29">
        <f t="shared" si="399"/>
        <v>30</v>
      </c>
      <c r="P2674" s="30">
        <f t="shared" si="400"/>
        <v>217.5</v>
      </c>
      <c r="Q2674" s="23"/>
      <c r="R2674" s="52"/>
      <c r="S2674" s="53"/>
      <c r="T2674" s="54">
        <f t="shared" si="401"/>
        <v>0</v>
      </c>
      <c r="U2674" s="26">
        <f t="shared" si="402"/>
        <v>0</v>
      </c>
      <c r="V2674" s="55">
        <f t="shared" si="403"/>
        <v>0</v>
      </c>
      <c r="W2674" s="29">
        <f t="shared" si="404"/>
        <v>0</v>
      </c>
      <c r="X2674" s="30">
        <f t="shared" si="405"/>
        <v>0</v>
      </c>
      <c r="Y2674"/>
      <c r="Z2674"/>
      <c r="AA2674"/>
    </row>
    <row r="2675" spans="1:27" s="51" customFormat="1" ht="18.600000000000001" hidden="1" customHeight="1" x14ac:dyDescent="0.25">
      <c r="A2675" s="81" t="s">
        <v>2653</v>
      </c>
      <c r="B2675" s="31" t="s">
        <v>9357</v>
      </c>
      <c r="C2675" s="32" t="s">
        <v>9360</v>
      </c>
      <c r="D2675" s="31" t="s">
        <v>9464</v>
      </c>
      <c r="E2675" s="33" t="s">
        <v>9553</v>
      </c>
      <c r="F2675" s="33" t="s">
        <v>1937</v>
      </c>
      <c r="G2675" s="33" t="s">
        <v>9631</v>
      </c>
      <c r="H2675" s="84" t="s">
        <v>9682</v>
      </c>
      <c r="I2675" s="23" t="s">
        <v>24</v>
      </c>
      <c r="J2675" s="34">
        <v>250</v>
      </c>
      <c r="K2675" s="35">
        <v>0.25</v>
      </c>
      <c r="L2675" s="36">
        <f t="shared" si="397"/>
        <v>62.5</v>
      </c>
      <c r="M2675" s="37">
        <f t="shared" si="398"/>
        <v>187.5</v>
      </c>
      <c r="N2675" s="38">
        <v>0.16</v>
      </c>
      <c r="O2675" s="39">
        <f t="shared" si="399"/>
        <v>30</v>
      </c>
      <c r="P2675" s="40">
        <f t="shared" si="400"/>
        <v>217.5</v>
      </c>
      <c r="Q2675" s="23"/>
      <c r="R2675" s="56"/>
      <c r="S2675" s="57"/>
      <c r="T2675" s="58">
        <f t="shared" si="401"/>
        <v>0</v>
      </c>
      <c r="U2675" s="36">
        <f t="shared" si="402"/>
        <v>0</v>
      </c>
      <c r="V2675" s="59">
        <f t="shared" si="403"/>
        <v>0</v>
      </c>
      <c r="W2675" s="39">
        <f t="shared" si="404"/>
        <v>0</v>
      </c>
      <c r="X2675" s="40">
        <f t="shared" si="405"/>
        <v>0</v>
      </c>
      <c r="Y2675"/>
      <c r="Z2675"/>
      <c r="AA2675"/>
    </row>
    <row r="2676" spans="1:27" s="51" customFormat="1" ht="18.600000000000001" hidden="1" customHeight="1" x14ac:dyDescent="0.25">
      <c r="A2676" s="82" t="s">
        <v>2653</v>
      </c>
      <c r="B2676" s="41" t="s">
        <v>9357</v>
      </c>
      <c r="C2676" s="42" t="s">
        <v>9360</v>
      </c>
      <c r="D2676" s="41" t="s">
        <v>9465</v>
      </c>
      <c r="E2676" s="43" t="s">
        <v>9554</v>
      </c>
      <c r="F2676" s="43" t="s">
        <v>1937</v>
      </c>
      <c r="G2676" s="43" t="s">
        <v>9628</v>
      </c>
      <c r="H2676" s="85" t="s">
        <v>9683</v>
      </c>
      <c r="I2676" s="23" t="s">
        <v>24</v>
      </c>
      <c r="J2676" s="44">
        <v>250</v>
      </c>
      <c r="K2676" s="45">
        <v>0.25</v>
      </c>
      <c r="L2676" s="46">
        <f t="shared" si="397"/>
        <v>62.5</v>
      </c>
      <c r="M2676" s="47">
        <f t="shared" si="398"/>
        <v>187.5</v>
      </c>
      <c r="N2676" s="48">
        <v>0.16</v>
      </c>
      <c r="O2676" s="49">
        <f t="shared" si="399"/>
        <v>30</v>
      </c>
      <c r="P2676" s="50">
        <f t="shared" si="400"/>
        <v>217.5</v>
      </c>
      <c r="Q2676" s="23"/>
      <c r="R2676" s="60"/>
      <c r="S2676" s="61"/>
      <c r="T2676" s="62">
        <f t="shared" si="401"/>
        <v>0</v>
      </c>
      <c r="U2676" s="46">
        <f t="shared" si="402"/>
        <v>0</v>
      </c>
      <c r="V2676" s="63">
        <f t="shared" si="403"/>
        <v>0</v>
      </c>
      <c r="W2676" s="49">
        <f t="shared" si="404"/>
        <v>0</v>
      </c>
      <c r="X2676" s="50">
        <f t="shared" si="405"/>
        <v>0</v>
      </c>
      <c r="Y2676"/>
      <c r="Z2676"/>
      <c r="AA2676"/>
    </row>
    <row r="2677" spans="1:27" s="51" customFormat="1" ht="18.600000000000001" hidden="1" customHeight="1" x14ac:dyDescent="0.25">
      <c r="A2677" s="80" t="s">
        <v>2653</v>
      </c>
      <c r="B2677" s="20" t="s">
        <v>9357</v>
      </c>
      <c r="C2677" s="21" t="s">
        <v>9360</v>
      </c>
      <c r="D2677" s="20" t="s">
        <v>9466</v>
      </c>
      <c r="E2677" s="22" t="s">
        <v>9555</v>
      </c>
      <c r="F2677" s="22" t="s">
        <v>1937</v>
      </c>
      <c r="G2677" s="22" t="s">
        <v>9628</v>
      </c>
      <c r="H2677" s="83" t="s">
        <v>9684</v>
      </c>
      <c r="I2677" s="23" t="s">
        <v>24</v>
      </c>
      <c r="J2677" s="24">
        <v>250</v>
      </c>
      <c r="K2677" s="25">
        <v>0.25</v>
      </c>
      <c r="L2677" s="26">
        <f t="shared" si="397"/>
        <v>62.5</v>
      </c>
      <c r="M2677" s="27">
        <f t="shared" si="398"/>
        <v>187.5</v>
      </c>
      <c r="N2677" s="28">
        <v>0.16</v>
      </c>
      <c r="O2677" s="29">
        <f t="shared" si="399"/>
        <v>30</v>
      </c>
      <c r="P2677" s="30">
        <f t="shared" si="400"/>
        <v>217.5</v>
      </c>
      <c r="Q2677" s="23"/>
      <c r="R2677" s="52"/>
      <c r="S2677" s="53"/>
      <c r="T2677" s="54">
        <f t="shared" si="401"/>
        <v>0</v>
      </c>
      <c r="U2677" s="26">
        <f t="shared" si="402"/>
        <v>0</v>
      </c>
      <c r="V2677" s="55">
        <f t="shared" si="403"/>
        <v>0</v>
      </c>
      <c r="W2677" s="29">
        <f t="shared" si="404"/>
        <v>0</v>
      </c>
      <c r="X2677" s="30">
        <f t="shared" si="405"/>
        <v>0</v>
      </c>
      <c r="Y2677"/>
      <c r="Z2677"/>
      <c r="AA2677"/>
    </row>
    <row r="2678" spans="1:27" s="51" customFormat="1" ht="18.600000000000001" hidden="1" customHeight="1" x14ac:dyDescent="0.25">
      <c r="A2678" s="81" t="s">
        <v>2653</v>
      </c>
      <c r="B2678" s="31" t="s">
        <v>9357</v>
      </c>
      <c r="C2678" s="32" t="s">
        <v>9359</v>
      </c>
      <c r="D2678" s="31" t="s">
        <v>9467</v>
      </c>
      <c r="E2678" s="33" t="s">
        <v>9556</v>
      </c>
      <c r="F2678" s="33" t="s">
        <v>1937</v>
      </c>
      <c r="G2678" s="33" t="s">
        <v>9632</v>
      </c>
      <c r="H2678" s="84" t="s">
        <v>9685</v>
      </c>
      <c r="I2678" s="23" t="s">
        <v>24</v>
      </c>
      <c r="J2678" s="34">
        <v>250</v>
      </c>
      <c r="K2678" s="35">
        <v>0.25</v>
      </c>
      <c r="L2678" s="36">
        <f t="shared" si="397"/>
        <v>62.5</v>
      </c>
      <c r="M2678" s="37">
        <f t="shared" si="398"/>
        <v>187.5</v>
      </c>
      <c r="N2678" s="38">
        <v>0.16</v>
      </c>
      <c r="O2678" s="39">
        <f t="shared" si="399"/>
        <v>30</v>
      </c>
      <c r="P2678" s="40">
        <f t="shared" si="400"/>
        <v>217.5</v>
      </c>
      <c r="Q2678" s="23"/>
      <c r="R2678" s="56"/>
      <c r="S2678" s="57"/>
      <c r="T2678" s="58">
        <f t="shared" si="401"/>
        <v>0</v>
      </c>
      <c r="U2678" s="36">
        <f t="shared" si="402"/>
        <v>0</v>
      </c>
      <c r="V2678" s="59">
        <f t="shared" si="403"/>
        <v>0</v>
      </c>
      <c r="W2678" s="39">
        <f t="shared" si="404"/>
        <v>0</v>
      </c>
      <c r="X2678" s="40">
        <f t="shared" si="405"/>
        <v>0</v>
      </c>
      <c r="Y2678"/>
      <c r="Z2678"/>
      <c r="AA2678"/>
    </row>
    <row r="2679" spans="1:27" s="51" customFormat="1" ht="18.600000000000001" hidden="1" customHeight="1" x14ac:dyDescent="0.25">
      <c r="A2679" s="82" t="s">
        <v>2653</v>
      </c>
      <c r="B2679" s="41" t="s">
        <v>9357</v>
      </c>
      <c r="C2679" s="42" t="s">
        <v>9358</v>
      </c>
      <c r="D2679" s="41" t="s">
        <v>9468</v>
      </c>
      <c r="E2679" s="43" t="s">
        <v>9557</v>
      </c>
      <c r="F2679" s="43" t="s">
        <v>1937</v>
      </c>
      <c r="G2679" s="43" t="s">
        <v>9619</v>
      </c>
      <c r="H2679" s="85" t="s">
        <v>9686</v>
      </c>
      <c r="I2679" s="23" t="s">
        <v>24</v>
      </c>
      <c r="J2679" s="44">
        <v>390</v>
      </c>
      <c r="K2679" s="45">
        <v>0.25</v>
      </c>
      <c r="L2679" s="46">
        <f t="shared" si="397"/>
        <v>97.5</v>
      </c>
      <c r="M2679" s="47">
        <f t="shared" si="398"/>
        <v>292.5</v>
      </c>
      <c r="N2679" s="48">
        <v>0.16</v>
      </c>
      <c r="O2679" s="49">
        <f t="shared" si="399"/>
        <v>46.800000000000004</v>
      </c>
      <c r="P2679" s="50">
        <f t="shared" si="400"/>
        <v>339.3</v>
      </c>
      <c r="Q2679" s="23"/>
      <c r="R2679" s="60"/>
      <c r="S2679" s="61"/>
      <c r="T2679" s="62">
        <f t="shared" si="401"/>
        <v>0</v>
      </c>
      <c r="U2679" s="46">
        <f t="shared" si="402"/>
        <v>0</v>
      </c>
      <c r="V2679" s="63">
        <f t="shared" si="403"/>
        <v>0</v>
      </c>
      <c r="W2679" s="49">
        <f t="shared" si="404"/>
        <v>0</v>
      </c>
      <c r="X2679" s="50">
        <f t="shared" si="405"/>
        <v>0</v>
      </c>
      <c r="Y2679"/>
      <c r="Z2679"/>
      <c r="AA2679"/>
    </row>
    <row r="2680" spans="1:27" s="51" customFormat="1" ht="18.600000000000001" hidden="1" customHeight="1" x14ac:dyDescent="0.25">
      <c r="A2680" s="80" t="s">
        <v>2653</v>
      </c>
      <c r="B2680" s="20" t="s">
        <v>9357</v>
      </c>
      <c r="C2680" s="21" t="s">
        <v>9359</v>
      </c>
      <c r="D2680" s="20" t="s">
        <v>9469</v>
      </c>
      <c r="E2680" s="22" t="s">
        <v>9558</v>
      </c>
      <c r="F2680" s="22" t="s">
        <v>1937</v>
      </c>
      <c r="G2680" s="22" t="s">
        <v>9633</v>
      </c>
      <c r="H2680" s="83" t="s">
        <v>9687</v>
      </c>
      <c r="I2680" s="23" t="s">
        <v>24</v>
      </c>
      <c r="J2680" s="24">
        <v>390</v>
      </c>
      <c r="K2680" s="25">
        <v>0.25</v>
      </c>
      <c r="L2680" s="26">
        <f t="shared" si="397"/>
        <v>97.5</v>
      </c>
      <c r="M2680" s="27">
        <f t="shared" si="398"/>
        <v>292.5</v>
      </c>
      <c r="N2680" s="28">
        <v>0.16</v>
      </c>
      <c r="O2680" s="29">
        <f t="shared" si="399"/>
        <v>46.800000000000004</v>
      </c>
      <c r="P2680" s="30">
        <f t="shared" si="400"/>
        <v>339.3</v>
      </c>
      <c r="Q2680" s="23"/>
      <c r="R2680" s="52"/>
      <c r="S2680" s="53"/>
      <c r="T2680" s="54">
        <f t="shared" si="401"/>
        <v>0</v>
      </c>
      <c r="U2680" s="26">
        <f t="shared" si="402"/>
        <v>0</v>
      </c>
      <c r="V2680" s="55">
        <f t="shared" si="403"/>
        <v>0</v>
      </c>
      <c r="W2680" s="29">
        <f t="shared" si="404"/>
        <v>0</v>
      </c>
      <c r="X2680" s="30">
        <f t="shared" si="405"/>
        <v>0</v>
      </c>
      <c r="Y2680"/>
      <c r="Z2680"/>
      <c r="AA2680"/>
    </row>
    <row r="2681" spans="1:27" s="51" customFormat="1" ht="18.600000000000001" hidden="1" customHeight="1" x14ac:dyDescent="0.25">
      <c r="A2681" s="81" t="s">
        <v>2653</v>
      </c>
      <c r="B2681" s="31" t="s">
        <v>9357</v>
      </c>
      <c r="C2681" s="32" t="s">
        <v>9358</v>
      </c>
      <c r="D2681" s="31" t="s">
        <v>9470</v>
      </c>
      <c r="E2681" s="33" t="s">
        <v>9559</v>
      </c>
      <c r="F2681" s="33" t="s">
        <v>1937</v>
      </c>
      <c r="G2681" s="33" t="s">
        <v>9634</v>
      </c>
      <c r="H2681" s="84" t="s">
        <v>9688</v>
      </c>
      <c r="I2681" s="23" t="s">
        <v>24</v>
      </c>
      <c r="J2681" s="34">
        <v>250</v>
      </c>
      <c r="K2681" s="35">
        <v>0.25</v>
      </c>
      <c r="L2681" s="36">
        <f t="shared" si="397"/>
        <v>62.5</v>
      </c>
      <c r="M2681" s="37">
        <f t="shared" si="398"/>
        <v>187.5</v>
      </c>
      <c r="N2681" s="38">
        <v>0.16</v>
      </c>
      <c r="O2681" s="39">
        <f t="shared" si="399"/>
        <v>30</v>
      </c>
      <c r="P2681" s="40">
        <f t="shared" si="400"/>
        <v>217.5</v>
      </c>
      <c r="Q2681" s="23"/>
      <c r="R2681" s="56"/>
      <c r="S2681" s="57"/>
      <c r="T2681" s="58">
        <f t="shared" si="401"/>
        <v>0</v>
      </c>
      <c r="U2681" s="36">
        <f t="shared" si="402"/>
        <v>0</v>
      </c>
      <c r="V2681" s="59">
        <f t="shared" si="403"/>
        <v>0</v>
      </c>
      <c r="W2681" s="39">
        <f t="shared" si="404"/>
        <v>0</v>
      </c>
      <c r="X2681" s="40">
        <f t="shared" si="405"/>
        <v>0</v>
      </c>
      <c r="Y2681"/>
      <c r="Z2681"/>
      <c r="AA2681"/>
    </row>
    <row r="2682" spans="1:27" s="51" customFormat="1" ht="18.600000000000001" hidden="1" customHeight="1" x14ac:dyDescent="0.25">
      <c r="A2682" s="82" t="s">
        <v>2653</v>
      </c>
      <c r="B2682" s="41" t="s">
        <v>9357</v>
      </c>
      <c r="C2682" s="42" t="s">
        <v>9358</v>
      </c>
      <c r="D2682" s="41" t="s">
        <v>9471</v>
      </c>
      <c r="E2682" s="43" t="s">
        <v>9560</v>
      </c>
      <c r="F2682" s="43" t="s">
        <v>1937</v>
      </c>
      <c r="G2682" s="43" t="s">
        <v>9632</v>
      </c>
      <c r="H2682" s="85" t="s">
        <v>9689</v>
      </c>
      <c r="I2682" s="23" t="s">
        <v>24</v>
      </c>
      <c r="J2682" s="44">
        <v>250</v>
      </c>
      <c r="K2682" s="45">
        <v>0.25</v>
      </c>
      <c r="L2682" s="46">
        <f t="shared" si="397"/>
        <v>62.5</v>
      </c>
      <c r="M2682" s="47">
        <f t="shared" si="398"/>
        <v>187.5</v>
      </c>
      <c r="N2682" s="48">
        <v>0.16</v>
      </c>
      <c r="O2682" s="49">
        <f t="shared" si="399"/>
        <v>30</v>
      </c>
      <c r="P2682" s="50">
        <f t="shared" si="400"/>
        <v>217.5</v>
      </c>
      <c r="Q2682" s="23"/>
      <c r="R2682" s="60"/>
      <c r="S2682" s="61"/>
      <c r="T2682" s="62">
        <f t="shared" si="401"/>
        <v>0</v>
      </c>
      <c r="U2682" s="46">
        <f t="shared" si="402"/>
        <v>0</v>
      </c>
      <c r="V2682" s="63">
        <f t="shared" si="403"/>
        <v>0</v>
      </c>
      <c r="W2682" s="49">
        <f t="shared" si="404"/>
        <v>0</v>
      </c>
      <c r="X2682" s="50">
        <f t="shared" si="405"/>
        <v>0</v>
      </c>
      <c r="Y2682"/>
      <c r="Z2682"/>
      <c r="AA2682"/>
    </row>
    <row r="2683" spans="1:27" s="51" customFormat="1" ht="18.600000000000001" hidden="1" customHeight="1" x14ac:dyDescent="0.25">
      <c r="A2683" s="80" t="s">
        <v>2653</v>
      </c>
      <c r="B2683" s="20" t="s">
        <v>9357</v>
      </c>
      <c r="C2683" s="21" t="s">
        <v>9358</v>
      </c>
      <c r="D2683" s="20" t="s">
        <v>9472</v>
      </c>
      <c r="E2683" s="22" t="s">
        <v>9561</v>
      </c>
      <c r="F2683" s="22" t="s">
        <v>1937</v>
      </c>
      <c r="G2683" s="22" t="s">
        <v>9625</v>
      </c>
      <c r="H2683" s="83" t="s">
        <v>9690</v>
      </c>
      <c r="I2683" s="23" t="s">
        <v>24</v>
      </c>
      <c r="J2683" s="24">
        <v>250</v>
      </c>
      <c r="K2683" s="25">
        <v>0.25</v>
      </c>
      <c r="L2683" s="26">
        <f t="shared" si="397"/>
        <v>62.5</v>
      </c>
      <c r="M2683" s="27">
        <f t="shared" si="398"/>
        <v>187.5</v>
      </c>
      <c r="N2683" s="28">
        <v>0.16</v>
      </c>
      <c r="O2683" s="29">
        <f t="shared" si="399"/>
        <v>30</v>
      </c>
      <c r="P2683" s="30">
        <f t="shared" si="400"/>
        <v>217.5</v>
      </c>
      <c r="Q2683" s="23"/>
      <c r="R2683" s="52"/>
      <c r="S2683" s="53"/>
      <c r="T2683" s="54">
        <f t="shared" si="401"/>
        <v>0</v>
      </c>
      <c r="U2683" s="26">
        <f t="shared" si="402"/>
        <v>0</v>
      </c>
      <c r="V2683" s="55">
        <f t="shared" si="403"/>
        <v>0</v>
      </c>
      <c r="W2683" s="29">
        <f t="shared" si="404"/>
        <v>0</v>
      </c>
      <c r="X2683" s="30">
        <f t="shared" si="405"/>
        <v>0</v>
      </c>
      <c r="Y2683"/>
      <c r="Z2683"/>
      <c r="AA2683"/>
    </row>
    <row r="2684" spans="1:27" s="51" customFormat="1" ht="18.600000000000001" hidden="1" customHeight="1" x14ac:dyDescent="0.25">
      <c r="A2684" s="81" t="s">
        <v>2653</v>
      </c>
      <c r="B2684" s="31" t="s">
        <v>9357</v>
      </c>
      <c r="C2684" s="32" t="s">
        <v>9359</v>
      </c>
      <c r="D2684" s="31" t="s">
        <v>9473</v>
      </c>
      <c r="E2684" s="33" t="s">
        <v>9562</v>
      </c>
      <c r="F2684" s="33" t="s">
        <v>1937</v>
      </c>
      <c r="G2684" s="33" t="s">
        <v>9635</v>
      </c>
      <c r="H2684" s="84" t="s">
        <v>9691</v>
      </c>
      <c r="I2684" s="23" t="s">
        <v>24</v>
      </c>
      <c r="J2684" s="34">
        <v>250</v>
      </c>
      <c r="K2684" s="35">
        <v>0.25</v>
      </c>
      <c r="L2684" s="36">
        <f t="shared" si="397"/>
        <v>62.5</v>
      </c>
      <c r="M2684" s="37">
        <f t="shared" si="398"/>
        <v>187.5</v>
      </c>
      <c r="N2684" s="38">
        <v>0.16</v>
      </c>
      <c r="O2684" s="39">
        <f t="shared" si="399"/>
        <v>30</v>
      </c>
      <c r="P2684" s="40">
        <f t="shared" si="400"/>
        <v>217.5</v>
      </c>
      <c r="Q2684" s="23"/>
      <c r="R2684" s="56"/>
      <c r="S2684" s="57"/>
      <c r="T2684" s="58">
        <f t="shared" si="401"/>
        <v>0</v>
      </c>
      <c r="U2684" s="36">
        <f t="shared" si="402"/>
        <v>0</v>
      </c>
      <c r="V2684" s="59">
        <f t="shared" si="403"/>
        <v>0</v>
      </c>
      <c r="W2684" s="39">
        <f t="shared" si="404"/>
        <v>0</v>
      </c>
      <c r="X2684" s="40">
        <f t="shared" si="405"/>
        <v>0</v>
      </c>
      <c r="Y2684"/>
      <c r="Z2684"/>
      <c r="AA2684"/>
    </row>
    <row r="2685" spans="1:27" s="51" customFormat="1" ht="18.600000000000001" hidden="1" customHeight="1" x14ac:dyDescent="0.25">
      <c r="A2685" s="82" t="s">
        <v>2653</v>
      </c>
      <c r="B2685" s="41" t="s">
        <v>9357</v>
      </c>
      <c r="C2685" s="42" t="s">
        <v>9359</v>
      </c>
      <c r="D2685" s="41" t="s">
        <v>9474</v>
      </c>
      <c r="E2685" s="43" t="s">
        <v>9563</v>
      </c>
      <c r="F2685" s="43" t="s">
        <v>1937</v>
      </c>
      <c r="G2685" s="43" t="s">
        <v>9624</v>
      </c>
      <c r="H2685" s="85" t="s">
        <v>9692</v>
      </c>
      <c r="I2685" s="23" t="s">
        <v>24</v>
      </c>
      <c r="J2685" s="44">
        <v>250</v>
      </c>
      <c r="K2685" s="45">
        <v>0.25</v>
      </c>
      <c r="L2685" s="46">
        <f t="shared" si="397"/>
        <v>62.5</v>
      </c>
      <c r="M2685" s="47">
        <f t="shared" si="398"/>
        <v>187.5</v>
      </c>
      <c r="N2685" s="48">
        <v>0.16</v>
      </c>
      <c r="O2685" s="49">
        <f t="shared" si="399"/>
        <v>30</v>
      </c>
      <c r="P2685" s="50">
        <f t="shared" si="400"/>
        <v>217.5</v>
      </c>
      <c r="Q2685" s="23"/>
      <c r="R2685" s="60"/>
      <c r="S2685" s="61"/>
      <c r="T2685" s="62">
        <f t="shared" si="401"/>
        <v>0</v>
      </c>
      <c r="U2685" s="46">
        <f t="shared" si="402"/>
        <v>0</v>
      </c>
      <c r="V2685" s="63">
        <f t="shared" si="403"/>
        <v>0</v>
      </c>
      <c r="W2685" s="49">
        <f t="shared" si="404"/>
        <v>0</v>
      </c>
      <c r="X2685" s="50">
        <f t="shared" si="405"/>
        <v>0</v>
      </c>
      <c r="Y2685"/>
      <c r="Z2685"/>
      <c r="AA2685"/>
    </row>
    <row r="2686" spans="1:27" s="51" customFormat="1" ht="18.600000000000001" hidden="1" customHeight="1" x14ac:dyDescent="0.25">
      <c r="A2686" s="80" t="s">
        <v>2653</v>
      </c>
      <c r="B2686" s="20" t="s">
        <v>9357</v>
      </c>
      <c r="C2686" s="21" t="s">
        <v>9359</v>
      </c>
      <c r="D2686" s="20" t="s">
        <v>9475</v>
      </c>
      <c r="E2686" s="22" t="s">
        <v>9564</v>
      </c>
      <c r="F2686" s="22" t="s">
        <v>1937</v>
      </c>
      <c r="G2686" s="22" t="s">
        <v>9636</v>
      </c>
      <c r="H2686" s="83" t="s">
        <v>9693</v>
      </c>
      <c r="I2686" s="23" t="s">
        <v>24</v>
      </c>
      <c r="J2686" s="24">
        <v>250</v>
      </c>
      <c r="K2686" s="25">
        <v>0.25</v>
      </c>
      <c r="L2686" s="26">
        <f t="shared" ref="L2686:L2725" si="406">+J2686*K2686</f>
        <v>62.5</v>
      </c>
      <c r="M2686" s="27">
        <f t="shared" ref="M2686:M2725" si="407">+J2686-L2686</f>
        <v>187.5</v>
      </c>
      <c r="N2686" s="28">
        <v>0.16</v>
      </c>
      <c r="O2686" s="29">
        <f t="shared" ref="O2686:O2725" si="408">+M2686*N2686</f>
        <v>30</v>
      </c>
      <c r="P2686" s="30">
        <f t="shared" ref="P2686:P2725" si="409">+M2686+O2686</f>
        <v>217.5</v>
      </c>
      <c r="Q2686" s="23"/>
      <c r="R2686" s="52"/>
      <c r="S2686" s="53"/>
      <c r="T2686" s="54">
        <f t="shared" ref="T2686:T2725" si="410">+S2686*J2686</f>
        <v>0</v>
      </c>
      <c r="U2686" s="26">
        <f t="shared" ref="U2686:U2725" si="411">+T2686*K2686</f>
        <v>0</v>
      </c>
      <c r="V2686" s="55">
        <f t="shared" ref="V2686:V2725" si="412">+T2686-U2686</f>
        <v>0</v>
      </c>
      <c r="W2686" s="29">
        <f t="shared" ref="W2686:W2725" si="413">+V2686*N2686</f>
        <v>0</v>
      </c>
      <c r="X2686" s="30">
        <f t="shared" ref="X2686:X2725" si="414">+V2686+W2686</f>
        <v>0</v>
      </c>
      <c r="Y2686"/>
      <c r="Z2686"/>
      <c r="AA2686"/>
    </row>
    <row r="2687" spans="1:27" s="51" customFormat="1" ht="18.600000000000001" hidden="1" customHeight="1" x14ac:dyDescent="0.25">
      <c r="A2687" s="81" t="s">
        <v>2653</v>
      </c>
      <c r="B2687" s="31" t="s">
        <v>6824</v>
      </c>
      <c r="C2687" s="32" t="s">
        <v>9326</v>
      </c>
      <c r="D2687" s="31" t="s">
        <v>6825</v>
      </c>
      <c r="E2687" s="33" t="s">
        <v>6826</v>
      </c>
      <c r="F2687" s="33" t="s">
        <v>1937</v>
      </c>
      <c r="G2687" s="33" t="s">
        <v>6415</v>
      </c>
      <c r="H2687" s="84" t="s">
        <v>6827</v>
      </c>
      <c r="I2687" s="23" t="s">
        <v>24</v>
      </c>
      <c r="J2687" s="34">
        <v>2700</v>
      </c>
      <c r="K2687" s="35">
        <v>0.25</v>
      </c>
      <c r="L2687" s="36">
        <f t="shared" si="406"/>
        <v>675</v>
      </c>
      <c r="M2687" s="37">
        <f t="shared" si="407"/>
        <v>2025</v>
      </c>
      <c r="N2687" s="38">
        <v>0.16</v>
      </c>
      <c r="O2687" s="39">
        <f t="shared" si="408"/>
        <v>324</v>
      </c>
      <c r="P2687" s="40">
        <f t="shared" si="409"/>
        <v>2349</v>
      </c>
      <c r="Q2687" s="23"/>
      <c r="R2687" s="56"/>
      <c r="S2687" s="57"/>
      <c r="T2687" s="58">
        <f t="shared" si="410"/>
        <v>0</v>
      </c>
      <c r="U2687" s="36">
        <f t="shared" si="411"/>
        <v>0</v>
      </c>
      <c r="V2687" s="59">
        <f t="shared" si="412"/>
        <v>0</v>
      </c>
      <c r="W2687" s="39">
        <f t="shared" si="413"/>
        <v>0</v>
      </c>
      <c r="X2687" s="40">
        <f t="shared" si="414"/>
        <v>0</v>
      </c>
      <c r="Y2687"/>
      <c r="Z2687"/>
      <c r="AA2687"/>
    </row>
    <row r="2688" spans="1:27" s="51" customFormat="1" ht="18.600000000000001" hidden="1" customHeight="1" x14ac:dyDescent="0.25">
      <c r="A2688" s="82" t="s">
        <v>2653</v>
      </c>
      <c r="B2688" s="41" t="s">
        <v>6824</v>
      </c>
      <c r="C2688" s="42" t="s">
        <v>9361</v>
      </c>
      <c r="D2688" s="41" t="s">
        <v>6828</v>
      </c>
      <c r="E2688" s="43" t="s">
        <v>6829</v>
      </c>
      <c r="F2688" s="43" t="s">
        <v>1937</v>
      </c>
      <c r="G2688" s="43" t="s">
        <v>6419</v>
      </c>
      <c r="H2688" s="85" t="s">
        <v>6830</v>
      </c>
      <c r="I2688" s="23" t="s">
        <v>24</v>
      </c>
      <c r="J2688" s="44">
        <v>80</v>
      </c>
      <c r="K2688" s="45">
        <v>0.25</v>
      </c>
      <c r="L2688" s="46">
        <f t="shared" si="406"/>
        <v>20</v>
      </c>
      <c r="M2688" s="47">
        <f t="shared" si="407"/>
        <v>60</v>
      </c>
      <c r="N2688" s="48">
        <v>0.16</v>
      </c>
      <c r="O2688" s="49">
        <f t="shared" si="408"/>
        <v>9.6</v>
      </c>
      <c r="P2688" s="50">
        <f t="shared" si="409"/>
        <v>69.599999999999994</v>
      </c>
      <c r="Q2688" s="23"/>
      <c r="R2688" s="60"/>
      <c r="S2688" s="61"/>
      <c r="T2688" s="62">
        <f t="shared" si="410"/>
        <v>0</v>
      </c>
      <c r="U2688" s="46">
        <f t="shared" si="411"/>
        <v>0</v>
      </c>
      <c r="V2688" s="63">
        <f t="shared" si="412"/>
        <v>0</v>
      </c>
      <c r="W2688" s="49">
        <f t="shared" si="413"/>
        <v>0</v>
      </c>
      <c r="X2688" s="50">
        <f t="shared" si="414"/>
        <v>0</v>
      </c>
      <c r="Y2688"/>
      <c r="Z2688"/>
      <c r="AA2688"/>
    </row>
    <row r="2689" spans="1:27" s="51" customFormat="1" ht="18.600000000000001" hidden="1" customHeight="1" x14ac:dyDescent="0.25">
      <c r="A2689" s="80" t="s">
        <v>2653</v>
      </c>
      <c r="B2689" s="20" t="s">
        <v>6824</v>
      </c>
      <c r="C2689" s="21" t="s">
        <v>9361</v>
      </c>
      <c r="D2689" s="20" t="s">
        <v>6831</v>
      </c>
      <c r="E2689" s="22" t="s">
        <v>6832</v>
      </c>
      <c r="F2689" s="22" t="s">
        <v>1937</v>
      </c>
      <c r="G2689" s="22" t="s">
        <v>6419</v>
      </c>
      <c r="H2689" s="83" t="s">
        <v>6833</v>
      </c>
      <c r="I2689" s="23" t="s">
        <v>24</v>
      </c>
      <c r="J2689" s="24">
        <v>80</v>
      </c>
      <c r="K2689" s="25">
        <v>0.25</v>
      </c>
      <c r="L2689" s="26">
        <f t="shared" si="406"/>
        <v>20</v>
      </c>
      <c r="M2689" s="27">
        <f t="shared" si="407"/>
        <v>60</v>
      </c>
      <c r="N2689" s="28">
        <v>0.16</v>
      </c>
      <c r="O2689" s="29">
        <f t="shared" si="408"/>
        <v>9.6</v>
      </c>
      <c r="P2689" s="30">
        <f t="shared" si="409"/>
        <v>69.599999999999994</v>
      </c>
      <c r="Q2689" s="23"/>
      <c r="R2689" s="52"/>
      <c r="S2689" s="53"/>
      <c r="T2689" s="54">
        <f t="shared" si="410"/>
        <v>0</v>
      </c>
      <c r="U2689" s="26">
        <f t="shared" si="411"/>
        <v>0</v>
      </c>
      <c r="V2689" s="55">
        <f t="shared" si="412"/>
        <v>0</v>
      </c>
      <c r="W2689" s="29">
        <f t="shared" si="413"/>
        <v>0</v>
      </c>
      <c r="X2689" s="30">
        <f t="shared" si="414"/>
        <v>0</v>
      </c>
      <c r="Y2689"/>
      <c r="Z2689"/>
      <c r="AA2689"/>
    </row>
    <row r="2690" spans="1:27" s="51" customFormat="1" ht="18.600000000000001" hidden="1" customHeight="1" x14ac:dyDescent="0.25">
      <c r="A2690" s="81" t="s">
        <v>2653</v>
      </c>
      <c r="B2690" s="31" t="s">
        <v>6824</v>
      </c>
      <c r="C2690" s="32" t="s">
        <v>9361</v>
      </c>
      <c r="D2690" s="31" t="s">
        <v>6834</v>
      </c>
      <c r="E2690" s="33" t="s">
        <v>6835</v>
      </c>
      <c r="F2690" s="33" t="s">
        <v>1937</v>
      </c>
      <c r="G2690" s="33" t="s">
        <v>6419</v>
      </c>
      <c r="H2690" s="84" t="s">
        <v>6836</v>
      </c>
      <c r="I2690" s="23" t="s">
        <v>24</v>
      </c>
      <c r="J2690" s="34">
        <v>80</v>
      </c>
      <c r="K2690" s="35">
        <v>0.25</v>
      </c>
      <c r="L2690" s="36">
        <f t="shared" si="406"/>
        <v>20</v>
      </c>
      <c r="M2690" s="37">
        <f t="shared" si="407"/>
        <v>60</v>
      </c>
      <c r="N2690" s="38">
        <v>0.16</v>
      </c>
      <c r="O2690" s="39">
        <f t="shared" si="408"/>
        <v>9.6</v>
      </c>
      <c r="P2690" s="40">
        <f t="shared" si="409"/>
        <v>69.599999999999994</v>
      </c>
      <c r="Q2690" s="23"/>
      <c r="R2690" s="56"/>
      <c r="S2690" s="57"/>
      <c r="T2690" s="58">
        <f t="shared" si="410"/>
        <v>0</v>
      </c>
      <c r="U2690" s="36">
        <f t="shared" si="411"/>
        <v>0</v>
      </c>
      <c r="V2690" s="59">
        <f t="shared" si="412"/>
        <v>0</v>
      </c>
      <c r="W2690" s="39">
        <f t="shared" si="413"/>
        <v>0</v>
      </c>
      <c r="X2690" s="40">
        <f t="shared" si="414"/>
        <v>0</v>
      </c>
      <c r="Y2690"/>
      <c r="Z2690"/>
      <c r="AA2690"/>
    </row>
    <row r="2691" spans="1:27" s="51" customFormat="1" ht="18.600000000000001" hidden="1" customHeight="1" x14ac:dyDescent="0.25">
      <c r="A2691" s="82" t="s">
        <v>2653</v>
      </c>
      <c r="B2691" s="41" t="s">
        <v>6824</v>
      </c>
      <c r="C2691" s="42" t="s">
        <v>9361</v>
      </c>
      <c r="D2691" s="41" t="s">
        <v>6837</v>
      </c>
      <c r="E2691" s="43" t="s">
        <v>6838</v>
      </c>
      <c r="F2691" s="43" t="s">
        <v>1937</v>
      </c>
      <c r="G2691" s="43" t="s">
        <v>6419</v>
      </c>
      <c r="H2691" s="85" t="s">
        <v>6839</v>
      </c>
      <c r="I2691" s="23" t="s">
        <v>24</v>
      </c>
      <c r="J2691" s="44">
        <v>80</v>
      </c>
      <c r="K2691" s="45">
        <v>0.25</v>
      </c>
      <c r="L2691" s="46">
        <f t="shared" si="406"/>
        <v>20</v>
      </c>
      <c r="M2691" s="47">
        <f t="shared" si="407"/>
        <v>60</v>
      </c>
      <c r="N2691" s="48">
        <v>0.16</v>
      </c>
      <c r="O2691" s="49">
        <f t="shared" si="408"/>
        <v>9.6</v>
      </c>
      <c r="P2691" s="50">
        <f t="shared" si="409"/>
        <v>69.599999999999994</v>
      </c>
      <c r="Q2691" s="23"/>
      <c r="R2691" s="60"/>
      <c r="S2691" s="61"/>
      <c r="T2691" s="62">
        <f t="shared" si="410"/>
        <v>0</v>
      </c>
      <c r="U2691" s="46">
        <f t="shared" si="411"/>
        <v>0</v>
      </c>
      <c r="V2691" s="63">
        <f t="shared" si="412"/>
        <v>0</v>
      </c>
      <c r="W2691" s="49">
        <f t="shared" si="413"/>
        <v>0</v>
      </c>
      <c r="X2691" s="50">
        <f t="shared" si="414"/>
        <v>0</v>
      </c>
      <c r="Y2691"/>
      <c r="Z2691"/>
      <c r="AA2691"/>
    </row>
    <row r="2692" spans="1:27" s="51" customFormat="1" ht="18.600000000000001" hidden="1" customHeight="1" x14ac:dyDescent="0.25">
      <c r="A2692" s="80" t="s">
        <v>2653</v>
      </c>
      <c r="B2692" s="20" t="s">
        <v>6824</v>
      </c>
      <c r="C2692" s="21" t="s">
        <v>9361</v>
      </c>
      <c r="D2692" s="20" t="s">
        <v>6840</v>
      </c>
      <c r="E2692" s="22" t="s">
        <v>6841</v>
      </c>
      <c r="F2692" s="22" t="s">
        <v>1937</v>
      </c>
      <c r="G2692" s="22" t="s">
        <v>6419</v>
      </c>
      <c r="H2692" s="83" t="s">
        <v>6842</v>
      </c>
      <c r="I2692" s="23" t="s">
        <v>24</v>
      </c>
      <c r="J2692" s="24">
        <v>80</v>
      </c>
      <c r="K2692" s="25">
        <v>0.25</v>
      </c>
      <c r="L2692" s="26">
        <f t="shared" si="406"/>
        <v>20</v>
      </c>
      <c r="M2692" s="27">
        <f t="shared" si="407"/>
        <v>60</v>
      </c>
      <c r="N2692" s="28">
        <v>0.16</v>
      </c>
      <c r="O2692" s="29">
        <f t="shared" si="408"/>
        <v>9.6</v>
      </c>
      <c r="P2692" s="30">
        <f t="shared" si="409"/>
        <v>69.599999999999994</v>
      </c>
      <c r="Q2692" s="23"/>
      <c r="R2692" s="52"/>
      <c r="S2692" s="53"/>
      <c r="T2692" s="54">
        <f t="shared" si="410"/>
        <v>0</v>
      </c>
      <c r="U2692" s="26">
        <f t="shared" si="411"/>
        <v>0</v>
      </c>
      <c r="V2692" s="55">
        <f t="shared" si="412"/>
        <v>0</v>
      </c>
      <c r="W2692" s="29">
        <f t="shared" si="413"/>
        <v>0</v>
      </c>
      <c r="X2692" s="30">
        <f t="shared" si="414"/>
        <v>0</v>
      </c>
      <c r="Y2692"/>
      <c r="Z2692"/>
      <c r="AA2692"/>
    </row>
    <row r="2693" spans="1:27" s="51" customFormat="1" ht="18.600000000000001" hidden="1" customHeight="1" x14ac:dyDescent="0.25">
      <c r="A2693" s="81" t="s">
        <v>2653</v>
      </c>
      <c r="B2693" s="31" t="s">
        <v>6824</v>
      </c>
      <c r="C2693" s="32" t="s">
        <v>9361</v>
      </c>
      <c r="D2693" s="31" t="s">
        <v>6843</v>
      </c>
      <c r="E2693" s="33" t="s">
        <v>6844</v>
      </c>
      <c r="F2693" s="33" t="s">
        <v>1937</v>
      </c>
      <c r="G2693" s="33" t="s">
        <v>6419</v>
      </c>
      <c r="H2693" s="84" t="s">
        <v>6845</v>
      </c>
      <c r="I2693" s="23" t="s">
        <v>24</v>
      </c>
      <c r="J2693" s="34">
        <v>80</v>
      </c>
      <c r="K2693" s="35">
        <v>0.25</v>
      </c>
      <c r="L2693" s="36">
        <f t="shared" si="406"/>
        <v>20</v>
      </c>
      <c r="M2693" s="37">
        <f t="shared" si="407"/>
        <v>60</v>
      </c>
      <c r="N2693" s="38">
        <v>0.16</v>
      </c>
      <c r="O2693" s="39">
        <f t="shared" si="408"/>
        <v>9.6</v>
      </c>
      <c r="P2693" s="40">
        <f t="shared" si="409"/>
        <v>69.599999999999994</v>
      </c>
      <c r="Q2693" s="23"/>
      <c r="R2693" s="56"/>
      <c r="S2693" s="57"/>
      <c r="T2693" s="58">
        <f t="shared" si="410"/>
        <v>0</v>
      </c>
      <c r="U2693" s="36">
        <f t="shared" si="411"/>
        <v>0</v>
      </c>
      <c r="V2693" s="59">
        <f t="shared" si="412"/>
        <v>0</v>
      </c>
      <c r="W2693" s="39">
        <f t="shared" si="413"/>
        <v>0</v>
      </c>
      <c r="X2693" s="40">
        <f t="shared" si="414"/>
        <v>0</v>
      </c>
      <c r="Y2693"/>
      <c r="Z2693"/>
      <c r="AA2693"/>
    </row>
    <row r="2694" spans="1:27" s="51" customFormat="1" ht="18.600000000000001" hidden="1" customHeight="1" x14ac:dyDescent="0.25">
      <c r="A2694" s="82" t="s">
        <v>2653</v>
      </c>
      <c r="B2694" s="41" t="s">
        <v>6824</v>
      </c>
      <c r="C2694" s="42" t="s">
        <v>9361</v>
      </c>
      <c r="D2694" s="41" t="s">
        <v>6846</v>
      </c>
      <c r="E2694" s="43" t="s">
        <v>6847</v>
      </c>
      <c r="F2694" s="43" t="s">
        <v>1937</v>
      </c>
      <c r="G2694" s="43" t="s">
        <v>6419</v>
      </c>
      <c r="H2694" s="85" t="s">
        <v>6848</v>
      </c>
      <c r="I2694" s="23" t="s">
        <v>24</v>
      </c>
      <c r="J2694" s="44">
        <v>80</v>
      </c>
      <c r="K2694" s="45">
        <v>0.25</v>
      </c>
      <c r="L2694" s="46">
        <f t="shared" si="406"/>
        <v>20</v>
      </c>
      <c r="M2694" s="47">
        <f t="shared" si="407"/>
        <v>60</v>
      </c>
      <c r="N2694" s="48">
        <v>0.16</v>
      </c>
      <c r="O2694" s="49">
        <f t="shared" si="408"/>
        <v>9.6</v>
      </c>
      <c r="P2694" s="50">
        <f t="shared" si="409"/>
        <v>69.599999999999994</v>
      </c>
      <c r="Q2694" s="23"/>
      <c r="R2694" s="60"/>
      <c r="S2694" s="61"/>
      <c r="T2694" s="62">
        <f t="shared" si="410"/>
        <v>0</v>
      </c>
      <c r="U2694" s="46">
        <f t="shared" si="411"/>
        <v>0</v>
      </c>
      <c r="V2694" s="63">
        <f t="shared" si="412"/>
        <v>0</v>
      </c>
      <c r="W2694" s="49">
        <f t="shared" si="413"/>
        <v>0</v>
      </c>
      <c r="X2694" s="50">
        <f t="shared" si="414"/>
        <v>0</v>
      </c>
      <c r="Y2694"/>
      <c r="Z2694"/>
      <c r="AA2694"/>
    </row>
    <row r="2695" spans="1:27" s="51" customFormat="1" ht="18.600000000000001" hidden="1" customHeight="1" x14ac:dyDescent="0.25">
      <c r="A2695" s="80" t="s">
        <v>2653</v>
      </c>
      <c r="B2695" s="20" t="s">
        <v>6824</v>
      </c>
      <c r="C2695" s="21" t="s">
        <v>9361</v>
      </c>
      <c r="D2695" s="20" t="s">
        <v>6849</v>
      </c>
      <c r="E2695" s="22" t="s">
        <v>6850</v>
      </c>
      <c r="F2695" s="22" t="s">
        <v>1937</v>
      </c>
      <c r="G2695" s="22" t="s">
        <v>6419</v>
      </c>
      <c r="H2695" s="83" t="s">
        <v>6851</v>
      </c>
      <c r="I2695" s="23" t="s">
        <v>24</v>
      </c>
      <c r="J2695" s="24">
        <v>80</v>
      </c>
      <c r="K2695" s="25">
        <v>0.25</v>
      </c>
      <c r="L2695" s="26">
        <f t="shared" si="406"/>
        <v>20</v>
      </c>
      <c r="M2695" s="27">
        <f t="shared" si="407"/>
        <v>60</v>
      </c>
      <c r="N2695" s="28">
        <v>0.16</v>
      </c>
      <c r="O2695" s="29">
        <f t="shared" si="408"/>
        <v>9.6</v>
      </c>
      <c r="P2695" s="30">
        <f t="shared" si="409"/>
        <v>69.599999999999994</v>
      </c>
      <c r="Q2695" s="23"/>
      <c r="R2695" s="52"/>
      <c r="S2695" s="53"/>
      <c r="T2695" s="54">
        <f t="shared" si="410"/>
        <v>0</v>
      </c>
      <c r="U2695" s="26">
        <f t="shared" si="411"/>
        <v>0</v>
      </c>
      <c r="V2695" s="55">
        <f t="shared" si="412"/>
        <v>0</v>
      </c>
      <c r="W2695" s="29">
        <f t="shared" si="413"/>
        <v>0</v>
      </c>
      <c r="X2695" s="30">
        <f t="shared" si="414"/>
        <v>0</v>
      </c>
      <c r="Y2695"/>
      <c r="Z2695"/>
      <c r="AA2695"/>
    </row>
    <row r="2696" spans="1:27" s="51" customFormat="1" ht="18.600000000000001" hidden="1" customHeight="1" x14ac:dyDescent="0.25">
      <c r="A2696" s="81" t="s">
        <v>2653</v>
      </c>
      <c r="B2696" s="31" t="s">
        <v>6824</v>
      </c>
      <c r="C2696" s="32" t="s">
        <v>9361</v>
      </c>
      <c r="D2696" s="31" t="s">
        <v>6852</v>
      </c>
      <c r="E2696" s="33" t="s">
        <v>6853</v>
      </c>
      <c r="F2696" s="33" t="s">
        <v>1937</v>
      </c>
      <c r="G2696" s="33" t="s">
        <v>6419</v>
      </c>
      <c r="H2696" s="84" t="s">
        <v>6854</v>
      </c>
      <c r="I2696" s="23" t="s">
        <v>24</v>
      </c>
      <c r="J2696" s="34">
        <v>80</v>
      </c>
      <c r="K2696" s="35">
        <v>0.25</v>
      </c>
      <c r="L2696" s="36">
        <f t="shared" si="406"/>
        <v>20</v>
      </c>
      <c r="M2696" s="37">
        <f t="shared" si="407"/>
        <v>60</v>
      </c>
      <c r="N2696" s="38">
        <v>0.16</v>
      </c>
      <c r="O2696" s="39">
        <f t="shared" si="408"/>
        <v>9.6</v>
      </c>
      <c r="P2696" s="40">
        <f t="shared" si="409"/>
        <v>69.599999999999994</v>
      </c>
      <c r="Q2696" s="23"/>
      <c r="R2696" s="56"/>
      <c r="S2696" s="57"/>
      <c r="T2696" s="58">
        <f t="shared" si="410"/>
        <v>0</v>
      </c>
      <c r="U2696" s="36">
        <f t="shared" si="411"/>
        <v>0</v>
      </c>
      <c r="V2696" s="59">
        <f t="shared" si="412"/>
        <v>0</v>
      </c>
      <c r="W2696" s="39">
        <f t="shared" si="413"/>
        <v>0</v>
      </c>
      <c r="X2696" s="40">
        <f t="shared" si="414"/>
        <v>0</v>
      </c>
      <c r="Y2696"/>
      <c r="Z2696"/>
      <c r="AA2696"/>
    </row>
    <row r="2697" spans="1:27" s="51" customFormat="1" ht="18.600000000000001" hidden="1" customHeight="1" x14ac:dyDescent="0.25">
      <c r="A2697" s="82" t="s">
        <v>2653</v>
      </c>
      <c r="B2697" s="41" t="s">
        <v>6824</v>
      </c>
      <c r="C2697" s="42" t="s">
        <v>9361</v>
      </c>
      <c r="D2697" s="41" t="s">
        <v>6855</v>
      </c>
      <c r="E2697" s="43" t="s">
        <v>6856</v>
      </c>
      <c r="F2697" s="43" t="s">
        <v>1937</v>
      </c>
      <c r="G2697" s="43" t="s">
        <v>6419</v>
      </c>
      <c r="H2697" s="85" t="s">
        <v>6857</v>
      </c>
      <c r="I2697" s="23" t="s">
        <v>24</v>
      </c>
      <c r="J2697" s="44">
        <v>80</v>
      </c>
      <c r="K2697" s="45">
        <v>0.25</v>
      </c>
      <c r="L2697" s="46">
        <f t="shared" si="406"/>
        <v>20</v>
      </c>
      <c r="M2697" s="47">
        <f t="shared" si="407"/>
        <v>60</v>
      </c>
      <c r="N2697" s="48">
        <v>0.16</v>
      </c>
      <c r="O2697" s="49">
        <f t="shared" si="408"/>
        <v>9.6</v>
      </c>
      <c r="P2697" s="50">
        <f t="shared" si="409"/>
        <v>69.599999999999994</v>
      </c>
      <c r="Q2697" s="23"/>
      <c r="R2697" s="60"/>
      <c r="S2697" s="61"/>
      <c r="T2697" s="62">
        <f t="shared" si="410"/>
        <v>0</v>
      </c>
      <c r="U2697" s="46">
        <f t="shared" si="411"/>
        <v>0</v>
      </c>
      <c r="V2697" s="63">
        <f t="shared" si="412"/>
        <v>0</v>
      </c>
      <c r="W2697" s="49">
        <f t="shared" si="413"/>
        <v>0</v>
      </c>
      <c r="X2697" s="50">
        <f t="shared" si="414"/>
        <v>0</v>
      </c>
      <c r="Y2697"/>
      <c r="Z2697"/>
      <c r="AA2697"/>
    </row>
    <row r="2698" spans="1:27" s="51" customFormat="1" ht="18.600000000000001" hidden="1" customHeight="1" x14ac:dyDescent="0.25">
      <c r="A2698" s="80" t="s">
        <v>2653</v>
      </c>
      <c r="B2698" s="20" t="s">
        <v>6824</v>
      </c>
      <c r="C2698" s="21" t="s">
        <v>9361</v>
      </c>
      <c r="D2698" s="20" t="s">
        <v>6858</v>
      </c>
      <c r="E2698" s="22" t="s">
        <v>6859</v>
      </c>
      <c r="F2698" s="22" t="s">
        <v>1937</v>
      </c>
      <c r="G2698" s="22" t="s">
        <v>6419</v>
      </c>
      <c r="H2698" s="83" t="s">
        <v>6860</v>
      </c>
      <c r="I2698" s="23" t="s">
        <v>24</v>
      </c>
      <c r="J2698" s="24">
        <v>80</v>
      </c>
      <c r="K2698" s="25">
        <v>0.25</v>
      </c>
      <c r="L2698" s="26">
        <f t="shared" si="406"/>
        <v>20</v>
      </c>
      <c r="M2698" s="27">
        <f t="shared" si="407"/>
        <v>60</v>
      </c>
      <c r="N2698" s="28">
        <v>0.16</v>
      </c>
      <c r="O2698" s="29">
        <f t="shared" si="408"/>
        <v>9.6</v>
      </c>
      <c r="P2698" s="30">
        <f t="shared" si="409"/>
        <v>69.599999999999994</v>
      </c>
      <c r="Q2698" s="23"/>
      <c r="R2698" s="52"/>
      <c r="S2698" s="53"/>
      <c r="T2698" s="54">
        <f t="shared" si="410"/>
        <v>0</v>
      </c>
      <c r="U2698" s="26">
        <f t="shared" si="411"/>
        <v>0</v>
      </c>
      <c r="V2698" s="55">
        <f t="shared" si="412"/>
        <v>0</v>
      </c>
      <c r="W2698" s="29">
        <f t="shared" si="413"/>
        <v>0</v>
      </c>
      <c r="X2698" s="30">
        <f t="shared" si="414"/>
        <v>0</v>
      </c>
      <c r="Y2698"/>
      <c r="Z2698"/>
      <c r="AA2698"/>
    </row>
    <row r="2699" spans="1:27" s="51" customFormat="1" ht="18.600000000000001" hidden="1" customHeight="1" x14ac:dyDescent="0.25">
      <c r="A2699" s="81" t="s">
        <v>2653</v>
      </c>
      <c r="B2699" s="31" t="s">
        <v>6824</v>
      </c>
      <c r="C2699" s="32" t="s">
        <v>9361</v>
      </c>
      <c r="D2699" s="31" t="s">
        <v>6861</v>
      </c>
      <c r="E2699" s="33" t="s">
        <v>6862</v>
      </c>
      <c r="F2699" s="33" t="s">
        <v>1937</v>
      </c>
      <c r="G2699" s="33" t="s">
        <v>6419</v>
      </c>
      <c r="H2699" s="84" t="s">
        <v>4578</v>
      </c>
      <c r="I2699" s="23" t="s">
        <v>24</v>
      </c>
      <c r="J2699" s="34">
        <v>80</v>
      </c>
      <c r="K2699" s="35">
        <v>0.25</v>
      </c>
      <c r="L2699" s="36">
        <f t="shared" si="406"/>
        <v>20</v>
      </c>
      <c r="M2699" s="37">
        <f t="shared" si="407"/>
        <v>60</v>
      </c>
      <c r="N2699" s="38">
        <v>0.16</v>
      </c>
      <c r="O2699" s="39">
        <f t="shared" si="408"/>
        <v>9.6</v>
      </c>
      <c r="P2699" s="40">
        <f t="shared" si="409"/>
        <v>69.599999999999994</v>
      </c>
      <c r="Q2699" s="23"/>
      <c r="R2699" s="56"/>
      <c r="S2699" s="57"/>
      <c r="T2699" s="58">
        <f t="shared" si="410"/>
        <v>0</v>
      </c>
      <c r="U2699" s="36">
        <f t="shared" si="411"/>
        <v>0</v>
      </c>
      <c r="V2699" s="59">
        <f t="shared" si="412"/>
        <v>0</v>
      </c>
      <c r="W2699" s="39">
        <f t="shared" si="413"/>
        <v>0</v>
      </c>
      <c r="X2699" s="40">
        <f t="shared" si="414"/>
        <v>0</v>
      </c>
      <c r="Y2699"/>
      <c r="Z2699"/>
      <c r="AA2699"/>
    </row>
    <row r="2700" spans="1:27" s="51" customFormat="1" ht="18.600000000000001" hidden="1" customHeight="1" x14ac:dyDescent="0.25">
      <c r="A2700" s="82" t="s">
        <v>2653</v>
      </c>
      <c r="B2700" s="41" t="s">
        <v>6824</v>
      </c>
      <c r="C2700" s="42" t="s">
        <v>9361</v>
      </c>
      <c r="D2700" s="41" t="s">
        <v>6863</v>
      </c>
      <c r="E2700" s="43" t="s">
        <v>6864</v>
      </c>
      <c r="F2700" s="43" t="s">
        <v>1937</v>
      </c>
      <c r="G2700" s="43" t="s">
        <v>6419</v>
      </c>
      <c r="H2700" s="85" t="s">
        <v>4575</v>
      </c>
      <c r="I2700" s="23" t="s">
        <v>24</v>
      </c>
      <c r="J2700" s="44">
        <v>80</v>
      </c>
      <c r="K2700" s="45">
        <v>0.25</v>
      </c>
      <c r="L2700" s="46">
        <f t="shared" si="406"/>
        <v>20</v>
      </c>
      <c r="M2700" s="47">
        <f t="shared" si="407"/>
        <v>60</v>
      </c>
      <c r="N2700" s="48">
        <v>0.16</v>
      </c>
      <c r="O2700" s="49">
        <f t="shared" si="408"/>
        <v>9.6</v>
      </c>
      <c r="P2700" s="50">
        <f t="shared" si="409"/>
        <v>69.599999999999994</v>
      </c>
      <c r="Q2700" s="23"/>
      <c r="R2700" s="60"/>
      <c r="S2700" s="61"/>
      <c r="T2700" s="62">
        <f t="shared" si="410"/>
        <v>0</v>
      </c>
      <c r="U2700" s="46">
        <f t="shared" si="411"/>
        <v>0</v>
      </c>
      <c r="V2700" s="63">
        <f t="shared" si="412"/>
        <v>0</v>
      </c>
      <c r="W2700" s="49">
        <f t="shared" si="413"/>
        <v>0</v>
      </c>
      <c r="X2700" s="50">
        <f t="shared" si="414"/>
        <v>0</v>
      </c>
      <c r="Y2700"/>
      <c r="Z2700"/>
      <c r="AA2700"/>
    </row>
    <row r="2701" spans="1:27" s="51" customFormat="1" ht="18.600000000000001" hidden="1" customHeight="1" x14ac:dyDescent="0.25">
      <c r="A2701" s="80" t="s">
        <v>2653</v>
      </c>
      <c r="B2701" s="20" t="s">
        <v>6824</v>
      </c>
      <c r="C2701" s="21" t="s">
        <v>9361</v>
      </c>
      <c r="D2701" s="20" t="s">
        <v>6865</v>
      </c>
      <c r="E2701" s="22" t="s">
        <v>6866</v>
      </c>
      <c r="F2701" s="22" t="s">
        <v>1937</v>
      </c>
      <c r="G2701" s="22" t="s">
        <v>6419</v>
      </c>
      <c r="H2701" s="83" t="s">
        <v>6867</v>
      </c>
      <c r="I2701" s="23" t="s">
        <v>24</v>
      </c>
      <c r="J2701" s="24">
        <v>80</v>
      </c>
      <c r="K2701" s="25">
        <v>0.25</v>
      </c>
      <c r="L2701" s="26">
        <f t="shared" si="406"/>
        <v>20</v>
      </c>
      <c r="M2701" s="27">
        <f t="shared" si="407"/>
        <v>60</v>
      </c>
      <c r="N2701" s="28">
        <v>0.16</v>
      </c>
      <c r="O2701" s="29">
        <f t="shared" si="408"/>
        <v>9.6</v>
      </c>
      <c r="P2701" s="30">
        <f t="shared" si="409"/>
        <v>69.599999999999994</v>
      </c>
      <c r="Q2701" s="23"/>
      <c r="R2701" s="52"/>
      <c r="S2701" s="53"/>
      <c r="T2701" s="54">
        <f t="shared" si="410"/>
        <v>0</v>
      </c>
      <c r="U2701" s="26">
        <f t="shared" si="411"/>
        <v>0</v>
      </c>
      <c r="V2701" s="55">
        <f t="shared" si="412"/>
        <v>0</v>
      </c>
      <c r="W2701" s="29">
        <f t="shared" si="413"/>
        <v>0</v>
      </c>
      <c r="X2701" s="30">
        <f t="shared" si="414"/>
        <v>0</v>
      </c>
      <c r="Y2701"/>
      <c r="Z2701"/>
      <c r="AA2701"/>
    </row>
    <row r="2702" spans="1:27" s="51" customFormat="1" ht="18.600000000000001" hidden="1" customHeight="1" x14ac:dyDescent="0.25">
      <c r="A2702" s="81" t="s">
        <v>2653</v>
      </c>
      <c r="B2702" s="31" t="s">
        <v>6824</v>
      </c>
      <c r="C2702" s="32" t="s">
        <v>9361</v>
      </c>
      <c r="D2702" s="31" t="s">
        <v>6868</v>
      </c>
      <c r="E2702" s="33" t="s">
        <v>6869</v>
      </c>
      <c r="F2702" s="33" t="s">
        <v>1937</v>
      </c>
      <c r="G2702" s="33" t="s">
        <v>6419</v>
      </c>
      <c r="H2702" s="84" t="s">
        <v>6870</v>
      </c>
      <c r="I2702" s="23" t="s">
        <v>24</v>
      </c>
      <c r="J2702" s="34">
        <v>80</v>
      </c>
      <c r="K2702" s="35">
        <v>0.25</v>
      </c>
      <c r="L2702" s="36">
        <f t="shared" si="406"/>
        <v>20</v>
      </c>
      <c r="M2702" s="37">
        <f t="shared" si="407"/>
        <v>60</v>
      </c>
      <c r="N2702" s="38">
        <v>0.16</v>
      </c>
      <c r="O2702" s="39">
        <f t="shared" si="408"/>
        <v>9.6</v>
      </c>
      <c r="P2702" s="40">
        <f t="shared" si="409"/>
        <v>69.599999999999994</v>
      </c>
      <c r="Q2702" s="23"/>
      <c r="R2702" s="56"/>
      <c r="S2702" s="57"/>
      <c r="T2702" s="58">
        <f t="shared" si="410"/>
        <v>0</v>
      </c>
      <c r="U2702" s="36">
        <f t="shared" si="411"/>
        <v>0</v>
      </c>
      <c r="V2702" s="59">
        <f t="shared" si="412"/>
        <v>0</v>
      </c>
      <c r="W2702" s="39">
        <f t="shared" si="413"/>
        <v>0</v>
      </c>
      <c r="X2702" s="40">
        <f t="shared" si="414"/>
        <v>0</v>
      </c>
      <c r="Y2702"/>
      <c r="Z2702"/>
      <c r="AA2702"/>
    </row>
    <row r="2703" spans="1:27" s="51" customFormat="1" ht="18.600000000000001" hidden="1" customHeight="1" x14ac:dyDescent="0.25">
      <c r="A2703" s="82" t="s">
        <v>2653</v>
      </c>
      <c r="B2703" s="41" t="s">
        <v>6824</v>
      </c>
      <c r="C2703" s="42" t="s">
        <v>9361</v>
      </c>
      <c r="D2703" s="41" t="s">
        <v>6871</v>
      </c>
      <c r="E2703" s="43" t="s">
        <v>6872</v>
      </c>
      <c r="F2703" s="43" t="s">
        <v>1937</v>
      </c>
      <c r="G2703" s="43" t="s">
        <v>6419</v>
      </c>
      <c r="H2703" s="85" t="s">
        <v>6873</v>
      </c>
      <c r="I2703" s="23" t="s">
        <v>24</v>
      </c>
      <c r="J2703" s="44">
        <v>80</v>
      </c>
      <c r="K2703" s="45">
        <v>0.25</v>
      </c>
      <c r="L2703" s="46">
        <f t="shared" si="406"/>
        <v>20</v>
      </c>
      <c r="M2703" s="47">
        <f t="shared" si="407"/>
        <v>60</v>
      </c>
      <c r="N2703" s="48">
        <v>0.16</v>
      </c>
      <c r="O2703" s="49">
        <f t="shared" si="408"/>
        <v>9.6</v>
      </c>
      <c r="P2703" s="50">
        <f t="shared" si="409"/>
        <v>69.599999999999994</v>
      </c>
      <c r="Q2703" s="23"/>
      <c r="R2703" s="60"/>
      <c r="S2703" s="61"/>
      <c r="T2703" s="62">
        <f t="shared" si="410"/>
        <v>0</v>
      </c>
      <c r="U2703" s="46">
        <f t="shared" si="411"/>
        <v>0</v>
      </c>
      <c r="V2703" s="63">
        <f t="shared" si="412"/>
        <v>0</v>
      </c>
      <c r="W2703" s="49">
        <f t="shared" si="413"/>
        <v>0</v>
      </c>
      <c r="X2703" s="50">
        <f t="shared" si="414"/>
        <v>0</v>
      </c>
      <c r="Y2703"/>
      <c r="Z2703"/>
      <c r="AA2703"/>
    </row>
    <row r="2704" spans="1:27" s="51" customFormat="1" ht="18.600000000000001" hidden="1" customHeight="1" x14ac:dyDescent="0.25">
      <c r="A2704" s="80" t="s">
        <v>2653</v>
      </c>
      <c r="B2704" s="20" t="s">
        <v>6824</v>
      </c>
      <c r="C2704" s="21" t="s">
        <v>9361</v>
      </c>
      <c r="D2704" s="20" t="s">
        <v>6874</v>
      </c>
      <c r="E2704" s="22" t="s">
        <v>6875</v>
      </c>
      <c r="F2704" s="22" t="s">
        <v>1937</v>
      </c>
      <c r="G2704" s="22" t="s">
        <v>6419</v>
      </c>
      <c r="H2704" s="83" t="s">
        <v>6876</v>
      </c>
      <c r="I2704" s="23" t="s">
        <v>24</v>
      </c>
      <c r="J2704" s="24">
        <v>80</v>
      </c>
      <c r="K2704" s="25">
        <v>0.25</v>
      </c>
      <c r="L2704" s="26">
        <f t="shared" si="406"/>
        <v>20</v>
      </c>
      <c r="M2704" s="27">
        <f t="shared" si="407"/>
        <v>60</v>
      </c>
      <c r="N2704" s="28">
        <v>0.16</v>
      </c>
      <c r="O2704" s="29">
        <f t="shared" si="408"/>
        <v>9.6</v>
      </c>
      <c r="P2704" s="30">
        <f t="shared" si="409"/>
        <v>69.599999999999994</v>
      </c>
      <c r="Q2704" s="23"/>
      <c r="R2704" s="52"/>
      <c r="S2704" s="53"/>
      <c r="T2704" s="54">
        <f t="shared" si="410"/>
        <v>0</v>
      </c>
      <c r="U2704" s="26">
        <f t="shared" si="411"/>
        <v>0</v>
      </c>
      <c r="V2704" s="55">
        <f t="shared" si="412"/>
        <v>0</v>
      </c>
      <c r="W2704" s="29">
        <f t="shared" si="413"/>
        <v>0</v>
      </c>
      <c r="X2704" s="30">
        <f t="shared" si="414"/>
        <v>0</v>
      </c>
      <c r="Y2704"/>
      <c r="Z2704"/>
      <c r="AA2704"/>
    </row>
    <row r="2705" spans="1:27" s="51" customFormat="1" ht="18.600000000000001" hidden="1" customHeight="1" x14ac:dyDescent="0.25">
      <c r="A2705" s="81" t="s">
        <v>2653</v>
      </c>
      <c r="B2705" s="31" t="s">
        <v>6824</v>
      </c>
      <c r="C2705" s="32" t="s">
        <v>9361</v>
      </c>
      <c r="D2705" s="31" t="s">
        <v>6877</v>
      </c>
      <c r="E2705" s="33" t="s">
        <v>6878</v>
      </c>
      <c r="F2705" s="33" t="s">
        <v>1937</v>
      </c>
      <c r="G2705" s="33" t="s">
        <v>6419</v>
      </c>
      <c r="H2705" s="84" t="s">
        <v>6879</v>
      </c>
      <c r="I2705" s="23" t="s">
        <v>24</v>
      </c>
      <c r="J2705" s="34">
        <v>80</v>
      </c>
      <c r="K2705" s="35">
        <v>0.25</v>
      </c>
      <c r="L2705" s="36">
        <f t="shared" si="406"/>
        <v>20</v>
      </c>
      <c r="M2705" s="37">
        <f t="shared" si="407"/>
        <v>60</v>
      </c>
      <c r="N2705" s="38">
        <v>0.16</v>
      </c>
      <c r="O2705" s="39">
        <f t="shared" si="408"/>
        <v>9.6</v>
      </c>
      <c r="P2705" s="40">
        <f t="shared" si="409"/>
        <v>69.599999999999994</v>
      </c>
      <c r="Q2705" s="23"/>
      <c r="R2705" s="56"/>
      <c r="S2705" s="57"/>
      <c r="T2705" s="58">
        <f t="shared" si="410"/>
        <v>0</v>
      </c>
      <c r="U2705" s="36">
        <f t="shared" si="411"/>
        <v>0</v>
      </c>
      <c r="V2705" s="59">
        <f t="shared" si="412"/>
        <v>0</v>
      </c>
      <c r="W2705" s="39">
        <f t="shared" si="413"/>
        <v>0</v>
      </c>
      <c r="X2705" s="40">
        <f t="shared" si="414"/>
        <v>0</v>
      </c>
      <c r="Y2705"/>
      <c r="Z2705"/>
      <c r="AA2705"/>
    </row>
    <row r="2706" spans="1:27" s="51" customFormat="1" ht="18.600000000000001" hidden="1" customHeight="1" x14ac:dyDescent="0.25">
      <c r="A2706" s="82" t="s">
        <v>2653</v>
      </c>
      <c r="B2706" s="41" t="s">
        <v>6824</v>
      </c>
      <c r="C2706" s="42" t="s">
        <v>9361</v>
      </c>
      <c r="D2706" s="41" t="s">
        <v>6880</v>
      </c>
      <c r="E2706" s="43" t="s">
        <v>6881</v>
      </c>
      <c r="F2706" s="43" t="s">
        <v>1937</v>
      </c>
      <c r="G2706" s="43" t="s">
        <v>6419</v>
      </c>
      <c r="H2706" s="85" t="s">
        <v>6882</v>
      </c>
      <c r="I2706" s="23" t="s">
        <v>24</v>
      </c>
      <c r="J2706" s="44">
        <v>80</v>
      </c>
      <c r="K2706" s="45">
        <v>0.25</v>
      </c>
      <c r="L2706" s="46">
        <f t="shared" si="406"/>
        <v>20</v>
      </c>
      <c r="M2706" s="47">
        <f t="shared" si="407"/>
        <v>60</v>
      </c>
      <c r="N2706" s="48">
        <v>0.16</v>
      </c>
      <c r="O2706" s="49">
        <f t="shared" si="408"/>
        <v>9.6</v>
      </c>
      <c r="P2706" s="50">
        <f t="shared" si="409"/>
        <v>69.599999999999994</v>
      </c>
      <c r="Q2706" s="23"/>
      <c r="R2706" s="60"/>
      <c r="S2706" s="61"/>
      <c r="T2706" s="62">
        <f t="shared" si="410"/>
        <v>0</v>
      </c>
      <c r="U2706" s="46">
        <f t="shared" si="411"/>
        <v>0</v>
      </c>
      <c r="V2706" s="63">
        <f t="shared" si="412"/>
        <v>0</v>
      </c>
      <c r="W2706" s="49">
        <f t="shared" si="413"/>
        <v>0</v>
      </c>
      <c r="X2706" s="50">
        <f t="shared" si="414"/>
        <v>0</v>
      </c>
      <c r="Y2706"/>
      <c r="Z2706"/>
      <c r="AA2706"/>
    </row>
    <row r="2707" spans="1:27" s="51" customFormat="1" ht="18.600000000000001" hidden="1" customHeight="1" x14ac:dyDescent="0.25">
      <c r="A2707" s="80" t="s">
        <v>2653</v>
      </c>
      <c r="B2707" s="20" t="s">
        <v>6824</v>
      </c>
      <c r="C2707" s="21" t="s">
        <v>9361</v>
      </c>
      <c r="D2707" s="20" t="s">
        <v>6883</v>
      </c>
      <c r="E2707" s="22" t="s">
        <v>6884</v>
      </c>
      <c r="F2707" s="22" t="s">
        <v>1937</v>
      </c>
      <c r="G2707" s="22" t="s">
        <v>6419</v>
      </c>
      <c r="H2707" s="83" t="s">
        <v>6885</v>
      </c>
      <c r="I2707" s="23" t="s">
        <v>24</v>
      </c>
      <c r="J2707" s="24">
        <v>80</v>
      </c>
      <c r="K2707" s="25">
        <v>0.25</v>
      </c>
      <c r="L2707" s="26">
        <f t="shared" si="406"/>
        <v>20</v>
      </c>
      <c r="M2707" s="27">
        <f t="shared" si="407"/>
        <v>60</v>
      </c>
      <c r="N2707" s="28">
        <v>0.16</v>
      </c>
      <c r="O2707" s="29">
        <f t="shared" si="408"/>
        <v>9.6</v>
      </c>
      <c r="P2707" s="30">
        <f t="shared" si="409"/>
        <v>69.599999999999994</v>
      </c>
      <c r="Q2707" s="23"/>
      <c r="R2707" s="52"/>
      <c r="S2707" s="53"/>
      <c r="T2707" s="54">
        <f t="shared" si="410"/>
        <v>0</v>
      </c>
      <c r="U2707" s="26">
        <f t="shared" si="411"/>
        <v>0</v>
      </c>
      <c r="V2707" s="55">
        <f t="shared" si="412"/>
        <v>0</v>
      </c>
      <c r="W2707" s="29">
        <f t="shared" si="413"/>
        <v>0</v>
      </c>
      <c r="X2707" s="30">
        <f t="shared" si="414"/>
        <v>0</v>
      </c>
      <c r="Y2707"/>
      <c r="Z2707"/>
      <c r="AA2707"/>
    </row>
    <row r="2708" spans="1:27" s="51" customFormat="1" ht="18.600000000000001" hidden="1" customHeight="1" x14ac:dyDescent="0.25">
      <c r="A2708" s="81" t="s">
        <v>2653</v>
      </c>
      <c r="B2708" s="31" t="s">
        <v>6824</v>
      </c>
      <c r="C2708" s="32" t="s">
        <v>9361</v>
      </c>
      <c r="D2708" s="31" t="s">
        <v>6886</v>
      </c>
      <c r="E2708" s="33" t="s">
        <v>6887</v>
      </c>
      <c r="F2708" s="33" t="s">
        <v>1937</v>
      </c>
      <c r="G2708" s="33" t="s">
        <v>6419</v>
      </c>
      <c r="H2708" s="84" t="s">
        <v>6888</v>
      </c>
      <c r="I2708" s="23" t="s">
        <v>24</v>
      </c>
      <c r="J2708" s="34">
        <v>80</v>
      </c>
      <c r="K2708" s="35">
        <v>0.25</v>
      </c>
      <c r="L2708" s="36">
        <f t="shared" si="406"/>
        <v>20</v>
      </c>
      <c r="M2708" s="37">
        <f t="shared" si="407"/>
        <v>60</v>
      </c>
      <c r="N2708" s="38">
        <v>0.16</v>
      </c>
      <c r="O2708" s="39">
        <f t="shared" si="408"/>
        <v>9.6</v>
      </c>
      <c r="P2708" s="40">
        <f t="shared" si="409"/>
        <v>69.599999999999994</v>
      </c>
      <c r="Q2708" s="23"/>
      <c r="R2708" s="56"/>
      <c r="S2708" s="57"/>
      <c r="T2708" s="58">
        <f t="shared" si="410"/>
        <v>0</v>
      </c>
      <c r="U2708" s="36">
        <f t="shared" si="411"/>
        <v>0</v>
      </c>
      <c r="V2708" s="59">
        <f t="shared" si="412"/>
        <v>0</v>
      </c>
      <c r="W2708" s="39">
        <f t="shared" si="413"/>
        <v>0</v>
      </c>
      <c r="X2708" s="40">
        <f t="shared" si="414"/>
        <v>0</v>
      </c>
      <c r="Y2708"/>
      <c r="Z2708"/>
      <c r="AA2708"/>
    </row>
    <row r="2709" spans="1:27" s="51" customFormat="1" ht="18.600000000000001" hidden="1" customHeight="1" x14ac:dyDescent="0.25">
      <c r="A2709" s="82" t="s">
        <v>2653</v>
      </c>
      <c r="B2709" s="41" t="s">
        <v>6824</v>
      </c>
      <c r="C2709" s="42" t="s">
        <v>9361</v>
      </c>
      <c r="D2709" s="41" t="s">
        <v>6889</v>
      </c>
      <c r="E2709" s="43" t="s">
        <v>6890</v>
      </c>
      <c r="F2709" s="43" t="s">
        <v>1937</v>
      </c>
      <c r="G2709" s="43" t="s">
        <v>6419</v>
      </c>
      <c r="H2709" s="85" t="s">
        <v>6891</v>
      </c>
      <c r="I2709" s="23" t="s">
        <v>24</v>
      </c>
      <c r="J2709" s="44">
        <v>80</v>
      </c>
      <c r="K2709" s="45">
        <v>0.25</v>
      </c>
      <c r="L2709" s="46">
        <f t="shared" si="406"/>
        <v>20</v>
      </c>
      <c r="M2709" s="47">
        <f t="shared" si="407"/>
        <v>60</v>
      </c>
      <c r="N2709" s="48">
        <v>0.16</v>
      </c>
      <c r="O2709" s="49">
        <f t="shared" si="408"/>
        <v>9.6</v>
      </c>
      <c r="P2709" s="50">
        <f t="shared" si="409"/>
        <v>69.599999999999994</v>
      </c>
      <c r="Q2709" s="23"/>
      <c r="R2709" s="60"/>
      <c r="S2709" s="61"/>
      <c r="T2709" s="62">
        <f t="shared" si="410"/>
        <v>0</v>
      </c>
      <c r="U2709" s="46">
        <f t="shared" si="411"/>
        <v>0</v>
      </c>
      <c r="V2709" s="63">
        <f t="shared" si="412"/>
        <v>0</v>
      </c>
      <c r="W2709" s="49">
        <f t="shared" si="413"/>
        <v>0</v>
      </c>
      <c r="X2709" s="50">
        <f t="shared" si="414"/>
        <v>0</v>
      </c>
      <c r="Y2709"/>
      <c r="Z2709"/>
      <c r="AA2709"/>
    </row>
    <row r="2710" spans="1:27" s="51" customFormat="1" ht="18.600000000000001" hidden="1" customHeight="1" x14ac:dyDescent="0.25">
      <c r="A2710" s="80" t="s">
        <v>2653</v>
      </c>
      <c r="B2710" s="20" t="s">
        <v>6824</v>
      </c>
      <c r="C2710" s="21" t="s">
        <v>9361</v>
      </c>
      <c r="D2710" s="20" t="s">
        <v>6892</v>
      </c>
      <c r="E2710" s="22" t="s">
        <v>6893</v>
      </c>
      <c r="F2710" s="22" t="s">
        <v>1937</v>
      </c>
      <c r="G2710" s="22" t="s">
        <v>6419</v>
      </c>
      <c r="H2710" s="83" t="s">
        <v>6894</v>
      </c>
      <c r="I2710" s="23" t="s">
        <v>24</v>
      </c>
      <c r="J2710" s="24">
        <v>80</v>
      </c>
      <c r="K2710" s="25">
        <v>0.25</v>
      </c>
      <c r="L2710" s="26">
        <f t="shared" si="406"/>
        <v>20</v>
      </c>
      <c r="M2710" s="27">
        <f t="shared" si="407"/>
        <v>60</v>
      </c>
      <c r="N2710" s="28">
        <v>0.16</v>
      </c>
      <c r="O2710" s="29">
        <f t="shared" si="408"/>
        <v>9.6</v>
      </c>
      <c r="P2710" s="30">
        <f t="shared" si="409"/>
        <v>69.599999999999994</v>
      </c>
      <c r="Q2710" s="23"/>
      <c r="R2710" s="52"/>
      <c r="S2710" s="53"/>
      <c r="T2710" s="54">
        <f t="shared" si="410"/>
        <v>0</v>
      </c>
      <c r="U2710" s="26">
        <f t="shared" si="411"/>
        <v>0</v>
      </c>
      <c r="V2710" s="55">
        <f t="shared" si="412"/>
        <v>0</v>
      </c>
      <c r="W2710" s="29">
        <f t="shared" si="413"/>
        <v>0</v>
      </c>
      <c r="X2710" s="30">
        <f t="shared" si="414"/>
        <v>0</v>
      </c>
      <c r="Y2710"/>
      <c r="Z2710"/>
      <c r="AA2710"/>
    </row>
    <row r="2711" spans="1:27" s="51" customFormat="1" ht="18.600000000000001" hidden="1" customHeight="1" x14ac:dyDescent="0.25">
      <c r="A2711" s="81" t="s">
        <v>2653</v>
      </c>
      <c r="B2711" s="31" t="s">
        <v>6824</v>
      </c>
      <c r="C2711" s="32" t="s">
        <v>9361</v>
      </c>
      <c r="D2711" s="31" t="s">
        <v>6895</v>
      </c>
      <c r="E2711" s="33" t="s">
        <v>6896</v>
      </c>
      <c r="F2711" s="33" t="s">
        <v>1937</v>
      </c>
      <c r="G2711" s="33" t="s">
        <v>6419</v>
      </c>
      <c r="H2711" s="84" t="s">
        <v>6897</v>
      </c>
      <c r="I2711" s="23" t="s">
        <v>24</v>
      </c>
      <c r="J2711" s="34">
        <v>80</v>
      </c>
      <c r="K2711" s="35">
        <v>0.25</v>
      </c>
      <c r="L2711" s="36">
        <f t="shared" si="406"/>
        <v>20</v>
      </c>
      <c r="M2711" s="37">
        <f t="shared" si="407"/>
        <v>60</v>
      </c>
      <c r="N2711" s="38">
        <v>0.16</v>
      </c>
      <c r="O2711" s="39">
        <f t="shared" si="408"/>
        <v>9.6</v>
      </c>
      <c r="P2711" s="40">
        <f t="shared" si="409"/>
        <v>69.599999999999994</v>
      </c>
      <c r="Q2711" s="23"/>
      <c r="R2711" s="56"/>
      <c r="S2711" s="57"/>
      <c r="T2711" s="58">
        <f t="shared" si="410"/>
        <v>0</v>
      </c>
      <c r="U2711" s="36">
        <f t="shared" si="411"/>
        <v>0</v>
      </c>
      <c r="V2711" s="59">
        <f t="shared" si="412"/>
        <v>0</v>
      </c>
      <c r="W2711" s="39">
        <f t="shared" si="413"/>
        <v>0</v>
      </c>
      <c r="X2711" s="40">
        <f t="shared" si="414"/>
        <v>0</v>
      </c>
      <c r="Y2711"/>
      <c r="Z2711"/>
      <c r="AA2711"/>
    </row>
    <row r="2712" spans="1:27" s="51" customFormat="1" ht="18.600000000000001" hidden="1" customHeight="1" x14ac:dyDescent="0.25">
      <c r="A2712" s="82" t="s">
        <v>2653</v>
      </c>
      <c r="B2712" s="41" t="s">
        <v>6824</v>
      </c>
      <c r="C2712" s="42" t="s">
        <v>9361</v>
      </c>
      <c r="D2712" s="41" t="s">
        <v>6898</v>
      </c>
      <c r="E2712" s="43" t="s">
        <v>6899</v>
      </c>
      <c r="F2712" s="43" t="s">
        <v>1937</v>
      </c>
      <c r="G2712" s="43" t="s">
        <v>6419</v>
      </c>
      <c r="H2712" s="85" t="s">
        <v>6900</v>
      </c>
      <c r="I2712" s="23" t="s">
        <v>24</v>
      </c>
      <c r="J2712" s="44">
        <v>80</v>
      </c>
      <c r="K2712" s="45">
        <v>0.25</v>
      </c>
      <c r="L2712" s="46">
        <f t="shared" si="406"/>
        <v>20</v>
      </c>
      <c r="M2712" s="47">
        <f t="shared" si="407"/>
        <v>60</v>
      </c>
      <c r="N2712" s="48">
        <v>0.16</v>
      </c>
      <c r="O2712" s="49">
        <f t="shared" si="408"/>
        <v>9.6</v>
      </c>
      <c r="P2712" s="50">
        <f t="shared" si="409"/>
        <v>69.599999999999994</v>
      </c>
      <c r="Q2712" s="23"/>
      <c r="R2712" s="60"/>
      <c r="S2712" s="61"/>
      <c r="T2712" s="62">
        <f t="shared" si="410"/>
        <v>0</v>
      </c>
      <c r="U2712" s="46">
        <f t="shared" si="411"/>
        <v>0</v>
      </c>
      <c r="V2712" s="63">
        <f t="shared" si="412"/>
        <v>0</v>
      </c>
      <c r="W2712" s="49">
        <f t="shared" si="413"/>
        <v>0</v>
      </c>
      <c r="X2712" s="50">
        <f t="shared" si="414"/>
        <v>0</v>
      </c>
      <c r="Y2712"/>
      <c r="Z2712"/>
      <c r="AA2712"/>
    </row>
    <row r="2713" spans="1:27" s="51" customFormat="1" ht="18.600000000000001" hidden="1" customHeight="1" x14ac:dyDescent="0.25">
      <c r="A2713" s="80" t="s">
        <v>2653</v>
      </c>
      <c r="B2713" s="20" t="s">
        <v>6824</v>
      </c>
      <c r="C2713" s="21" t="s">
        <v>9361</v>
      </c>
      <c r="D2713" s="20" t="s">
        <v>6901</v>
      </c>
      <c r="E2713" s="22" t="s">
        <v>6902</v>
      </c>
      <c r="F2713" s="22" t="s">
        <v>1937</v>
      </c>
      <c r="G2713" s="22" t="s">
        <v>6419</v>
      </c>
      <c r="H2713" s="83" t="s">
        <v>6903</v>
      </c>
      <c r="I2713" s="23" t="s">
        <v>24</v>
      </c>
      <c r="J2713" s="24">
        <v>80</v>
      </c>
      <c r="K2713" s="25">
        <v>0.25</v>
      </c>
      <c r="L2713" s="26">
        <f t="shared" si="406"/>
        <v>20</v>
      </c>
      <c r="M2713" s="27">
        <f t="shared" si="407"/>
        <v>60</v>
      </c>
      <c r="N2713" s="28">
        <v>0.16</v>
      </c>
      <c r="O2713" s="29">
        <f t="shared" si="408"/>
        <v>9.6</v>
      </c>
      <c r="P2713" s="30">
        <f t="shared" si="409"/>
        <v>69.599999999999994</v>
      </c>
      <c r="Q2713" s="23"/>
      <c r="R2713" s="52"/>
      <c r="S2713" s="53"/>
      <c r="T2713" s="54">
        <f t="shared" si="410"/>
        <v>0</v>
      </c>
      <c r="U2713" s="26">
        <f t="shared" si="411"/>
        <v>0</v>
      </c>
      <c r="V2713" s="55">
        <f t="shared" si="412"/>
        <v>0</v>
      </c>
      <c r="W2713" s="29">
        <f t="shared" si="413"/>
        <v>0</v>
      </c>
      <c r="X2713" s="30">
        <f t="shared" si="414"/>
        <v>0</v>
      </c>
      <c r="Y2713"/>
      <c r="Z2713"/>
      <c r="AA2713"/>
    </row>
    <row r="2714" spans="1:27" s="51" customFormat="1" ht="18.600000000000001" hidden="1" customHeight="1" x14ac:dyDescent="0.25">
      <c r="A2714" s="81" t="s">
        <v>2653</v>
      </c>
      <c r="B2714" s="31" t="s">
        <v>6824</v>
      </c>
      <c r="C2714" s="32" t="s">
        <v>9361</v>
      </c>
      <c r="D2714" s="31" t="s">
        <v>6904</v>
      </c>
      <c r="E2714" s="33" t="s">
        <v>6905</v>
      </c>
      <c r="F2714" s="33" t="s">
        <v>1937</v>
      </c>
      <c r="G2714" s="33" t="s">
        <v>6419</v>
      </c>
      <c r="H2714" s="84" t="s">
        <v>6906</v>
      </c>
      <c r="I2714" s="23" t="s">
        <v>24</v>
      </c>
      <c r="J2714" s="34">
        <v>80</v>
      </c>
      <c r="K2714" s="35">
        <v>0.25</v>
      </c>
      <c r="L2714" s="36">
        <f t="shared" si="406"/>
        <v>20</v>
      </c>
      <c r="M2714" s="37">
        <f t="shared" si="407"/>
        <v>60</v>
      </c>
      <c r="N2714" s="38">
        <v>0.16</v>
      </c>
      <c r="O2714" s="39">
        <f t="shared" si="408"/>
        <v>9.6</v>
      </c>
      <c r="P2714" s="40">
        <f t="shared" si="409"/>
        <v>69.599999999999994</v>
      </c>
      <c r="Q2714" s="23"/>
      <c r="R2714" s="56"/>
      <c r="S2714" s="57"/>
      <c r="T2714" s="58">
        <f t="shared" si="410"/>
        <v>0</v>
      </c>
      <c r="U2714" s="36">
        <f t="shared" si="411"/>
        <v>0</v>
      </c>
      <c r="V2714" s="59">
        <f t="shared" si="412"/>
        <v>0</v>
      </c>
      <c r="W2714" s="39">
        <f t="shared" si="413"/>
        <v>0</v>
      </c>
      <c r="X2714" s="40">
        <f t="shared" si="414"/>
        <v>0</v>
      </c>
      <c r="Y2714"/>
      <c r="Z2714"/>
      <c r="AA2714"/>
    </row>
    <row r="2715" spans="1:27" s="51" customFormat="1" ht="18.600000000000001" hidden="1" customHeight="1" x14ac:dyDescent="0.25">
      <c r="A2715" s="82" t="s">
        <v>2653</v>
      </c>
      <c r="B2715" s="41" t="s">
        <v>6824</v>
      </c>
      <c r="C2715" s="42" t="s">
        <v>9361</v>
      </c>
      <c r="D2715" s="41" t="s">
        <v>6907</v>
      </c>
      <c r="E2715" s="43" t="s">
        <v>6908</v>
      </c>
      <c r="F2715" s="43" t="s">
        <v>1937</v>
      </c>
      <c r="G2715" s="43" t="s">
        <v>6419</v>
      </c>
      <c r="H2715" s="85" t="s">
        <v>6909</v>
      </c>
      <c r="I2715" s="23" t="s">
        <v>24</v>
      </c>
      <c r="J2715" s="44">
        <v>80</v>
      </c>
      <c r="K2715" s="45">
        <v>0.25</v>
      </c>
      <c r="L2715" s="46">
        <f t="shared" si="406"/>
        <v>20</v>
      </c>
      <c r="M2715" s="47">
        <f t="shared" si="407"/>
        <v>60</v>
      </c>
      <c r="N2715" s="48">
        <v>0.16</v>
      </c>
      <c r="O2715" s="49">
        <f t="shared" si="408"/>
        <v>9.6</v>
      </c>
      <c r="P2715" s="50">
        <f t="shared" si="409"/>
        <v>69.599999999999994</v>
      </c>
      <c r="Q2715" s="23"/>
      <c r="R2715" s="60"/>
      <c r="S2715" s="61"/>
      <c r="T2715" s="62">
        <f t="shared" si="410"/>
        <v>0</v>
      </c>
      <c r="U2715" s="46">
        <f t="shared" si="411"/>
        <v>0</v>
      </c>
      <c r="V2715" s="63">
        <f t="shared" si="412"/>
        <v>0</v>
      </c>
      <c r="W2715" s="49">
        <f t="shared" si="413"/>
        <v>0</v>
      </c>
      <c r="X2715" s="50">
        <f t="shared" si="414"/>
        <v>0</v>
      </c>
      <c r="Y2715"/>
      <c r="Z2715"/>
      <c r="AA2715"/>
    </row>
    <row r="2716" spans="1:27" s="51" customFormat="1" ht="18.600000000000001" hidden="1" customHeight="1" x14ac:dyDescent="0.25">
      <c r="A2716" s="80" t="s">
        <v>2653</v>
      </c>
      <c r="B2716" s="20" t="s">
        <v>6824</v>
      </c>
      <c r="C2716" s="21" t="s">
        <v>9361</v>
      </c>
      <c r="D2716" s="20" t="s">
        <v>6910</v>
      </c>
      <c r="E2716" s="22" t="s">
        <v>6911</v>
      </c>
      <c r="F2716" s="22" t="s">
        <v>1937</v>
      </c>
      <c r="G2716" s="22" t="s">
        <v>6419</v>
      </c>
      <c r="H2716" s="83" t="s">
        <v>6912</v>
      </c>
      <c r="I2716" s="23" t="s">
        <v>24</v>
      </c>
      <c r="J2716" s="24">
        <v>80</v>
      </c>
      <c r="K2716" s="25">
        <v>0.25</v>
      </c>
      <c r="L2716" s="26">
        <f t="shared" si="406"/>
        <v>20</v>
      </c>
      <c r="M2716" s="27">
        <f t="shared" si="407"/>
        <v>60</v>
      </c>
      <c r="N2716" s="28">
        <v>0.16</v>
      </c>
      <c r="O2716" s="29">
        <f t="shared" si="408"/>
        <v>9.6</v>
      </c>
      <c r="P2716" s="30">
        <f t="shared" si="409"/>
        <v>69.599999999999994</v>
      </c>
      <c r="Q2716" s="23"/>
      <c r="R2716" s="52"/>
      <c r="S2716" s="53"/>
      <c r="T2716" s="54">
        <f t="shared" si="410"/>
        <v>0</v>
      </c>
      <c r="U2716" s="26">
        <f t="shared" si="411"/>
        <v>0</v>
      </c>
      <c r="V2716" s="55">
        <f t="shared" si="412"/>
        <v>0</v>
      </c>
      <c r="W2716" s="29">
        <f t="shared" si="413"/>
        <v>0</v>
      </c>
      <c r="X2716" s="30">
        <f t="shared" si="414"/>
        <v>0</v>
      </c>
      <c r="Y2716"/>
      <c r="Z2716"/>
      <c r="AA2716"/>
    </row>
    <row r="2717" spans="1:27" s="51" customFormat="1" ht="18.600000000000001" hidden="1" customHeight="1" x14ac:dyDescent="0.25">
      <c r="A2717" s="81" t="s">
        <v>2653</v>
      </c>
      <c r="B2717" s="31" t="s">
        <v>6824</v>
      </c>
      <c r="C2717" s="32" t="s">
        <v>9361</v>
      </c>
      <c r="D2717" s="31" t="s">
        <v>6913</v>
      </c>
      <c r="E2717" s="33" t="s">
        <v>6914</v>
      </c>
      <c r="F2717" s="33" t="s">
        <v>1937</v>
      </c>
      <c r="G2717" s="33" t="s">
        <v>6419</v>
      </c>
      <c r="H2717" s="84" t="s">
        <v>6915</v>
      </c>
      <c r="I2717" s="23" t="s">
        <v>24</v>
      </c>
      <c r="J2717" s="34">
        <v>80</v>
      </c>
      <c r="K2717" s="35">
        <v>0.25</v>
      </c>
      <c r="L2717" s="36">
        <f t="shared" si="406"/>
        <v>20</v>
      </c>
      <c r="M2717" s="37">
        <f t="shared" si="407"/>
        <v>60</v>
      </c>
      <c r="N2717" s="38">
        <v>0.16</v>
      </c>
      <c r="O2717" s="39">
        <f t="shared" si="408"/>
        <v>9.6</v>
      </c>
      <c r="P2717" s="40">
        <f t="shared" si="409"/>
        <v>69.599999999999994</v>
      </c>
      <c r="Q2717" s="23"/>
      <c r="R2717" s="56"/>
      <c r="S2717" s="57"/>
      <c r="T2717" s="58">
        <f t="shared" si="410"/>
        <v>0</v>
      </c>
      <c r="U2717" s="36">
        <f t="shared" si="411"/>
        <v>0</v>
      </c>
      <c r="V2717" s="59">
        <f t="shared" si="412"/>
        <v>0</v>
      </c>
      <c r="W2717" s="39">
        <f t="shared" si="413"/>
        <v>0</v>
      </c>
      <c r="X2717" s="40">
        <f t="shared" si="414"/>
        <v>0</v>
      </c>
      <c r="Y2717"/>
      <c r="Z2717"/>
      <c r="AA2717"/>
    </row>
    <row r="2718" spans="1:27" s="51" customFormat="1" ht="18.600000000000001" hidden="1" customHeight="1" x14ac:dyDescent="0.25">
      <c r="A2718" s="82" t="s">
        <v>2653</v>
      </c>
      <c r="B2718" s="41" t="s">
        <v>6824</v>
      </c>
      <c r="C2718" s="42" t="s">
        <v>9361</v>
      </c>
      <c r="D2718" s="41" t="s">
        <v>6916</v>
      </c>
      <c r="E2718" s="43" t="s">
        <v>6917</v>
      </c>
      <c r="F2718" s="43" t="s">
        <v>1937</v>
      </c>
      <c r="G2718" s="43" t="s">
        <v>6419</v>
      </c>
      <c r="H2718" s="85" t="s">
        <v>6918</v>
      </c>
      <c r="I2718" s="23" t="s">
        <v>24</v>
      </c>
      <c r="J2718" s="44">
        <v>80</v>
      </c>
      <c r="K2718" s="45">
        <v>0.25</v>
      </c>
      <c r="L2718" s="46">
        <f t="shared" si="406"/>
        <v>20</v>
      </c>
      <c r="M2718" s="47">
        <f t="shared" si="407"/>
        <v>60</v>
      </c>
      <c r="N2718" s="48">
        <v>0.16</v>
      </c>
      <c r="O2718" s="49">
        <f t="shared" si="408"/>
        <v>9.6</v>
      </c>
      <c r="P2718" s="50">
        <f t="shared" si="409"/>
        <v>69.599999999999994</v>
      </c>
      <c r="Q2718" s="23"/>
      <c r="R2718" s="60"/>
      <c r="S2718" s="61"/>
      <c r="T2718" s="62">
        <f t="shared" si="410"/>
        <v>0</v>
      </c>
      <c r="U2718" s="46">
        <f t="shared" si="411"/>
        <v>0</v>
      </c>
      <c r="V2718" s="63">
        <f t="shared" si="412"/>
        <v>0</v>
      </c>
      <c r="W2718" s="49">
        <f t="shared" si="413"/>
        <v>0</v>
      </c>
      <c r="X2718" s="50">
        <f t="shared" si="414"/>
        <v>0</v>
      </c>
      <c r="Y2718"/>
      <c r="Z2718"/>
      <c r="AA2718"/>
    </row>
    <row r="2719" spans="1:27" s="51" customFormat="1" ht="18.600000000000001" hidden="1" customHeight="1" x14ac:dyDescent="0.25">
      <c r="A2719" s="80" t="s">
        <v>2653</v>
      </c>
      <c r="B2719" s="20" t="s">
        <v>6824</v>
      </c>
      <c r="C2719" s="21" t="s">
        <v>9361</v>
      </c>
      <c r="D2719" s="20" t="s">
        <v>6919</v>
      </c>
      <c r="E2719" s="22" t="s">
        <v>6920</v>
      </c>
      <c r="F2719" s="22" t="s">
        <v>1937</v>
      </c>
      <c r="G2719" s="22" t="s">
        <v>6419</v>
      </c>
      <c r="H2719" s="83" t="s">
        <v>6921</v>
      </c>
      <c r="I2719" s="23" t="s">
        <v>24</v>
      </c>
      <c r="J2719" s="24">
        <v>80</v>
      </c>
      <c r="K2719" s="25">
        <v>0.25</v>
      </c>
      <c r="L2719" s="26">
        <f t="shared" si="406"/>
        <v>20</v>
      </c>
      <c r="M2719" s="27">
        <f t="shared" si="407"/>
        <v>60</v>
      </c>
      <c r="N2719" s="28">
        <v>0.16</v>
      </c>
      <c r="O2719" s="29">
        <f t="shared" si="408"/>
        <v>9.6</v>
      </c>
      <c r="P2719" s="30">
        <f t="shared" si="409"/>
        <v>69.599999999999994</v>
      </c>
      <c r="Q2719" s="23"/>
      <c r="R2719" s="52"/>
      <c r="S2719" s="53"/>
      <c r="T2719" s="54">
        <f t="shared" si="410"/>
        <v>0</v>
      </c>
      <c r="U2719" s="26">
        <f t="shared" si="411"/>
        <v>0</v>
      </c>
      <c r="V2719" s="55">
        <f t="shared" si="412"/>
        <v>0</v>
      </c>
      <c r="W2719" s="29">
        <f t="shared" si="413"/>
        <v>0</v>
      </c>
      <c r="X2719" s="30">
        <f t="shared" si="414"/>
        <v>0</v>
      </c>
      <c r="Y2719"/>
      <c r="Z2719"/>
      <c r="AA2719"/>
    </row>
    <row r="2720" spans="1:27" s="51" customFormat="1" ht="18.600000000000001" hidden="1" customHeight="1" x14ac:dyDescent="0.25">
      <c r="A2720" s="81" t="s">
        <v>2653</v>
      </c>
      <c r="B2720" s="31" t="s">
        <v>6824</v>
      </c>
      <c r="C2720" s="32" t="s">
        <v>9361</v>
      </c>
      <c r="D2720" s="31" t="s">
        <v>6922</v>
      </c>
      <c r="E2720" s="33" t="s">
        <v>6923</v>
      </c>
      <c r="F2720" s="33" t="s">
        <v>1937</v>
      </c>
      <c r="G2720" s="33" t="s">
        <v>6419</v>
      </c>
      <c r="H2720" s="84" t="s">
        <v>6924</v>
      </c>
      <c r="I2720" s="23" t="s">
        <v>24</v>
      </c>
      <c r="J2720" s="34">
        <v>80</v>
      </c>
      <c r="K2720" s="35">
        <v>0.25</v>
      </c>
      <c r="L2720" s="36">
        <f t="shared" si="406"/>
        <v>20</v>
      </c>
      <c r="M2720" s="37">
        <f t="shared" si="407"/>
        <v>60</v>
      </c>
      <c r="N2720" s="38">
        <v>0.16</v>
      </c>
      <c r="O2720" s="39">
        <f t="shared" si="408"/>
        <v>9.6</v>
      </c>
      <c r="P2720" s="40">
        <f t="shared" si="409"/>
        <v>69.599999999999994</v>
      </c>
      <c r="Q2720" s="23"/>
      <c r="R2720" s="56"/>
      <c r="S2720" s="57"/>
      <c r="T2720" s="58">
        <f t="shared" si="410"/>
        <v>0</v>
      </c>
      <c r="U2720" s="36">
        <f t="shared" si="411"/>
        <v>0</v>
      </c>
      <c r="V2720" s="59">
        <f t="shared" si="412"/>
        <v>0</v>
      </c>
      <c r="W2720" s="39">
        <f t="shared" si="413"/>
        <v>0</v>
      </c>
      <c r="X2720" s="40">
        <f t="shared" si="414"/>
        <v>0</v>
      </c>
      <c r="Y2720"/>
      <c r="Z2720"/>
      <c r="AA2720"/>
    </row>
    <row r="2721" spans="1:27" s="51" customFormat="1" ht="18.600000000000001" hidden="1" customHeight="1" x14ac:dyDescent="0.25">
      <c r="A2721" s="82" t="s">
        <v>2653</v>
      </c>
      <c r="B2721" s="41" t="s">
        <v>6824</v>
      </c>
      <c r="C2721" s="42" t="s">
        <v>9361</v>
      </c>
      <c r="D2721" s="41" t="s">
        <v>6925</v>
      </c>
      <c r="E2721" s="43" t="s">
        <v>6926</v>
      </c>
      <c r="F2721" s="43" t="s">
        <v>1937</v>
      </c>
      <c r="G2721" s="43" t="s">
        <v>6419</v>
      </c>
      <c r="H2721" s="85" t="s">
        <v>6927</v>
      </c>
      <c r="I2721" s="23" t="s">
        <v>24</v>
      </c>
      <c r="J2721" s="44">
        <v>80</v>
      </c>
      <c r="K2721" s="45">
        <v>0.25</v>
      </c>
      <c r="L2721" s="46">
        <f t="shared" si="406"/>
        <v>20</v>
      </c>
      <c r="M2721" s="47">
        <f t="shared" si="407"/>
        <v>60</v>
      </c>
      <c r="N2721" s="48">
        <v>0.16</v>
      </c>
      <c r="O2721" s="49">
        <f t="shared" si="408"/>
        <v>9.6</v>
      </c>
      <c r="P2721" s="50">
        <f t="shared" si="409"/>
        <v>69.599999999999994</v>
      </c>
      <c r="Q2721" s="23"/>
      <c r="R2721" s="60"/>
      <c r="S2721" s="61"/>
      <c r="T2721" s="62">
        <f t="shared" si="410"/>
        <v>0</v>
      </c>
      <c r="U2721" s="46">
        <f t="shared" si="411"/>
        <v>0</v>
      </c>
      <c r="V2721" s="63">
        <f t="shared" si="412"/>
        <v>0</v>
      </c>
      <c r="W2721" s="49">
        <f t="shared" si="413"/>
        <v>0</v>
      </c>
      <c r="X2721" s="50">
        <f t="shared" si="414"/>
        <v>0</v>
      </c>
      <c r="Y2721"/>
      <c r="Z2721"/>
      <c r="AA2721"/>
    </row>
    <row r="2722" spans="1:27" s="51" customFormat="1" ht="18.600000000000001" hidden="1" customHeight="1" x14ac:dyDescent="0.25">
      <c r="A2722" s="80" t="s">
        <v>2653</v>
      </c>
      <c r="B2722" s="20" t="s">
        <v>6824</v>
      </c>
      <c r="C2722" s="21" t="s">
        <v>9362</v>
      </c>
      <c r="D2722" s="20" t="s">
        <v>6928</v>
      </c>
      <c r="E2722" s="22" t="s">
        <v>6929</v>
      </c>
      <c r="F2722" s="22" t="s">
        <v>1937</v>
      </c>
      <c r="G2722" s="22" t="s">
        <v>6518</v>
      </c>
      <c r="H2722" s="83" t="s">
        <v>6930</v>
      </c>
      <c r="I2722" s="23" t="s">
        <v>24</v>
      </c>
      <c r="J2722" s="24">
        <v>240</v>
      </c>
      <c r="K2722" s="25">
        <v>0.25</v>
      </c>
      <c r="L2722" s="26">
        <f t="shared" si="406"/>
        <v>60</v>
      </c>
      <c r="M2722" s="27">
        <f t="shared" si="407"/>
        <v>180</v>
      </c>
      <c r="N2722" s="28">
        <v>0.16</v>
      </c>
      <c r="O2722" s="29">
        <f t="shared" si="408"/>
        <v>28.8</v>
      </c>
      <c r="P2722" s="30">
        <f t="shared" si="409"/>
        <v>208.8</v>
      </c>
      <c r="Q2722" s="23"/>
      <c r="R2722" s="52"/>
      <c r="S2722" s="53"/>
      <c r="T2722" s="54">
        <f t="shared" si="410"/>
        <v>0</v>
      </c>
      <c r="U2722" s="26">
        <f t="shared" si="411"/>
        <v>0</v>
      </c>
      <c r="V2722" s="55">
        <f t="shared" si="412"/>
        <v>0</v>
      </c>
      <c r="W2722" s="29">
        <f t="shared" si="413"/>
        <v>0</v>
      </c>
      <c r="X2722" s="30">
        <f t="shared" si="414"/>
        <v>0</v>
      </c>
      <c r="Y2722"/>
      <c r="Z2722"/>
      <c r="AA2722"/>
    </row>
    <row r="2723" spans="1:27" s="51" customFormat="1" ht="18.600000000000001" hidden="1" customHeight="1" x14ac:dyDescent="0.25">
      <c r="A2723" s="81" t="s">
        <v>2653</v>
      </c>
      <c r="B2723" s="31" t="s">
        <v>6824</v>
      </c>
      <c r="C2723" s="32" t="s">
        <v>9362</v>
      </c>
      <c r="D2723" s="31" t="s">
        <v>6931</v>
      </c>
      <c r="E2723" s="33" t="s">
        <v>6932</v>
      </c>
      <c r="F2723" s="33" t="s">
        <v>1937</v>
      </c>
      <c r="G2723" s="33" t="s">
        <v>6518</v>
      </c>
      <c r="H2723" s="84" t="s">
        <v>6933</v>
      </c>
      <c r="I2723" s="23" t="s">
        <v>24</v>
      </c>
      <c r="J2723" s="34">
        <v>240</v>
      </c>
      <c r="K2723" s="35">
        <v>0.25</v>
      </c>
      <c r="L2723" s="36">
        <f t="shared" si="406"/>
        <v>60</v>
      </c>
      <c r="M2723" s="37">
        <f t="shared" si="407"/>
        <v>180</v>
      </c>
      <c r="N2723" s="38">
        <v>0.16</v>
      </c>
      <c r="O2723" s="39">
        <f t="shared" si="408"/>
        <v>28.8</v>
      </c>
      <c r="P2723" s="40">
        <f t="shared" si="409"/>
        <v>208.8</v>
      </c>
      <c r="Q2723" s="23"/>
      <c r="R2723" s="56"/>
      <c r="S2723" s="57"/>
      <c r="T2723" s="58">
        <f t="shared" si="410"/>
        <v>0</v>
      </c>
      <c r="U2723" s="36">
        <f t="shared" si="411"/>
        <v>0</v>
      </c>
      <c r="V2723" s="59">
        <f t="shared" si="412"/>
        <v>0</v>
      </c>
      <c r="W2723" s="39">
        <f t="shared" si="413"/>
        <v>0</v>
      </c>
      <c r="X2723" s="40">
        <f t="shared" si="414"/>
        <v>0</v>
      </c>
      <c r="Y2723"/>
      <c r="Z2723"/>
      <c r="AA2723"/>
    </row>
    <row r="2724" spans="1:27" s="51" customFormat="1" ht="18.600000000000001" hidden="1" customHeight="1" x14ac:dyDescent="0.25">
      <c r="A2724" s="82" t="s">
        <v>2653</v>
      </c>
      <c r="B2724" s="41" t="s">
        <v>9363</v>
      </c>
      <c r="C2724" s="42" t="s">
        <v>9321</v>
      </c>
      <c r="D2724" s="41">
        <v>8436535570114</v>
      </c>
      <c r="E2724" s="43" t="s">
        <v>6934</v>
      </c>
      <c r="F2724" s="43" t="s">
        <v>1937</v>
      </c>
      <c r="G2724" s="43" t="s">
        <v>2655</v>
      </c>
      <c r="H2724" s="85" t="s">
        <v>6935</v>
      </c>
      <c r="I2724" s="23" t="s">
        <v>24</v>
      </c>
      <c r="J2724" s="44">
        <v>130</v>
      </c>
      <c r="K2724" s="45">
        <v>0.25</v>
      </c>
      <c r="L2724" s="46">
        <f t="shared" si="406"/>
        <v>32.5</v>
      </c>
      <c r="M2724" s="47">
        <f t="shared" si="407"/>
        <v>97.5</v>
      </c>
      <c r="N2724" s="48">
        <v>0.16</v>
      </c>
      <c r="O2724" s="49">
        <f t="shared" si="408"/>
        <v>15.6</v>
      </c>
      <c r="P2724" s="50">
        <f t="shared" si="409"/>
        <v>113.1</v>
      </c>
      <c r="Q2724" s="23"/>
      <c r="R2724" s="60"/>
      <c r="S2724" s="61"/>
      <c r="T2724" s="62">
        <f t="shared" si="410"/>
        <v>0</v>
      </c>
      <c r="U2724" s="46">
        <f t="shared" si="411"/>
        <v>0</v>
      </c>
      <c r="V2724" s="63">
        <f t="shared" si="412"/>
        <v>0</v>
      </c>
      <c r="W2724" s="49">
        <f t="shared" si="413"/>
        <v>0</v>
      </c>
      <c r="X2724" s="50">
        <f t="shared" si="414"/>
        <v>0</v>
      </c>
      <c r="Y2724"/>
      <c r="Z2724"/>
      <c r="AA2724"/>
    </row>
    <row r="2725" spans="1:27" s="51" customFormat="1" ht="18.600000000000001" hidden="1" customHeight="1" x14ac:dyDescent="0.25">
      <c r="A2725" s="80" t="s">
        <v>2653</v>
      </c>
      <c r="B2725" s="20" t="s">
        <v>9363</v>
      </c>
      <c r="C2725" s="21" t="s">
        <v>9321</v>
      </c>
      <c r="D2725" s="20">
        <v>8436535570473</v>
      </c>
      <c r="E2725" s="22" t="s">
        <v>6936</v>
      </c>
      <c r="F2725" s="22" t="s">
        <v>1937</v>
      </c>
      <c r="G2725" s="22" t="s">
        <v>5026</v>
      </c>
      <c r="H2725" s="83" t="s">
        <v>6937</v>
      </c>
      <c r="I2725" s="23" t="s">
        <v>24</v>
      </c>
      <c r="J2725" s="24">
        <v>220</v>
      </c>
      <c r="K2725" s="25">
        <v>0.25</v>
      </c>
      <c r="L2725" s="26">
        <f t="shared" si="406"/>
        <v>55</v>
      </c>
      <c r="M2725" s="27">
        <f t="shared" si="407"/>
        <v>165</v>
      </c>
      <c r="N2725" s="28">
        <v>0.16</v>
      </c>
      <c r="O2725" s="29">
        <f t="shared" si="408"/>
        <v>26.400000000000002</v>
      </c>
      <c r="P2725" s="30">
        <f t="shared" si="409"/>
        <v>191.4</v>
      </c>
      <c r="Q2725" s="23"/>
      <c r="R2725" s="52"/>
      <c r="S2725" s="53"/>
      <c r="T2725" s="54">
        <f t="shared" si="410"/>
        <v>0</v>
      </c>
      <c r="U2725" s="26">
        <f t="shared" si="411"/>
        <v>0</v>
      </c>
      <c r="V2725" s="55">
        <f t="shared" si="412"/>
        <v>0</v>
      </c>
      <c r="W2725" s="29">
        <f t="shared" si="413"/>
        <v>0</v>
      </c>
      <c r="X2725" s="30">
        <f t="shared" si="414"/>
        <v>0</v>
      </c>
      <c r="Y2725"/>
      <c r="Z2725"/>
      <c r="AA2725"/>
    </row>
    <row r="2726" spans="1:27" s="51" customFormat="1" ht="18.600000000000001" hidden="1" customHeight="1" x14ac:dyDescent="0.25">
      <c r="A2726" s="81" t="s">
        <v>2653</v>
      </c>
      <c r="B2726" s="31" t="s">
        <v>9363</v>
      </c>
      <c r="C2726" s="32" t="s">
        <v>9321</v>
      </c>
      <c r="D2726" s="31">
        <v>8436535570497</v>
      </c>
      <c r="E2726" s="33" t="s">
        <v>6938</v>
      </c>
      <c r="F2726" s="33" t="s">
        <v>1937</v>
      </c>
      <c r="G2726" s="33" t="s">
        <v>2655</v>
      </c>
      <c r="H2726" s="84" t="s">
        <v>6939</v>
      </c>
      <c r="I2726" s="23" t="s">
        <v>24</v>
      </c>
      <c r="J2726" s="34">
        <v>130</v>
      </c>
      <c r="K2726" s="35">
        <v>0.25</v>
      </c>
      <c r="L2726" s="36">
        <f t="shared" ref="L2726:L2789" si="415">+J2726*K2726</f>
        <v>32.5</v>
      </c>
      <c r="M2726" s="37">
        <f t="shared" ref="M2726:M2789" si="416">+J2726-L2726</f>
        <v>97.5</v>
      </c>
      <c r="N2726" s="38">
        <v>0.16</v>
      </c>
      <c r="O2726" s="39">
        <f t="shared" ref="O2726:O2789" si="417">+M2726*N2726</f>
        <v>15.6</v>
      </c>
      <c r="P2726" s="40">
        <f t="shared" ref="P2726:P2789" si="418">+M2726+O2726</f>
        <v>113.1</v>
      </c>
      <c r="Q2726" s="23"/>
      <c r="R2726" s="56"/>
      <c r="S2726" s="57"/>
      <c r="T2726" s="58">
        <f t="shared" ref="T2726:T2789" si="419">+S2726*J2726</f>
        <v>0</v>
      </c>
      <c r="U2726" s="36">
        <f t="shared" ref="U2726:U2789" si="420">+T2726*K2726</f>
        <v>0</v>
      </c>
      <c r="V2726" s="59">
        <f t="shared" ref="V2726:V2789" si="421">+T2726-U2726</f>
        <v>0</v>
      </c>
      <c r="W2726" s="39">
        <f t="shared" ref="W2726:W2789" si="422">+V2726*N2726</f>
        <v>0</v>
      </c>
      <c r="X2726" s="40">
        <f t="shared" ref="X2726:X2789" si="423">+V2726+W2726</f>
        <v>0</v>
      </c>
      <c r="Y2726"/>
      <c r="Z2726"/>
      <c r="AA2726"/>
    </row>
    <row r="2727" spans="1:27" s="51" customFormat="1" ht="18.600000000000001" hidden="1" customHeight="1" x14ac:dyDescent="0.25">
      <c r="A2727" s="82" t="s">
        <v>2653</v>
      </c>
      <c r="B2727" s="41" t="s">
        <v>9363</v>
      </c>
      <c r="C2727" s="42" t="s">
        <v>9321</v>
      </c>
      <c r="D2727" s="41">
        <v>8436535570503</v>
      </c>
      <c r="E2727" s="43" t="s">
        <v>6940</v>
      </c>
      <c r="F2727" s="43" t="s">
        <v>1937</v>
      </c>
      <c r="G2727" s="43" t="s">
        <v>5026</v>
      </c>
      <c r="H2727" s="85" t="s">
        <v>6941</v>
      </c>
      <c r="I2727" s="23" t="s">
        <v>24</v>
      </c>
      <c r="J2727" s="44">
        <v>220</v>
      </c>
      <c r="K2727" s="45">
        <v>0.25</v>
      </c>
      <c r="L2727" s="46">
        <f t="shared" si="415"/>
        <v>55</v>
      </c>
      <c r="M2727" s="47">
        <f t="shared" si="416"/>
        <v>165</v>
      </c>
      <c r="N2727" s="48">
        <v>0.16</v>
      </c>
      <c r="O2727" s="49">
        <f t="shared" si="417"/>
        <v>26.400000000000002</v>
      </c>
      <c r="P2727" s="50">
        <f t="shared" si="418"/>
        <v>191.4</v>
      </c>
      <c r="Q2727" s="23"/>
      <c r="R2727" s="60"/>
      <c r="S2727" s="61"/>
      <c r="T2727" s="62">
        <f t="shared" si="419"/>
        <v>0</v>
      </c>
      <c r="U2727" s="46">
        <f t="shared" si="420"/>
        <v>0</v>
      </c>
      <c r="V2727" s="63">
        <f t="shared" si="421"/>
        <v>0</v>
      </c>
      <c r="W2727" s="49">
        <f t="shared" si="422"/>
        <v>0</v>
      </c>
      <c r="X2727" s="50">
        <f t="shared" si="423"/>
        <v>0</v>
      </c>
      <c r="Y2727"/>
      <c r="Z2727"/>
      <c r="AA2727"/>
    </row>
    <row r="2728" spans="1:27" s="51" customFormat="1" ht="18.600000000000001" hidden="1" customHeight="1" x14ac:dyDescent="0.25">
      <c r="A2728" s="80" t="s">
        <v>2653</v>
      </c>
      <c r="B2728" s="20" t="s">
        <v>9363</v>
      </c>
      <c r="C2728" s="21" t="s">
        <v>9321</v>
      </c>
      <c r="D2728" s="20">
        <v>8436535571180</v>
      </c>
      <c r="E2728" s="22" t="s">
        <v>6942</v>
      </c>
      <c r="F2728" s="22" t="s">
        <v>1937</v>
      </c>
      <c r="G2728" s="22" t="s">
        <v>5026</v>
      </c>
      <c r="H2728" s="83" t="s">
        <v>6943</v>
      </c>
      <c r="I2728" s="23" t="s">
        <v>24</v>
      </c>
      <c r="J2728" s="24">
        <v>220</v>
      </c>
      <c r="K2728" s="25">
        <v>0.25</v>
      </c>
      <c r="L2728" s="26">
        <f t="shared" si="415"/>
        <v>55</v>
      </c>
      <c r="M2728" s="27">
        <f t="shared" si="416"/>
        <v>165</v>
      </c>
      <c r="N2728" s="28">
        <v>0.16</v>
      </c>
      <c r="O2728" s="29">
        <f t="shared" si="417"/>
        <v>26.400000000000002</v>
      </c>
      <c r="P2728" s="30">
        <f t="shared" si="418"/>
        <v>191.4</v>
      </c>
      <c r="Q2728" s="23"/>
      <c r="R2728" s="52"/>
      <c r="S2728" s="53"/>
      <c r="T2728" s="54">
        <f t="shared" si="419"/>
        <v>0</v>
      </c>
      <c r="U2728" s="26">
        <f t="shared" si="420"/>
        <v>0</v>
      </c>
      <c r="V2728" s="55">
        <f t="shared" si="421"/>
        <v>0</v>
      </c>
      <c r="W2728" s="29">
        <f t="shared" si="422"/>
        <v>0</v>
      </c>
      <c r="X2728" s="30">
        <f t="shared" si="423"/>
        <v>0</v>
      </c>
      <c r="Y2728"/>
      <c r="Z2728"/>
      <c r="AA2728"/>
    </row>
    <row r="2729" spans="1:27" s="51" customFormat="1" ht="18.600000000000001" hidden="1" customHeight="1" x14ac:dyDescent="0.25">
      <c r="A2729" s="81" t="s">
        <v>2653</v>
      </c>
      <c r="B2729" s="31" t="s">
        <v>9363</v>
      </c>
      <c r="C2729" s="32" t="s">
        <v>9321</v>
      </c>
      <c r="D2729" s="31">
        <v>8436535571197</v>
      </c>
      <c r="E2729" s="33" t="s">
        <v>6944</v>
      </c>
      <c r="F2729" s="33" t="s">
        <v>1937</v>
      </c>
      <c r="G2729" s="33" t="s">
        <v>5026</v>
      </c>
      <c r="H2729" s="84" t="s">
        <v>6945</v>
      </c>
      <c r="I2729" s="23" t="s">
        <v>24</v>
      </c>
      <c r="J2729" s="34">
        <v>210</v>
      </c>
      <c r="K2729" s="35">
        <v>0.25</v>
      </c>
      <c r="L2729" s="36">
        <f t="shared" si="415"/>
        <v>52.5</v>
      </c>
      <c r="M2729" s="37">
        <f t="shared" si="416"/>
        <v>157.5</v>
      </c>
      <c r="N2729" s="38">
        <v>0.16</v>
      </c>
      <c r="O2729" s="39">
        <f t="shared" si="417"/>
        <v>25.2</v>
      </c>
      <c r="P2729" s="40">
        <f t="shared" si="418"/>
        <v>182.7</v>
      </c>
      <c r="Q2729" s="23"/>
      <c r="R2729" s="56"/>
      <c r="S2729" s="57"/>
      <c r="T2729" s="58">
        <f t="shared" si="419"/>
        <v>0</v>
      </c>
      <c r="U2729" s="36">
        <f t="shared" si="420"/>
        <v>0</v>
      </c>
      <c r="V2729" s="59">
        <f t="shared" si="421"/>
        <v>0</v>
      </c>
      <c r="W2729" s="39">
        <f t="shared" si="422"/>
        <v>0</v>
      </c>
      <c r="X2729" s="40">
        <f t="shared" si="423"/>
        <v>0</v>
      </c>
      <c r="Y2729"/>
      <c r="Z2729"/>
      <c r="AA2729"/>
    </row>
    <row r="2730" spans="1:27" s="51" customFormat="1" ht="18.600000000000001" hidden="1" customHeight="1" x14ac:dyDescent="0.25">
      <c r="A2730" s="82" t="s">
        <v>2653</v>
      </c>
      <c r="B2730" s="41" t="s">
        <v>9363</v>
      </c>
      <c r="C2730" s="42" t="s">
        <v>9321</v>
      </c>
      <c r="D2730" s="41">
        <v>8436535571593</v>
      </c>
      <c r="E2730" s="43" t="s">
        <v>6946</v>
      </c>
      <c r="F2730" s="43" t="s">
        <v>1937</v>
      </c>
      <c r="G2730" s="43" t="s">
        <v>5026</v>
      </c>
      <c r="H2730" s="85" t="s">
        <v>6947</v>
      </c>
      <c r="I2730" s="23" t="s">
        <v>24</v>
      </c>
      <c r="J2730" s="44">
        <v>255</v>
      </c>
      <c r="K2730" s="45">
        <v>0.25</v>
      </c>
      <c r="L2730" s="46">
        <f t="shared" si="415"/>
        <v>63.75</v>
      </c>
      <c r="M2730" s="47">
        <f t="shared" si="416"/>
        <v>191.25</v>
      </c>
      <c r="N2730" s="48">
        <v>0.16</v>
      </c>
      <c r="O2730" s="49">
        <f t="shared" si="417"/>
        <v>30.6</v>
      </c>
      <c r="P2730" s="50">
        <f t="shared" si="418"/>
        <v>221.85</v>
      </c>
      <c r="Q2730" s="23"/>
      <c r="R2730" s="60"/>
      <c r="S2730" s="61"/>
      <c r="T2730" s="62">
        <f t="shared" si="419"/>
        <v>0</v>
      </c>
      <c r="U2730" s="46">
        <f t="shared" si="420"/>
        <v>0</v>
      </c>
      <c r="V2730" s="63">
        <f t="shared" si="421"/>
        <v>0</v>
      </c>
      <c r="W2730" s="49">
        <f t="shared" si="422"/>
        <v>0</v>
      </c>
      <c r="X2730" s="50">
        <f t="shared" si="423"/>
        <v>0</v>
      </c>
      <c r="Y2730"/>
      <c r="Z2730"/>
      <c r="AA2730"/>
    </row>
    <row r="2731" spans="1:27" s="51" customFormat="1" ht="18.600000000000001" hidden="1" customHeight="1" x14ac:dyDescent="0.25">
      <c r="A2731" s="80" t="s">
        <v>2653</v>
      </c>
      <c r="B2731" s="20" t="s">
        <v>9363</v>
      </c>
      <c r="C2731" s="21" t="s">
        <v>9321</v>
      </c>
      <c r="D2731" s="20">
        <v>8436535571746</v>
      </c>
      <c r="E2731" s="22" t="s">
        <v>6948</v>
      </c>
      <c r="F2731" s="22" t="s">
        <v>1937</v>
      </c>
      <c r="G2731" s="22" t="s">
        <v>5026</v>
      </c>
      <c r="H2731" s="83" t="s">
        <v>6949</v>
      </c>
      <c r="I2731" s="23" t="s">
        <v>24</v>
      </c>
      <c r="J2731" s="24">
        <v>255</v>
      </c>
      <c r="K2731" s="25">
        <v>0.25</v>
      </c>
      <c r="L2731" s="26">
        <f t="shared" si="415"/>
        <v>63.75</v>
      </c>
      <c r="M2731" s="27">
        <f t="shared" si="416"/>
        <v>191.25</v>
      </c>
      <c r="N2731" s="28">
        <v>0.16</v>
      </c>
      <c r="O2731" s="29">
        <f t="shared" si="417"/>
        <v>30.6</v>
      </c>
      <c r="P2731" s="30">
        <f t="shared" si="418"/>
        <v>221.85</v>
      </c>
      <c r="Q2731" s="23"/>
      <c r="R2731" s="52"/>
      <c r="S2731" s="53"/>
      <c r="T2731" s="54">
        <f t="shared" si="419"/>
        <v>0</v>
      </c>
      <c r="U2731" s="26">
        <f t="shared" si="420"/>
        <v>0</v>
      </c>
      <c r="V2731" s="55">
        <f t="shared" si="421"/>
        <v>0</v>
      </c>
      <c r="W2731" s="29">
        <f t="shared" si="422"/>
        <v>0</v>
      </c>
      <c r="X2731" s="30">
        <f t="shared" si="423"/>
        <v>0</v>
      </c>
      <c r="Y2731"/>
      <c r="Z2731"/>
      <c r="AA2731"/>
    </row>
    <row r="2732" spans="1:27" s="51" customFormat="1" ht="18.600000000000001" hidden="1" customHeight="1" x14ac:dyDescent="0.25">
      <c r="A2732" s="81" t="s">
        <v>2653</v>
      </c>
      <c r="B2732" s="31" t="s">
        <v>9363</v>
      </c>
      <c r="C2732" s="32" t="s">
        <v>9321</v>
      </c>
      <c r="D2732" s="31">
        <v>8436535571869</v>
      </c>
      <c r="E2732" s="33" t="s">
        <v>6950</v>
      </c>
      <c r="F2732" s="33" t="s">
        <v>1937</v>
      </c>
      <c r="G2732" s="33" t="s">
        <v>5026</v>
      </c>
      <c r="H2732" s="84" t="s">
        <v>6951</v>
      </c>
      <c r="I2732" s="23" t="s">
        <v>24</v>
      </c>
      <c r="J2732" s="34">
        <v>235</v>
      </c>
      <c r="K2732" s="35">
        <v>0.25</v>
      </c>
      <c r="L2732" s="36">
        <f t="shared" si="415"/>
        <v>58.75</v>
      </c>
      <c r="M2732" s="37">
        <f t="shared" si="416"/>
        <v>176.25</v>
      </c>
      <c r="N2732" s="38">
        <v>0.16</v>
      </c>
      <c r="O2732" s="39">
        <f t="shared" si="417"/>
        <v>28.2</v>
      </c>
      <c r="P2732" s="40">
        <f t="shared" si="418"/>
        <v>204.45</v>
      </c>
      <c r="Q2732" s="23"/>
      <c r="R2732" s="56"/>
      <c r="S2732" s="57"/>
      <c r="T2732" s="58">
        <f t="shared" si="419"/>
        <v>0</v>
      </c>
      <c r="U2732" s="36">
        <f t="shared" si="420"/>
        <v>0</v>
      </c>
      <c r="V2732" s="59">
        <f t="shared" si="421"/>
        <v>0</v>
      </c>
      <c r="W2732" s="39">
        <f t="shared" si="422"/>
        <v>0</v>
      </c>
      <c r="X2732" s="40">
        <f t="shared" si="423"/>
        <v>0</v>
      </c>
      <c r="Y2732"/>
      <c r="Z2732"/>
      <c r="AA2732"/>
    </row>
    <row r="2733" spans="1:27" s="51" customFormat="1" ht="18.600000000000001" hidden="1" customHeight="1" x14ac:dyDescent="0.25">
      <c r="A2733" s="82" t="s">
        <v>2653</v>
      </c>
      <c r="B2733" s="41" t="s">
        <v>9363</v>
      </c>
      <c r="C2733" s="42" t="s">
        <v>9321</v>
      </c>
      <c r="D2733" s="41" t="s">
        <v>6952</v>
      </c>
      <c r="E2733" s="43" t="s">
        <v>9565</v>
      </c>
      <c r="F2733" s="43" t="s">
        <v>1937</v>
      </c>
      <c r="G2733" s="43" t="s">
        <v>6953</v>
      </c>
      <c r="H2733" s="85" t="s">
        <v>6954</v>
      </c>
      <c r="I2733" s="23" t="s">
        <v>24</v>
      </c>
      <c r="J2733" s="44">
        <v>385</v>
      </c>
      <c r="K2733" s="45">
        <v>0.25</v>
      </c>
      <c r="L2733" s="46">
        <f t="shared" si="415"/>
        <v>96.25</v>
      </c>
      <c r="M2733" s="47">
        <f t="shared" si="416"/>
        <v>288.75</v>
      </c>
      <c r="N2733" s="48">
        <v>0.16</v>
      </c>
      <c r="O2733" s="49">
        <f t="shared" si="417"/>
        <v>46.2</v>
      </c>
      <c r="P2733" s="50">
        <f t="shared" si="418"/>
        <v>334.95</v>
      </c>
      <c r="Q2733" s="23"/>
      <c r="R2733" s="60"/>
      <c r="S2733" s="61"/>
      <c r="T2733" s="62">
        <f t="shared" si="419"/>
        <v>0</v>
      </c>
      <c r="U2733" s="46">
        <f t="shared" si="420"/>
        <v>0</v>
      </c>
      <c r="V2733" s="63">
        <f t="shared" si="421"/>
        <v>0</v>
      </c>
      <c r="W2733" s="49">
        <f t="shared" si="422"/>
        <v>0</v>
      </c>
      <c r="X2733" s="50">
        <f t="shared" si="423"/>
        <v>0</v>
      </c>
      <c r="Y2733"/>
      <c r="Z2733"/>
      <c r="AA2733"/>
    </row>
    <row r="2734" spans="1:27" s="51" customFormat="1" ht="18.600000000000001" hidden="1" customHeight="1" x14ac:dyDescent="0.25">
      <c r="A2734" s="80" t="s">
        <v>2653</v>
      </c>
      <c r="B2734" s="20" t="s">
        <v>9363</v>
      </c>
      <c r="C2734" s="21" t="s">
        <v>9321</v>
      </c>
      <c r="D2734" s="20" t="s">
        <v>9476</v>
      </c>
      <c r="E2734" s="22" t="s">
        <v>9566</v>
      </c>
      <c r="F2734" s="22" t="s">
        <v>1937</v>
      </c>
      <c r="G2734" s="22"/>
      <c r="H2734" s="83" t="s">
        <v>9694</v>
      </c>
      <c r="I2734" s="23" t="s">
        <v>24</v>
      </c>
      <c r="J2734" s="24">
        <v>100</v>
      </c>
      <c r="K2734" s="25">
        <v>0.25</v>
      </c>
      <c r="L2734" s="26">
        <f t="shared" si="415"/>
        <v>25</v>
      </c>
      <c r="M2734" s="27">
        <f t="shared" si="416"/>
        <v>75</v>
      </c>
      <c r="N2734" s="28">
        <v>0.16</v>
      </c>
      <c r="O2734" s="29">
        <f t="shared" si="417"/>
        <v>12</v>
      </c>
      <c r="P2734" s="30">
        <f t="shared" si="418"/>
        <v>87</v>
      </c>
      <c r="Q2734" s="23"/>
      <c r="R2734" s="52"/>
      <c r="S2734" s="53"/>
      <c r="T2734" s="54">
        <f t="shared" si="419"/>
        <v>0</v>
      </c>
      <c r="U2734" s="26">
        <f t="shared" si="420"/>
        <v>0</v>
      </c>
      <c r="V2734" s="55">
        <f t="shared" si="421"/>
        <v>0</v>
      </c>
      <c r="W2734" s="29">
        <f t="shared" si="422"/>
        <v>0</v>
      </c>
      <c r="X2734" s="30">
        <f t="shared" si="423"/>
        <v>0</v>
      </c>
      <c r="Y2734"/>
      <c r="Z2734"/>
      <c r="AA2734"/>
    </row>
    <row r="2735" spans="1:27" s="51" customFormat="1" ht="18.600000000000001" hidden="1" customHeight="1" x14ac:dyDescent="0.25">
      <c r="A2735" s="81" t="s">
        <v>2653</v>
      </c>
      <c r="B2735" s="31" t="s">
        <v>9363</v>
      </c>
      <c r="C2735" s="32" t="s">
        <v>9321</v>
      </c>
      <c r="D2735" s="31" t="s">
        <v>9477</v>
      </c>
      <c r="E2735" s="33" t="s">
        <v>9567</v>
      </c>
      <c r="F2735" s="33" t="s">
        <v>1937</v>
      </c>
      <c r="G2735" s="33"/>
      <c r="H2735" s="84" t="s">
        <v>9695</v>
      </c>
      <c r="I2735" s="23" t="s">
        <v>24</v>
      </c>
      <c r="J2735" s="34">
        <v>100</v>
      </c>
      <c r="K2735" s="35">
        <v>0.25</v>
      </c>
      <c r="L2735" s="36">
        <f t="shared" si="415"/>
        <v>25</v>
      </c>
      <c r="M2735" s="37">
        <f t="shared" si="416"/>
        <v>75</v>
      </c>
      <c r="N2735" s="38">
        <v>0.16</v>
      </c>
      <c r="O2735" s="39">
        <f t="shared" si="417"/>
        <v>12</v>
      </c>
      <c r="P2735" s="40">
        <f t="shared" si="418"/>
        <v>87</v>
      </c>
      <c r="Q2735" s="23"/>
      <c r="R2735" s="56"/>
      <c r="S2735" s="57"/>
      <c r="T2735" s="58">
        <f t="shared" si="419"/>
        <v>0</v>
      </c>
      <c r="U2735" s="36">
        <f t="shared" si="420"/>
        <v>0</v>
      </c>
      <c r="V2735" s="59">
        <f t="shared" si="421"/>
        <v>0</v>
      </c>
      <c r="W2735" s="39">
        <f t="shared" si="422"/>
        <v>0</v>
      </c>
      <c r="X2735" s="40">
        <f t="shared" si="423"/>
        <v>0</v>
      </c>
      <c r="Y2735"/>
      <c r="Z2735"/>
      <c r="AA2735"/>
    </row>
    <row r="2736" spans="1:27" s="51" customFormat="1" ht="18.600000000000001" hidden="1" customHeight="1" x14ac:dyDescent="0.25">
      <c r="A2736" s="82" t="s">
        <v>2653</v>
      </c>
      <c r="B2736" s="41" t="s">
        <v>9363</v>
      </c>
      <c r="C2736" s="42" t="s">
        <v>9321</v>
      </c>
      <c r="D2736" s="41">
        <v>8436535575829</v>
      </c>
      <c r="E2736" s="43" t="s">
        <v>6955</v>
      </c>
      <c r="F2736" s="43" t="s">
        <v>1937</v>
      </c>
      <c r="G2736" s="43" t="s">
        <v>5026</v>
      </c>
      <c r="H2736" s="85" t="s">
        <v>6956</v>
      </c>
      <c r="I2736" s="23" t="s">
        <v>24</v>
      </c>
      <c r="J2736" s="44">
        <v>220</v>
      </c>
      <c r="K2736" s="45">
        <v>0.25</v>
      </c>
      <c r="L2736" s="46">
        <f t="shared" si="415"/>
        <v>55</v>
      </c>
      <c r="M2736" s="47">
        <f t="shared" si="416"/>
        <v>165</v>
      </c>
      <c r="N2736" s="48">
        <v>0.16</v>
      </c>
      <c r="O2736" s="49">
        <f t="shared" si="417"/>
        <v>26.400000000000002</v>
      </c>
      <c r="P2736" s="50">
        <f t="shared" si="418"/>
        <v>191.4</v>
      </c>
      <c r="Q2736" s="23"/>
      <c r="R2736" s="60"/>
      <c r="S2736" s="61"/>
      <c r="T2736" s="62">
        <f t="shared" si="419"/>
        <v>0</v>
      </c>
      <c r="U2736" s="46">
        <f t="shared" si="420"/>
        <v>0</v>
      </c>
      <c r="V2736" s="63">
        <f t="shared" si="421"/>
        <v>0</v>
      </c>
      <c r="W2736" s="49">
        <f t="shared" si="422"/>
        <v>0</v>
      </c>
      <c r="X2736" s="50">
        <f t="shared" si="423"/>
        <v>0</v>
      </c>
      <c r="Y2736"/>
      <c r="Z2736"/>
      <c r="AA2736"/>
    </row>
    <row r="2737" spans="1:27" s="51" customFormat="1" ht="18.600000000000001" hidden="1" customHeight="1" x14ac:dyDescent="0.25">
      <c r="A2737" s="80" t="s">
        <v>2653</v>
      </c>
      <c r="B2737" s="20" t="s">
        <v>9363</v>
      </c>
      <c r="C2737" s="21" t="s">
        <v>9321</v>
      </c>
      <c r="D2737" s="20">
        <v>8436535576178</v>
      </c>
      <c r="E2737" s="22" t="s">
        <v>6957</v>
      </c>
      <c r="F2737" s="22" t="s">
        <v>1937</v>
      </c>
      <c r="G2737" s="22" t="s">
        <v>5026</v>
      </c>
      <c r="H2737" s="83" t="s">
        <v>6958</v>
      </c>
      <c r="I2737" s="23" t="s">
        <v>24</v>
      </c>
      <c r="J2737" s="24">
        <v>210</v>
      </c>
      <c r="K2737" s="25">
        <v>0.25</v>
      </c>
      <c r="L2737" s="26">
        <f t="shared" si="415"/>
        <v>52.5</v>
      </c>
      <c r="M2737" s="27">
        <f t="shared" si="416"/>
        <v>157.5</v>
      </c>
      <c r="N2737" s="28">
        <v>0.16</v>
      </c>
      <c r="O2737" s="29">
        <f t="shared" si="417"/>
        <v>25.2</v>
      </c>
      <c r="P2737" s="30">
        <f t="shared" si="418"/>
        <v>182.7</v>
      </c>
      <c r="Q2737" s="23"/>
      <c r="R2737" s="52"/>
      <c r="S2737" s="53"/>
      <c r="T2737" s="54">
        <f t="shared" si="419"/>
        <v>0</v>
      </c>
      <c r="U2737" s="26">
        <f t="shared" si="420"/>
        <v>0</v>
      </c>
      <c r="V2737" s="55">
        <f t="shared" si="421"/>
        <v>0</v>
      </c>
      <c r="W2737" s="29">
        <f t="shared" si="422"/>
        <v>0</v>
      </c>
      <c r="X2737" s="30">
        <f t="shared" si="423"/>
        <v>0</v>
      </c>
      <c r="Y2737"/>
      <c r="Z2737"/>
      <c r="AA2737"/>
    </row>
    <row r="2738" spans="1:27" s="51" customFormat="1" ht="18.600000000000001" hidden="1" customHeight="1" x14ac:dyDescent="0.25">
      <c r="A2738" s="81" t="s">
        <v>2653</v>
      </c>
      <c r="B2738" s="31" t="s">
        <v>9363</v>
      </c>
      <c r="C2738" s="32" t="s">
        <v>9321</v>
      </c>
      <c r="D2738" s="31">
        <v>8436535576659</v>
      </c>
      <c r="E2738" s="33" t="s">
        <v>6959</v>
      </c>
      <c r="F2738" s="33" t="s">
        <v>1937</v>
      </c>
      <c r="G2738" s="33" t="s">
        <v>5026</v>
      </c>
      <c r="H2738" s="84" t="s">
        <v>6960</v>
      </c>
      <c r="I2738" s="23" t="s">
        <v>24</v>
      </c>
      <c r="J2738" s="34">
        <v>220</v>
      </c>
      <c r="K2738" s="35">
        <v>0.25</v>
      </c>
      <c r="L2738" s="36">
        <f t="shared" si="415"/>
        <v>55</v>
      </c>
      <c r="M2738" s="37">
        <f t="shared" si="416"/>
        <v>165</v>
      </c>
      <c r="N2738" s="38">
        <v>0.16</v>
      </c>
      <c r="O2738" s="39">
        <f t="shared" si="417"/>
        <v>26.400000000000002</v>
      </c>
      <c r="P2738" s="40">
        <f t="shared" si="418"/>
        <v>191.4</v>
      </c>
      <c r="Q2738" s="23"/>
      <c r="R2738" s="56"/>
      <c r="S2738" s="57"/>
      <c r="T2738" s="58">
        <f t="shared" si="419"/>
        <v>0</v>
      </c>
      <c r="U2738" s="36">
        <f t="shared" si="420"/>
        <v>0</v>
      </c>
      <c r="V2738" s="59">
        <f t="shared" si="421"/>
        <v>0</v>
      </c>
      <c r="W2738" s="39">
        <f t="shared" si="422"/>
        <v>0</v>
      </c>
      <c r="X2738" s="40">
        <f t="shared" si="423"/>
        <v>0</v>
      </c>
      <c r="Y2738"/>
      <c r="Z2738"/>
      <c r="AA2738"/>
    </row>
    <row r="2739" spans="1:27" s="51" customFormat="1" ht="18.600000000000001" hidden="1" customHeight="1" x14ac:dyDescent="0.25">
      <c r="A2739" s="82" t="s">
        <v>2653</v>
      </c>
      <c r="B2739" s="41" t="s">
        <v>9363</v>
      </c>
      <c r="C2739" s="42" t="s">
        <v>9321</v>
      </c>
      <c r="D2739" s="41" t="s">
        <v>6961</v>
      </c>
      <c r="E2739" s="43" t="s">
        <v>6962</v>
      </c>
      <c r="F2739" s="43" t="s">
        <v>1937</v>
      </c>
      <c r="G2739" s="43"/>
      <c r="H2739" s="85" t="s">
        <v>6963</v>
      </c>
      <c r="I2739" s="23" t="s">
        <v>24</v>
      </c>
      <c r="J2739" s="44">
        <v>330</v>
      </c>
      <c r="K2739" s="45">
        <v>0.25</v>
      </c>
      <c r="L2739" s="46">
        <f t="shared" si="415"/>
        <v>82.5</v>
      </c>
      <c r="M2739" s="47">
        <f t="shared" si="416"/>
        <v>247.5</v>
      </c>
      <c r="N2739" s="48">
        <v>0.16</v>
      </c>
      <c r="O2739" s="49">
        <f t="shared" si="417"/>
        <v>39.6</v>
      </c>
      <c r="P2739" s="50">
        <f t="shared" si="418"/>
        <v>287.10000000000002</v>
      </c>
      <c r="Q2739" s="23"/>
      <c r="R2739" s="60"/>
      <c r="S2739" s="61"/>
      <c r="T2739" s="62">
        <f t="shared" si="419"/>
        <v>0</v>
      </c>
      <c r="U2739" s="46">
        <f t="shared" si="420"/>
        <v>0</v>
      </c>
      <c r="V2739" s="63">
        <f t="shared" si="421"/>
        <v>0</v>
      </c>
      <c r="W2739" s="49">
        <f t="shared" si="422"/>
        <v>0</v>
      </c>
      <c r="X2739" s="50">
        <f t="shared" si="423"/>
        <v>0</v>
      </c>
      <c r="Y2739"/>
      <c r="Z2739"/>
      <c r="AA2739"/>
    </row>
    <row r="2740" spans="1:27" s="51" customFormat="1" ht="18.600000000000001" hidden="1" customHeight="1" x14ac:dyDescent="0.25">
      <c r="A2740" s="80" t="s">
        <v>2653</v>
      </c>
      <c r="B2740" s="20" t="s">
        <v>9363</v>
      </c>
      <c r="C2740" s="21" t="s">
        <v>9321</v>
      </c>
      <c r="D2740" s="20">
        <v>8436535578936</v>
      </c>
      <c r="E2740" s="22" t="s">
        <v>6964</v>
      </c>
      <c r="F2740" s="22" t="s">
        <v>1937</v>
      </c>
      <c r="G2740" s="22" t="s">
        <v>5026</v>
      </c>
      <c r="H2740" s="83" t="s">
        <v>6965</v>
      </c>
      <c r="I2740" s="23" t="s">
        <v>24</v>
      </c>
      <c r="J2740" s="24">
        <v>265</v>
      </c>
      <c r="K2740" s="25">
        <v>0.25</v>
      </c>
      <c r="L2740" s="26">
        <f t="shared" si="415"/>
        <v>66.25</v>
      </c>
      <c r="M2740" s="27">
        <f t="shared" si="416"/>
        <v>198.75</v>
      </c>
      <c r="N2740" s="28">
        <v>0.16</v>
      </c>
      <c r="O2740" s="29">
        <f t="shared" si="417"/>
        <v>31.8</v>
      </c>
      <c r="P2740" s="30">
        <f t="shared" si="418"/>
        <v>230.55</v>
      </c>
      <c r="Q2740" s="23"/>
      <c r="R2740" s="52"/>
      <c r="S2740" s="53"/>
      <c r="T2740" s="54">
        <f t="shared" si="419"/>
        <v>0</v>
      </c>
      <c r="U2740" s="26">
        <f t="shared" si="420"/>
        <v>0</v>
      </c>
      <c r="V2740" s="55">
        <f t="shared" si="421"/>
        <v>0</v>
      </c>
      <c r="W2740" s="29">
        <f t="shared" si="422"/>
        <v>0</v>
      </c>
      <c r="X2740" s="30">
        <f t="shared" si="423"/>
        <v>0</v>
      </c>
      <c r="Y2740"/>
      <c r="Z2740"/>
      <c r="AA2740"/>
    </row>
    <row r="2741" spans="1:27" s="51" customFormat="1" ht="18.600000000000001" hidden="1" customHeight="1" x14ac:dyDescent="0.25">
      <c r="A2741" s="81" t="s">
        <v>2653</v>
      </c>
      <c r="B2741" s="31" t="s">
        <v>9363</v>
      </c>
      <c r="C2741" s="32" t="s">
        <v>9321</v>
      </c>
      <c r="D2741" s="31">
        <v>8436535578943</v>
      </c>
      <c r="E2741" s="33" t="s">
        <v>6966</v>
      </c>
      <c r="F2741" s="33" t="s">
        <v>1937</v>
      </c>
      <c r="G2741" s="33" t="s">
        <v>5026</v>
      </c>
      <c r="H2741" s="84" t="s">
        <v>6967</v>
      </c>
      <c r="I2741" s="23" t="s">
        <v>24</v>
      </c>
      <c r="J2741" s="34">
        <v>230</v>
      </c>
      <c r="K2741" s="35">
        <v>0.25</v>
      </c>
      <c r="L2741" s="36">
        <f t="shared" si="415"/>
        <v>57.5</v>
      </c>
      <c r="M2741" s="37">
        <f t="shared" si="416"/>
        <v>172.5</v>
      </c>
      <c r="N2741" s="38">
        <v>0.16</v>
      </c>
      <c r="O2741" s="39">
        <f t="shared" si="417"/>
        <v>27.6</v>
      </c>
      <c r="P2741" s="40">
        <f t="shared" si="418"/>
        <v>200.1</v>
      </c>
      <c r="Q2741" s="23"/>
      <c r="R2741" s="56"/>
      <c r="S2741" s="57"/>
      <c r="T2741" s="58">
        <f t="shared" si="419"/>
        <v>0</v>
      </c>
      <c r="U2741" s="36">
        <f t="shared" si="420"/>
        <v>0</v>
      </c>
      <c r="V2741" s="59">
        <f t="shared" si="421"/>
        <v>0</v>
      </c>
      <c r="W2741" s="39">
        <f t="shared" si="422"/>
        <v>0</v>
      </c>
      <c r="X2741" s="40">
        <f t="shared" si="423"/>
        <v>0</v>
      </c>
      <c r="Y2741"/>
      <c r="Z2741"/>
      <c r="AA2741"/>
    </row>
    <row r="2742" spans="1:27" s="51" customFormat="1" ht="18.600000000000001" hidden="1" customHeight="1" x14ac:dyDescent="0.25">
      <c r="A2742" s="82" t="s">
        <v>2653</v>
      </c>
      <c r="B2742" s="41" t="s">
        <v>9363</v>
      </c>
      <c r="C2742" s="42" t="s">
        <v>9321</v>
      </c>
      <c r="D2742" s="41">
        <v>8436564924841</v>
      </c>
      <c r="E2742" s="43" t="s">
        <v>6968</v>
      </c>
      <c r="F2742" s="43" t="s">
        <v>1937</v>
      </c>
      <c r="G2742" s="43"/>
      <c r="H2742" s="85" t="s">
        <v>6969</v>
      </c>
      <c r="I2742" s="23" t="s">
        <v>24</v>
      </c>
      <c r="J2742" s="44">
        <v>800</v>
      </c>
      <c r="K2742" s="45">
        <v>0.25</v>
      </c>
      <c r="L2742" s="46">
        <f t="shared" si="415"/>
        <v>200</v>
      </c>
      <c r="M2742" s="47">
        <f t="shared" si="416"/>
        <v>600</v>
      </c>
      <c r="N2742" s="48">
        <v>0.16</v>
      </c>
      <c r="O2742" s="49">
        <f t="shared" si="417"/>
        <v>96</v>
      </c>
      <c r="P2742" s="50">
        <f t="shared" si="418"/>
        <v>696</v>
      </c>
      <c r="Q2742" s="23"/>
      <c r="R2742" s="60"/>
      <c r="S2742" s="61"/>
      <c r="T2742" s="62">
        <f t="shared" si="419"/>
        <v>0</v>
      </c>
      <c r="U2742" s="46">
        <f t="shared" si="420"/>
        <v>0</v>
      </c>
      <c r="V2742" s="63">
        <f t="shared" si="421"/>
        <v>0</v>
      </c>
      <c r="W2742" s="49">
        <f t="shared" si="422"/>
        <v>0</v>
      </c>
      <c r="X2742" s="50">
        <f t="shared" si="423"/>
        <v>0</v>
      </c>
      <c r="Y2742"/>
      <c r="Z2742"/>
      <c r="AA2742"/>
    </row>
    <row r="2743" spans="1:27" s="51" customFormat="1" ht="18.600000000000001" hidden="1" customHeight="1" x14ac:dyDescent="0.25">
      <c r="A2743" s="80" t="s">
        <v>2653</v>
      </c>
      <c r="B2743" s="20" t="s">
        <v>9363</v>
      </c>
      <c r="C2743" s="21" t="s">
        <v>9321</v>
      </c>
      <c r="D2743" s="20" t="s">
        <v>6970</v>
      </c>
      <c r="E2743" s="22" t="s">
        <v>6971</v>
      </c>
      <c r="F2743" s="22" t="s">
        <v>1937</v>
      </c>
      <c r="G2743" s="22" t="s">
        <v>6972</v>
      </c>
      <c r="H2743" s="83" t="s">
        <v>6973</v>
      </c>
      <c r="I2743" s="23" t="s">
        <v>24</v>
      </c>
      <c r="J2743" s="24">
        <v>190</v>
      </c>
      <c r="K2743" s="25">
        <v>0.25</v>
      </c>
      <c r="L2743" s="26">
        <f t="shared" si="415"/>
        <v>47.5</v>
      </c>
      <c r="M2743" s="27">
        <f t="shared" si="416"/>
        <v>142.5</v>
      </c>
      <c r="N2743" s="28">
        <v>0.16</v>
      </c>
      <c r="O2743" s="29">
        <f t="shared" si="417"/>
        <v>22.8</v>
      </c>
      <c r="P2743" s="30">
        <f t="shared" si="418"/>
        <v>165.3</v>
      </c>
      <c r="Q2743" s="23"/>
      <c r="R2743" s="52"/>
      <c r="S2743" s="53"/>
      <c r="T2743" s="54">
        <f t="shared" si="419"/>
        <v>0</v>
      </c>
      <c r="U2743" s="26">
        <f t="shared" si="420"/>
        <v>0</v>
      </c>
      <c r="V2743" s="55">
        <f t="shared" si="421"/>
        <v>0</v>
      </c>
      <c r="W2743" s="29">
        <f t="shared" si="422"/>
        <v>0</v>
      </c>
      <c r="X2743" s="30">
        <f t="shared" si="423"/>
        <v>0</v>
      </c>
      <c r="Y2743"/>
      <c r="Z2743"/>
      <c r="AA2743"/>
    </row>
    <row r="2744" spans="1:27" s="51" customFormat="1" ht="18.600000000000001" hidden="1" customHeight="1" x14ac:dyDescent="0.25">
      <c r="A2744" s="81" t="s">
        <v>2653</v>
      </c>
      <c r="B2744" s="31" t="s">
        <v>9363</v>
      </c>
      <c r="C2744" s="32" t="s">
        <v>9321</v>
      </c>
      <c r="D2744" s="31" t="s">
        <v>6974</v>
      </c>
      <c r="E2744" s="33" t="s">
        <v>6975</v>
      </c>
      <c r="F2744" s="33" t="s">
        <v>1937</v>
      </c>
      <c r="G2744" s="33" t="s">
        <v>6976</v>
      </c>
      <c r="H2744" s="84" t="s">
        <v>6977</v>
      </c>
      <c r="I2744" s="23" t="s">
        <v>24</v>
      </c>
      <c r="J2744" s="34">
        <v>165</v>
      </c>
      <c r="K2744" s="35">
        <v>0.25</v>
      </c>
      <c r="L2744" s="36">
        <f t="shared" si="415"/>
        <v>41.25</v>
      </c>
      <c r="M2744" s="37">
        <f t="shared" si="416"/>
        <v>123.75</v>
      </c>
      <c r="N2744" s="38">
        <v>0.16</v>
      </c>
      <c r="O2744" s="39">
        <f t="shared" si="417"/>
        <v>19.8</v>
      </c>
      <c r="P2744" s="40">
        <f t="shared" si="418"/>
        <v>143.55000000000001</v>
      </c>
      <c r="Q2744" s="23"/>
      <c r="R2744" s="56"/>
      <c r="S2744" s="57"/>
      <c r="T2744" s="58">
        <f t="shared" si="419"/>
        <v>0</v>
      </c>
      <c r="U2744" s="36">
        <f t="shared" si="420"/>
        <v>0</v>
      </c>
      <c r="V2744" s="59">
        <f t="shared" si="421"/>
        <v>0</v>
      </c>
      <c r="W2744" s="39">
        <f t="shared" si="422"/>
        <v>0</v>
      </c>
      <c r="X2744" s="40">
        <f t="shared" si="423"/>
        <v>0</v>
      </c>
      <c r="Y2744"/>
      <c r="Z2744"/>
      <c r="AA2744"/>
    </row>
    <row r="2745" spans="1:27" s="51" customFormat="1" ht="18.600000000000001" hidden="1" customHeight="1" x14ac:dyDescent="0.25">
      <c r="A2745" s="82" t="s">
        <v>2653</v>
      </c>
      <c r="B2745" s="41" t="s">
        <v>9363</v>
      </c>
      <c r="C2745" s="42" t="s">
        <v>9364</v>
      </c>
      <c r="D2745" s="41">
        <v>8436564920676</v>
      </c>
      <c r="E2745" s="43" t="s">
        <v>6978</v>
      </c>
      <c r="F2745" s="43" t="s">
        <v>1937</v>
      </c>
      <c r="G2745" s="43" t="s">
        <v>6972</v>
      </c>
      <c r="H2745" s="85" t="s">
        <v>6979</v>
      </c>
      <c r="I2745" s="23" t="s">
        <v>24</v>
      </c>
      <c r="J2745" s="44">
        <v>165</v>
      </c>
      <c r="K2745" s="45">
        <v>0.25</v>
      </c>
      <c r="L2745" s="46">
        <f t="shared" si="415"/>
        <v>41.25</v>
      </c>
      <c r="M2745" s="47">
        <f t="shared" si="416"/>
        <v>123.75</v>
      </c>
      <c r="N2745" s="48">
        <v>0.16</v>
      </c>
      <c r="O2745" s="49">
        <f t="shared" si="417"/>
        <v>19.8</v>
      </c>
      <c r="P2745" s="50">
        <f t="shared" si="418"/>
        <v>143.55000000000001</v>
      </c>
      <c r="Q2745" s="23"/>
      <c r="R2745" s="60"/>
      <c r="S2745" s="61"/>
      <c r="T2745" s="62">
        <f t="shared" si="419"/>
        <v>0</v>
      </c>
      <c r="U2745" s="46">
        <f t="shared" si="420"/>
        <v>0</v>
      </c>
      <c r="V2745" s="63">
        <f t="shared" si="421"/>
        <v>0</v>
      </c>
      <c r="W2745" s="49">
        <f t="shared" si="422"/>
        <v>0</v>
      </c>
      <c r="X2745" s="50">
        <f t="shared" si="423"/>
        <v>0</v>
      </c>
      <c r="Y2745"/>
      <c r="Z2745"/>
      <c r="AA2745"/>
    </row>
    <row r="2746" spans="1:27" s="51" customFormat="1" ht="18.600000000000001" hidden="1" customHeight="1" x14ac:dyDescent="0.25">
      <c r="A2746" s="80" t="s">
        <v>2653</v>
      </c>
      <c r="B2746" s="20" t="s">
        <v>9363</v>
      </c>
      <c r="C2746" s="21" t="s">
        <v>9364</v>
      </c>
      <c r="D2746" s="20">
        <v>8436564920683</v>
      </c>
      <c r="E2746" s="22" t="s">
        <v>6980</v>
      </c>
      <c r="F2746" s="22" t="s">
        <v>1937</v>
      </c>
      <c r="G2746" s="22" t="s">
        <v>6972</v>
      </c>
      <c r="H2746" s="83" t="s">
        <v>6981</v>
      </c>
      <c r="I2746" s="23" t="s">
        <v>24</v>
      </c>
      <c r="J2746" s="24">
        <v>165</v>
      </c>
      <c r="K2746" s="25">
        <v>0.25</v>
      </c>
      <c r="L2746" s="26">
        <f t="shared" si="415"/>
        <v>41.25</v>
      </c>
      <c r="M2746" s="27">
        <f t="shared" si="416"/>
        <v>123.75</v>
      </c>
      <c r="N2746" s="28">
        <v>0.16</v>
      </c>
      <c r="O2746" s="29">
        <f t="shared" si="417"/>
        <v>19.8</v>
      </c>
      <c r="P2746" s="30">
        <f t="shared" si="418"/>
        <v>143.55000000000001</v>
      </c>
      <c r="Q2746" s="23"/>
      <c r="R2746" s="52"/>
      <c r="S2746" s="53"/>
      <c r="T2746" s="54">
        <f t="shared" si="419"/>
        <v>0</v>
      </c>
      <c r="U2746" s="26">
        <f t="shared" si="420"/>
        <v>0</v>
      </c>
      <c r="V2746" s="55">
        <f t="shared" si="421"/>
        <v>0</v>
      </c>
      <c r="W2746" s="29">
        <f t="shared" si="422"/>
        <v>0</v>
      </c>
      <c r="X2746" s="30">
        <f t="shared" si="423"/>
        <v>0</v>
      </c>
      <c r="Y2746"/>
      <c r="Z2746"/>
      <c r="AA2746"/>
    </row>
    <row r="2747" spans="1:27" s="51" customFormat="1" ht="18.600000000000001" hidden="1" customHeight="1" x14ac:dyDescent="0.25">
      <c r="A2747" s="81" t="s">
        <v>2653</v>
      </c>
      <c r="B2747" s="31" t="s">
        <v>9363</v>
      </c>
      <c r="C2747" s="32" t="s">
        <v>9364</v>
      </c>
      <c r="D2747" s="31" t="s">
        <v>6982</v>
      </c>
      <c r="E2747" s="33" t="s">
        <v>6983</v>
      </c>
      <c r="F2747" s="33" t="s">
        <v>1937</v>
      </c>
      <c r="G2747" s="33" t="s">
        <v>6972</v>
      </c>
      <c r="H2747" s="84" t="s">
        <v>6984</v>
      </c>
      <c r="I2747" s="23" t="s">
        <v>24</v>
      </c>
      <c r="J2747" s="34">
        <v>165</v>
      </c>
      <c r="K2747" s="35">
        <v>0.25</v>
      </c>
      <c r="L2747" s="36">
        <f t="shared" si="415"/>
        <v>41.25</v>
      </c>
      <c r="M2747" s="37">
        <f t="shared" si="416"/>
        <v>123.75</v>
      </c>
      <c r="N2747" s="38">
        <v>0.16</v>
      </c>
      <c r="O2747" s="39">
        <f t="shared" si="417"/>
        <v>19.8</v>
      </c>
      <c r="P2747" s="40">
        <f t="shared" si="418"/>
        <v>143.55000000000001</v>
      </c>
      <c r="Q2747" s="23"/>
      <c r="R2747" s="56"/>
      <c r="S2747" s="57"/>
      <c r="T2747" s="58">
        <f t="shared" si="419"/>
        <v>0</v>
      </c>
      <c r="U2747" s="36">
        <f t="shared" si="420"/>
        <v>0</v>
      </c>
      <c r="V2747" s="59">
        <f t="shared" si="421"/>
        <v>0</v>
      </c>
      <c r="W2747" s="39">
        <f t="shared" si="422"/>
        <v>0</v>
      </c>
      <c r="X2747" s="40">
        <f t="shared" si="423"/>
        <v>0</v>
      </c>
      <c r="Y2747"/>
      <c r="Z2747"/>
      <c r="AA2747"/>
    </row>
    <row r="2748" spans="1:27" s="51" customFormat="1" ht="18.600000000000001" customHeight="1" x14ac:dyDescent="0.25">
      <c r="A2748" s="82" t="s">
        <v>2653</v>
      </c>
      <c r="B2748" s="41" t="s">
        <v>9363</v>
      </c>
      <c r="C2748" s="42" t="s">
        <v>9364</v>
      </c>
      <c r="D2748" s="41">
        <v>8435568304994</v>
      </c>
      <c r="E2748" s="43" t="s">
        <v>6985</v>
      </c>
      <c r="F2748" s="43" t="s">
        <v>1937</v>
      </c>
      <c r="G2748" s="43" t="s">
        <v>5026</v>
      </c>
      <c r="H2748" s="85" t="s">
        <v>6986</v>
      </c>
      <c r="I2748" s="23" t="s">
        <v>24</v>
      </c>
      <c r="J2748" s="44">
        <v>230</v>
      </c>
      <c r="K2748" s="45">
        <v>0.25</v>
      </c>
      <c r="L2748" s="46">
        <f t="shared" si="415"/>
        <v>57.5</v>
      </c>
      <c r="M2748" s="47">
        <f t="shared" si="416"/>
        <v>172.5</v>
      </c>
      <c r="N2748" s="48">
        <v>0.16</v>
      </c>
      <c r="O2748" s="49">
        <f t="shared" si="417"/>
        <v>27.6</v>
      </c>
      <c r="P2748" s="50">
        <f t="shared" si="418"/>
        <v>200.1</v>
      </c>
      <c r="Q2748" s="23"/>
      <c r="R2748" s="60"/>
      <c r="S2748" s="61">
        <v>1</v>
      </c>
      <c r="T2748" s="62">
        <f t="shared" si="419"/>
        <v>230</v>
      </c>
      <c r="U2748" s="46">
        <f t="shared" si="420"/>
        <v>57.5</v>
      </c>
      <c r="V2748" s="63">
        <f t="shared" si="421"/>
        <v>172.5</v>
      </c>
      <c r="W2748" s="49">
        <f t="shared" si="422"/>
        <v>27.6</v>
      </c>
      <c r="X2748" s="50">
        <f t="shared" si="423"/>
        <v>200.1</v>
      </c>
      <c r="Y2748"/>
      <c r="Z2748"/>
      <c r="AA2748"/>
    </row>
    <row r="2749" spans="1:27" s="51" customFormat="1" ht="18.600000000000001" hidden="1" customHeight="1" x14ac:dyDescent="0.25">
      <c r="A2749" s="80" t="s">
        <v>2653</v>
      </c>
      <c r="B2749" s="20" t="s">
        <v>9363</v>
      </c>
      <c r="C2749" s="21" t="s">
        <v>9364</v>
      </c>
      <c r="D2749" s="20">
        <v>8435568308282</v>
      </c>
      <c r="E2749" s="22" t="s">
        <v>6987</v>
      </c>
      <c r="F2749" s="22" t="s">
        <v>1937</v>
      </c>
      <c r="G2749" s="22" t="s">
        <v>6953</v>
      </c>
      <c r="H2749" s="83" t="s">
        <v>6988</v>
      </c>
      <c r="I2749" s="23" t="s">
        <v>24</v>
      </c>
      <c r="J2749" s="24">
        <v>280</v>
      </c>
      <c r="K2749" s="25">
        <v>0.25</v>
      </c>
      <c r="L2749" s="26">
        <f t="shared" si="415"/>
        <v>70</v>
      </c>
      <c r="M2749" s="27">
        <f t="shared" si="416"/>
        <v>210</v>
      </c>
      <c r="N2749" s="28">
        <v>0.16</v>
      </c>
      <c r="O2749" s="29">
        <f t="shared" si="417"/>
        <v>33.6</v>
      </c>
      <c r="P2749" s="30">
        <f t="shared" si="418"/>
        <v>243.6</v>
      </c>
      <c r="Q2749" s="23"/>
      <c r="R2749" s="52"/>
      <c r="S2749" s="53"/>
      <c r="T2749" s="54">
        <f t="shared" si="419"/>
        <v>0</v>
      </c>
      <c r="U2749" s="26">
        <f t="shared" si="420"/>
        <v>0</v>
      </c>
      <c r="V2749" s="55">
        <f t="shared" si="421"/>
        <v>0</v>
      </c>
      <c r="W2749" s="29">
        <f t="shared" si="422"/>
        <v>0</v>
      </c>
      <c r="X2749" s="30">
        <f t="shared" si="423"/>
        <v>0</v>
      </c>
      <c r="Y2749"/>
      <c r="Z2749"/>
      <c r="AA2749"/>
    </row>
    <row r="2750" spans="1:27" s="51" customFormat="1" ht="18.600000000000001" hidden="1" customHeight="1" x14ac:dyDescent="0.25">
      <c r="A2750" s="81" t="s">
        <v>2653</v>
      </c>
      <c r="B2750" s="31" t="s">
        <v>9363</v>
      </c>
      <c r="C2750" s="32" t="s">
        <v>9364</v>
      </c>
      <c r="D2750" s="31" t="s">
        <v>6989</v>
      </c>
      <c r="E2750" s="33" t="s">
        <v>6990</v>
      </c>
      <c r="F2750" s="33" t="s">
        <v>1937</v>
      </c>
      <c r="G2750" s="33" t="s">
        <v>5026</v>
      </c>
      <c r="H2750" s="84" t="s">
        <v>6991</v>
      </c>
      <c r="I2750" s="23" t="s">
        <v>24</v>
      </c>
      <c r="J2750" s="34">
        <v>230</v>
      </c>
      <c r="K2750" s="35">
        <v>0.25</v>
      </c>
      <c r="L2750" s="36">
        <f t="shared" si="415"/>
        <v>57.5</v>
      </c>
      <c r="M2750" s="37">
        <f t="shared" si="416"/>
        <v>172.5</v>
      </c>
      <c r="N2750" s="38">
        <v>0.16</v>
      </c>
      <c r="O2750" s="39">
        <f t="shared" si="417"/>
        <v>27.6</v>
      </c>
      <c r="P2750" s="40">
        <f t="shared" si="418"/>
        <v>200.1</v>
      </c>
      <c r="Q2750" s="23"/>
      <c r="R2750" s="56"/>
      <c r="S2750" s="57"/>
      <c r="T2750" s="58">
        <f t="shared" si="419"/>
        <v>0</v>
      </c>
      <c r="U2750" s="36">
        <f t="shared" si="420"/>
        <v>0</v>
      </c>
      <c r="V2750" s="59">
        <f t="shared" si="421"/>
        <v>0</v>
      </c>
      <c r="W2750" s="39">
        <f t="shared" si="422"/>
        <v>0</v>
      </c>
      <c r="X2750" s="40">
        <f t="shared" si="423"/>
        <v>0</v>
      </c>
      <c r="Y2750"/>
      <c r="Z2750"/>
      <c r="AA2750"/>
    </row>
    <row r="2751" spans="1:27" s="51" customFormat="1" ht="18.600000000000001" hidden="1" customHeight="1" x14ac:dyDescent="0.25">
      <c r="A2751" s="82" t="s">
        <v>2653</v>
      </c>
      <c r="B2751" s="41" t="s">
        <v>9363</v>
      </c>
      <c r="C2751" s="42" t="s">
        <v>9364</v>
      </c>
      <c r="D2751" s="41">
        <v>8436535577120</v>
      </c>
      <c r="E2751" s="43" t="s">
        <v>6992</v>
      </c>
      <c r="F2751" s="43" t="s">
        <v>1937</v>
      </c>
      <c r="G2751" s="43" t="s">
        <v>5292</v>
      </c>
      <c r="H2751" s="85" t="s">
        <v>1597</v>
      </c>
      <c r="I2751" s="23" t="s">
        <v>24</v>
      </c>
      <c r="J2751" s="44">
        <v>175</v>
      </c>
      <c r="K2751" s="45">
        <v>0.25</v>
      </c>
      <c r="L2751" s="46">
        <f t="shared" si="415"/>
        <v>43.75</v>
      </c>
      <c r="M2751" s="47">
        <f t="shared" si="416"/>
        <v>131.25</v>
      </c>
      <c r="N2751" s="48">
        <v>0.16</v>
      </c>
      <c r="O2751" s="49">
        <f t="shared" si="417"/>
        <v>21</v>
      </c>
      <c r="P2751" s="50">
        <f t="shared" si="418"/>
        <v>152.25</v>
      </c>
      <c r="Q2751" s="23"/>
      <c r="R2751" s="60"/>
      <c r="S2751" s="61"/>
      <c r="T2751" s="62">
        <f t="shared" si="419"/>
        <v>0</v>
      </c>
      <c r="U2751" s="46">
        <f t="shared" si="420"/>
        <v>0</v>
      </c>
      <c r="V2751" s="63">
        <f t="shared" si="421"/>
        <v>0</v>
      </c>
      <c r="W2751" s="49">
        <f t="shared" si="422"/>
        <v>0</v>
      </c>
      <c r="X2751" s="50">
        <f t="shared" si="423"/>
        <v>0</v>
      </c>
      <c r="Y2751"/>
      <c r="Z2751"/>
      <c r="AA2751"/>
    </row>
    <row r="2752" spans="1:27" s="51" customFormat="1" ht="18.600000000000001" hidden="1" customHeight="1" x14ac:dyDescent="0.25">
      <c r="A2752" s="80" t="s">
        <v>2653</v>
      </c>
      <c r="B2752" s="20" t="s">
        <v>9363</v>
      </c>
      <c r="C2752" s="21" t="s">
        <v>9364</v>
      </c>
      <c r="D2752" s="20">
        <v>8436535577373</v>
      </c>
      <c r="E2752" s="22" t="s">
        <v>6993</v>
      </c>
      <c r="F2752" s="22" t="s">
        <v>1937</v>
      </c>
      <c r="G2752" s="22" t="s">
        <v>5292</v>
      </c>
      <c r="H2752" s="83" t="s">
        <v>6994</v>
      </c>
      <c r="I2752" s="23" t="s">
        <v>24</v>
      </c>
      <c r="J2752" s="24">
        <v>210</v>
      </c>
      <c r="K2752" s="25">
        <v>0.25</v>
      </c>
      <c r="L2752" s="26">
        <f t="shared" si="415"/>
        <v>52.5</v>
      </c>
      <c r="M2752" s="27">
        <f t="shared" si="416"/>
        <v>157.5</v>
      </c>
      <c r="N2752" s="28">
        <v>0.16</v>
      </c>
      <c r="O2752" s="29">
        <f t="shared" si="417"/>
        <v>25.2</v>
      </c>
      <c r="P2752" s="30">
        <f t="shared" si="418"/>
        <v>182.7</v>
      </c>
      <c r="Q2752" s="23"/>
      <c r="R2752" s="52"/>
      <c r="S2752" s="53"/>
      <c r="T2752" s="54">
        <f t="shared" si="419"/>
        <v>0</v>
      </c>
      <c r="U2752" s="26">
        <f t="shared" si="420"/>
        <v>0</v>
      </c>
      <c r="V2752" s="55">
        <f t="shared" si="421"/>
        <v>0</v>
      </c>
      <c r="W2752" s="29">
        <f t="shared" si="422"/>
        <v>0</v>
      </c>
      <c r="X2752" s="30">
        <f t="shared" si="423"/>
        <v>0</v>
      </c>
      <c r="Y2752"/>
      <c r="Z2752"/>
      <c r="AA2752"/>
    </row>
    <row r="2753" spans="1:27" s="51" customFormat="1" ht="18.600000000000001" hidden="1" customHeight="1" x14ac:dyDescent="0.25">
      <c r="A2753" s="81" t="s">
        <v>2653</v>
      </c>
      <c r="B2753" s="31" t="s">
        <v>9363</v>
      </c>
      <c r="C2753" s="32" t="s">
        <v>9364</v>
      </c>
      <c r="D2753" s="31" t="s">
        <v>6995</v>
      </c>
      <c r="E2753" s="33" t="s">
        <v>6996</v>
      </c>
      <c r="F2753" s="33" t="s">
        <v>1937</v>
      </c>
      <c r="G2753" s="33" t="s">
        <v>5292</v>
      </c>
      <c r="H2753" s="84" t="s">
        <v>6997</v>
      </c>
      <c r="I2753" s="23" t="s">
        <v>24</v>
      </c>
      <c r="J2753" s="34">
        <v>260</v>
      </c>
      <c r="K2753" s="35">
        <v>0.25</v>
      </c>
      <c r="L2753" s="36">
        <f t="shared" si="415"/>
        <v>65</v>
      </c>
      <c r="M2753" s="37">
        <f t="shared" si="416"/>
        <v>195</v>
      </c>
      <c r="N2753" s="38">
        <v>0.16</v>
      </c>
      <c r="O2753" s="39">
        <f t="shared" si="417"/>
        <v>31.2</v>
      </c>
      <c r="P2753" s="40">
        <f t="shared" si="418"/>
        <v>226.2</v>
      </c>
      <c r="Q2753" s="23"/>
      <c r="R2753" s="56"/>
      <c r="S2753" s="57"/>
      <c r="T2753" s="58">
        <f t="shared" si="419"/>
        <v>0</v>
      </c>
      <c r="U2753" s="36">
        <f t="shared" si="420"/>
        <v>0</v>
      </c>
      <c r="V2753" s="59">
        <f t="shared" si="421"/>
        <v>0</v>
      </c>
      <c r="W2753" s="39">
        <f t="shared" si="422"/>
        <v>0</v>
      </c>
      <c r="X2753" s="40">
        <f t="shared" si="423"/>
        <v>0</v>
      </c>
      <c r="Y2753"/>
      <c r="Z2753"/>
      <c r="AA2753"/>
    </row>
    <row r="2754" spans="1:27" s="51" customFormat="1" ht="18.600000000000001" hidden="1" customHeight="1" x14ac:dyDescent="0.25">
      <c r="A2754" s="82" t="s">
        <v>2653</v>
      </c>
      <c r="B2754" s="41" t="s">
        <v>9363</v>
      </c>
      <c r="C2754" s="42" t="s">
        <v>9364</v>
      </c>
      <c r="D2754" s="41">
        <v>8436535572415</v>
      </c>
      <c r="E2754" s="43" t="s">
        <v>6998</v>
      </c>
      <c r="F2754" s="43" t="s">
        <v>1937</v>
      </c>
      <c r="G2754" s="43" t="s">
        <v>6999</v>
      </c>
      <c r="H2754" s="85" t="s">
        <v>7000</v>
      </c>
      <c r="I2754" s="23" t="s">
        <v>24</v>
      </c>
      <c r="J2754" s="44">
        <v>300</v>
      </c>
      <c r="K2754" s="45">
        <v>0.25</v>
      </c>
      <c r="L2754" s="46">
        <f t="shared" si="415"/>
        <v>75</v>
      </c>
      <c r="M2754" s="47">
        <f t="shared" si="416"/>
        <v>225</v>
      </c>
      <c r="N2754" s="48">
        <v>0.16</v>
      </c>
      <c r="O2754" s="49">
        <f t="shared" si="417"/>
        <v>36</v>
      </c>
      <c r="P2754" s="50">
        <f t="shared" si="418"/>
        <v>261</v>
      </c>
      <c r="Q2754" s="23"/>
      <c r="R2754" s="60"/>
      <c r="S2754" s="61"/>
      <c r="T2754" s="62">
        <f t="shared" si="419"/>
        <v>0</v>
      </c>
      <c r="U2754" s="46">
        <f t="shared" si="420"/>
        <v>0</v>
      </c>
      <c r="V2754" s="63">
        <f t="shared" si="421"/>
        <v>0</v>
      </c>
      <c r="W2754" s="49">
        <f t="shared" si="422"/>
        <v>0</v>
      </c>
      <c r="X2754" s="50">
        <f t="shared" si="423"/>
        <v>0</v>
      </c>
      <c r="Y2754"/>
      <c r="Z2754"/>
      <c r="AA2754"/>
    </row>
    <row r="2755" spans="1:27" s="51" customFormat="1" ht="18.600000000000001" hidden="1" customHeight="1" x14ac:dyDescent="0.25">
      <c r="A2755" s="80" t="s">
        <v>2653</v>
      </c>
      <c r="B2755" s="20" t="s">
        <v>9363</v>
      </c>
      <c r="C2755" s="21" t="s">
        <v>9364</v>
      </c>
      <c r="D2755" s="20" t="s">
        <v>7001</v>
      </c>
      <c r="E2755" s="22" t="s">
        <v>7002</v>
      </c>
      <c r="F2755" s="22" t="s">
        <v>1937</v>
      </c>
      <c r="G2755" s="22" t="s">
        <v>6817</v>
      </c>
      <c r="H2755" s="83" t="s">
        <v>7003</v>
      </c>
      <c r="I2755" s="23" t="s">
        <v>24</v>
      </c>
      <c r="J2755" s="24">
        <v>255</v>
      </c>
      <c r="K2755" s="25">
        <v>0.25</v>
      </c>
      <c r="L2755" s="26">
        <f t="shared" si="415"/>
        <v>63.75</v>
      </c>
      <c r="M2755" s="27">
        <f t="shared" si="416"/>
        <v>191.25</v>
      </c>
      <c r="N2755" s="28">
        <v>0.16</v>
      </c>
      <c r="O2755" s="29">
        <f t="shared" si="417"/>
        <v>30.6</v>
      </c>
      <c r="P2755" s="30">
        <f t="shared" si="418"/>
        <v>221.85</v>
      </c>
      <c r="Q2755" s="23"/>
      <c r="R2755" s="52"/>
      <c r="S2755" s="53"/>
      <c r="T2755" s="54">
        <f t="shared" si="419"/>
        <v>0</v>
      </c>
      <c r="U2755" s="26">
        <f t="shared" si="420"/>
        <v>0</v>
      </c>
      <c r="V2755" s="55">
        <f t="shared" si="421"/>
        <v>0</v>
      </c>
      <c r="W2755" s="29">
        <f t="shared" si="422"/>
        <v>0</v>
      </c>
      <c r="X2755" s="30">
        <f t="shared" si="423"/>
        <v>0</v>
      </c>
      <c r="Y2755"/>
      <c r="Z2755"/>
      <c r="AA2755"/>
    </row>
    <row r="2756" spans="1:27" s="51" customFormat="1" ht="18.600000000000001" hidden="1" customHeight="1" x14ac:dyDescent="0.25">
      <c r="A2756" s="81" t="s">
        <v>2653</v>
      </c>
      <c r="B2756" s="31" t="s">
        <v>9363</v>
      </c>
      <c r="C2756" s="32" t="s">
        <v>9364</v>
      </c>
      <c r="D2756" s="31" t="s">
        <v>7004</v>
      </c>
      <c r="E2756" s="33" t="s">
        <v>7005</v>
      </c>
      <c r="F2756" s="33" t="s">
        <v>1937</v>
      </c>
      <c r="G2756" s="33" t="s">
        <v>6817</v>
      </c>
      <c r="H2756" s="84" t="s">
        <v>7006</v>
      </c>
      <c r="I2756" s="23" t="s">
        <v>24</v>
      </c>
      <c r="J2756" s="34">
        <v>255</v>
      </c>
      <c r="K2756" s="35">
        <v>0.25</v>
      </c>
      <c r="L2756" s="36">
        <f t="shared" si="415"/>
        <v>63.75</v>
      </c>
      <c r="M2756" s="37">
        <f t="shared" si="416"/>
        <v>191.25</v>
      </c>
      <c r="N2756" s="38">
        <v>0.16</v>
      </c>
      <c r="O2756" s="39">
        <f t="shared" si="417"/>
        <v>30.6</v>
      </c>
      <c r="P2756" s="40">
        <f t="shared" si="418"/>
        <v>221.85</v>
      </c>
      <c r="Q2756" s="23"/>
      <c r="R2756" s="56"/>
      <c r="S2756" s="57"/>
      <c r="T2756" s="58">
        <f t="shared" si="419"/>
        <v>0</v>
      </c>
      <c r="U2756" s="36">
        <f t="shared" si="420"/>
        <v>0</v>
      </c>
      <c r="V2756" s="59">
        <f t="shared" si="421"/>
        <v>0</v>
      </c>
      <c r="W2756" s="39">
        <f t="shared" si="422"/>
        <v>0</v>
      </c>
      <c r="X2756" s="40">
        <f t="shared" si="423"/>
        <v>0</v>
      </c>
      <c r="Y2756"/>
      <c r="Z2756"/>
      <c r="AA2756"/>
    </row>
    <row r="2757" spans="1:27" s="51" customFormat="1" ht="18.600000000000001" hidden="1" customHeight="1" x14ac:dyDescent="0.25">
      <c r="A2757" s="82" t="s">
        <v>2653</v>
      </c>
      <c r="B2757" s="41" t="s">
        <v>9363</v>
      </c>
      <c r="C2757" s="42" t="s">
        <v>9365</v>
      </c>
      <c r="D2757" s="41">
        <v>8436535575058</v>
      </c>
      <c r="E2757" s="43" t="s">
        <v>7007</v>
      </c>
      <c r="F2757" s="43" t="s">
        <v>1937</v>
      </c>
      <c r="G2757" s="43"/>
      <c r="H2757" s="85" t="s">
        <v>7008</v>
      </c>
      <c r="I2757" s="23" t="s">
        <v>24</v>
      </c>
      <c r="J2757" s="44">
        <v>160</v>
      </c>
      <c r="K2757" s="45">
        <v>0.25</v>
      </c>
      <c r="L2757" s="46">
        <f t="shared" si="415"/>
        <v>40</v>
      </c>
      <c r="M2757" s="47">
        <f t="shared" si="416"/>
        <v>120</v>
      </c>
      <c r="N2757" s="48">
        <v>0.16</v>
      </c>
      <c r="O2757" s="49">
        <f t="shared" si="417"/>
        <v>19.2</v>
      </c>
      <c r="P2757" s="50">
        <f t="shared" si="418"/>
        <v>139.19999999999999</v>
      </c>
      <c r="Q2757" s="23"/>
      <c r="R2757" s="60"/>
      <c r="S2757" s="61"/>
      <c r="T2757" s="62">
        <f t="shared" si="419"/>
        <v>0</v>
      </c>
      <c r="U2757" s="46">
        <f t="shared" si="420"/>
        <v>0</v>
      </c>
      <c r="V2757" s="63">
        <f t="shared" si="421"/>
        <v>0</v>
      </c>
      <c r="W2757" s="49">
        <f t="shared" si="422"/>
        <v>0</v>
      </c>
      <c r="X2757" s="50">
        <f t="shared" si="423"/>
        <v>0</v>
      </c>
      <c r="Y2757"/>
      <c r="Z2757"/>
      <c r="AA2757"/>
    </row>
    <row r="2758" spans="1:27" s="51" customFormat="1" ht="18.600000000000001" hidden="1" customHeight="1" x14ac:dyDescent="0.25">
      <c r="A2758" s="80" t="s">
        <v>2653</v>
      </c>
      <c r="B2758" s="20" t="s">
        <v>9363</v>
      </c>
      <c r="C2758" s="21" t="s">
        <v>9365</v>
      </c>
      <c r="D2758" s="20">
        <v>8436535576123</v>
      </c>
      <c r="E2758" s="22" t="s">
        <v>7009</v>
      </c>
      <c r="F2758" s="22" t="s">
        <v>1937</v>
      </c>
      <c r="G2758" s="22"/>
      <c r="H2758" s="83" t="s">
        <v>7010</v>
      </c>
      <c r="I2758" s="23" t="s">
        <v>24</v>
      </c>
      <c r="J2758" s="24">
        <v>100</v>
      </c>
      <c r="K2758" s="25">
        <v>0.25</v>
      </c>
      <c r="L2758" s="26">
        <f t="shared" si="415"/>
        <v>25</v>
      </c>
      <c r="M2758" s="27">
        <f t="shared" si="416"/>
        <v>75</v>
      </c>
      <c r="N2758" s="28">
        <v>0.16</v>
      </c>
      <c r="O2758" s="29">
        <f t="shared" si="417"/>
        <v>12</v>
      </c>
      <c r="P2758" s="30">
        <f t="shared" si="418"/>
        <v>87</v>
      </c>
      <c r="Q2758" s="23"/>
      <c r="R2758" s="52"/>
      <c r="S2758" s="53"/>
      <c r="T2758" s="54">
        <f t="shared" si="419"/>
        <v>0</v>
      </c>
      <c r="U2758" s="26">
        <f t="shared" si="420"/>
        <v>0</v>
      </c>
      <c r="V2758" s="55">
        <f t="shared" si="421"/>
        <v>0</v>
      </c>
      <c r="W2758" s="29">
        <f t="shared" si="422"/>
        <v>0</v>
      </c>
      <c r="X2758" s="30">
        <f t="shared" si="423"/>
        <v>0</v>
      </c>
      <c r="Y2758"/>
      <c r="Z2758"/>
      <c r="AA2758"/>
    </row>
    <row r="2759" spans="1:27" s="51" customFormat="1" ht="18.600000000000001" hidden="1" customHeight="1" x14ac:dyDescent="0.25">
      <c r="A2759" s="81" t="s">
        <v>2653</v>
      </c>
      <c r="B2759" s="31" t="s">
        <v>9363</v>
      </c>
      <c r="C2759" s="32" t="s">
        <v>9365</v>
      </c>
      <c r="D2759" s="31" t="s">
        <v>7011</v>
      </c>
      <c r="E2759" s="33" t="s">
        <v>7012</v>
      </c>
      <c r="F2759" s="33" t="s">
        <v>1937</v>
      </c>
      <c r="G2759" s="33"/>
      <c r="H2759" s="84" t="s">
        <v>7013</v>
      </c>
      <c r="I2759" s="23" t="s">
        <v>24</v>
      </c>
      <c r="J2759" s="34">
        <v>105</v>
      </c>
      <c r="K2759" s="35">
        <v>0.25</v>
      </c>
      <c r="L2759" s="36">
        <f t="shared" si="415"/>
        <v>26.25</v>
      </c>
      <c r="M2759" s="37">
        <f t="shared" si="416"/>
        <v>78.75</v>
      </c>
      <c r="N2759" s="38">
        <v>0.16</v>
      </c>
      <c r="O2759" s="39">
        <f t="shared" si="417"/>
        <v>12.6</v>
      </c>
      <c r="P2759" s="40">
        <f t="shared" si="418"/>
        <v>91.35</v>
      </c>
      <c r="Q2759" s="23"/>
      <c r="R2759" s="56"/>
      <c r="S2759" s="57"/>
      <c r="T2759" s="58">
        <f t="shared" si="419"/>
        <v>0</v>
      </c>
      <c r="U2759" s="36">
        <f t="shared" si="420"/>
        <v>0</v>
      </c>
      <c r="V2759" s="59">
        <f t="shared" si="421"/>
        <v>0</v>
      </c>
      <c r="W2759" s="39">
        <f t="shared" si="422"/>
        <v>0</v>
      </c>
      <c r="X2759" s="40">
        <f t="shared" si="423"/>
        <v>0</v>
      </c>
      <c r="Y2759"/>
      <c r="Z2759"/>
      <c r="AA2759"/>
    </row>
    <row r="2760" spans="1:27" s="51" customFormat="1" ht="18.600000000000001" hidden="1" customHeight="1" x14ac:dyDescent="0.25">
      <c r="A2760" s="82" t="s">
        <v>2653</v>
      </c>
      <c r="B2760" s="41" t="s">
        <v>9363</v>
      </c>
      <c r="C2760" s="42" t="s">
        <v>9365</v>
      </c>
      <c r="D2760" s="41" t="s">
        <v>7014</v>
      </c>
      <c r="E2760" s="43" t="s">
        <v>7015</v>
      </c>
      <c r="F2760" s="43" t="s">
        <v>1937</v>
      </c>
      <c r="G2760" s="43"/>
      <c r="H2760" s="85" t="s">
        <v>7016</v>
      </c>
      <c r="I2760" s="23" t="s">
        <v>24</v>
      </c>
      <c r="J2760" s="44">
        <v>105</v>
      </c>
      <c r="K2760" s="45">
        <v>0.25</v>
      </c>
      <c r="L2760" s="46">
        <f t="shared" si="415"/>
        <v>26.25</v>
      </c>
      <c r="M2760" s="47">
        <f t="shared" si="416"/>
        <v>78.75</v>
      </c>
      <c r="N2760" s="48">
        <v>0.16</v>
      </c>
      <c r="O2760" s="49">
        <f t="shared" si="417"/>
        <v>12.6</v>
      </c>
      <c r="P2760" s="50">
        <f t="shared" si="418"/>
        <v>91.35</v>
      </c>
      <c r="Q2760" s="23"/>
      <c r="R2760" s="60"/>
      <c r="S2760" s="61"/>
      <c r="T2760" s="62">
        <f t="shared" si="419"/>
        <v>0</v>
      </c>
      <c r="U2760" s="46">
        <f t="shared" si="420"/>
        <v>0</v>
      </c>
      <c r="V2760" s="63">
        <f t="shared" si="421"/>
        <v>0</v>
      </c>
      <c r="W2760" s="49">
        <f t="shared" si="422"/>
        <v>0</v>
      </c>
      <c r="X2760" s="50">
        <f t="shared" si="423"/>
        <v>0</v>
      </c>
      <c r="Y2760"/>
      <c r="Z2760"/>
      <c r="AA2760"/>
    </row>
    <row r="2761" spans="1:27" s="51" customFormat="1" ht="18.600000000000001" hidden="1" customHeight="1" x14ac:dyDescent="0.25">
      <c r="A2761" s="80" t="s">
        <v>2653</v>
      </c>
      <c r="B2761" s="20" t="s">
        <v>9363</v>
      </c>
      <c r="C2761" s="21" t="s">
        <v>9365</v>
      </c>
      <c r="D2761" s="20" t="s">
        <v>7017</v>
      </c>
      <c r="E2761" s="22" t="s">
        <v>7018</v>
      </c>
      <c r="F2761" s="22" t="s">
        <v>1937</v>
      </c>
      <c r="G2761" s="22"/>
      <c r="H2761" s="83" t="s">
        <v>7019</v>
      </c>
      <c r="I2761" s="23" t="s">
        <v>24</v>
      </c>
      <c r="J2761" s="24">
        <v>80</v>
      </c>
      <c r="K2761" s="25">
        <v>0.25</v>
      </c>
      <c r="L2761" s="26">
        <f t="shared" si="415"/>
        <v>20</v>
      </c>
      <c r="M2761" s="27">
        <f t="shared" si="416"/>
        <v>60</v>
      </c>
      <c r="N2761" s="28">
        <v>0.16</v>
      </c>
      <c r="O2761" s="29">
        <f t="shared" si="417"/>
        <v>9.6</v>
      </c>
      <c r="P2761" s="30">
        <f t="shared" si="418"/>
        <v>69.599999999999994</v>
      </c>
      <c r="Q2761" s="23"/>
      <c r="R2761" s="52"/>
      <c r="S2761" s="53"/>
      <c r="T2761" s="54">
        <f t="shared" si="419"/>
        <v>0</v>
      </c>
      <c r="U2761" s="26">
        <f t="shared" si="420"/>
        <v>0</v>
      </c>
      <c r="V2761" s="55">
        <f t="shared" si="421"/>
        <v>0</v>
      </c>
      <c r="W2761" s="29">
        <f t="shared" si="422"/>
        <v>0</v>
      </c>
      <c r="X2761" s="30">
        <f t="shared" si="423"/>
        <v>0</v>
      </c>
      <c r="Y2761"/>
      <c r="Z2761"/>
      <c r="AA2761"/>
    </row>
    <row r="2762" spans="1:27" s="51" customFormat="1" ht="18.600000000000001" hidden="1" customHeight="1" x14ac:dyDescent="0.25">
      <c r="A2762" s="81" t="s">
        <v>2653</v>
      </c>
      <c r="B2762" s="31" t="s">
        <v>9363</v>
      </c>
      <c r="C2762" s="32" t="s">
        <v>9365</v>
      </c>
      <c r="D2762" s="31" t="s">
        <v>7020</v>
      </c>
      <c r="E2762" s="33" t="s">
        <v>7021</v>
      </c>
      <c r="F2762" s="33" t="s">
        <v>1937</v>
      </c>
      <c r="G2762" s="33"/>
      <c r="H2762" s="84" t="s">
        <v>7022</v>
      </c>
      <c r="I2762" s="23" t="s">
        <v>24</v>
      </c>
      <c r="J2762" s="34">
        <v>195</v>
      </c>
      <c r="K2762" s="35">
        <v>0.25</v>
      </c>
      <c r="L2762" s="36">
        <f t="shared" si="415"/>
        <v>48.75</v>
      </c>
      <c r="M2762" s="37">
        <f t="shared" si="416"/>
        <v>146.25</v>
      </c>
      <c r="N2762" s="38">
        <v>0.16</v>
      </c>
      <c r="O2762" s="39">
        <f t="shared" si="417"/>
        <v>23.400000000000002</v>
      </c>
      <c r="P2762" s="40">
        <f t="shared" si="418"/>
        <v>169.65</v>
      </c>
      <c r="Q2762" s="23"/>
      <c r="R2762" s="56"/>
      <c r="S2762" s="57"/>
      <c r="T2762" s="58">
        <f t="shared" si="419"/>
        <v>0</v>
      </c>
      <c r="U2762" s="36">
        <f t="shared" si="420"/>
        <v>0</v>
      </c>
      <c r="V2762" s="59">
        <f t="shared" si="421"/>
        <v>0</v>
      </c>
      <c r="W2762" s="39">
        <f t="shared" si="422"/>
        <v>0</v>
      </c>
      <c r="X2762" s="40">
        <f t="shared" si="423"/>
        <v>0</v>
      </c>
      <c r="Y2762"/>
      <c r="Z2762"/>
      <c r="AA2762"/>
    </row>
    <row r="2763" spans="1:27" s="51" customFormat="1" ht="18.600000000000001" hidden="1" customHeight="1" x14ac:dyDescent="0.25">
      <c r="A2763" s="82" t="s">
        <v>2653</v>
      </c>
      <c r="B2763" s="41" t="s">
        <v>9363</v>
      </c>
      <c r="C2763" s="42" t="s">
        <v>9365</v>
      </c>
      <c r="D2763" s="41">
        <v>8435568300705</v>
      </c>
      <c r="E2763" s="43" t="s">
        <v>7023</v>
      </c>
      <c r="F2763" s="43" t="s">
        <v>1937</v>
      </c>
      <c r="G2763" s="43" t="s">
        <v>7024</v>
      </c>
      <c r="H2763" s="85" t="s">
        <v>7025</v>
      </c>
      <c r="I2763" s="23" t="s">
        <v>24</v>
      </c>
      <c r="J2763" s="44">
        <v>350</v>
      </c>
      <c r="K2763" s="45">
        <v>0.25</v>
      </c>
      <c r="L2763" s="46">
        <f t="shared" si="415"/>
        <v>87.5</v>
      </c>
      <c r="M2763" s="47">
        <f t="shared" si="416"/>
        <v>262.5</v>
      </c>
      <c r="N2763" s="48">
        <v>0.16</v>
      </c>
      <c r="O2763" s="49">
        <f t="shared" si="417"/>
        <v>42</v>
      </c>
      <c r="P2763" s="50">
        <f t="shared" si="418"/>
        <v>304.5</v>
      </c>
      <c r="Q2763" s="23"/>
      <c r="R2763" s="60"/>
      <c r="S2763" s="61"/>
      <c r="T2763" s="62">
        <f t="shared" si="419"/>
        <v>0</v>
      </c>
      <c r="U2763" s="46">
        <f t="shared" si="420"/>
        <v>0</v>
      </c>
      <c r="V2763" s="63">
        <f t="shared" si="421"/>
        <v>0</v>
      </c>
      <c r="W2763" s="49">
        <f t="shared" si="422"/>
        <v>0</v>
      </c>
      <c r="X2763" s="50">
        <f t="shared" si="423"/>
        <v>0</v>
      </c>
      <c r="Y2763"/>
      <c r="Z2763"/>
      <c r="AA2763"/>
    </row>
    <row r="2764" spans="1:27" s="51" customFormat="1" ht="18.600000000000001" hidden="1" customHeight="1" x14ac:dyDescent="0.25">
      <c r="A2764" s="80" t="s">
        <v>2653</v>
      </c>
      <c r="B2764" s="20" t="s">
        <v>9363</v>
      </c>
      <c r="C2764" s="21" t="s">
        <v>9365</v>
      </c>
      <c r="D2764" s="20" t="s">
        <v>7026</v>
      </c>
      <c r="E2764" s="22" t="s">
        <v>7027</v>
      </c>
      <c r="F2764" s="22" t="s">
        <v>1937</v>
      </c>
      <c r="G2764" s="22"/>
      <c r="H2764" s="83" t="s">
        <v>7028</v>
      </c>
      <c r="I2764" s="23" t="s">
        <v>24</v>
      </c>
      <c r="J2764" s="24">
        <v>170</v>
      </c>
      <c r="K2764" s="25">
        <v>0.25</v>
      </c>
      <c r="L2764" s="26">
        <f t="shared" si="415"/>
        <v>42.5</v>
      </c>
      <c r="M2764" s="27">
        <f t="shared" si="416"/>
        <v>127.5</v>
      </c>
      <c r="N2764" s="28">
        <v>0.16</v>
      </c>
      <c r="O2764" s="29">
        <f t="shared" si="417"/>
        <v>20.400000000000002</v>
      </c>
      <c r="P2764" s="30">
        <f t="shared" si="418"/>
        <v>147.9</v>
      </c>
      <c r="Q2764" s="23"/>
      <c r="R2764" s="52"/>
      <c r="S2764" s="53"/>
      <c r="T2764" s="54">
        <f t="shared" si="419"/>
        <v>0</v>
      </c>
      <c r="U2764" s="26">
        <f t="shared" si="420"/>
        <v>0</v>
      </c>
      <c r="V2764" s="55">
        <f t="shared" si="421"/>
        <v>0</v>
      </c>
      <c r="W2764" s="29">
        <f t="shared" si="422"/>
        <v>0</v>
      </c>
      <c r="X2764" s="30">
        <f t="shared" si="423"/>
        <v>0</v>
      </c>
      <c r="Y2764"/>
      <c r="Z2764"/>
      <c r="AA2764"/>
    </row>
    <row r="2765" spans="1:27" s="51" customFormat="1" ht="18.600000000000001" hidden="1" customHeight="1" x14ac:dyDescent="0.25">
      <c r="A2765" s="81" t="s">
        <v>2653</v>
      </c>
      <c r="B2765" s="31" t="s">
        <v>9363</v>
      </c>
      <c r="C2765" s="32" t="s">
        <v>9365</v>
      </c>
      <c r="D2765" s="31">
        <v>8436535578929</v>
      </c>
      <c r="E2765" s="33" t="s">
        <v>7029</v>
      </c>
      <c r="F2765" s="33" t="s">
        <v>1937</v>
      </c>
      <c r="G2765" s="33"/>
      <c r="H2765" s="84" t="s">
        <v>7030</v>
      </c>
      <c r="I2765" s="23" t="s">
        <v>24</v>
      </c>
      <c r="J2765" s="34">
        <v>175</v>
      </c>
      <c r="K2765" s="35">
        <v>0.25</v>
      </c>
      <c r="L2765" s="36">
        <f t="shared" si="415"/>
        <v>43.75</v>
      </c>
      <c r="M2765" s="37">
        <f t="shared" si="416"/>
        <v>131.25</v>
      </c>
      <c r="N2765" s="38">
        <v>0.16</v>
      </c>
      <c r="O2765" s="39">
        <f t="shared" si="417"/>
        <v>21</v>
      </c>
      <c r="P2765" s="40">
        <f t="shared" si="418"/>
        <v>152.25</v>
      </c>
      <c r="Q2765" s="23"/>
      <c r="R2765" s="56"/>
      <c r="S2765" s="57"/>
      <c r="T2765" s="58">
        <f t="shared" si="419"/>
        <v>0</v>
      </c>
      <c r="U2765" s="36">
        <f t="shared" si="420"/>
        <v>0</v>
      </c>
      <c r="V2765" s="59">
        <f t="shared" si="421"/>
        <v>0</v>
      </c>
      <c r="W2765" s="39">
        <f t="shared" si="422"/>
        <v>0</v>
      </c>
      <c r="X2765" s="40">
        <f t="shared" si="423"/>
        <v>0</v>
      </c>
      <c r="Y2765"/>
      <c r="Z2765"/>
      <c r="AA2765"/>
    </row>
    <row r="2766" spans="1:27" s="51" customFormat="1" ht="18.600000000000001" hidden="1" customHeight="1" x14ac:dyDescent="0.25">
      <c r="A2766" s="82" t="s">
        <v>2653</v>
      </c>
      <c r="B2766" s="41" t="s">
        <v>9363</v>
      </c>
      <c r="C2766" s="42" t="s">
        <v>9365</v>
      </c>
      <c r="D2766" s="41" t="s">
        <v>7031</v>
      </c>
      <c r="E2766" s="43" t="s">
        <v>7032</v>
      </c>
      <c r="F2766" s="43" t="s">
        <v>1937</v>
      </c>
      <c r="G2766" s="43"/>
      <c r="H2766" s="85" t="s">
        <v>7033</v>
      </c>
      <c r="I2766" s="23" t="s">
        <v>24</v>
      </c>
      <c r="J2766" s="44">
        <v>105</v>
      </c>
      <c r="K2766" s="45">
        <v>0.25</v>
      </c>
      <c r="L2766" s="46">
        <f t="shared" si="415"/>
        <v>26.25</v>
      </c>
      <c r="M2766" s="47">
        <f t="shared" si="416"/>
        <v>78.75</v>
      </c>
      <c r="N2766" s="48">
        <v>0.16</v>
      </c>
      <c r="O2766" s="49">
        <f t="shared" si="417"/>
        <v>12.6</v>
      </c>
      <c r="P2766" s="50">
        <f t="shared" si="418"/>
        <v>91.35</v>
      </c>
      <c r="Q2766" s="23"/>
      <c r="R2766" s="60"/>
      <c r="S2766" s="61"/>
      <c r="T2766" s="62">
        <f t="shared" si="419"/>
        <v>0</v>
      </c>
      <c r="U2766" s="46">
        <f t="shared" si="420"/>
        <v>0</v>
      </c>
      <c r="V2766" s="63">
        <f t="shared" si="421"/>
        <v>0</v>
      </c>
      <c r="W2766" s="49">
        <f t="shared" si="422"/>
        <v>0</v>
      </c>
      <c r="X2766" s="50">
        <f t="shared" si="423"/>
        <v>0</v>
      </c>
      <c r="Y2766"/>
      <c r="Z2766"/>
      <c r="AA2766"/>
    </row>
    <row r="2767" spans="1:27" s="51" customFormat="1" ht="18.600000000000001" hidden="1" customHeight="1" x14ac:dyDescent="0.25">
      <c r="A2767" s="80" t="s">
        <v>2653</v>
      </c>
      <c r="B2767" s="20" t="s">
        <v>9363</v>
      </c>
      <c r="C2767" s="21" t="s">
        <v>9365</v>
      </c>
      <c r="D2767" s="20" t="s">
        <v>7034</v>
      </c>
      <c r="E2767" s="22" t="s">
        <v>7035</v>
      </c>
      <c r="F2767" s="22" t="s">
        <v>1937</v>
      </c>
      <c r="G2767" s="22"/>
      <c r="H2767" s="83" t="s">
        <v>7036</v>
      </c>
      <c r="I2767" s="23" t="s">
        <v>24</v>
      </c>
      <c r="J2767" s="24">
        <v>165</v>
      </c>
      <c r="K2767" s="25">
        <v>0.25</v>
      </c>
      <c r="L2767" s="26">
        <f t="shared" si="415"/>
        <v>41.25</v>
      </c>
      <c r="M2767" s="27">
        <f t="shared" si="416"/>
        <v>123.75</v>
      </c>
      <c r="N2767" s="28">
        <v>0.16</v>
      </c>
      <c r="O2767" s="29">
        <f t="shared" si="417"/>
        <v>19.8</v>
      </c>
      <c r="P2767" s="30">
        <f t="shared" si="418"/>
        <v>143.55000000000001</v>
      </c>
      <c r="Q2767" s="23"/>
      <c r="R2767" s="52"/>
      <c r="S2767" s="53"/>
      <c r="T2767" s="54">
        <f t="shared" si="419"/>
        <v>0</v>
      </c>
      <c r="U2767" s="26">
        <f t="shared" si="420"/>
        <v>0</v>
      </c>
      <c r="V2767" s="55">
        <f t="shared" si="421"/>
        <v>0</v>
      </c>
      <c r="W2767" s="29">
        <f t="shared" si="422"/>
        <v>0</v>
      </c>
      <c r="X2767" s="30">
        <f t="shared" si="423"/>
        <v>0</v>
      </c>
      <c r="Y2767"/>
      <c r="Z2767"/>
      <c r="AA2767"/>
    </row>
    <row r="2768" spans="1:27" s="51" customFormat="1" ht="18.600000000000001" hidden="1" customHeight="1" x14ac:dyDescent="0.25">
      <c r="A2768" s="81" t="s">
        <v>2653</v>
      </c>
      <c r="B2768" s="31" t="s">
        <v>9363</v>
      </c>
      <c r="C2768" s="32" t="s">
        <v>9365</v>
      </c>
      <c r="D2768" s="31" t="s">
        <v>7037</v>
      </c>
      <c r="E2768" s="33" t="s">
        <v>7038</v>
      </c>
      <c r="F2768" s="33" t="s">
        <v>1937</v>
      </c>
      <c r="G2768" s="33"/>
      <c r="H2768" s="84" t="s">
        <v>7039</v>
      </c>
      <c r="I2768" s="23" t="s">
        <v>24</v>
      </c>
      <c r="J2768" s="34">
        <v>195</v>
      </c>
      <c r="K2768" s="35">
        <v>0.25</v>
      </c>
      <c r="L2768" s="36">
        <f t="shared" si="415"/>
        <v>48.75</v>
      </c>
      <c r="M2768" s="37">
        <f t="shared" si="416"/>
        <v>146.25</v>
      </c>
      <c r="N2768" s="38">
        <v>0.16</v>
      </c>
      <c r="O2768" s="39">
        <f t="shared" si="417"/>
        <v>23.400000000000002</v>
      </c>
      <c r="P2768" s="40">
        <f t="shared" si="418"/>
        <v>169.65</v>
      </c>
      <c r="Q2768" s="23"/>
      <c r="R2768" s="56"/>
      <c r="S2768" s="57"/>
      <c r="T2768" s="58">
        <f t="shared" si="419"/>
        <v>0</v>
      </c>
      <c r="U2768" s="36">
        <f t="shared" si="420"/>
        <v>0</v>
      </c>
      <c r="V2768" s="59">
        <f t="shared" si="421"/>
        <v>0</v>
      </c>
      <c r="W2768" s="39">
        <f t="shared" si="422"/>
        <v>0</v>
      </c>
      <c r="X2768" s="40">
        <f t="shared" si="423"/>
        <v>0</v>
      </c>
      <c r="Y2768"/>
      <c r="Z2768"/>
      <c r="AA2768"/>
    </row>
    <row r="2769" spans="1:27" s="51" customFormat="1" ht="18.600000000000001" hidden="1" customHeight="1" x14ac:dyDescent="0.25">
      <c r="A2769" s="82" t="s">
        <v>2653</v>
      </c>
      <c r="B2769" s="41" t="s">
        <v>9363</v>
      </c>
      <c r="C2769" s="42" t="s">
        <v>9365</v>
      </c>
      <c r="D2769" s="41" t="s">
        <v>7040</v>
      </c>
      <c r="E2769" s="43" t="s">
        <v>7041</v>
      </c>
      <c r="F2769" s="43" t="s">
        <v>1937</v>
      </c>
      <c r="G2769" s="43"/>
      <c r="H2769" s="85" t="s">
        <v>7042</v>
      </c>
      <c r="I2769" s="23" t="s">
        <v>24</v>
      </c>
      <c r="J2769" s="44">
        <v>195</v>
      </c>
      <c r="K2769" s="45">
        <v>0.25</v>
      </c>
      <c r="L2769" s="46">
        <f t="shared" si="415"/>
        <v>48.75</v>
      </c>
      <c r="M2769" s="47">
        <f t="shared" si="416"/>
        <v>146.25</v>
      </c>
      <c r="N2769" s="48">
        <v>0.16</v>
      </c>
      <c r="O2769" s="49">
        <f t="shared" si="417"/>
        <v>23.400000000000002</v>
      </c>
      <c r="P2769" s="50">
        <f t="shared" si="418"/>
        <v>169.65</v>
      </c>
      <c r="Q2769" s="23"/>
      <c r="R2769" s="60"/>
      <c r="S2769" s="61"/>
      <c r="T2769" s="62">
        <f t="shared" si="419"/>
        <v>0</v>
      </c>
      <c r="U2769" s="46">
        <f t="shared" si="420"/>
        <v>0</v>
      </c>
      <c r="V2769" s="63">
        <f t="shared" si="421"/>
        <v>0</v>
      </c>
      <c r="W2769" s="49">
        <f t="shared" si="422"/>
        <v>0</v>
      </c>
      <c r="X2769" s="50">
        <f t="shared" si="423"/>
        <v>0</v>
      </c>
      <c r="Y2769"/>
      <c r="Z2769"/>
      <c r="AA2769"/>
    </row>
    <row r="2770" spans="1:27" s="51" customFormat="1" ht="18.600000000000001" hidden="1" customHeight="1" x14ac:dyDescent="0.25">
      <c r="A2770" s="80" t="s">
        <v>2653</v>
      </c>
      <c r="B2770" s="20" t="s">
        <v>9363</v>
      </c>
      <c r="C2770" s="21" t="s">
        <v>9366</v>
      </c>
      <c r="D2770" s="20" t="s">
        <v>7043</v>
      </c>
      <c r="E2770" s="22" t="s">
        <v>7044</v>
      </c>
      <c r="F2770" s="22" t="s">
        <v>1937</v>
      </c>
      <c r="G2770" s="22"/>
      <c r="H2770" s="83" t="s">
        <v>7045</v>
      </c>
      <c r="I2770" s="23" t="s">
        <v>24</v>
      </c>
      <c r="J2770" s="24">
        <v>70</v>
      </c>
      <c r="K2770" s="25">
        <v>0.25</v>
      </c>
      <c r="L2770" s="26">
        <f t="shared" si="415"/>
        <v>17.5</v>
      </c>
      <c r="M2770" s="27">
        <f t="shared" si="416"/>
        <v>52.5</v>
      </c>
      <c r="N2770" s="28">
        <v>0.16</v>
      </c>
      <c r="O2770" s="29">
        <f t="shared" si="417"/>
        <v>8.4</v>
      </c>
      <c r="P2770" s="30">
        <f t="shared" si="418"/>
        <v>60.9</v>
      </c>
      <c r="Q2770" s="23"/>
      <c r="R2770" s="52"/>
      <c r="S2770" s="53"/>
      <c r="T2770" s="54">
        <f t="shared" si="419"/>
        <v>0</v>
      </c>
      <c r="U2770" s="26">
        <f t="shared" si="420"/>
        <v>0</v>
      </c>
      <c r="V2770" s="55">
        <f t="shared" si="421"/>
        <v>0</v>
      </c>
      <c r="W2770" s="29">
        <f t="shared" si="422"/>
        <v>0</v>
      </c>
      <c r="X2770" s="30">
        <f t="shared" si="423"/>
        <v>0</v>
      </c>
      <c r="Y2770"/>
      <c r="Z2770"/>
      <c r="AA2770"/>
    </row>
    <row r="2771" spans="1:27" s="51" customFormat="1" ht="18.600000000000001" hidden="1" customHeight="1" x14ac:dyDescent="0.25">
      <c r="A2771" s="81" t="s">
        <v>2653</v>
      </c>
      <c r="B2771" s="31" t="s">
        <v>9363</v>
      </c>
      <c r="C2771" s="32" t="s">
        <v>9366</v>
      </c>
      <c r="D2771" s="31" t="s">
        <v>7046</v>
      </c>
      <c r="E2771" s="33" t="s">
        <v>7047</v>
      </c>
      <c r="F2771" s="33" t="s">
        <v>1937</v>
      </c>
      <c r="G2771" s="33"/>
      <c r="H2771" s="84" t="s">
        <v>7048</v>
      </c>
      <c r="I2771" s="23" t="s">
        <v>24</v>
      </c>
      <c r="J2771" s="34">
        <v>80</v>
      </c>
      <c r="K2771" s="35">
        <v>0.25</v>
      </c>
      <c r="L2771" s="36">
        <f t="shared" si="415"/>
        <v>20</v>
      </c>
      <c r="M2771" s="37">
        <f t="shared" si="416"/>
        <v>60</v>
      </c>
      <c r="N2771" s="38">
        <v>0.16</v>
      </c>
      <c r="O2771" s="39">
        <f t="shared" si="417"/>
        <v>9.6</v>
      </c>
      <c r="P2771" s="40">
        <f t="shared" si="418"/>
        <v>69.599999999999994</v>
      </c>
      <c r="Q2771" s="23"/>
      <c r="R2771" s="56"/>
      <c r="S2771" s="57"/>
      <c r="T2771" s="58">
        <f t="shared" si="419"/>
        <v>0</v>
      </c>
      <c r="U2771" s="36">
        <f t="shared" si="420"/>
        <v>0</v>
      </c>
      <c r="V2771" s="59">
        <f t="shared" si="421"/>
        <v>0</v>
      </c>
      <c r="W2771" s="39">
        <f t="shared" si="422"/>
        <v>0</v>
      </c>
      <c r="X2771" s="40">
        <f t="shared" si="423"/>
        <v>0</v>
      </c>
      <c r="Y2771"/>
      <c r="Z2771"/>
      <c r="AA2771"/>
    </row>
    <row r="2772" spans="1:27" s="51" customFormat="1" ht="18.600000000000001" hidden="1" customHeight="1" x14ac:dyDescent="0.25">
      <c r="A2772" s="82" t="s">
        <v>2653</v>
      </c>
      <c r="B2772" s="41" t="s">
        <v>9363</v>
      </c>
      <c r="C2772" s="42" t="s">
        <v>9366</v>
      </c>
      <c r="D2772" s="41" t="s">
        <v>7049</v>
      </c>
      <c r="E2772" s="43" t="s">
        <v>7050</v>
      </c>
      <c r="F2772" s="43" t="s">
        <v>1937</v>
      </c>
      <c r="G2772" s="43"/>
      <c r="H2772" s="85" t="s">
        <v>7051</v>
      </c>
      <c r="I2772" s="23" t="s">
        <v>24</v>
      </c>
      <c r="J2772" s="44">
        <v>115</v>
      </c>
      <c r="K2772" s="45">
        <v>0.25</v>
      </c>
      <c r="L2772" s="46">
        <f t="shared" si="415"/>
        <v>28.75</v>
      </c>
      <c r="M2772" s="47">
        <f t="shared" si="416"/>
        <v>86.25</v>
      </c>
      <c r="N2772" s="48">
        <v>0.16</v>
      </c>
      <c r="O2772" s="49">
        <f t="shared" si="417"/>
        <v>13.8</v>
      </c>
      <c r="P2772" s="50">
        <f t="shared" si="418"/>
        <v>100.05</v>
      </c>
      <c r="Q2772" s="23"/>
      <c r="R2772" s="60"/>
      <c r="S2772" s="61"/>
      <c r="T2772" s="62">
        <f t="shared" si="419"/>
        <v>0</v>
      </c>
      <c r="U2772" s="46">
        <f t="shared" si="420"/>
        <v>0</v>
      </c>
      <c r="V2772" s="63">
        <f t="shared" si="421"/>
        <v>0</v>
      </c>
      <c r="W2772" s="49">
        <f t="shared" si="422"/>
        <v>0</v>
      </c>
      <c r="X2772" s="50">
        <f t="shared" si="423"/>
        <v>0</v>
      </c>
      <c r="Y2772"/>
      <c r="Z2772"/>
      <c r="AA2772"/>
    </row>
    <row r="2773" spans="1:27" s="51" customFormat="1" ht="18.600000000000001" hidden="1" customHeight="1" x14ac:dyDescent="0.25">
      <c r="A2773" s="80" t="s">
        <v>2653</v>
      </c>
      <c r="B2773" s="20" t="s">
        <v>9363</v>
      </c>
      <c r="C2773" s="21" t="s">
        <v>9366</v>
      </c>
      <c r="D2773" s="20" t="s">
        <v>7052</v>
      </c>
      <c r="E2773" s="22" t="s">
        <v>7053</v>
      </c>
      <c r="F2773" s="22" t="s">
        <v>1937</v>
      </c>
      <c r="G2773" s="22"/>
      <c r="H2773" s="83" t="s">
        <v>7054</v>
      </c>
      <c r="I2773" s="23" t="s">
        <v>24</v>
      </c>
      <c r="J2773" s="24">
        <v>150</v>
      </c>
      <c r="K2773" s="25">
        <v>0.25</v>
      </c>
      <c r="L2773" s="26">
        <f t="shared" si="415"/>
        <v>37.5</v>
      </c>
      <c r="M2773" s="27">
        <f t="shared" si="416"/>
        <v>112.5</v>
      </c>
      <c r="N2773" s="28">
        <v>0.16</v>
      </c>
      <c r="O2773" s="29">
        <f t="shared" si="417"/>
        <v>18</v>
      </c>
      <c r="P2773" s="30">
        <f t="shared" si="418"/>
        <v>130.5</v>
      </c>
      <c r="Q2773" s="23"/>
      <c r="R2773" s="52"/>
      <c r="S2773" s="53"/>
      <c r="T2773" s="54">
        <f t="shared" si="419"/>
        <v>0</v>
      </c>
      <c r="U2773" s="26">
        <f t="shared" si="420"/>
        <v>0</v>
      </c>
      <c r="V2773" s="55">
        <f t="shared" si="421"/>
        <v>0</v>
      </c>
      <c r="W2773" s="29">
        <f t="shared" si="422"/>
        <v>0</v>
      </c>
      <c r="X2773" s="30">
        <f t="shared" si="423"/>
        <v>0</v>
      </c>
      <c r="Y2773"/>
      <c r="Z2773"/>
      <c r="AA2773"/>
    </row>
    <row r="2774" spans="1:27" s="51" customFormat="1" ht="18.600000000000001" hidden="1" customHeight="1" x14ac:dyDescent="0.25">
      <c r="A2774" s="81" t="s">
        <v>2653</v>
      </c>
      <c r="B2774" s="31" t="s">
        <v>9363</v>
      </c>
      <c r="C2774" s="32" t="s">
        <v>9366</v>
      </c>
      <c r="D2774" s="31" t="s">
        <v>7055</v>
      </c>
      <c r="E2774" s="33" t="s">
        <v>7056</v>
      </c>
      <c r="F2774" s="33" t="s">
        <v>1937</v>
      </c>
      <c r="G2774" s="33"/>
      <c r="H2774" s="84" t="s">
        <v>7057</v>
      </c>
      <c r="I2774" s="23" t="s">
        <v>24</v>
      </c>
      <c r="J2774" s="34">
        <v>175</v>
      </c>
      <c r="K2774" s="35">
        <v>0.25</v>
      </c>
      <c r="L2774" s="36">
        <f t="shared" si="415"/>
        <v>43.75</v>
      </c>
      <c r="M2774" s="37">
        <f t="shared" si="416"/>
        <v>131.25</v>
      </c>
      <c r="N2774" s="38">
        <v>0.16</v>
      </c>
      <c r="O2774" s="39">
        <f t="shared" si="417"/>
        <v>21</v>
      </c>
      <c r="P2774" s="40">
        <f t="shared" si="418"/>
        <v>152.25</v>
      </c>
      <c r="Q2774" s="23"/>
      <c r="R2774" s="56"/>
      <c r="S2774" s="57"/>
      <c r="T2774" s="58">
        <f t="shared" si="419"/>
        <v>0</v>
      </c>
      <c r="U2774" s="36">
        <f t="shared" si="420"/>
        <v>0</v>
      </c>
      <c r="V2774" s="59">
        <f t="shared" si="421"/>
        <v>0</v>
      </c>
      <c r="W2774" s="39">
        <f t="shared" si="422"/>
        <v>0</v>
      </c>
      <c r="X2774" s="40">
        <f t="shared" si="423"/>
        <v>0</v>
      </c>
      <c r="Y2774"/>
      <c r="Z2774"/>
      <c r="AA2774"/>
    </row>
    <row r="2775" spans="1:27" s="51" customFormat="1" ht="18.600000000000001" hidden="1" customHeight="1" x14ac:dyDescent="0.25">
      <c r="A2775" s="82" t="s">
        <v>2653</v>
      </c>
      <c r="B2775" s="41" t="s">
        <v>9363</v>
      </c>
      <c r="C2775" s="42" t="s">
        <v>9366</v>
      </c>
      <c r="D2775" s="41">
        <v>8435568305571</v>
      </c>
      <c r="E2775" s="43" t="s">
        <v>7058</v>
      </c>
      <c r="F2775" s="43" t="s">
        <v>1937</v>
      </c>
      <c r="G2775" s="43"/>
      <c r="H2775" s="85" t="s">
        <v>7059</v>
      </c>
      <c r="I2775" s="23" t="s">
        <v>24</v>
      </c>
      <c r="J2775" s="44">
        <v>150</v>
      </c>
      <c r="K2775" s="45">
        <v>0.25</v>
      </c>
      <c r="L2775" s="46">
        <f t="shared" si="415"/>
        <v>37.5</v>
      </c>
      <c r="M2775" s="47">
        <f t="shared" si="416"/>
        <v>112.5</v>
      </c>
      <c r="N2775" s="48">
        <v>0.16</v>
      </c>
      <c r="O2775" s="49">
        <f t="shared" si="417"/>
        <v>18</v>
      </c>
      <c r="P2775" s="50">
        <f t="shared" si="418"/>
        <v>130.5</v>
      </c>
      <c r="Q2775" s="23"/>
      <c r="R2775" s="60"/>
      <c r="S2775" s="61"/>
      <c r="T2775" s="62">
        <f t="shared" si="419"/>
        <v>0</v>
      </c>
      <c r="U2775" s="46">
        <f t="shared" si="420"/>
        <v>0</v>
      </c>
      <c r="V2775" s="63">
        <f t="shared" si="421"/>
        <v>0</v>
      </c>
      <c r="W2775" s="49">
        <f t="shared" si="422"/>
        <v>0</v>
      </c>
      <c r="X2775" s="50">
        <f t="shared" si="423"/>
        <v>0</v>
      </c>
      <c r="Y2775"/>
      <c r="Z2775"/>
      <c r="AA2775"/>
    </row>
    <row r="2776" spans="1:27" s="51" customFormat="1" ht="18.600000000000001" hidden="1" customHeight="1" x14ac:dyDescent="0.25">
      <c r="A2776" s="80" t="s">
        <v>2653</v>
      </c>
      <c r="B2776" s="20" t="s">
        <v>9363</v>
      </c>
      <c r="C2776" s="21" t="s">
        <v>9366</v>
      </c>
      <c r="D2776" s="20" t="s">
        <v>7060</v>
      </c>
      <c r="E2776" s="22" t="s">
        <v>7061</v>
      </c>
      <c r="F2776" s="22" t="s">
        <v>1937</v>
      </c>
      <c r="G2776" s="22"/>
      <c r="H2776" s="83" t="s">
        <v>7062</v>
      </c>
      <c r="I2776" s="23" t="s">
        <v>24</v>
      </c>
      <c r="J2776" s="24">
        <v>80</v>
      </c>
      <c r="K2776" s="25">
        <v>0.25</v>
      </c>
      <c r="L2776" s="26">
        <f t="shared" si="415"/>
        <v>20</v>
      </c>
      <c r="M2776" s="27">
        <f t="shared" si="416"/>
        <v>60</v>
      </c>
      <c r="N2776" s="28">
        <v>0.16</v>
      </c>
      <c r="O2776" s="29">
        <f t="shared" si="417"/>
        <v>9.6</v>
      </c>
      <c r="P2776" s="30">
        <f t="shared" si="418"/>
        <v>69.599999999999994</v>
      </c>
      <c r="Q2776" s="23"/>
      <c r="R2776" s="52"/>
      <c r="S2776" s="53"/>
      <c r="T2776" s="54">
        <f t="shared" si="419"/>
        <v>0</v>
      </c>
      <c r="U2776" s="26">
        <f t="shared" si="420"/>
        <v>0</v>
      </c>
      <c r="V2776" s="55">
        <f t="shared" si="421"/>
        <v>0</v>
      </c>
      <c r="W2776" s="29">
        <f t="shared" si="422"/>
        <v>0</v>
      </c>
      <c r="X2776" s="30">
        <f t="shared" si="423"/>
        <v>0</v>
      </c>
      <c r="Y2776"/>
      <c r="Z2776"/>
      <c r="AA2776"/>
    </row>
    <row r="2777" spans="1:27" s="51" customFormat="1" ht="18.600000000000001" hidden="1" customHeight="1" x14ac:dyDescent="0.25">
      <c r="A2777" s="81" t="s">
        <v>2653</v>
      </c>
      <c r="B2777" s="31" t="s">
        <v>9363</v>
      </c>
      <c r="C2777" s="32" t="s">
        <v>9366</v>
      </c>
      <c r="D2777" s="31" t="s">
        <v>7063</v>
      </c>
      <c r="E2777" s="33" t="s">
        <v>7064</v>
      </c>
      <c r="F2777" s="33" t="s">
        <v>1937</v>
      </c>
      <c r="G2777" s="33"/>
      <c r="H2777" s="84" t="s">
        <v>7065</v>
      </c>
      <c r="I2777" s="23" t="s">
        <v>24</v>
      </c>
      <c r="J2777" s="34">
        <v>90</v>
      </c>
      <c r="K2777" s="35">
        <v>0.25</v>
      </c>
      <c r="L2777" s="36">
        <f t="shared" si="415"/>
        <v>22.5</v>
      </c>
      <c r="M2777" s="37">
        <f t="shared" si="416"/>
        <v>67.5</v>
      </c>
      <c r="N2777" s="38">
        <v>0.16</v>
      </c>
      <c r="O2777" s="39">
        <f t="shared" si="417"/>
        <v>10.8</v>
      </c>
      <c r="P2777" s="40">
        <f t="shared" si="418"/>
        <v>78.3</v>
      </c>
      <c r="Q2777" s="23"/>
      <c r="R2777" s="56"/>
      <c r="S2777" s="57"/>
      <c r="T2777" s="58">
        <f t="shared" si="419"/>
        <v>0</v>
      </c>
      <c r="U2777" s="36">
        <f t="shared" si="420"/>
        <v>0</v>
      </c>
      <c r="V2777" s="59">
        <f t="shared" si="421"/>
        <v>0</v>
      </c>
      <c r="W2777" s="39">
        <f t="shared" si="422"/>
        <v>0</v>
      </c>
      <c r="X2777" s="40">
        <f t="shared" si="423"/>
        <v>0</v>
      </c>
      <c r="Y2777"/>
      <c r="Z2777"/>
      <c r="AA2777"/>
    </row>
    <row r="2778" spans="1:27" s="51" customFormat="1" ht="18.600000000000001" hidden="1" customHeight="1" x14ac:dyDescent="0.25">
      <c r="A2778" s="82" t="s">
        <v>2653</v>
      </c>
      <c r="B2778" s="41" t="s">
        <v>9363</v>
      </c>
      <c r="C2778" s="42" t="s">
        <v>9366</v>
      </c>
      <c r="D2778" s="41" t="s">
        <v>7066</v>
      </c>
      <c r="E2778" s="43" t="s">
        <v>7067</v>
      </c>
      <c r="F2778" s="43" t="s">
        <v>1937</v>
      </c>
      <c r="G2778" s="43"/>
      <c r="H2778" s="85" t="s">
        <v>7068</v>
      </c>
      <c r="I2778" s="23" t="s">
        <v>24</v>
      </c>
      <c r="J2778" s="44">
        <v>100</v>
      </c>
      <c r="K2778" s="45">
        <v>0.25</v>
      </c>
      <c r="L2778" s="46">
        <f t="shared" si="415"/>
        <v>25</v>
      </c>
      <c r="M2778" s="47">
        <f t="shared" si="416"/>
        <v>75</v>
      </c>
      <c r="N2778" s="48">
        <v>0.16</v>
      </c>
      <c r="O2778" s="49">
        <f t="shared" si="417"/>
        <v>12</v>
      </c>
      <c r="P2778" s="50">
        <f t="shared" si="418"/>
        <v>87</v>
      </c>
      <c r="Q2778" s="23"/>
      <c r="R2778" s="60"/>
      <c r="S2778" s="61"/>
      <c r="T2778" s="62">
        <f t="shared" si="419"/>
        <v>0</v>
      </c>
      <c r="U2778" s="46">
        <f t="shared" si="420"/>
        <v>0</v>
      </c>
      <c r="V2778" s="63">
        <f t="shared" si="421"/>
        <v>0</v>
      </c>
      <c r="W2778" s="49">
        <f t="shared" si="422"/>
        <v>0</v>
      </c>
      <c r="X2778" s="50">
        <f t="shared" si="423"/>
        <v>0</v>
      </c>
      <c r="Y2778"/>
      <c r="Z2778"/>
      <c r="AA2778"/>
    </row>
    <row r="2779" spans="1:27" s="51" customFormat="1" ht="18.600000000000001" hidden="1" customHeight="1" x14ac:dyDescent="0.25">
      <c r="A2779" s="80" t="s">
        <v>2653</v>
      </c>
      <c r="B2779" s="20" t="s">
        <v>9363</v>
      </c>
      <c r="C2779" s="21" t="s">
        <v>9366</v>
      </c>
      <c r="D2779" s="20" t="s">
        <v>7069</v>
      </c>
      <c r="E2779" s="22" t="s">
        <v>7070</v>
      </c>
      <c r="F2779" s="22" t="s">
        <v>1937</v>
      </c>
      <c r="G2779" s="22"/>
      <c r="H2779" s="83" t="s">
        <v>7071</v>
      </c>
      <c r="I2779" s="23" t="s">
        <v>24</v>
      </c>
      <c r="J2779" s="24">
        <v>110</v>
      </c>
      <c r="K2779" s="25">
        <v>0.25</v>
      </c>
      <c r="L2779" s="26">
        <f t="shared" si="415"/>
        <v>27.5</v>
      </c>
      <c r="M2779" s="27">
        <f t="shared" si="416"/>
        <v>82.5</v>
      </c>
      <c r="N2779" s="28">
        <v>0.16</v>
      </c>
      <c r="O2779" s="29">
        <f t="shared" si="417"/>
        <v>13.200000000000001</v>
      </c>
      <c r="P2779" s="30">
        <f t="shared" si="418"/>
        <v>95.7</v>
      </c>
      <c r="Q2779" s="23"/>
      <c r="R2779" s="52"/>
      <c r="S2779" s="53"/>
      <c r="T2779" s="54">
        <f t="shared" si="419"/>
        <v>0</v>
      </c>
      <c r="U2779" s="26">
        <f t="shared" si="420"/>
        <v>0</v>
      </c>
      <c r="V2779" s="55">
        <f t="shared" si="421"/>
        <v>0</v>
      </c>
      <c r="W2779" s="29">
        <f t="shared" si="422"/>
        <v>0</v>
      </c>
      <c r="X2779" s="30">
        <f t="shared" si="423"/>
        <v>0</v>
      </c>
      <c r="Y2779"/>
      <c r="Z2779"/>
      <c r="AA2779"/>
    </row>
    <row r="2780" spans="1:27" s="51" customFormat="1" ht="18.600000000000001" hidden="1" customHeight="1" x14ac:dyDescent="0.25">
      <c r="A2780" s="81" t="s">
        <v>2653</v>
      </c>
      <c r="B2780" s="31" t="s">
        <v>9363</v>
      </c>
      <c r="C2780" s="32" t="s">
        <v>9366</v>
      </c>
      <c r="D2780" s="31" t="s">
        <v>7072</v>
      </c>
      <c r="E2780" s="33" t="s">
        <v>7073</v>
      </c>
      <c r="F2780" s="33" t="s">
        <v>1937</v>
      </c>
      <c r="G2780" s="33"/>
      <c r="H2780" s="84" t="s">
        <v>7074</v>
      </c>
      <c r="I2780" s="23" t="s">
        <v>24</v>
      </c>
      <c r="J2780" s="34">
        <v>130</v>
      </c>
      <c r="K2780" s="35">
        <v>0.25</v>
      </c>
      <c r="L2780" s="36">
        <f t="shared" si="415"/>
        <v>32.5</v>
      </c>
      <c r="M2780" s="37">
        <f t="shared" si="416"/>
        <v>97.5</v>
      </c>
      <c r="N2780" s="38">
        <v>0.16</v>
      </c>
      <c r="O2780" s="39">
        <f t="shared" si="417"/>
        <v>15.6</v>
      </c>
      <c r="P2780" s="40">
        <f t="shared" si="418"/>
        <v>113.1</v>
      </c>
      <c r="Q2780" s="23"/>
      <c r="R2780" s="56"/>
      <c r="S2780" s="57"/>
      <c r="T2780" s="58">
        <f t="shared" si="419"/>
        <v>0</v>
      </c>
      <c r="U2780" s="36">
        <f t="shared" si="420"/>
        <v>0</v>
      </c>
      <c r="V2780" s="59">
        <f t="shared" si="421"/>
        <v>0</v>
      </c>
      <c r="W2780" s="39">
        <f t="shared" si="422"/>
        <v>0</v>
      </c>
      <c r="X2780" s="40">
        <f t="shared" si="423"/>
        <v>0</v>
      </c>
      <c r="Y2780"/>
      <c r="Z2780"/>
      <c r="AA2780"/>
    </row>
    <row r="2781" spans="1:27" s="51" customFormat="1" ht="18.600000000000001" hidden="1" customHeight="1" x14ac:dyDescent="0.25">
      <c r="A2781" s="82" t="s">
        <v>2653</v>
      </c>
      <c r="B2781" s="41" t="s">
        <v>9363</v>
      </c>
      <c r="C2781" s="42" t="s">
        <v>9367</v>
      </c>
      <c r="D2781" s="41">
        <v>8435568304840</v>
      </c>
      <c r="E2781" s="43" t="s">
        <v>7075</v>
      </c>
      <c r="F2781" s="43" t="s">
        <v>1937</v>
      </c>
      <c r="G2781" s="43" t="s">
        <v>6976</v>
      </c>
      <c r="H2781" s="85" t="s">
        <v>7076</v>
      </c>
      <c r="I2781" s="23" t="s">
        <v>24</v>
      </c>
      <c r="J2781" s="44">
        <v>170</v>
      </c>
      <c r="K2781" s="45">
        <v>0.25</v>
      </c>
      <c r="L2781" s="46">
        <f t="shared" si="415"/>
        <v>42.5</v>
      </c>
      <c r="M2781" s="47">
        <f t="shared" si="416"/>
        <v>127.5</v>
      </c>
      <c r="N2781" s="48">
        <v>0.16</v>
      </c>
      <c r="O2781" s="49">
        <f t="shared" si="417"/>
        <v>20.400000000000002</v>
      </c>
      <c r="P2781" s="50">
        <f t="shared" si="418"/>
        <v>147.9</v>
      </c>
      <c r="Q2781" s="23"/>
      <c r="R2781" s="60"/>
      <c r="S2781" s="61"/>
      <c r="T2781" s="62">
        <f t="shared" si="419"/>
        <v>0</v>
      </c>
      <c r="U2781" s="46">
        <f t="shared" si="420"/>
        <v>0</v>
      </c>
      <c r="V2781" s="63">
        <f t="shared" si="421"/>
        <v>0</v>
      </c>
      <c r="W2781" s="49">
        <f t="shared" si="422"/>
        <v>0</v>
      </c>
      <c r="X2781" s="50">
        <f t="shared" si="423"/>
        <v>0</v>
      </c>
      <c r="Y2781"/>
      <c r="Z2781"/>
      <c r="AA2781"/>
    </row>
    <row r="2782" spans="1:27" s="51" customFormat="1" ht="18.600000000000001" hidden="1" customHeight="1" x14ac:dyDescent="0.25">
      <c r="A2782" s="80" t="s">
        <v>2653</v>
      </c>
      <c r="B2782" s="20" t="s">
        <v>9363</v>
      </c>
      <c r="C2782" s="21" t="s">
        <v>9367</v>
      </c>
      <c r="D2782" s="20">
        <v>8435568304857</v>
      </c>
      <c r="E2782" s="22" t="s">
        <v>7077</v>
      </c>
      <c r="F2782" s="22" t="s">
        <v>1937</v>
      </c>
      <c r="G2782" s="22" t="s">
        <v>6976</v>
      </c>
      <c r="H2782" s="83" t="s">
        <v>7078</v>
      </c>
      <c r="I2782" s="23" t="s">
        <v>24</v>
      </c>
      <c r="J2782" s="24">
        <v>170</v>
      </c>
      <c r="K2782" s="25">
        <v>0.25</v>
      </c>
      <c r="L2782" s="26">
        <f t="shared" si="415"/>
        <v>42.5</v>
      </c>
      <c r="M2782" s="27">
        <f t="shared" si="416"/>
        <v>127.5</v>
      </c>
      <c r="N2782" s="28">
        <v>0.16</v>
      </c>
      <c r="O2782" s="29">
        <f t="shared" si="417"/>
        <v>20.400000000000002</v>
      </c>
      <c r="P2782" s="30">
        <f t="shared" si="418"/>
        <v>147.9</v>
      </c>
      <c r="Q2782" s="23"/>
      <c r="R2782" s="52"/>
      <c r="S2782" s="53"/>
      <c r="T2782" s="54">
        <f t="shared" si="419"/>
        <v>0</v>
      </c>
      <c r="U2782" s="26">
        <f t="shared" si="420"/>
        <v>0</v>
      </c>
      <c r="V2782" s="55">
        <f t="shared" si="421"/>
        <v>0</v>
      </c>
      <c r="W2782" s="29">
        <f t="shared" si="422"/>
        <v>0</v>
      </c>
      <c r="X2782" s="30">
        <f t="shared" si="423"/>
        <v>0</v>
      </c>
      <c r="Y2782"/>
      <c r="Z2782"/>
      <c r="AA2782"/>
    </row>
    <row r="2783" spans="1:27" s="51" customFormat="1" ht="18.600000000000001" hidden="1" customHeight="1" x14ac:dyDescent="0.25">
      <c r="A2783" s="81" t="s">
        <v>2653</v>
      </c>
      <c r="B2783" s="31" t="s">
        <v>9363</v>
      </c>
      <c r="C2783" s="32" t="s">
        <v>9367</v>
      </c>
      <c r="D2783" s="31">
        <v>8435568304864</v>
      </c>
      <c r="E2783" s="33" t="s">
        <v>7079</v>
      </c>
      <c r="F2783" s="33" t="s">
        <v>1937</v>
      </c>
      <c r="G2783" s="33" t="s">
        <v>6976</v>
      </c>
      <c r="H2783" s="84" t="s">
        <v>7080</v>
      </c>
      <c r="I2783" s="23" t="s">
        <v>24</v>
      </c>
      <c r="J2783" s="34">
        <v>170</v>
      </c>
      <c r="K2783" s="35">
        <v>0.25</v>
      </c>
      <c r="L2783" s="36">
        <f t="shared" si="415"/>
        <v>42.5</v>
      </c>
      <c r="M2783" s="37">
        <f t="shared" si="416"/>
        <v>127.5</v>
      </c>
      <c r="N2783" s="38">
        <v>0.16</v>
      </c>
      <c r="O2783" s="39">
        <f t="shared" si="417"/>
        <v>20.400000000000002</v>
      </c>
      <c r="P2783" s="40">
        <f t="shared" si="418"/>
        <v>147.9</v>
      </c>
      <c r="Q2783" s="23"/>
      <c r="R2783" s="56"/>
      <c r="S2783" s="57"/>
      <c r="T2783" s="58">
        <f t="shared" si="419"/>
        <v>0</v>
      </c>
      <c r="U2783" s="36">
        <f t="shared" si="420"/>
        <v>0</v>
      </c>
      <c r="V2783" s="59">
        <f t="shared" si="421"/>
        <v>0</v>
      </c>
      <c r="W2783" s="39">
        <f t="shared" si="422"/>
        <v>0</v>
      </c>
      <c r="X2783" s="40">
        <f t="shared" si="423"/>
        <v>0</v>
      </c>
      <c r="Y2783"/>
      <c r="Z2783"/>
      <c r="AA2783"/>
    </row>
    <row r="2784" spans="1:27" s="51" customFormat="1" ht="18.600000000000001" hidden="1" customHeight="1" x14ac:dyDescent="0.25">
      <c r="A2784" s="82" t="s">
        <v>2653</v>
      </c>
      <c r="B2784" s="41" t="s">
        <v>9363</v>
      </c>
      <c r="C2784" s="42" t="s">
        <v>9367</v>
      </c>
      <c r="D2784" s="41" t="s">
        <v>7081</v>
      </c>
      <c r="E2784" s="43" t="s">
        <v>9568</v>
      </c>
      <c r="F2784" s="43" t="s">
        <v>1937</v>
      </c>
      <c r="G2784" s="43" t="s">
        <v>6953</v>
      </c>
      <c r="H2784" s="85" t="s">
        <v>7082</v>
      </c>
      <c r="I2784" s="23" t="s">
        <v>24</v>
      </c>
      <c r="J2784" s="44">
        <v>500</v>
      </c>
      <c r="K2784" s="45">
        <v>0.25</v>
      </c>
      <c r="L2784" s="46">
        <f t="shared" si="415"/>
        <v>125</v>
      </c>
      <c r="M2784" s="47">
        <f t="shared" si="416"/>
        <v>375</v>
      </c>
      <c r="N2784" s="48">
        <v>0.16</v>
      </c>
      <c r="O2784" s="49">
        <f t="shared" si="417"/>
        <v>60</v>
      </c>
      <c r="P2784" s="50">
        <f t="shared" si="418"/>
        <v>435</v>
      </c>
      <c r="Q2784" s="23"/>
      <c r="R2784" s="60"/>
      <c r="S2784" s="61"/>
      <c r="T2784" s="62">
        <f t="shared" si="419"/>
        <v>0</v>
      </c>
      <c r="U2784" s="46">
        <f t="shared" si="420"/>
        <v>0</v>
      </c>
      <c r="V2784" s="63">
        <f t="shared" si="421"/>
        <v>0</v>
      </c>
      <c r="W2784" s="49">
        <f t="shared" si="422"/>
        <v>0</v>
      </c>
      <c r="X2784" s="50">
        <f t="shared" si="423"/>
        <v>0</v>
      </c>
      <c r="Y2784"/>
      <c r="Z2784"/>
      <c r="AA2784"/>
    </row>
    <row r="2785" spans="1:27" s="51" customFormat="1" ht="18.600000000000001" hidden="1" customHeight="1" x14ac:dyDescent="0.25">
      <c r="A2785" s="80" t="s">
        <v>2653</v>
      </c>
      <c r="B2785" s="20" t="s">
        <v>9363</v>
      </c>
      <c r="C2785" s="21" t="s">
        <v>9367</v>
      </c>
      <c r="D2785" s="20" t="s">
        <v>7083</v>
      </c>
      <c r="E2785" s="22" t="s">
        <v>7084</v>
      </c>
      <c r="F2785" s="22" t="s">
        <v>1937</v>
      </c>
      <c r="G2785" s="22" t="s">
        <v>6953</v>
      </c>
      <c r="H2785" s="83" t="s">
        <v>7085</v>
      </c>
      <c r="I2785" s="23" t="s">
        <v>24</v>
      </c>
      <c r="J2785" s="24">
        <v>500</v>
      </c>
      <c r="K2785" s="25">
        <v>0.25</v>
      </c>
      <c r="L2785" s="26">
        <f t="shared" si="415"/>
        <v>125</v>
      </c>
      <c r="M2785" s="27">
        <f t="shared" si="416"/>
        <v>375</v>
      </c>
      <c r="N2785" s="28">
        <v>0.16</v>
      </c>
      <c r="O2785" s="29">
        <f t="shared" si="417"/>
        <v>60</v>
      </c>
      <c r="P2785" s="30">
        <f t="shared" si="418"/>
        <v>435</v>
      </c>
      <c r="Q2785" s="23"/>
      <c r="R2785" s="52"/>
      <c r="S2785" s="53"/>
      <c r="T2785" s="54">
        <f t="shared" si="419"/>
        <v>0</v>
      </c>
      <c r="U2785" s="26">
        <f t="shared" si="420"/>
        <v>0</v>
      </c>
      <c r="V2785" s="55">
        <f t="shared" si="421"/>
        <v>0</v>
      </c>
      <c r="W2785" s="29">
        <f t="shared" si="422"/>
        <v>0</v>
      </c>
      <c r="X2785" s="30">
        <f t="shared" si="423"/>
        <v>0</v>
      </c>
      <c r="Y2785"/>
      <c r="Z2785"/>
      <c r="AA2785"/>
    </row>
    <row r="2786" spans="1:27" s="51" customFormat="1" ht="18.600000000000001" hidden="1" customHeight="1" x14ac:dyDescent="0.25">
      <c r="A2786" s="81" t="s">
        <v>2653</v>
      </c>
      <c r="B2786" s="31" t="s">
        <v>9363</v>
      </c>
      <c r="C2786" s="32" t="s">
        <v>9367</v>
      </c>
      <c r="D2786" s="31" t="s">
        <v>7086</v>
      </c>
      <c r="E2786" s="33" t="s">
        <v>7087</v>
      </c>
      <c r="F2786" s="33" t="s">
        <v>1937</v>
      </c>
      <c r="G2786" s="33" t="s">
        <v>6953</v>
      </c>
      <c r="H2786" s="84" t="s">
        <v>7088</v>
      </c>
      <c r="I2786" s="23" t="s">
        <v>24</v>
      </c>
      <c r="J2786" s="34">
        <v>500</v>
      </c>
      <c r="K2786" s="35">
        <v>0.25</v>
      </c>
      <c r="L2786" s="36">
        <f t="shared" si="415"/>
        <v>125</v>
      </c>
      <c r="M2786" s="37">
        <f t="shared" si="416"/>
        <v>375</v>
      </c>
      <c r="N2786" s="38">
        <v>0.16</v>
      </c>
      <c r="O2786" s="39">
        <f t="shared" si="417"/>
        <v>60</v>
      </c>
      <c r="P2786" s="40">
        <f t="shared" si="418"/>
        <v>435</v>
      </c>
      <c r="Q2786" s="23"/>
      <c r="R2786" s="56"/>
      <c r="S2786" s="57"/>
      <c r="T2786" s="58">
        <f t="shared" si="419"/>
        <v>0</v>
      </c>
      <c r="U2786" s="36">
        <f t="shared" si="420"/>
        <v>0</v>
      </c>
      <c r="V2786" s="59">
        <f t="shared" si="421"/>
        <v>0</v>
      </c>
      <c r="W2786" s="39">
        <f t="shared" si="422"/>
        <v>0</v>
      </c>
      <c r="X2786" s="40">
        <f t="shared" si="423"/>
        <v>0</v>
      </c>
      <c r="Y2786"/>
      <c r="Z2786"/>
      <c r="AA2786"/>
    </row>
    <row r="2787" spans="1:27" s="51" customFormat="1" ht="18.600000000000001" hidden="1" customHeight="1" x14ac:dyDescent="0.25">
      <c r="A2787" s="82" t="s">
        <v>2653</v>
      </c>
      <c r="B2787" s="41" t="s">
        <v>9363</v>
      </c>
      <c r="C2787" s="42" t="s">
        <v>9367</v>
      </c>
      <c r="D2787" s="41">
        <v>8435568305595</v>
      </c>
      <c r="E2787" s="43" t="s">
        <v>7089</v>
      </c>
      <c r="F2787" s="43" t="s">
        <v>1937</v>
      </c>
      <c r="G2787" s="43" t="s">
        <v>5026</v>
      </c>
      <c r="H2787" s="85" t="s">
        <v>7090</v>
      </c>
      <c r="I2787" s="23" t="s">
        <v>24</v>
      </c>
      <c r="J2787" s="44">
        <v>140</v>
      </c>
      <c r="K2787" s="45">
        <v>0.25</v>
      </c>
      <c r="L2787" s="46">
        <f t="shared" si="415"/>
        <v>35</v>
      </c>
      <c r="M2787" s="47">
        <f t="shared" si="416"/>
        <v>105</v>
      </c>
      <c r="N2787" s="48">
        <v>0.16</v>
      </c>
      <c r="O2787" s="49">
        <f t="shared" si="417"/>
        <v>16.8</v>
      </c>
      <c r="P2787" s="50">
        <f t="shared" si="418"/>
        <v>121.8</v>
      </c>
      <c r="Q2787" s="23"/>
      <c r="R2787" s="60"/>
      <c r="S2787" s="61"/>
      <c r="T2787" s="62">
        <f t="shared" si="419"/>
        <v>0</v>
      </c>
      <c r="U2787" s="46">
        <f t="shared" si="420"/>
        <v>0</v>
      </c>
      <c r="V2787" s="63">
        <f t="shared" si="421"/>
        <v>0</v>
      </c>
      <c r="W2787" s="49">
        <f t="shared" si="422"/>
        <v>0</v>
      </c>
      <c r="X2787" s="50">
        <f t="shared" si="423"/>
        <v>0</v>
      </c>
      <c r="Y2787"/>
      <c r="Z2787"/>
      <c r="AA2787"/>
    </row>
    <row r="2788" spans="1:27" s="51" customFormat="1" ht="18.600000000000001" hidden="1" customHeight="1" x14ac:dyDescent="0.25">
      <c r="A2788" s="80" t="s">
        <v>2653</v>
      </c>
      <c r="B2788" s="20" t="s">
        <v>9363</v>
      </c>
      <c r="C2788" s="21" t="s">
        <v>9367</v>
      </c>
      <c r="D2788" s="20">
        <v>8435568305724</v>
      </c>
      <c r="E2788" s="22" t="s">
        <v>7091</v>
      </c>
      <c r="F2788" s="22" t="s">
        <v>1937</v>
      </c>
      <c r="G2788" s="22" t="s">
        <v>7092</v>
      </c>
      <c r="H2788" s="83" t="s">
        <v>7093</v>
      </c>
      <c r="I2788" s="23" t="s">
        <v>24</v>
      </c>
      <c r="J2788" s="24">
        <v>270</v>
      </c>
      <c r="K2788" s="25">
        <v>0.25</v>
      </c>
      <c r="L2788" s="26">
        <f t="shared" si="415"/>
        <v>67.5</v>
      </c>
      <c r="M2788" s="27">
        <f t="shared" si="416"/>
        <v>202.5</v>
      </c>
      <c r="N2788" s="28">
        <v>0.16</v>
      </c>
      <c r="O2788" s="29">
        <f t="shared" si="417"/>
        <v>32.4</v>
      </c>
      <c r="P2788" s="30">
        <f t="shared" si="418"/>
        <v>234.9</v>
      </c>
      <c r="Q2788" s="23"/>
      <c r="R2788" s="52"/>
      <c r="S2788" s="53"/>
      <c r="T2788" s="54">
        <f t="shared" si="419"/>
        <v>0</v>
      </c>
      <c r="U2788" s="26">
        <f t="shared" si="420"/>
        <v>0</v>
      </c>
      <c r="V2788" s="55">
        <f t="shared" si="421"/>
        <v>0</v>
      </c>
      <c r="W2788" s="29">
        <f t="shared" si="422"/>
        <v>0</v>
      </c>
      <c r="X2788" s="30">
        <f t="shared" si="423"/>
        <v>0</v>
      </c>
      <c r="Y2788"/>
      <c r="Z2788"/>
      <c r="AA2788"/>
    </row>
    <row r="2789" spans="1:27" s="51" customFormat="1" ht="18.600000000000001" hidden="1" customHeight="1" x14ac:dyDescent="0.25">
      <c r="A2789" s="81" t="s">
        <v>2653</v>
      </c>
      <c r="B2789" s="31" t="s">
        <v>9363</v>
      </c>
      <c r="C2789" s="32" t="s">
        <v>9367</v>
      </c>
      <c r="D2789" s="31" t="s">
        <v>7094</v>
      </c>
      <c r="E2789" s="33" t="s">
        <v>7095</v>
      </c>
      <c r="F2789" s="33" t="s">
        <v>1937</v>
      </c>
      <c r="G2789" s="33" t="s">
        <v>7092</v>
      </c>
      <c r="H2789" s="84" t="s">
        <v>7096</v>
      </c>
      <c r="I2789" s="23" t="s">
        <v>24</v>
      </c>
      <c r="J2789" s="34">
        <v>210</v>
      </c>
      <c r="K2789" s="35">
        <v>0.25</v>
      </c>
      <c r="L2789" s="36">
        <f t="shared" si="415"/>
        <v>52.5</v>
      </c>
      <c r="M2789" s="37">
        <f t="shared" si="416"/>
        <v>157.5</v>
      </c>
      <c r="N2789" s="38">
        <v>0.16</v>
      </c>
      <c r="O2789" s="39">
        <f t="shared" si="417"/>
        <v>25.2</v>
      </c>
      <c r="P2789" s="40">
        <f t="shared" si="418"/>
        <v>182.7</v>
      </c>
      <c r="Q2789" s="23"/>
      <c r="R2789" s="56"/>
      <c r="S2789" s="57"/>
      <c r="T2789" s="58">
        <f t="shared" si="419"/>
        <v>0</v>
      </c>
      <c r="U2789" s="36">
        <f t="shared" si="420"/>
        <v>0</v>
      </c>
      <c r="V2789" s="59">
        <f t="shared" si="421"/>
        <v>0</v>
      </c>
      <c r="W2789" s="39">
        <f t="shared" si="422"/>
        <v>0</v>
      </c>
      <c r="X2789" s="40">
        <f t="shared" si="423"/>
        <v>0</v>
      </c>
      <c r="Y2789"/>
      <c r="Z2789"/>
      <c r="AA2789"/>
    </row>
    <row r="2790" spans="1:27" s="51" customFormat="1" ht="18.600000000000001" hidden="1" customHeight="1" x14ac:dyDescent="0.25">
      <c r="A2790" s="82" t="s">
        <v>2653</v>
      </c>
      <c r="B2790" s="41" t="s">
        <v>9363</v>
      </c>
      <c r="C2790" s="42" t="s">
        <v>9367</v>
      </c>
      <c r="D2790" s="41">
        <v>8435568309142</v>
      </c>
      <c r="E2790" s="43" t="s">
        <v>7097</v>
      </c>
      <c r="F2790" s="43" t="s">
        <v>1937</v>
      </c>
      <c r="G2790" s="43" t="s">
        <v>6696</v>
      </c>
      <c r="H2790" s="85" t="s">
        <v>7098</v>
      </c>
      <c r="I2790" s="23" t="s">
        <v>24</v>
      </c>
      <c r="J2790" s="44">
        <v>350</v>
      </c>
      <c r="K2790" s="45">
        <v>0.25</v>
      </c>
      <c r="L2790" s="46">
        <f t="shared" ref="L2790:L2853" si="424">+J2790*K2790</f>
        <v>87.5</v>
      </c>
      <c r="M2790" s="47">
        <f t="shared" ref="M2790:M2853" si="425">+J2790-L2790</f>
        <v>262.5</v>
      </c>
      <c r="N2790" s="48">
        <v>0.16</v>
      </c>
      <c r="O2790" s="49">
        <f t="shared" ref="O2790:O2853" si="426">+M2790*N2790</f>
        <v>42</v>
      </c>
      <c r="P2790" s="50">
        <f t="shared" ref="P2790:P2853" si="427">+M2790+O2790</f>
        <v>304.5</v>
      </c>
      <c r="Q2790" s="23"/>
      <c r="R2790" s="60"/>
      <c r="S2790" s="61"/>
      <c r="T2790" s="62">
        <f t="shared" ref="T2790:T2853" si="428">+S2790*J2790</f>
        <v>0</v>
      </c>
      <c r="U2790" s="46">
        <f t="shared" ref="U2790:U2853" si="429">+T2790*K2790</f>
        <v>0</v>
      </c>
      <c r="V2790" s="63">
        <f t="shared" ref="V2790:V2853" si="430">+T2790-U2790</f>
        <v>0</v>
      </c>
      <c r="W2790" s="49">
        <f t="shared" ref="W2790:W2853" si="431">+V2790*N2790</f>
        <v>0</v>
      </c>
      <c r="X2790" s="50">
        <f t="shared" ref="X2790:X2853" si="432">+V2790+W2790</f>
        <v>0</v>
      </c>
      <c r="Y2790"/>
      <c r="Z2790"/>
      <c r="AA2790"/>
    </row>
    <row r="2791" spans="1:27" s="51" customFormat="1" ht="18.600000000000001" hidden="1" customHeight="1" x14ac:dyDescent="0.25">
      <c r="A2791" s="80" t="s">
        <v>2653</v>
      </c>
      <c r="B2791" s="20" t="s">
        <v>9363</v>
      </c>
      <c r="C2791" s="21" t="s">
        <v>9368</v>
      </c>
      <c r="D2791" s="20" t="s">
        <v>7099</v>
      </c>
      <c r="E2791" s="22" t="s">
        <v>7100</v>
      </c>
      <c r="F2791" s="22" t="s">
        <v>1937</v>
      </c>
      <c r="G2791" s="22" t="s">
        <v>5391</v>
      </c>
      <c r="H2791" s="83" t="s">
        <v>7101</v>
      </c>
      <c r="I2791" s="23" t="s">
        <v>24</v>
      </c>
      <c r="J2791" s="24">
        <v>175</v>
      </c>
      <c r="K2791" s="25">
        <v>0.25</v>
      </c>
      <c r="L2791" s="26">
        <f t="shared" si="424"/>
        <v>43.75</v>
      </c>
      <c r="M2791" s="27">
        <f t="shared" si="425"/>
        <v>131.25</v>
      </c>
      <c r="N2791" s="28">
        <v>0.16</v>
      </c>
      <c r="O2791" s="29">
        <f t="shared" si="426"/>
        <v>21</v>
      </c>
      <c r="P2791" s="30">
        <f t="shared" si="427"/>
        <v>152.25</v>
      </c>
      <c r="Q2791" s="23"/>
      <c r="R2791" s="52"/>
      <c r="S2791" s="53"/>
      <c r="T2791" s="54">
        <f t="shared" si="428"/>
        <v>0</v>
      </c>
      <c r="U2791" s="26">
        <f t="shared" si="429"/>
        <v>0</v>
      </c>
      <c r="V2791" s="55">
        <f t="shared" si="430"/>
        <v>0</v>
      </c>
      <c r="W2791" s="29">
        <f t="shared" si="431"/>
        <v>0</v>
      </c>
      <c r="X2791" s="30">
        <f t="shared" si="432"/>
        <v>0</v>
      </c>
      <c r="Y2791"/>
      <c r="Z2791"/>
      <c r="AA2791"/>
    </row>
    <row r="2792" spans="1:27" s="51" customFormat="1" ht="18.600000000000001" hidden="1" customHeight="1" x14ac:dyDescent="0.25">
      <c r="A2792" s="81" t="s">
        <v>2653</v>
      </c>
      <c r="B2792" s="31" t="s">
        <v>9363</v>
      </c>
      <c r="C2792" s="32" t="s">
        <v>9368</v>
      </c>
      <c r="D2792" s="31" t="s">
        <v>7102</v>
      </c>
      <c r="E2792" s="33" t="s">
        <v>7103</v>
      </c>
      <c r="F2792" s="33" t="s">
        <v>1937</v>
      </c>
      <c r="G2792" s="33" t="s">
        <v>5391</v>
      </c>
      <c r="H2792" s="84" t="s">
        <v>7104</v>
      </c>
      <c r="I2792" s="23" t="s">
        <v>24</v>
      </c>
      <c r="J2792" s="34">
        <v>175</v>
      </c>
      <c r="K2792" s="35">
        <v>0.25</v>
      </c>
      <c r="L2792" s="36">
        <f t="shared" si="424"/>
        <v>43.75</v>
      </c>
      <c r="M2792" s="37">
        <f t="shared" si="425"/>
        <v>131.25</v>
      </c>
      <c r="N2792" s="38">
        <v>0.16</v>
      </c>
      <c r="O2792" s="39">
        <f t="shared" si="426"/>
        <v>21</v>
      </c>
      <c r="P2792" s="40">
        <f t="shared" si="427"/>
        <v>152.25</v>
      </c>
      <c r="Q2792" s="23"/>
      <c r="R2792" s="56"/>
      <c r="S2792" s="57"/>
      <c r="T2792" s="58">
        <f t="shared" si="428"/>
        <v>0</v>
      </c>
      <c r="U2792" s="36">
        <f t="shared" si="429"/>
        <v>0</v>
      </c>
      <c r="V2792" s="59">
        <f t="shared" si="430"/>
        <v>0</v>
      </c>
      <c r="W2792" s="39">
        <f t="shared" si="431"/>
        <v>0</v>
      </c>
      <c r="X2792" s="40">
        <f t="shared" si="432"/>
        <v>0</v>
      </c>
      <c r="Y2792"/>
      <c r="Z2792"/>
      <c r="AA2792"/>
    </row>
    <row r="2793" spans="1:27" s="51" customFormat="1" ht="18.600000000000001" hidden="1" customHeight="1" x14ac:dyDescent="0.25">
      <c r="A2793" s="82" t="s">
        <v>2653</v>
      </c>
      <c r="B2793" s="41" t="s">
        <v>9363</v>
      </c>
      <c r="C2793" s="42" t="s">
        <v>9368</v>
      </c>
      <c r="D2793" s="41" t="s">
        <v>7105</v>
      </c>
      <c r="E2793" s="43" t="s">
        <v>7106</v>
      </c>
      <c r="F2793" s="43" t="s">
        <v>1937</v>
      </c>
      <c r="G2793" s="43" t="s">
        <v>5391</v>
      </c>
      <c r="H2793" s="85" t="s">
        <v>7107</v>
      </c>
      <c r="I2793" s="23" t="s">
        <v>24</v>
      </c>
      <c r="J2793" s="44">
        <v>175</v>
      </c>
      <c r="K2793" s="45">
        <v>0.25</v>
      </c>
      <c r="L2793" s="46">
        <f t="shared" si="424"/>
        <v>43.75</v>
      </c>
      <c r="M2793" s="47">
        <f t="shared" si="425"/>
        <v>131.25</v>
      </c>
      <c r="N2793" s="48">
        <v>0.16</v>
      </c>
      <c r="O2793" s="49">
        <f t="shared" si="426"/>
        <v>21</v>
      </c>
      <c r="P2793" s="50">
        <f t="shared" si="427"/>
        <v>152.25</v>
      </c>
      <c r="Q2793" s="23"/>
      <c r="R2793" s="60"/>
      <c r="S2793" s="61"/>
      <c r="T2793" s="62">
        <f t="shared" si="428"/>
        <v>0</v>
      </c>
      <c r="U2793" s="46">
        <f t="shared" si="429"/>
        <v>0</v>
      </c>
      <c r="V2793" s="63">
        <f t="shared" si="430"/>
        <v>0</v>
      </c>
      <c r="W2793" s="49">
        <f t="shared" si="431"/>
        <v>0</v>
      </c>
      <c r="X2793" s="50">
        <f t="shared" si="432"/>
        <v>0</v>
      </c>
      <c r="Y2793"/>
      <c r="Z2793"/>
      <c r="AA2793"/>
    </row>
    <row r="2794" spans="1:27" s="51" customFormat="1" ht="18.600000000000001" hidden="1" customHeight="1" x14ac:dyDescent="0.25">
      <c r="A2794" s="80" t="s">
        <v>2653</v>
      </c>
      <c r="B2794" s="20" t="s">
        <v>9363</v>
      </c>
      <c r="C2794" s="21" t="s">
        <v>9368</v>
      </c>
      <c r="D2794" s="20" t="s">
        <v>7108</v>
      </c>
      <c r="E2794" s="22" t="s">
        <v>7109</v>
      </c>
      <c r="F2794" s="22" t="s">
        <v>1937</v>
      </c>
      <c r="G2794" s="22" t="s">
        <v>5391</v>
      </c>
      <c r="H2794" s="83" t="s">
        <v>7110</v>
      </c>
      <c r="I2794" s="23" t="s">
        <v>24</v>
      </c>
      <c r="J2794" s="24">
        <v>175</v>
      </c>
      <c r="K2794" s="25">
        <v>0.25</v>
      </c>
      <c r="L2794" s="26">
        <f t="shared" si="424"/>
        <v>43.75</v>
      </c>
      <c r="M2794" s="27">
        <f t="shared" si="425"/>
        <v>131.25</v>
      </c>
      <c r="N2794" s="28">
        <v>0.16</v>
      </c>
      <c r="O2794" s="29">
        <f t="shared" si="426"/>
        <v>21</v>
      </c>
      <c r="P2794" s="30">
        <f t="shared" si="427"/>
        <v>152.25</v>
      </c>
      <c r="Q2794" s="23"/>
      <c r="R2794" s="52"/>
      <c r="S2794" s="53"/>
      <c r="T2794" s="54">
        <f t="shared" si="428"/>
        <v>0</v>
      </c>
      <c r="U2794" s="26">
        <f t="shared" si="429"/>
        <v>0</v>
      </c>
      <c r="V2794" s="55">
        <f t="shared" si="430"/>
        <v>0</v>
      </c>
      <c r="W2794" s="29">
        <f t="shared" si="431"/>
        <v>0</v>
      </c>
      <c r="X2794" s="30">
        <f t="shared" si="432"/>
        <v>0</v>
      </c>
      <c r="Y2794"/>
      <c r="Z2794"/>
      <c r="AA2794"/>
    </row>
    <row r="2795" spans="1:27" s="51" customFormat="1" ht="18.600000000000001" hidden="1" customHeight="1" x14ac:dyDescent="0.25">
      <c r="A2795" s="81" t="s">
        <v>2653</v>
      </c>
      <c r="B2795" s="31" t="s">
        <v>9363</v>
      </c>
      <c r="C2795" s="32" t="s">
        <v>9368</v>
      </c>
      <c r="D2795" s="31" t="s">
        <v>7111</v>
      </c>
      <c r="E2795" s="33" t="s">
        <v>7112</v>
      </c>
      <c r="F2795" s="33" t="s">
        <v>1937</v>
      </c>
      <c r="G2795" s="33" t="s">
        <v>5391</v>
      </c>
      <c r="H2795" s="84" t="s">
        <v>7113</v>
      </c>
      <c r="I2795" s="23" t="s">
        <v>24</v>
      </c>
      <c r="J2795" s="34">
        <v>175</v>
      </c>
      <c r="K2795" s="35">
        <v>0.25</v>
      </c>
      <c r="L2795" s="36">
        <f t="shared" si="424"/>
        <v>43.75</v>
      </c>
      <c r="M2795" s="37">
        <f t="shared" si="425"/>
        <v>131.25</v>
      </c>
      <c r="N2795" s="38">
        <v>0.16</v>
      </c>
      <c r="O2795" s="39">
        <f t="shared" si="426"/>
        <v>21</v>
      </c>
      <c r="P2795" s="40">
        <f t="shared" si="427"/>
        <v>152.25</v>
      </c>
      <c r="Q2795" s="23"/>
      <c r="R2795" s="56"/>
      <c r="S2795" s="57"/>
      <c r="T2795" s="58">
        <f t="shared" si="428"/>
        <v>0</v>
      </c>
      <c r="U2795" s="36">
        <f t="shared" si="429"/>
        <v>0</v>
      </c>
      <c r="V2795" s="59">
        <f t="shared" si="430"/>
        <v>0</v>
      </c>
      <c r="W2795" s="39">
        <f t="shared" si="431"/>
        <v>0</v>
      </c>
      <c r="X2795" s="40">
        <f t="shared" si="432"/>
        <v>0</v>
      </c>
      <c r="Y2795"/>
      <c r="Z2795"/>
      <c r="AA2795"/>
    </row>
    <row r="2796" spans="1:27" s="51" customFormat="1" ht="18.600000000000001" hidden="1" customHeight="1" x14ac:dyDescent="0.25">
      <c r="A2796" s="82" t="s">
        <v>2653</v>
      </c>
      <c r="B2796" s="41" t="s">
        <v>9363</v>
      </c>
      <c r="C2796" s="42" t="s">
        <v>9368</v>
      </c>
      <c r="D2796" s="41" t="s">
        <v>7114</v>
      </c>
      <c r="E2796" s="43" t="s">
        <v>7115</v>
      </c>
      <c r="F2796" s="43" t="s">
        <v>1937</v>
      </c>
      <c r="G2796" s="43" t="s">
        <v>5391</v>
      </c>
      <c r="H2796" s="85" t="s">
        <v>7116</v>
      </c>
      <c r="I2796" s="23" t="s">
        <v>24</v>
      </c>
      <c r="J2796" s="44">
        <v>175</v>
      </c>
      <c r="K2796" s="45">
        <v>0.25</v>
      </c>
      <c r="L2796" s="46">
        <f t="shared" si="424"/>
        <v>43.75</v>
      </c>
      <c r="M2796" s="47">
        <f t="shared" si="425"/>
        <v>131.25</v>
      </c>
      <c r="N2796" s="48">
        <v>0.16</v>
      </c>
      <c r="O2796" s="49">
        <f t="shared" si="426"/>
        <v>21</v>
      </c>
      <c r="P2796" s="50">
        <f t="shared" si="427"/>
        <v>152.25</v>
      </c>
      <c r="Q2796" s="23"/>
      <c r="R2796" s="60"/>
      <c r="S2796" s="61"/>
      <c r="T2796" s="62">
        <f t="shared" si="428"/>
        <v>0</v>
      </c>
      <c r="U2796" s="46">
        <f t="shared" si="429"/>
        <v>0</v>
      </c>
      <c r="V2796" s="63">
        <f t="shared" si="430"/>
        <v>0</v>
      </c>
      <c r="W2796" s="49">
        <f t="shared" si="431"/>
        <v>0</v>
      </c>
      <c r="X2796" s="50">
        <f t="shared" si="432"/>
        <v>0</v>
      </c>
      <c r="Y2796"/>
      <c r="Z2796"/>
      <c r="AA2796"/>
    </row>
    <row r="2797" spans="1:27" s="51" customFormat="1" ht="18.600000000000001" hidden="1" customHeight="1" x14ac:dyDescent="0.25">
      <c r="A2797" s="80" t="s">
        <v>2653</v>
      </c>
      <c r="B2797" s="20" t="s">
        <v>9363</v>
      </c>
      <c r="C2797" s="21" t="s">
        <v>9368</v>
      </c>
      <c r="D2797" s="20" t="s">
        <v>7117</v>
      </c>
      <c r="E2797" s="22" t="s">
        <v>7118</v>
      </c>
      <c r="F2797" s="22" t="s">
        <v>1937</v>
      </c>
      <c r="G2797" s="22" t="s">
        <v>5391</v>
      </c>
      <c r="H2797" s="83" t="s">
        <v>7119</v>
      </c>
      <c r="I2797" s="23" t="s">
        <v>24</v>
      </c>
      <c r="J2797" s="24">
        <v>175</v>
      </c>
      <c r="K2797" s="25">
        <v>0.25</v>
      </c>
      <c r="L2797" s="26">
        <f t="shared" si="424"/>
        <v>43.75</v>
      </c>
      <c r="M2797" s="27">
        <f t="shared" si="425"/>
        <v>131.25</v>
      </c>
      <c r="N2797" s="28">
        <v>0.16</v>
      </c>
      <c r="O2797" s="29">
        <f t="shared" si="426"/>
        <v>21</v>
      </c>
      <c r="P2797" s="30">
        <f t="shared" si="427"/>
        <v>152.25</v>
      </c>
      <c r="Q2797" s="23"/>
      <c r="R2797" s="52"/>
      <c r="S2797" s="53"/>
      <c r="T2797" s="54">
        <f t="shared" si="428"/>
        <v>0</v>
      </c>
      <c r="U2797" s="26">
        <f t="shared" si="429"/>
        <v>0</v>
      </c>
      <c r="V2797" s="55">
        <f t="shared" si="430"/>
        <v>0</v>
      </c>
      <c r="W2797" s="29">
        <f t="shared" si="431"/>
        <v>0</v>
      </c>
      <c r="X2797" s="30">
        <f t="shared" si="432"/>
        <v>0</v>
      </c>
      <c r="Y2797"/>
      <c r="Z2797"/>
      <c r="AA2797"/>
    </row>
    <row r="2798" spans="1:27" s="51" customFormat="1" ht="18.600000000000001" hidden="1" customHeight="1" x14ac:dyDescent="0.25">
      <c r="A2798" s="81" t="s">
        <v>2653</v>
      </c>
      <c r="B2798" s="31" t="s">
        <v>9363</v>
      </c>
      <c r="C2798" s="32" t="s">
        <v>9367</v>
      </c>
      <c r="D2798" s="31" t="s">
        <v>7120</v>
      </c>
      <c r="E2798" s="33" t="s">
        <v>7121</v>
      </c>
      <c r="F2798" s="33" t="s">
        <v>1937</v>
      </c>
      <c r="G2798" s="33" t="s">
        <v>5391</v>
      </c>
      <c r="H2798" s="84" t="s">
        <v>7122</v>
      </c>
      <c r="I2798" s="23" t="s">
        <v>24</v>
      </c>
      <c r="J2798" s="34">
        <v>170</v>
      </c>
      <c r="K2798" s="35">
        <v>0.25</v>
      </c>
      <c r="L2798" s="36">
        <f t="shared" si="424"/>
        <v>42.5</v>
      </c>
      <c r="M2798" s="37">
        <f t="shared" si="425"/>
        <v>127.5</v>
      </c>
      <c r="N2798" s="38">
        <v>0.16</v>
      </c>
      <c r="O2798" s="39">
        <f t="shared" si="426"/>
        <v>20.400000000000002</v>
      </c>
      <c r="P2798" s="40">
        <f t="shared" si="427"/>
        <v>147.9</v>
      </c>
      <c r="Q2798" s="23"/>
      <c r="R2798" s="56"/>
      <c r="S2798" s="57"/>
      <c r="T2798" s="58">
        <f t="shared" si="428"/>
        <v>0</v>
      </c>
      <c r="U2798" s="36">
        <f t="shared" si="429"/>
        <v>0</v>
      </c>
      <c r="V2798" s="59">
        <f t="shared" si="430"/>
        <v>0</v>
      </c>
      <c r="W2798" s="39">
        <f t="shared" si="431"/>
        <v>0</v>
      </c>
      <c r="X2798" s="40">
        <f t="shared" si="432"/>
        <v>0</v>
      </c>
      <c r="Y2798"/>
      <c r="Z2798"/>
      <c r="AA2798"/>
    </row>
    <row r="2799" spans="1:27" s="51" customFormat="1" ht="18.600000000000001" hidden="1" customHeight="1" x14ac:dyDescent="0.25">
      <c r="A2799" s="82" t="s">
        <v>2653</v>
      </c>
      <c r="B2799" s="41" t="s">
        <v>9363</v>
      </c>
      <c r="C2799" s="42" t="s">
        <v>9369</v>
      </c>
      <c r="D2799" s="41">
        <v>8435568306806</v>
      </c>
      <c r="E2799" s="43" t="s">
        <v>7123</v>
      </c>
      <c r="F2799" s="43" t="s">
        <v>1937</v>
      </c>
      <c r="G2799" s="43"/>
      <c r="H2799" s="85" t="s">
        <v>7124</v>
      </c>
      <c r="I2799" s="23" t="s">
        <v>24</v>
      </c>
      <c r="J2799" s="44">
        <v>300</v>
      </c>
      <c r="K2799" s="45">
        <v>0.25</v>
      </c>
      <c r="L2799" s="46">
        <f t="shared" si="424"/>
        <v>75</v>
      </c>
      <c r="M2799" s="47">
        <f t="shared" si="425"/>
        <v>225</v>
      </c>
      <c r="N2799" s="48">
        <v>0.16</v>
      </c>
      <c r="O2799" s="49">
        <f t="shared" si="426"/>
        <v>36</v>
      </c>
      <c r="P2799" s="50">
        <f t="shared" si="427"/>
        <v>261</v>
      </c>
      <c r="Q2799" s="23"/>
      <c r="R2799" s="60"/>
      <c r="S2799" s="61"/>
      <c r="T2799" s="62">
        <f t="shared" si="428"/>
        <v>0</v>
      </c>
      <c r="U2799" s="46">
        <f t="shared" si="429"/>
        <v>0</v>
      </c>
      <c r="V2799" s="63">
        <f t="shared" si="430"/>
        <v>0</v>
      </c>
      <c r="W2799" s="49">
        <f t="shared" si="431"/>
        <v>0</v>
      </c>
      <c r="X2799" s="50">
        <f t="shared" si="432"/>
        <v>0</v>
      </c>
      <c r="Y2799"/>
      <c r="Z2799"/>
      <c r="AA2799"/>
    </row>
    <row r="2800" spans="1:27" s="51" customFormat="1" ht="18.600000000000001" hidden="1" customHeight="1" x14ac:dyDescent="0.25">
      <c r="A2800" s="80" t="s">
        <v>2653</v>
      </c>
      <c r="B2800" s="20" t="s">
        <v>9363</v>
      </c>
      <c r="C2800" s="21" t="s">
        <v>9369</v>
      </c>
      <c r="D2800" s="20">
        <v>8435568306813</v>
      </c>
      <c r="E2800" s="22" t="s">
        <v>7125</v>
      </c>
      <c r="F2800" s="22" t="s">
        <v>1937</v>
      </c>
      <c r="G2800" s="22"/>
      <c r="H2800" s="83" t="s">
        <v>7126</v>
      </c>
      <c r="I2800" s="23" t="s">
        <v>24</v>
      </c>
      <c r="J2800" s="24">
        <v>300</v>
      </c>
      <c r="K2800" s="25">
        <v>0.25</v>
      </c>
      <c r="L2800" s="26">
        <f t="shared" si="424"/>
        <v>75</v>
      </c>
      <c r="M2800" s="27">
        <f t="shared" si="425"/>
        <v>225</v>
      </c>
      <c r="N2800" s="28">
        <v>0.16</v>
      </c>
      <c r="O2800" s="29">
        <f t="shared" si="426"/>
        <v>36</v>
      </c>
      <c r="P2800" s="30">
        <f t="shared" si="427"/>
        <v>261</v>
      </c>
      <c r="Q2800" s="23"/>
      <c r="R2800" s="52"/>
      <c r="S2800" s="53"/>
      <c r="T2800" s="54">
        <f t="shared" si="428"/>
        <v>0</v>
      </c>
      <c r="U2800" s="26">
        <f t="shared" si="429"/>
        <v>0</v>
      </c>
      <c r="V2800" s="55">
        <f t="shared" si="430"/>
        <v>0</v>
      </c>
      <c r="W2800" s="29">
        <f t="shared" si="431"/>
        <v>0</v>
      </c>
      <c r="X2800" s="30">
        <f t="shared" si="432"/>
        <v>0</v>
      </c>
      <c r="Y2800"/>
      <c r="Z2800"/>
      <c r="AA2800"/>
    </row>
    <row r="2801" spans="1:27" s="51" customFormat="1" ht="18.600000000000001" hidden="1" customHeight="1" x14ac:dyDescent="0.25">
      <c r="A2801" s="81" t="s">
        <v>2653</v>
      </c>
      <c r="B2801" s="31" t="s">
        <v>9370</v>
      </c>
      <c r="C2801" s="32" t="s">
        <v>9371</v>
      </c>
      <c r="D2801" s="31" t="s">
        <v>7127</v>
      </c>
      <c r="E2801" s="33" t="s">
        <v>7128</v>
      </c>
      <c r="F2801" s="33" t="s">
        <v>1937</v>
      </c>
      <c r="G2801" s="33"/>
      <c r="H2801" s="84" t="s">
        <v>7129</v>
      </c>
      <c r="I2801" s="23" t="s">
        <v>24</v>
      </c>
      <c r="J2801" s="34">
        <v>140</v>
      </c>
      <c r="K2801" s="35">
        <v>0.25</v>
      </c>
      <c r="L2801" s="36">
        <f t="shared" si="424"/>
        <v>35</v>
      </c>
      <c r="M2801" s="37">
        <f t="shared" si="425"/>
        <v>105</v>
      </c>
      <c r="N2801" s="38">
        <v>0.16</v>
      </c>
      <c r="O2801" s="39">
        <f t="shared" si="426"/>
        <v>16.8</v>
      </c>
      <c r="P2801" s="40">
        <f t="shared" si="427"/>
        <v>121.8</v>
      </c>
      <c r="Q2801" s="23"/>
      <c r="R2801" s="56"/>
      <c r="S2801" s="57"/>
      <c r="T2801" s="58">
        <f t="shared" si="428"/>
        <v>0</v>
      </c>
      <c r="U2801" s="36">
        <f t="shared" si="429"/>
        <v>0</v>
      </c>
      <c r="V2801" s="59">
        <f t="shared" si="430"/>
        <v>0</v>
      </c>
      <c r="W2801" s="39">
        <f t="shared" si="431"/>
        <v>0</v>
      </c>
      <c r="X2801" s="40">
        <f t="shared" si="432"/>
        <v>0</v>
      </c>
      <c r="Y2801"/>
      <c r="Z2801"/>
      <c r="AA2801"/>
    </row>
    <row r="2802" spans="1:27" s="51" customFormat="1" ht="18.600000000000001" hidden="1" customHeight="1" x14ac:dyDescent="0.25">
      <c r="A2802" s="82" t="s">
        <v>2653</v>
      </c>
      <c r="B2802" s="41" t="s">
        <v>9370</v>
      </c>
      <c r="C2802" s="42" t="s">
        <v>9371</v>
      </c>
      <c r="D2802" s="41" t="s">
        <v>7130</v>
      </c>
      <c r="E2802" s="43" t="s">
        <v>7131</v>
      </c>
      <c r="F2802" s="43" t="s">
        <v>1937</v>
      </c>
      <c r="G2802" s="43"/>
      <c r="H2802" s="85" t="s">
        <v>7132</v>
      </c>
      <c r="I2802" s="23" t="s">
        <v>24</v>
      </c>
      <c r="J2802" s="44">
        <v>140</v>
      </c>
      <c r="K2802" s="45">
        <v>0.25</v>
      </c>
      <c r="L2802" s="46">
        <f t="shared" si="424"/>
        <v>35</v>
      </c>
      <c r="M2802" s="47">
        <f t="shared" si="425"/>
        <v>105</v>
      </c>
      <c r="N2802" s="48">
        <v>0.16</v>
      </c>
      <c r="O2802" s="49">
        <f t="shared" si="426"/>
        <v>16.8</v>
      </c>
      <c r="P2802" s="50">
        <f t="shared" si="427"/>
        <v>121.8</v>
      </c>
      <c r="Q2802" s="23"/>
      <c r="R2802" s="60"/>
      <c r="S2802" s="61"/>
      <c r="T2802" s="62">
        <f t="shared" si="428"/>
        <v>0</v>
      </c>
      <c r="U2802" s="46">
        <f t="shared" si="429"/>
        <v>0</v>
      </c>
      <c r="V2802" s="63">
        <f t="shared" si="430"/>
        <v>0</v>
      </c>
      <c r="W2802" s="49">
        <f t="shared" si="431"/>
        <v>0</v>
      </c>
      <c r="X2802" s="50">
        <f t="shared" si="432"/>
        <v>0</v>
      </c>
      <c r="Y2802"/>
      <c r="Z2802"/>
      <c r="AA2802"/>
    </row>
    <row r="2803" spans="1:27" s="51" customFormat="1" ht="18.600000000000001" hidden="1" customHeight="1" x14ac:dyDescent="0.25">
      <c r="A2803" s="80" t="s">
        <v>2653</v>
      </c>
      <c r="B2803" s="20" t="s">
        <v>9370</v>
      </c>
      <c r="C2803" s="21" t="s">
        <v>9371</v>
      </c>
      <c r="D2803" s="20" t="s">
        <v>7133</v>
      </c>
      <c r="E2803" s="22" t="s">
        <v>7134</v>
      </c>
      <c r="F2803" s="22" t="s">
        <v>1937</v>
      </c>
      <c r="G2803" s="22"/>
      <c r="H2803" s="83" t="s">
        <v>7135</v>
      </c>
      <c r="I2803" s="23" t="s">
        <v>24</v>
      </c>
      <c r="J2803" s="24">
        <v>150</v>
      </c>
      <c r="K2803" s="25">
        <v>0.25</v>
      </c>
      <c r="L2803" s="26">
        <f t="shared" si="424"/>
        <v>37.5</v>
      </c>
      <c r="M2803" s="27">
        <f t="shared" si="425"/>
        <v>112.5</v>
      </c>
      <c r="N2803" s="28">
        <v>0.16</v>
      </c>
      <c r="O2803" s="29">
        <f t="shared" si="426"/>
        <v>18</v>
      </c>
      <c r="P2803" s="30">
        <f t="shared" si="427"/>
        <v>130.5</v>
      </c>
      <c r="Q2803" s="23"/>
      <c r="R2803" s="52"/>
      <c r="S2803" s="53"/>
      <c r="T2803" s="54">
        <f t="shared" si="428"/>
        <v>0</v>
      </c>
      <c r="U2803" s="26">
        <f t="shared" si="429"/>
        <v>0</v>
      </c>
      <c r="V2803" s="55">
        <f t="shared" si="430"/>
        <v>0</v>
      </c>
      <c r="W2803" s="29">
        <f t="shared" si="431"/>
        <v>0</v>
      </c>
      <c r="X2803" s="30">
        <f t="shared" si="432"/>
        <v>0</v>
      </c>
      <c r="Y2803"/>
      <c r="Z2803"/>
      <c r="AA2803"/>
    </row>
    <row r="2804" spans="1:27" s="51" customFormat="1" ht="18.600000000000001" hidden="1" customHeight="1" x14ac:dyDescent="0.25">
      <c r="A2804" s="81" t="s">
        <v>2653</v>
      </c>
      <c r="B2804" s="31" t="s">
        <v>9370</v>
      </c>
      <c r="C2804" s="32" t="s">
        <v>9371</v>
      </c>
      <c r="D2804" s="31" t="s">
        <v>7136</v>
      </c>
      <c r="E2804" s="33" t="s">
        <v>7137</v>
      </c>
      <c r="F2804" s="33" t="s">
        <v>1937</v>
      </c>
      <c r="G2804" s="33"/>
      <c r="H2804" s="84" t="s">
        <v>7138</v>
      </c>
      <c r="I2804" s="23" t="s">
        <v>24</v>
      </c>
      <c r="J2804" s="34">
        <v>115</v>
      </c>
      <c r="K2804" s="35">
        <v>0.25</v>
      </c>
      <c r="L2804" s="36">
        <f t="shared" si="424"/>
        <v>28.75</v>
      </c>
      <c r="M2804" s="37">
        <f t="shared" si="425"/>
        <v>86.25</v>
      </c>
      <c r="N2804" s="38">
        <v>0.16</v>
      </c>
      <c r="O2804" s="39">
        <f t="shared" si="426"/>
        <v>13.8</v>
      </c>
      <c r="P2804" s="40">
        <f t="shared" si="427"/>
        <v>100.05</v>
      </c>
      <c r="Q2804" s="23"/>
      <c r="R2804" s="56"/>
      <c r="S2804" s="57"/>
      <c r="T2804" s="58">
        <f t="shared" si="428"/>
        <v>0</v>
      </c>
      <c r="U2804" s="36">
        <f t="shared" si="429"/>
        <v>0</v>
      </c>
      <c r="V2804" s="59">
        <f t="shared" si="430"/>
        <v>0</v>
      </c>
      <c r="W2804" s="39">
        <f t="shared" si="431"/>
        <v>0</v>
      </c>
      <c r="X2804" s="40">
        <f t="shared" si="432"/>
        <v>0</v>
      </c>
      <c r="Y2804"/>
      <c r="Z2804"/>
      <c r="AA2804"/>
    </row>
    <row r="2805" spans="1:27" s="51" customFormat="1" ht="18.600000000000001" hidden="1" customHeight="1" x14ac:dyDescent="0.25">
      <c r="A2805" s="82" t="s">
        <v>2653</v>
      </c>
      <c r="B2805" s="41" t="s">
        <v>9370</v>
      </c>
      <c r="C2805" s="42" t="s">
        <v>9371</v>
      </c>
      <c r="D2805" s="41" t="s">
        <v>7139</v>
      </c>
      <c r="E2805" s="43" t="s">
        <v>7140</v>
      </c>
      <c r="F2805" s="43" t="s">
        <v>1937</v>
      </c>
      <c r="G2805" s="43"/>
      <c r="H2805" s="85" t="s">
        <v>7141</v>
      </c>
      <c r="I2805" s="23" t="s">
        <v>24</v>
      </c>
      <c r="J2805" s="44">
        <v>120</v>
      </c>
      <c r="K2805" s="45">
        <v>0.25</v>
      </c>
      <c r="L2805" s="46">
        <f t="shared" si="424"/>
        <v>30</v>
      </c>
      <c r="M2805" s="47">
        <f t="shared" si="425"/>
        <v>90</v>
      </c>
      <c r="N2805" s="48">
        <v>0.16</v>
      </c>
      <c r="O2805" s="49">
        <f t="shared" si="426"/>
        <v>14.4</v>
      </c>
      <c r="P2805" s="50">
        <f t="shared" si="427"/>
        <v>104.4</v>
      </c>
      <c r="Q2805" s="23"/>
      <c r="R2805" s="60"/>
      <c r="S2805" s="61"/>
      <c r="T2805" s="62">
        <f t="shared" si="428"/>
        <v>0</v>
      </c>
      <c r="U2805" s="46">
        <f t="shared" si="429"/>
        <v>0</v>
      </c>
      <c r="V2805" s="63">
        <f t="shared" si="430"/>
        <v>0</v>
      </c>
      <c r="W2805" s="49">
        <f t="shared" si="431"/>
        <v>0</v>
      </c>
      <c r="X2805" s="50">
        <f t="shared" si="432"/>
        <v>0</v>
      </c>
      <c r="Y2805"/>
      <c r="Z2805"/>
      <c r="AA2805"/>
    </row>
    <row r="2806" spans="1:27" s="51" customFormat="1" ht="18.600000000000001" hidden="1" customHeight="1" x14ac:dyDescent="0.25">
      <c r="A2806" s="80" t="s">
        <v>2653</v>
      </c>
      <c r="B2806" s="20" t="s">
        <v>9370</v>
      </c>
      <c r="C2806" s="21" t="s">
        <v>9371</v>
      </c>
      <c r="D2806" s="20" t="s">
        <v>7142</v>
      </c>
      <c r="E2806" s="22" t="s">
        <v>7143</v>
      </c>
      <c r="F2806" s="22" t="s">
        <v>1937</v>
      </c>
      <c r="G2806" s="22"/>
      <c r="H2806" s="83" t="s">
        <v>7144</v>
      </c>
      <c r="I2806" s="23" t="s">
        <v>24</v>
      </c>
      <c r="J2806" s="24">
        <v>125</v>
      </c>
      <c r="K2806" s="25">
        <v>0.25</v>
      </c>
      <c r="L2806" s="26">
        <f t="shared" si="424"/>
        <v>31.25</v>
      </c>
      <c r="M2806" s="27">
        <f t="shared" si="425"/>
        <v>93.75</v>
      </c>
      <c r="N2806" s="28">
        <v>0.16</v>
      </c>
      <c r="O2806" s="29">
        <f t="shared" si="426"/>
        <v>15</v>
      </c>
      <c r="P2806" s="30">
        <f t="shared" si="427"/>
        <v>108.75</v>
      </c>
      <c r="Q2806" s="23"/>
      <c r="R2806" s="52"/>
      <c r="S2806" s="53"/>
      <c r="T2806" s="54">
        <f t="shared" si="428"/>
        <v>0</v>
      </c>
      <c r="U2806" s="26">
        <f t="shared" si="429"/>
        <v>0</v>
      </c>
      <c r="V2806" s="55">
        <f t="shared" si="430"/>
        <v>0</v>
      </c>
      <c r="W2806" s="29">
        <f t="shared" si="431"/>
        <v>0</v>
      </c>
      <c r="X2806" s="30">
        <f t="shared" si="432"/>
        <v>0</v>
      </c>
      <c r="Y2806"/>
      <c r="Z2806"/>
      <c r="AA2806"/>
    </row>
    <row r="2807" spans="1:27" s="51" customFormat="1" ht="18.600000000000001" hidden="1" customHeight="1" x14ac:dyDescent="0.25">
      <c r="A2807" s="81" t="s">
        <v>2653</v>
      </c>
      <c r="B2807" s="31" t="s">
        <v>9370</v>
      </c>
      <c r="C2807" s="32" t="s">
        <v>9371</v>
      </c>
      <c r="D2807" s="31" t="s">
        <v>7145</v>
      </c>
      <c r="E2807" s="33" t="s">
        <v>7146</v>
      </c>
      <c r="F2807" s="33" t="s">
        <v>1937</v>
      </c>
      <c r="G2807" s="33"/>
      <c r="H2807" s="84" t="s">
        <v>7147</v>
      </c>
      <c r="I2807" s="23" t="s">
        <v>24</v>
      </c>
      <c r="J2807" s="34">
        <v>130</v>
      </c>
      <c r="K2807" s="35">
        <v>0.25</v>
      </c>
      <c r="L2807" s="36">
        <f t="shared" si="424"/>
        <v>32.5</v>
      </c>
      <c r="M2807" s="37">
        <f t="shared" si="425"/>
        <v>97.5</v>
      </c>
      <c r="N2807" s="38">
        <v>0.16</v>
      </c>
      <c r="O2807" s="39">
        <f t="shared" si="426"/>
        <v>15.6</v>
      </c>
      <c r="P2807" s="40">
        <f t="shared" si="427"/>
        <v>113.1</v>
      </c>
      <c r="Q2807" s="23"/>
      <c r="R2807" s="56"/>
      <c r="S2807" s="57"/>
      <c r="T2807" s="58">
        <f t="shared" si="428"/>
        <v>0</v>
      </c>
      <c r="U2807" s="36">
        <f t="shared" si="429"/>
        <v>0</v>
      </c>
      <c r="V2807" s="59">
        <f t="shared" si="430"/>
        <v>0</v>
      </c>
      <c r="W2807" s="39">
        <f t="shared" si="431"/>
        <v>0</v>
      </c>
      <c r="X2807" s="40">
        <f t="shared" si="432"/>
        <v>0</v>
      </c>
      <c r="Y2807"/>
      <c r="Z2807"/>
      <c r="AA2807"/>
    </row>
    <row r="2808" spans="1:27" s="51" customFormat="1" ht="18.600000000000001" hidden="1" customHeight="1" x14ac:dyDescent="0.25">
      <c r="A2808" s="82" t="s">
        <v>2653</v>
      </c>
      <c r="B2808" s="41" t="s">
        <v>9370</v>
      </c>
      <c r="C2808" s="42" t="s">
        <v>9371</v>
      </c>
      <c r="D2808" s="41" t="s">
        <v>7148</v>
      </c>
      <c r="E2808" s="43" t="s">
        <v>7149</v>
      </c>
      <c r="F2808" s="43" t="s">
        <v>1937</v>
      </c>
      <c r="G2808" s="43"/>
      <c r="H2808" s="85" t="s">
        <v>7150</v>
      </c>
      <c r="I2808" s="23" t="s">
        <v>24</v>
      </c>
      <c r="J2808" s="44">
        <v>130</v>
      </c>
      <c r="K2808" s="45">
        <v>0.25</v>
      </c>
      <c r="L2808" s="46">
        <f t="shared" si="424"/>
        <v>32.5</v>
      </c>
      <c r="M2808" s="47">
        <f t="shared" si="425"/>
        <v>97.5</v>
      </c>
      <c r="N2808" s="48">
        <v>0.16</v>
      </c>
      <c r="O2808" s="49">
        <f t="shared" si="426"/>
        <v>15.6</v>
      </c>
      <c r="P2808" s="50">
        <f t="shared" si="427"/>
        <v>113.1</v>
      </c>
      <c r="Q2808" s="23"/>
      <c r="R2808" s="60"/>
      <c r="S2808" s="61"/>
      <c r="T2808" s="62">
        <f t="shared" si="428"/>
        <v>0</v>
      </c>
      <c r="U2808" s="46">
        <f t="shared" si="429"/>
        <v>0</v>
      </c>
      <c r="V2808" s="63">
        <f t="shared" si="430"/>
        <v>0</v>
      </c>
      <c r="W2808" s="49">
        <f t="shared" si="431"/>
        <v>0</v>
      </c>
      <c r="X2808" s="50">
        <f t="shared" si="432"/>
        <v>0</v>
      </c>
      <c r="Y2808"/>
      <c r="Z2808"/>
      <c r="AA2808"/>
    </row>
    <row r="2809" spans="1:27" s="51" customFormat="1" ht="18.600000000000001" hidden="1" customHeight="1" x14ac:dyDescent="0.25">
      <c r="A2809" s="80" t="s">
        <v>2653</v>
      </c>
      <c r="B2809" s="20" t="s">
        <v>9370</v>
      </c>
      <c r="C2809" s="21" t="s">
        <v>9371</v>
      </c>
      <c r="D2809" s="20" t="s">
        <v>7151</v>
      </c>
      <c r="E2809" s="22" t="s">
        <v>7152</v>
      </c>
      <c r="F2809" s="22" t="s">
        <v>1937</v>
      </c>
      <c r="G2809" s="22"/>
      <c r="H2809" s="83" t="s">
        <v>7153</v>
      </c>
      <c r="I2809" s="23" t="s">
        <v>24</v>
      </c>
      <c r="J2809" s="24">
        <v>135</v>
      </c>
      <c r="K2809" s="25">
        <v>0.25</v>
      </c>
      <c r="L2809" s="26">
        <f t="shared" si="424"/>
        <v>33.75</v>
      </c>
      <c r="M2809" s="27">
        <f t="shared" si="425"/>
        <v>101.25</v>
      </c>
      <c r="N2809" s="28">
        <v>0.16</v>
      </c>
      <c r="O2809" s="29">
        <f t="shared" si="426"/>
        <v>16.2</v>
      </c>
      <c r="P2809" s="30">
        <f t="shared" si="427"/>
        <v>117.45</v>
      </c>
      <c r="Q2809" s="23"/>
      <c r="R2809" s="52"/>
      <c r="S2809" s="53"/>
      <c r="T2809" s="54">
        <f t="shared" si="428"/>
        <v>0</v>
      </c>
      <c r="U2809" s="26">
        <f t="shared" si="429"/>
        <v>0</v>
      </c>
      <c r="V2809" s="55">
        <f t="shared" si="430"/>
        <v>0</v>
      </c>
      <c r="W2809" s="29">
        <f t="shared" si="431"/>
        <v>0</v>
      </c>
      <c r="X2809" s="30">
        <f t="shared" si="432"/>
        <v>0</v>
      </c>
      <c r="Y2809"/>
      <c r="Z2809"/>
      <c r="AA2809"/>
    </row>
    <row r="2810" spans="1:27" s="51" customFormat="1" ht="18.600000000000001" hidden="1" customHeight="1" x14ac:dyDescent="0.25">
      <c r="A2810" s="81" t="s">
        <v>2653</v>
      </c>
      <c r="B2810" s="31" t="s">
        <v>9370</v>
      </c>
      <c r="C2810" s="32" t="s">
        <v>9371</v>
      </c>
      <c r="D2810" s="31" t="s">
        <v>7154</v>
      </c>
      <c r="E2810" s="33" t="s">
        <v>7155</v>
      </c>
      <c r="F2810" s="33" t="s">
        <v>1937</v>
      </c>
      <c r="G2810" s="33"/>
      <c r="H2810" s="84" t="s">
        <v>7156</v>
      </c>
      <c r="I2810" s="23" t="s">
        <v>24</v>
      </c>
      <c r="J2810" s="34">
        <v>120</v>
      </c>
      <c r="K2810" s="35">
        <v>0.25</v>
      </c>
      <c r="L2810" s="36">
        <f t="shared" si="424"/>
        <v>30</v>
      </c>
      <c r="M2810" s="37">
        <f t="shared" si="425"/>
        <v>90</v>
      </c>
      <c r="N2810" s="38">
        <v>0.16</v>
      </c>
      <c r="O2810" s="39">
        <f t="shared" si="426"/>
        <v>14.4</v>
      </c>
      <c r="P2810" s="40">
        <f t="shared" si="427"/>
        <v>104.4</v>
      </c>
      <c r="Q2810" s="23"/>
      <c r="R2810" s="56"/>
      <c r="S2810" s="57"/>
      <c r="T2810" s="58">
        <f t="shared" si="428"/>
        <v>0</v>
      </c>
      <c r="U2810" s="36">
        <f t="shared" si="429"/>
        <v>0</v>
      </c>
      <c r="V2810" s="59">
        <f t="shared" si="430"/>
        <v>0</v>
      </c>
      <c r="W2810" s="39">
        <f t="shared" si="431"/>
        <v>0</v>
      </c>
      <c r="X2810" s="40">
        <f t="shared" si="432"/>
        <v>0</v>
      </c>
      <c r="Y2810"/>
      <c r="Z2810"/>
      <c r="AA2810"/>
    </row>
    <row r="2811" spans="1:27" s="51" customFormat="1" ht="18.600000000000001" hidden="1" customHeight="1" x14ac:dyDescent="0.25">
      <c r="A2811" s="82" t="s">
        <v>2653</v>
      </c>
      <c r="B2811" s="41" t="s">
        <v>9370</v>
      </c>
      <c r="C2811" s="42" t="s">
        <v>9371</v>
      </c>
      <c r="D2811" s="41" t="s">
        <v>7157</v>
      </c>
      <c r="E2811" s="43" t="s">
        <v>7158</v>
      </c>
      <c r="F2811" s="43" t="s">
        <v>1937</v>
      </c>
      <c r="G2811" s="43"/>
      <c r="H2811" s="85" t="s">
        <v>7159</v>
      </c>
      <c r="I2811" s="23" t="s">
        <v>24</v>
      </c>
      <c r="J2811" s="44">
        <v>120</v>
      </c>
      <c r="K2811" s="45">
        <v>0.25</v>
      </c>
      <c r="L2811" s="46">
        <f t="shared" si="424"/>
        <v>30</v>
      </c>
      <c r="M2811" s="47">
        <f t="shared" si="425"/>
        <v>90</v>
      </c>
      <c r="N2811" s="48">
        <v>0.16</v>
      </c>
      <c r="O2811" s="49">
        <f t="shared" si="426"/>
        <v>14.4</v>
      </c>
      <c r="P2811" s="50">
        <f t="shared" si="427"/>
        <v>104.4</v>
      </c>
      <c r="Q2811" s="23"/>
      <c r="R2811" s="60"/>
      <c r="S2811" s="61"/>
      <c r="T2811" s="62">
        <f t="shared" si="428"/>
        <v>0</v>
      </c>
      <c r="U2811" s="46">
        <f t="shared" si="429"/>
        <v>0</v>
      </c>
      <c r="V2811" s="63">
        <f t="shared" si="430"/>
        <v>0</v>
      </c>
      <c r="W2811" s="49">
        <f t="shared" si="431"/>
        <v>0</v>
      </c>
      <c r="X2811" s="50">
        <f t="shared" si="432"/>
        <v>0</v>
      </c>
      <c r="Y2811"/>
      <c r="Z2811"/>
      <c r="AA2811"/>
    </row>
    <row r="2812" spans="1:27" s="51" customFormat="1" ht="18.600000000000001" hidden="1" customHeight="1" x14ac:dyDescent="0.25">
      <c r="A2812" s="80" t="s">
        <v>2653</v>
      </c>
      <c r="B2812" s="20" t="s">
        <v>9370</v>
      </c>
      <c r="C2812" s="21" t="s">
        <v>9371</v>
      </c>
      <c r="D2812" s="20" t="s">
        <v>7160</v>
      </c>
      <c r="E2812" s="22" t="s">
        <v>7161</v>
      </c>
      <c r="F2812" s="22" t="s">
        <v>1937</v>
      </c>
      <c r="G2812" s="22"/>
      <c r="H2812" s="83" t="s">
        <v>7162</v>
      </c>
      <c r="I2812" s="23" t="s">
        <v>24</v>
      </c>
      <c r="J2812" s="24">
        <v>120</v>
      </c>
      <c r="K2812" s="25">
        <v>0.25</v>
      </c>
      <c r="L2812" s="26">
        <f t="shared" si="424"/>
        <v>30</v>
      </c>
      <c r="M2812" s="27">
        <f t="shared" si="425"/>
        <v>90</v>
      </c>
      <c r="N2812" s="28">
        <v>0.16</v>
      </c>
      <c r="O2812" s="29">
        <f t="shared" si="426"/>
        <v>14.4</v>
      </c>
      <c r="P2812" s="30">
        <f t="shared" si="427"/>
        <v>104.4</v>
      </c>
      <c r="Q2812" s="23"/>
      <c r="R2812" s="52"/>
      <c r="S2812" s="53"/>
      <c r="T2812" s="54">
        <f t="shared" si="428"/>
        <v>0</v>
      </c>
      <c r="U2812" s="26">
        <f t="shared" si="429"/>
        <v>0</v>
      </c>
      <c r="V2812" s="55">
        <f t="shared" si="430"/>
        <v>0</v>
      </c>
      <c r="W2812" s="29">
        <f t="shared" si="431"/>
        <v>0</v>
      </c>
      <c r="X2812" s="30">
        <f t="shared" si="432"/>
        <v>0</v>
      </c>
      <c r="Y2812"/>
      <c r="Z2812"/>
      <c r="AA2812"/>
    </row>
    <row r="2813" spans="1:27" s="51" customFormat="1" ht="18.600000000000001" hidden="1" customHeight="1" x14ac:dyDescent="0.25">
      <c r="A2813" s="81" t="s">
        <v>2653</v>
      </c>
      <c r="B2813" s="31" t="s">
        <v>9370</v>
      </c>
      <c r="C2813" s="32" t="s">
        <v>9371</v>
      </c>
      <c r="D2813" s="31" t="s">
        <v>7163</v>
      </c>
      <c r="E2813" s="33" t="s">
        <v>7164</v>
      </c>
      <c r="F2813" s="33" t="s">
        <v>1937</v>
      </c>
      <c r="G2813" s="33"/>
      <c r="H2813" s="84" t="s">
        <v>7165</v>
      </c>
      <c r="I2813" s="23" t="s">
        <v>24</v>
      </c>
      <c r="J2813" s="34">
        <v>120</v>
      </c>
      <c r="K2813" s="35">
        <v>0.25</v>
      </c>
      <c r="L2813" s="36">
        <f t="shared" si="424"/>
        <v>30</v>
      </c>
      <c r="M2813" s="37">
        <f t="shared" si="425"/>
        <v>90</v>
      </c>
      <c r="N2813" s="38">
        <v>0.16</v>
      </c>
      <c r="O2813" s="39">
        <f t="shared" si="426"/>
        <v>14.4</v>
      </c>
      <c r="P2813" s="40">
        <f t="shared" si="427"/>
        <v>104.4</v>
      </c>
      <c r="Q2813" s="23"/>
      <c r="R2813" s="56"/>
      <c r="S2813" s="57"/>
      <c r="T2813" s="58">
        <f t="shared" si="428"/>
        <v>0</v>
      </c>
      <c r="U2813" s="36">
        <f t="shared" si="429"/>
        <v>0</v>
      </c>
      <c r="V2813" s="59">
        <f t="shared" si="430"/>
        <v>0</v>
      </c>
      <c r="W2813" s="39">
        <f t="shared" si="431"/>
        <v>0</v>
      </c>
      <c r="X2813" s="40">
        <f t="shared" si="432"/>
        <v>0</v>
      </c>
      <c r="Y2813"/>
      <c r="Z2813"/>
      <c r="AA2813"/>
    </row>
    <row r="2814" spans="1:27" s="51" customFormat="1" ht="18.600000000000001" hidden="1" customHeight="1" x14ac:dyDescent="0.25">
      <c r="A2814" s="82" t="s">
        <v>2653</v>
      </c>
      <c r="B2814" s="41" t="s">
        <v>9370</v>
      </c>
      <c r="C2814" s="42" t="s">
        <v>9371</v>
      </c>
      <c r="D2814" s="41" t="s">
        <v>7166</v>
      </c>
      <c r="E2814" s="43" t="s">
        <v>7167</v>
      </c>
      <c r="F2814" s="43" t="s">
        <v>1937</v>
      </c>
      <c r="G2814" s="43"/>
      <c r="H2814" s="85" t="s">
        <v>7168</v>
      </c>
      <c r="I2814" s="23" t="s">
        <v>24</v>
      </c>
      <c r="J2814" s="44">
        <v>140</v>
      </c>
      <c r="K2814" s="45">
        <v>0.25</v>
      </c>
      <c r="L2814" s="46">
        <f t="shared" si="424"/>
        <v>35</v>
      </c>
      <c r="M2814" s="47">
        <f t="shared" si="425"/>
        <v>105</v>
      </c>
      <c r="N2814" s="48">
        <v>0.16</v>
      </c>
      <c r="O2814" s="49">
        <f t="shared" si="426"/>
        <v>16.8</v>
      </c>
      <c r="P2814" s="50">
        <f t="shared" si="427"/>
        <v>121.8</v>
      </c>
      <c r="Q2814" s="23"/>
      <c r="R2814" s="60"/>
      <c r="S2814" s="61"/>
      <c r="T2814" s="62">
        <f t="shared" si="428"/>
        <v>0</v>
      </c>
      <c r="U2814" s="46">
        <f t="shared" si="429"/>
        <v>0</v>
      </c>
      <c r="V2814" s="63">
        <f t="shared" si="430"/>
        <v>0</v>
      </c>
      <c r="W2814" s="49">
        <f t="shared" si="431"/>
        <v>0</v>
      </c>
      <c r="X2814" s="50">
        <f t="shared" si="432"/>
        <v>0</v>
      </c>
      <c r="Y2814"/>
      <c r="Z2814"/>
      <c r="AA2814"/>
    </row>
    <row r="2815" spans="1:27" s="51" customFormat="1" ht="18.600000000000001" hidden="1" customHeight="1" x14ac:dyDescent="0.25">
      <c r="A2815" s="80" t="s">
        <v>2653</v>
      </c>
      <c r="B2815" s="20" t="s">
        <v>9370</v>
      </c>
      <c r="C2815" s="21" t="s">
        <v>9371</v>
      </c>
      <c r="D2815" s="20" t="s">
        <v>7169</v>
      </c>
      <c r="E2815" s="22" t="s">
        <v>7170</v>
      </c>
      <c r="F2815" s="22" t="s">
        <v>1937</v>
      </c>
      <c r="G2815" s="22"/>
      <c r="H2815" s="83" t="s">
        <v>7171</v>
      </c>
      <c r="I2815" s="23" t="s">
        <v>24</v>
      </c>
      <c r="J2815" s="24">
        <v>150</v>
      </c>
      <c r="K2815" s="25">
        <v>0.25</v>
      </c>
      <c r="L2815" s="26">
        <f t="shared" si="424"/>
        <v>37.5</v>
      </c>
      <c r="M2815" s="27">
        <f t="shared" si="425"/>
        <v>112.5</v>
      </c>
      <c r="N2815" s="28">
        <v>0.16</v>
      </c>
      <c r="O2815" s="29">
        <f t="shared" si="426"/>
        <v>18</v>
      </c>
      <c r="P2815" s="30">
        <f t="shared" si="427"/>
        <v>130.5</v>
      </c>
      <c r="Q2815" s="23"/>
      <c r="R2815" s="52"/>
      <c r="S2815" s="53"/>
      <c r="T2815" s="54">
        <f t="shared" si="428"/>
        <v>0</v>
      </c>
      <c r="U2815" s="26">
        <f t="shared" si="429"/>
        <v>0</v>
      </c>
      <c r="V2815" s="55">
        <f t="shared" si="430"/>
        <v>0</v>
      </c>
      <c r="W2815" s="29">
        <f t="shared" si="431"/>
        <v>0</v>
      </c>
      <c r="X2815" s="30">
        <f t="shared" si="432"/>
        <v>0</v>
      </c>
      <c r="Y2815"/>
      <c r="Z2815"/>
      <c r="AA2815"/>
    </row>
    <row r="2816" spans="1:27" s="51" customFormat="1" ht="18.600000000000001" hidden="1" customHeight="1" x14ac:dyDescent="0.25">
      <c r="A2816" s="81" t="s">
        <v>2653</v>
      </c>
      <c r="B2816" s="31" t="s">
        <v>9370</v>
      </c>
      <c r="C2816" s="32" t="s">
        <v>9371</v>
      </c>
      <c r="D2816" s="31" t="s">
        <v>7172</v>
      </c>
      <c r="E2816" s="33" t="s">
        <v>7173</v>
      </c>
      <c r="F2816" s="33" t="s">
        <v>1937</v>
      </c>
      <c r="G2816" s="33"/>
      <c r="H2816" s="84" t="s">
        <v>7174</v>
      </c>
      <c r="I2816" s="23" t="s">
        <v>24</v>
      </c>
      <c r="J2816" s="34">
        <v>155</v>
      </c>
      <c r="K2816" s="35">
        <v>0.25</v>
      </c>
      <c r="L2816" s="36">
        <f t="shared" si="424"/>
        <v>38.75</v>
      </c>
      <c r="M2816" s="37">
        <f t="shared" si="425"/>
        <v>116.25</v>
      </c>
      <c r="N2816" s="38">
        <v>0.16</v>
      </c>
      <c r="O2816" s="39">
        <f t="shared" si="426"/>
        <v>18.600000000000001</v>
      </c>
      <c r="P2816" s="40">
        <f t="shared" si="427"/>
        <v>134.85</v>
      </c>
      <c r="Q2816" s="23"/>
      <c r="R2816" s="56"/>
      <c r="S2816" s="57"/>
      <c r="T2816" s="58">
        <f t="shared" si="428"/>
        <v>0</v>
      </c>
      <c r="U2816" s="36">
        <f t="shared" si="429"/>
        <v>0</v>
      </c>
      <c r="V2816" s="59">
        <f t="shared" si="430"/>
        <v>0</v>
      </c>
      <c r="W2816" s="39">
        <f t="shared" si="431"/>
        <v>0</v>
      </c>
      <c r="X2816" s="40">
        <f t="shared" si="432"/>
        <v>0</v>
      </c>
      <c r="Y2816"/>
      <c r="Z2816"/>
      <c r="AA2816"/>
    </row>
    <row r="2817" spans="1:27" s="51" customFormat="1" ht="18.600000000000001" hidden="1" customHeight="1" x14ac:dyDescent="0.25">
      <c r="A2817" s="82" t="s">
        <v>2653</v>
      </c>
      <c r="B2817" s="41" t="s">
        <v>9370</v>
      </c>
      <c r="C2817" s="42" t="s">
        <v>9371</v>
      </c>
      <c r="D2817" s="41" t="s">
        <v>7175</v>
      </c>
      <c r="E2817" s="43" t="s">
        <v>7176</v>
      </c>
      <c r="F2817" s="43" t="s">
        <v>1937</v>
      </c>
      <c r="G2817" s="43"/>
      <c r="H2817" s="85" t="s">
        <v>7177</v>
      </c>
      <c r="I2817" s="23" t="s">
        <v>24</v>
      </c>
      <c r="J2817" s="44">
        <v>90</v>
      </c>
      <c r="K2817" s="45">
        <v>0.25</v>
      </c>
      <c r="L2817" s="46">
        <f t="shared" si="424"/>
        <v>22.5</v>
      </c>
      <c r="M2817" s="47">
        <f t="shared" si="425"/>
        <v>67.5</v>
      </c>
      <c r="N2817" s="48">
        <v>0.16</v>
      </c>
      <c r="O2817" s="49">
        <f t="shared" si="426"/>
        <v>10.8</v>
      </c>
      <c r="P2817" s="50">
        <f t="shared" si="427"/>
        <v>78.3</v>
      </c>
      <c r="Q2817" s="23"/>
      <c r="R2817" s="60"/>
      <c r="S2817" s="61"/>
      <c r="T2817" s="62">
        <f t="shared" si="428"/>
        <v>0</v>
      </c>
      <c r="U2817" s="46">
        <f t="shared" si="429"/>
        <v>0</v>
      </c>
      <c r="V2817" s="63">
        <f t="shared" si="430"/>
        <v>0</v>
      </c>
      <c r="W2817" s="49">
        <f t="shared" si="431"/>
        <v>0</v>
      </c>
      <c r="X2817" s="50">
        <f t="shared" si="432"/>
        <v>0</v>
      </c>
      <c r="Y2817"/>
      <c r="Z2817"/>
      <c r="AA2817"/>
    </row>
    <row r="2818" spans="1:27" s="51" customFormat="1" ht="18.600000000000001" hidden="1" customHeight="1" x14ac:dyDescent="0.25">
      <c r="A2818" s="80" t="s">
        <v>2653</v>
      </c>
      <c r="B2818" s="20" t="s">
        <v>9370</v>
      </c>
      <c r="C2818" s="21" t="s">
        <v>9371</v>
      </c>
      <c r="D2818" s="20" t="s">
        <v>7178</v>
      </c>
      <c r="E2818" s="22" t="s">
        <v>7179</v>
      </c>
      <c r="F2818" s="22" t="s">
        <v>1937</v>
      </c>
      <c r="G2818" s="22"/>
      <c r="H2818" s="83" t="s">
        <v>7180</v>
      </c>
      <c r="I2818" s="23" t="s">
        <v>24</v>
      </c>
      <c r="J2818" s="24">
        <v>85</v>
      </c>
      <c r="K2818" s="25">
        <v>0.25</v>
      </c>
      <c r="L2818" s="26">
        <f t="shared" si="424"/>
        <v>21.25</v>
      </c>
      <c r="M2818" s="27">
        <f t="shared" si="425"/>
        <v>63.75</v>
      </c>
      <c r="N2818" s="28">
        <v>0.16</v>
      </c>
      <c r="O2818" s="29">
        <f t="shared" si="426"/>
        <v>10.200000000000001</v>
      </c>
      <c r="P2818" s="30">
        <f t="shared" si="427"/>
        <v>73.95</v>
      </c>
      <c r="Q2818" s="23"/>
      <c r="R2818" s="52"/>
      <c r="S2818" s="53"/>
      <c r="T2818" s="54">
        <f t="shared" si="428"/>
        <v>0</v>
      </c>
      <c r="U2818" s="26">
        <f t="shared" si="429"/>
        <v>0</v>
      </c>
      <c r="V2818" s="55">
        <f t="shared" si="430"/>
        <v>0</v>
      </c>
      <c r="W2818" s="29">
        <f t="shared" si="431"/>
        <v>0</v>
      </c>
      <c r="X2818" s="30">
        <f t="shared" si="432"/>
        <v>0</v>
      </c>
      <c r="Y2818"/>
      <c r="Z2818"/>
      <c r="AA2818"/>
    </row>
    <row r="2819" spans="1:27" s="51" customFormat="1" ht="18.600000000000001" hidden="1" customHeight="1" x14ac:dyDescent="0.25">
      <c r="A2819" s="81" t="s">
        <v>2653</v>
      </c>
      <c r="B2819" s="31" t="s">
        <v>9370</v>
      </c>
      <c r="C2819" s="32" t="s">
        <v>9371</v>
      </c>
      <c r="D2819" s="31" t="s">
        <v>7181</v>
      </c>
      <c r="E2819" s="33" t="s">
        <v>7182</v>
      </c>
      <c r="F2819" s="33" t="s">
        <v>1937</v>
      </c>
      <c r="G2819" s="33"/>
      <c r="H2819" s="84" t="s">
        <v>7183</v>
      </c>
      <c r="I2819" s="23" t="s">
        <v>24</v>
      </c>
      <c r="J2819" s="34">
        <v>85</v>
      </c>
      <c r="K2819" s="35">
        <v>0.25</v>
      </c>
      <c r="L2819" s="36">
        <f t="shared" si="424"/>
        <v>21.25</v>
      </c>
      <c r="M2819" s="37">
        <f t="shared" si="425"/>
        <v>63.75</v>
      </c>
      <c r="N2819" s="38">
        <v>0.16</v>
      </c>
      <c r="O2819" s="39">
        <f t="shared" si="426"/>
        <v>10.200000000000001</v>
      </c>
      <c r="P2819" s="40">
        <f t="shared" si="427"/>
        <v>73.95</v>
      </c>
      <c r="Q2819" s="23"/>
      <c r="R2819" s="56"/>
      <c r="S2819" s="57"/>
      <c r="T2819" s="58">
        <f t="shared" si="428"/>
        <v>0</v>
      </c>
      <c r="U2819" s="36">
        <f t="shared" si="429"/>
        <v>0</v>
      </c>
      <c r="V2819" s="59">
        <f t="shared" si="430"/>
        <v>0</v>
      </c>
      <c r="W2819" s="39">
        <f t="shared" si="431"/>
        <v>0</v>
      </c>
      <c r="X2819" s="40">
        <f t="shared" si="432"/>
        <v>0</v>
      </c>
      <c r="Y2819"/>
      <c r="Z2819"/>
      <c r="AA2819"/>
    </row>
    <row r="2820" spans="1:27" s="51" customFormat="1" ht="18.600000000000001" hidden="1" customHeight="1" x14ac:dyDescent="0.25">
      <c r="A2820" s="82" t="s">
        <v>2653</v>
      </c>
      <c r="B2820" s="41" t="s">
        <v>9370</v>
      </c>
      <c r="C2820" s="42" t="s">
        <v>9371</v>
      </c>
      <c r="D2820" s="41" t="s">
        <v>7184</v>
      </c>
      <c r="E2820" s="43" t="s">
        <v>7185</v>
      </c>
      <c r="F2820" s="43" t="s">
        <v>1937</v>
      </c>
      <c r="G2820" s="43"/>
      <c r="H2820" s="85" t="s">
        <v>7186</v>
      </c>
      <c r="I2820" s="23" t="s">
        <v>24</v>
      </c>
      <c r="J2820" s="44">
        <v>135</v>
      </c>
      <c r="K2820" s="45">
        <v>0.25</v>
      </c>
      <c r="L2820" s="46">
        <f t="shared" si="424"/>
        <v>33.75</v>
      </c>
      <c r="M2820" s="47">
        <f t="shared" si="425"/>
        <v>101.25</v>
      </c>
      <c r="N2820" s="48">
        <v>0.16</v>
      </c>
      <c r="O2820" s="49">
        <f t="shared" si="426"/>
        <v>16.2</v>
      </c>
      <c r="P2820" s="50">
        <f t="shared" si="427"/>
        <v>117.45</v>
      </c>
      <c r="Q2820" s="23"/>
      <c r="R2820" s="60"/>
      <c r="S2820" s="61"/>
      <c r="T2820" s="62">
        <f t="shared" si="428"/>
        <v>0</v>
      </c>
      <c r="U2820" s="46">
        <f t="shared" si="429"/>
        <v>0</v>
      </c>
      <c r="V2820" s="63">
        <f t="shared" si="430"/>
        <v>0</v>
      </c>
      <c r="W2820" s="49">
        <f t="shared" si="431"/>
        <v>0</v>
      </c>
      <c r="X2820" s="50">
        <f t="shared" si="432"/>
        <v>0</v>
      </c>
      <c r="Y2820"/>
      <c r="Z2820"/>
      <c r="AA2820"/>
    </row>
    <row r="2821" spans="1:27" s="51" customFormat="1" ht="18.600000000000001" hidden="1" customHeight="1" x14ac:dyDescent="0.25">
      <c r="A2821" s="80" t="s">
        <v>2653</v>
      </c>
      <c r="B2821" s="20" t="s">
        <v>9370</v>
      </c>
      <c r="C2821" s="21" t="s">
        <v>9371</v>
      </c>
      <c r="D2821" s="20" t="s">
        <v>7187</v>
      </c>
      <c r="E2821" s="22" t="s">
        <v>7188</v>
      </c>
      <c r="F2821" s="22" t="s">
        <v>1937</v>
      </c>
      <c r="G2821" s="22"/>
      <c r="H2821" s="83" t="s">
        <v>7189</v>
      </c>
      <c r="I2821" s="23" t="s">
        <v>24</v>
      </c>
      <c r="J2821" s="24">
        <v>135</v>
      </c>
      <c r="K2821" s="25">
        <v>0.25</v>
      </c>
      <c r="L2821" s="26">
        <f t="shared" si="424"/>
        <v>33.75</v>
      </c>
      <c r="M2821" s="27">
        <f t="shared" si="425"/>
        <v>101.25</v>
      </c>
      <c r="N2821" s="28">
        <v>0.16</v>
      </c>
      <c r="O2821" s="29">
        <f t="shared" si="426"/>
        <v>16.2</v>
      </c>
      <c r="P2821" s="30">
        <f t="shared" si="427"/>
        <v>117.45</v>
      </c>
      <c r="Q2821" s="23"/>
      <c r="R2821" s="52"/>
      <c r="S2821" s="53"/>
      <c r="T2821" s="54">
        <f t="shared" si="428"/>
        <v>0</v>
      </c>
      <c r="U2821" s="26">
        <f t="shared" si="429"/>
        <v>0</v>
      </c>
      <c r="V2821" s="55">
        <f t="shared" si="430"/>
        <v>0</v>
      </c>
      <c r="W2821" s="29">
        <f t="shared" si="431"/>
        <v>0</v>
      </c>
      <c r="X2821" s="30">
        <f t="shared" si="432"/>
        <v>0</v>
      </c>
      <c r="Y2821"/>
      <c r="Z2821"/>
      <c r="AA2821"/>
    </row>
    <row r="2822" spans="1:27" s="51" customFormat="1" ht="18.600000000000001" hidden="1" customHeight="1" x14ac:dyDescent="0.25">
      <c r="A2822" s="81" t="s">
        <v>2653</v>
      </c>
      <c r="B2822" s="31" t="s">
        <v>9370</v>
      </c>
      <c r="C2822" s="32" t="s">
        <v>9371</v>
      </c>
      <c r="D2822" s="31" t="s">
        <v>7190</v>
      </c>
      <c r="E2822" s="33" t="s">
        <v>7191</v>
      </c>
      <c r="F2822" s="33" t="s">
        <v>1937</v>
      </c>
      <c r="G2822" s="33"/>
      <c r="H2822" s="84" t="s">
        <v>7192</v>
      </c>
      <c r="I2822" s="23" t="s">
        <v>24</v>
      </c>
      <c r="J2822" s="34">
        <v>140</v>
      </c>
      <c r="K2822" s="35">
        <v>0.25</v>
      </c>
      <c r="L2822" s="36">
        <f t="shared" si="424"/>
        <v>35</v>
      </c>
      <c r="M2822" s="37">
        <f t="shared" si="425"/>
        <v>105</v>
      </c>
      <c r="N2822" s="38">
        <v>0.16</v>
      </c>
      <c r="O2822" s="39">
        <f t="shared" si="426"/>
        <v>16.8</v>
      </c>
      <c r="P2822" s="40">
        <f t="shared" si="427"/>
        <v>121.8</v>
      </c>
      <c r="Q2822" s="23"/>
      <c r="R2822" s="56"/>
      <c r="S2822" s="57"/>
      <c r="T2822" s="58">
        <f t="shared" si="428"/>
        <v>0</v>
      </c>
      <c r="U2822" s="36">
        <f t="shared" si="429"/>
        <v>0</v>
      </c>
      <c r="V2822" s="59">
        <f t="shared" si="430"/>
        <v>0</v>
      </c>
      <c r="W2822" s="39">
        <f t="shared" si="431"/>
        <v>0</v>
      </c>
      <c r="X2822" s="40">
        <f t="shared" si="432"/>
        <v>0</v>
      </c>
      <c r="Y2822"/>
      <c r="Z2822"/>
      <c r="AA2822"/>
    </row>
    <row r="2823" spans="1:27" s="51" customFormat="1" ht="18.600000000000001" hidden="1" customHeight="1" x14ac:dyDescent="0.25">
      <c r="A2823" s="82" t="s">
        <v>2653</v>
      </c>
      <c r="B2823" s="41" t="s">
        <v>9370</v>
      </c>
      <c r="C2823" s="42" t="s">
        <v>9371</v>
      </c>
      <c r="D2823" s="41" t="s">
        <v>7193</v>
      </c>
      <c r="E2823" s="43" t="s">
        <v>7194</v>
      </c>
      <c r="F2823" s="43" t="s">
        <v>1937</v>
      </c>
      <c r="G2823" s="43"/>
      <c r="H2823" s="85" t="s">
        <v>7195</v>
      </c>
      <c r="I2823" s="23" t="s">
        <v>24</v>
      </c>
      <c r="J2823" s="44">
        <v>140</v>
      </c>
      <c r="K2823" s="45">
        <v>0.25</v>
      </c>
      <c r="L2823" s="46">
        <f t="shared" si="424"/>
        <v>35</v>
      </c>
      <c r="M2823" s="47">
        <f t="shared" si="425"/>
        <v>105</v>
      </c>
      <c r="N2823" s="48">
        <v>0.16</v>
      </c>
      <c r="O2823" s="49">
        <f t="shared" si="426"/>
        <v>16.8</v>
      </c>
      <c r="P2823" s="50">
        <f t="shared" si="427"/>
        <v>121.8</v>
      </c>
      <c r="Q2823" s="23"/>
      <c r="R2823" s="60"/>
      <c r="S2823" s="61"/>
      <c r="T2823" s="62">
        <f t="shared" si="428"/>
        <v>0</v>
      </c>
      <c r="U2823" s="46">
        <f t="shared" si="429"/>
        <v>0</v>
      </c>
      <c r="V2823" s="63">
        <f t="shared" si="430"/>
        <v>0</v>
      </c>
      <c r="W2823" s="49">
        <f t="shared" si="431"/>
        <v>0</v>
      </c>
      <c r="X2823" s="50">
        <f t="shared" si="432"/>
        <v>0</v>
      </c>
      <c r="Y2823"/>
      <c r="Z2823"/>
      <c r="AA2823"/>
    </row>
    <row r="2824" spans="1:27" s="51" customFormat="1" ht="18.600000000000001" hidden="1" customHeight="1" x14ac:dyDescent="0.25">
      <c r="A2824" s="80" t="s">
        <v>2653</v>
      </c>
      <c r="B2824" s="20" t="s">
        <v>9370</v>
      </c>
      <c r="C2824" s="21" t="s">
        <v>9371</v>
      </c>
      <c r="D2824" s="20" t="s">
        <v>7196</v>
      </c>
      <c r="E2824" s="22" t="s">
        <v>7197</v>
      </c>
      <c r="F2824" s="22" t="s">
        <v>1937</v>
      </c>
      <c r="G2824" s="22"/>
      <c r="H2824" s="83" t="s">
        <v>7198</v>
      </c>
      <c r="I2824" s="23" t="s">
        <v>24</v>
      </c>
      <c r="J2824" s="24">
        <v>140</v>
      </c>
      <c r="K2824" s="25">
        <v>0.25</v>
      </c>
      <c r="L2824" s="26">
        <f t="shared" si="424"/>
        <v>35</v>
      </c>
      <c r="M2824" s="27">
        <f t="shared" si="425"/>
        <v>105</v>
      </c>
      <c r="N2824" s="28">
        <v>0.16</v>
      </c>
      <c r="O2824" s="29">
        <f t="shared" si="426"/>
        <v>16.8</v>
      </c>
      <c r="P2824" s="30">
        <f t="shared" si="427"/>
        <v>121.8</v>
      </c>
      <c r="Q2824" s="23"/>
      <c r="R2824" s="52"/>
      <c r="S2824" s="53"/>
      <c r="T2824" s="54">
        <f t="shared" si="428"/>
        <v>0</v>
      </c>
      <c r="U2824" s="26">
        <f t="shared" si="429"/>
        <v>0</v>
      </c>
      <c r="V2824" s="55">
        <f t="shared" si="430"/>
        <v>0</v>
      </c>
      <c r="W2824" s="29">
        <f t="shared" si="431"/>
        <v>0</v>
      </c>
      <c r="X2824" s="30">
        <f t="shared" si="432"/>
        <v>0</v>
      </c>
      <c r="Y2824"/>
      <c r="Z2824"/>
      <c r="AA2824"/>
    </row>
    <row r="2825" spans="1:27" s="51" customFormat="1" ht="18.600000000000001" hidden="1" customHeight="1" x14ac:dyDescent="0.25">
      <c r="A2825" s="81" t="s">
        <v>2653</v>
      </c>
      <c r="B2825" s="31" t="s">
        <v>9370</v>
      </c>
      <c r="C2825" s="32" t="s">
        <v>9371</v>
      </c>
      <c r="D2825" s="31" t="s">
        <v>7199</v>
      </c>
      <c r="E2825" s="33" t="s">
        <v>7200</v>
      </c>
      <c r="F2825" s="33" t="s">
        <v>1937</v>
      </c>
      <c r="G2825" s="33"/>
      <c r="H2825" s="84" t="s">
        <v>7201</v>
      </c>
      <c r="I2825" s="23" t="s">
        <v>24</v>
      </c>
      <c r="J2825" s="34">
        <v>175</v>
      </c>
      <c r="K2825" s="35">
        <v>0.25</v>
      </c>
      <c r="L2825" s="36">
        <f t="shared" si="424"/>
        <v>43.75</v>
      </c>
      <c r="M2825" s="37">
        <f t="shared" si="425"/>
        <v>131.25</v>
      </c>
      <c r="N2825" s="38">
        <v>0.16</v>
      </c>
      <c r="O2825" s="39">
        <f t="shared" si="426"/>
        <v>21</v>
      </c>
      <c r="P2825" s="40">
        <f t="shared" si="427"/>
        <v>152.25</v>
      </c>
      <c r="Q2825" s="23"/>
      <c r="R2825" s="56"/>
      <c r="S2825" s="57"/>
      <c r="T2825" s="58">
        <f t="shared" si="428"/>
        <v>0</v>
      </c>
      <c r="U2825" s="36">
        <f t="shared" si="429"/>
        <v>0</v>
      </c>
      <c r="V2825" s="59">
        <f t="shared" si="430"/>
        <v>0</v>
      </c>
      <c r="W2825" s="39">
        <f t="shared" si="431"/>
        <v>0</v>
      </c>
      <c r="X2825" s="40">
        <f t="shared" si="432"/>
        <v>0</v>
      </c>
      <c r="Y2825"/>
      <c r="Z2825"/>
      <c r="AA2825"/>
    </row>
    <row r="2826" spans="1:27" s="51" customFormat="1" ht="18.600000000000001" hidden="1" customHeight="1" x14ac:dyDescent="0.25">
      <c r="A2826" s="82" t="s">
        <v>2653</v>
      </c>
      <c r="B2826" s="41" t="s">
        <v>9370</v>
      </c>
      <c r="C2826" s="42" t="s">
        <v>9371</v>
      </c>
      <c r="D2826" s="41" t="s">
        <v>7202</v>
      </c>
      <c r="E2826" s="43" t="s">
        <v>7203</v>
      </c>
      <c r="F2826" s="43" t="s">
        <v>1937</v>
      </c>
      <c r="G2826" s="43"/>
      <c r="H2826" s="85" t="s">
        <v>7204</v>
      </c>
      <c r="I2826" s="23" t="s">
        <v>24</v>
      </c>
      <c r="J2826" s="44">
        <v>175</v>
      </c>
      <c r="K2826" s="45">
        <v>0.25</v>
      </c>
      <c r="L2826" s="46">
        <f t="shared" si="424"/>
        <v>43.75</v>
      </c>
      <c r="M2826" s="47">
        <f t="shared" si="425"/>
        <v>131.25</v>
      </c>
      <c r="N2826" s="48">
        <v>0.16</v>
      </c>
      <c r="O2826" s="49">
        <f t="shared" si="426"/>
        <v>21</v>
      </c>
      <c r="P2826" s="50">
        <f t="shared" si="427"/>
        <v>152.25</v>
      </c>
      <c r="Q2826" s="23"/>
      <c r="R2826" s="60"/>
      <c r="S2826" s="61"/>
      <c r="T2826" s="62">
        <f t="shared" si="428"/>
        <v>0</v>
      </c>
      <c r="U2826" s="46">
        <f t="shared" si="429"/>
        <v>0</v>
      </c>
      <c r="V2826" s="63">
        <f t="shared" si="430"/>
        <v>0</v>
      </c>
      <c r="W2826" s="49">
        <f t="shared" si="431"/>
        <v>0</v>
      </c>
      <c r="X2826" s="50">
        <f t="shared" si="432"/>
        <v>0</v>
      </c>
      <c r="Y2826"/>
      <c r="Z2826"/>
      <c r="AA2826"/>
    </row>
    <row r="2827" spans="1:27" s="51" customFormat="1" ht="18.600000000000001" hidden="1" customHeight="1" x14ac:dyDescent="0.25">
      <c r="A2827" s="80" t="s">
        <v>2653</v>
      </c>
      <c r="B2827" s="20" t="s">
        <v>9370</v>
      </c>
      <c r="C2827" s="21" t="s">
        <v>9371</v>
      </c>
      <c r="D2827" s="20">
        <v>8435568350366</v>
      </c>
      <c r="E2827" s="22" t="s">
        <v>7205</v>
      </c>
      <c r="F2827" s="22" t="s">
        <v>1937</v>
      </c>
      <c r="G2827" s="22"/>
      <c r="H2827" s="83" t="s">
        <v>7206</v>
      </c>
      <c r="I2827" s="23" t="s">
        <v>24</v>
      </c>
      <c r="J2827" s="24">
        <v>135</v>
      </c>
      <c r="K2827" s="25">
        <v>0.25</v>
      </c>
      <c r="L2827" s="26">
        <f t="shared" si="424"/>
        <v>33.75</v>
      </c>
      <c r="M2827" s="27">
        <f t="shared" si="425"/>
        <v>101.25</v>
      </c>
      <c r="N2827" s="28">
        <v>0.16</v>
      </c>
      <c r="O2827" s="29">
        <f t="shared" si="426"/>
        <v>16.2</v>
      </c>
      <c r="P2827" s="30">
        <f t="shared" si="427"/>
        <v>117.45</v>
      </c>
      <c r="Q2827" s="23"/>
      <c r="R2827" s="52"/>
      <c r="S2827" s="53"/>
      <c r="T2827" s="54">
        <f t="shared" si="428"/>
        <v>0</v>
      </c>
      <c r="U2827" s="26">
        <f t="shared" si="429"/>
        <v>0</v>
      </c>
      <c r="V2827" s="55">
        <f t="shared" si="430"/>
        <v>0</v>
      </c>
      <c r="W2827" s="29">
        <f t="shared" si="431"/>
        <v>0</v>
      </c>
      <c r="X2827" s="30">
        <f t="shared" si="432"/>
        <v>0</v>
      </c>
      <c r="Y2827"/>
      <c r="Z2827"/>
      <c r="AA2827"/>
    </row>
    <row r="2828" spans="1:27" s="51" customFormat="1" ht="18.600000000000001" hidden="1" customHeight="1" x14ac:dyDescent="0.25">
      <c r="A2828" s="81" t="s">
        <v>2653</v>
      </c>
      <c r="B2828" s="31" t="s">
        <v>9370</v>
      </c>
      <c r="C2828" s="32" t="s">
        <v>9371</v>
      </c>
      <c r="D2828" s="31" t="s">
        <v>9478</v>
      </c>
      <c r="E2828" s="33" t="s">
        <v>9569</v>
      </c>
      <c r="F2828" s="33" t="s">
        <v>1937</v>
      </c>
      <c r="G2828" s="33"/>
      <c r="H2828" s="84" t="s">
        <v>9696</v>
      </c>
      <c r="I2828" s="23" t="s">
        <v>24</v>
      </c>
      <c r="J2828" s="34">
        <v>90</v>
      </c>
      <c r="K2828" s="35">
        <v>0.25</v>
      </c>
      <c r="L2828" s="36">
        <f t="shared" si="424"/>
        <v>22.5</v>
      </c>
      <c r="M2828" s="37">
        <f t="shared" si="425"/>
        <v>67.5</v>
      </c>
      <c r="N2828" s="38">
        <v>0.16</v>
      </c>
      <c r="O2828" s="39">
        <f t="shared" si="426"/>
        <v>10.8</v>
      </c>
      <c r="P2828" s="40">
        <f t="shared" si="427"/>
        <v>78.3</v>
      </c>
      <c r="Q2828" s="23"/>
      <c r="R2828" s="56"/>
      <c r="S2828" s="57"/>
      <c r="T2828" s="58">
        <f t="shared" si="428"/>
        <v>0</v>
      </c>
      <c r="U2828" s="36">
        <f t="shared" si="429"/>
        <v>0</v>
      </c>
      <c r="V2828" s="59">
        <f t="shared" si="430"/>
        <v>0</v>
      </c>
      <c r="W2828" s="39">
        <f t="shared" si="431"/>
        <v>0</v>
      </c>
      <c r="X2828" s="40">
        <f t="shared" si="432"/>
        <v>0</v>
      </c>
      <c r="Y2828"/>
      <c r="Z2828"/>
      <c r="AA2828"/>
    </row>
    <row r="2829" spans="1:27" s="51" customFormat="1" ht="18.600000000000001" hidden="1" customHeight="1" x14ac:dyDescent="0.25">
      <c r="A2829" s="82" t="s">
        <v>2653</v>
      </c>
      <c r="B2829" s="41" t="s">
        <v>9370</v>
      </c>
      <c r="C2829" s="42" t="s">
        <v>9371</v>
      </c>
      <c r="D2829" s="41" t="s">
        <v>9479</v>
      </c>
      <c r="E2829" s="43" t="s">
        <v>9570</v>
      </c>
      <c r="F2829" s="43" t="s">
        <v>1937</v>
      </c>
      <c r="G2829" s="43"/>
      <c r="H2829" s="85" t="s">
        <v>9697</v>
      </c>
      <c r="I2829" s="23" t="s">
        <v>24</v>
      </c>
      <c r="J2829" s="44">
        <v>90</v>
      </c>
      <c r="K2829" s="45">
        <v>0.25</v>
      </c>
      <c r="L2829" s="46">
        <f t="shared" si="424"/>
        <v>22.5</v>
      </c>
      <c r="M2829" s="47">
        <f t="shared" si="425"/>
        <v>67.5</v>
      </c>
      <c r="N2829" s="48">
        <v>0.16</v>
      </c>
      <c r="O2829" s="49">
        <f t="shared" si="426"/>
        <v>10.8</v>
      </c>
      <c r="P2829" s="50">
        <f t="shared" si="427"/>
        <v>78.3</v>
      </c>
      <c r="Q2829" s="23"/>
      <c r="R2829" s="60"/>
      <c r="S2829" s="61"/>
      <c r="T2829" s="62">
        <f t="shared" si="428"/>
        <v>0</v>
      </c>
      <c r="U2829" s="46">
        <f t="shared" si="429"/>
        <v>0</v>
      </c>
      <c r="V2829" s="63">
        <f t="shared" si="430"/>
        <v>0</v>
      </c>
      <c r="W2829" s="49">
        <f t="shared" si="431"/>
        <v>0</v>
      </c>
      <c r="X2829" s="50">
        <f t="shared" si="432"/>
        <v>0</v>
      </c>
      <c r="Y2829"/>
      <c r="Z2829"/>
      <c r="AA2829"/>
    </row>
    <row r="2830" spans="1:27" s="51" customFormat="1" ht="18.600000000000001" hidden="1" customHeight="1" x14ac:dyDescent="0.25">
      <c r="A2830" s="80" t="s">
        <v>2653</v>
      </c>
      <c r="B2830" s="20" t="s">
        <v>9370</v>
      </c>
      <c r="C2830" s="21" t="s">
        <v>9372</v>
      </c>
      <c r="D2830" s="20" t="s">
        <v>7207</v>
      </c>
      <c r="E2830" s="22" t="s">
        <v>7208</v>
      </c>
      <c r="F2830" s="22" t="s">
        <v>1937</v>
      </c>
      <c r="G2830" s="22" t="s">
        <v>9946</v>
      </c>
      <c r="H2830" s="83" t="s">
        <v>7209</v>
      </c>
      <c r="I2830" s="23" t="s">
        <v>24</v>
      </c>
      <c r="J2830" s="24">
        <v>560</v>
      </c>
      <c r="K2830" s="25">
        <v>0.25</v>
      </c>
      <c r="L2830" s="26">
        <f t="shared" si="424"/>
        <v>140</v>
      </c>
      <c r="M2830" s="27">
        <f t="shared" si="425"/>
        <v>420</v>
      </c>
      <c r="N2830" s="28">
        <v>0.16</v>
      </c>
      <c r="O2830" s="29">
        <f t="shared" si="426"/>
        <v>67.2</v>
      </c>
      <c r="P2830" s="30">
        <f t="shared" si="427"/>
        <v>487.2</v>
      </c>
      <c r="Q2830" s="23"/>
      <c r="R2830" s="52"/>
      <c r="S2830" s="53"/>
      <c r="T2830" s="54">
        <f t="shared" si="428"/>
        <v>0</v>
      </c>
      <c r="U2830" s="26">
        <f t="shared" si="429"/>
        <v>0</v>
      </c>
      <c r="V2830" s="55">
        <f t="shared" si="430"/>
        <v>0</v>
      </c>
      <c r="W2830" s="29">
        <f t="shared" si="431"/>
        <v>0</v>
      </c>
      <c r="X2830" s="30">
        <f t="shared" si="432"/>
        <v>0</v>
      </c>
      <c r="Y2830"/>
      <c r="Z2830"/>
      <c r="AA2830"/>
    </row>
    <row r="2831" spans="1:27" s="51" customFormat="1" ht="18.600000000000001" hidden="1" customHeight="1" x14ac:dyDescent="0.25">
      <c r="A2831" s="81" t="s">
        <v>2653</v>
      </c>
      <c r="B2831" s="31" t="s">
        <v>9370</v>
      </c>
      <c r="C2831" s="32" t="s">
        <v>9372</v>
      </c>
      <c r="D2831" s="31" t="s">
        <v>7210</v>
      </c>
      <c r="E2831" s="33" t="s">
        <v>7211</v>
      </c>
      <c r="F2831" s="33" t="s">
        <v>1937</v>
      </c>
      <c r="G2831" s="33" t="s">
        <v>9947</v>
      </c>
      <c r="H2831" s="84" t="s">
        <v>7212</v>
      </c>
      <c r="I2831" s="23" t="s">
        <v>24</v>
      </c>
      <c r="J2831" s="34">
        <v>410</v>
      </c>
      <c r="K2831" s="35">
        <v>0.25</v>
      </c>
      <c r="L2831" s="36">
        <f t="shared" si="424"/>
        <v>102.5</v>
      </c>
      <c r="M2831" s="37">
        <f t="shared" si="425"/>
        <v>307.5</v>
      </c>
      <c r="N2831" s="38">
        <v>0.16</v>
      </c>
      <c r="O2831" s="39">
        <f t="shared" si="426"/>
        <v>49.2</v>
      </c>
      <c r="P2831" s="40">
        <f t="shared" si="427"/>
        <v>356.7</v>
      </c>
      <c r="Q2831" s="23"/>
      <c r="R2831" s="56"/>
      <c r="S2831" s="57"/>
      <c r="T2831" s="58">
        <f t="shared" si="428"/>
        <v>0</v>
      </c>
      <c r="U2831" s="36">
        <f t="shared" si="429"/>
        <v>0</v>
      </c>
      <c r="V2831" s="59">
        <f t="shared" si="430"/>
        <v>0</v>
      </c>
      <c r="W2831" s="39">
        <f t="shared" si="431"/>
        <v>0</v>
      </c>
      <c r="X2831" s="40">
        <f t="shared" si="432"/>
        <v>0</v>
      </c>
      <c r="Y2831"/>
      <c r="Z2831"/>
      <c r="AA2831"/>
    </row>
    <row r="2832" spans="1:27" s="51" customFormat="1" ht="18.600000000000001" hidden="1" customHeight="1" x14ac:dyDescent="0.25">
      <c r="A2832" s="82" t="s">
        <v>2653</v>
      </c>
      <c r="B2832" s="41" t="s">
        <v>9370</v>
      </c>
      <c r="C2832" s="42" t="s">
        <v>9372</v>
      </c>
      <c r="D2832" s="41" t="s">
        <v>9480</v>
      </c>
      <c r="E2832" s="43" t="s">
        <v>9571</v>
      </c>
      <c r="F2832" s="43" t="s">
        <v>1937</v>
      </c>
      <c r="G2832" s="43" t="s">
        <v>9964</v>
      </c>
      <c r="H2832" s="85" t="s">
        <v>9698</v>
      </c>
      <c r="I2832" s="23" t="s">
        <v>24</v>
      </c>
      <c r="J2832" s="44">
        <v>720</v>
      </c>
      <c r="K2832" s="45">
        <v>0.25</v>
      </c>
      <c r="L2832" s="46">
        <f t="shared" si="424"/>
        <v>180</v>
      </c>
      <c r="M2832" s="47">
        <f t="shared" si="425"/>
        <v>540</v>
      </c>
      <c r="N2832" s="48">
        <v>0.16</v>
      </c>
      <c r="O2832" s="49">
        <f t="shared" si="426"/>
        <v>86.4</v>
      </c>
      <c r="P2832" s="50">
        <f t="shared" si="427"/>
        <v>626.4</v>
      </c>
      <c r="Q2832" s="23"/>
      <c r="R2832" s="60"/>
      <c r="S2832" s="61"/>
      <c r="T2832" s="62">
        <f t="shared" si="428"/>
        <v>0</v>
      </c>
      <c r="U2832" s="46">
        <f t="shared" si="429"/>
        <v>0</v>
      </c>
      <c r="V2832" s="63">
        <f t="shared" si="430"/>
        <v>0</v>
      </c>
      <c r="W2832" s="49">
        <f t="shared" si="431"/>
        <v>0</v>
      </c>
      <c r="X2832" s="50">
        <f t="shared" si="432"/>
        <v>0</v>
      </c>
      <c r="Y2832"/>
      <c r="Z2832"/>
      <c r="AA2832"/>
    </row>
    <row r="2833" spans="1:27" s="51" customFormat="1" ht="18.600000000000001" hidden="1" customHeight="1" x14ac:dyDescent="0.25">
      <c r="A2833" s="80" t="s">
        <v>2653</v>
      </c>
      <c r="B2833" s="20" t="s">
        <v>9370</v>
      </c>
      <c r="C2833" s="21" t="s">
        <v>9372</v>
      </c>
      <c r="D2833" s="20" t="s">
        <v>7213</v>
      </c>
      <c r="E2833" s="22" t="s">
        <v>7214</v>
      </c>
      <c r="F2833" s="22" t="s">
        <v>1937</v>
      </c>
      <c r="G2833" s="22" t="s">
        <v>9947</v>
      </c>
      <c r="H2833" s="83" t="s">
        <v>7215</v>
      </c>
      <c r="I2833" s="23" t="s">
        <v>24</v>
      </c>
      <c r="J2833" s="24">
        <v>415</v>
      </c>
      <c r="K2833" s="25">
        <v>0.25</v>
      </c>
      <c r="L2833" s="26">
        <f t="shared" si="424"/>
        <v>103.75</v>
      </c>
      <c r="M2833" s="27">
        <f t="shared" si="425"/>
        <v>311.25</v>
      </c>
      <c r="N2833" s="28">
        <v>0.16</v>
      </c>
      <c r="O2833" s="29">
        <f t="shared" si="426"/>
        <v>49.800000000000004</v>
      </c>
      <c r="P2833" s="30">
        <f t="shared" si="427"/>
        <v>361.05</v>
      </c>
      <c r="Q2833" s="23"/>
      <c r="R2833" s="52"/>
      <c r="S2833" s="53"/>
      <c r="T2833" s="54">
        <f t="shared" si="428"/>
        <v>0</v>
      </c>
      <c r="U2833" s="26">
        <f t="shared" si="429"/>
        <v>0</v>
      </c>
      <c r="V2833" s="55">
        <f t="shared" si="430"/>
        <v>0</v>
      </c>
      <c r="W2833" s="29">
        <f t="shared" si="431"/>
        <v>0</v>
      </c>
      <c r="X2833" s="30">
        <f t="shared" si="432"/>
        <v>0</v>
      </c>
      <c r="Y2833"/>
      <c r="Z2833"/>
      <c r="AA2833"/>
    </row>
    <row r="2834" spans="1:27" s="51" customFormat="1" ht="18.600000000000001" hidden="1" customHeight="1" x14ac:dyDescent="0.25">
      <c r="A2834" s="81" t="s">
        <v>2653</v>
      </c>
      <c r="B2834" s="31" t="s">
        <v>9370</v>
      </c>
      <c r="C2834" s="32" t="s">
        <v>9372</v>
      </c>
      <c r="D2834" s="31" t="s">
        <v>7216</v>
      </c>
      <c r="E2834" s="33" t="s">
        <v>7217</v>
      </c>
      <c r="F2834" s="33" t="s">
        <v>1937</v>
      </c>
      <c r="G2834" s="33" t="s">
        <v>9948</v>
      </c>
      <c r="H2834" s="84" t="s">
        <v>7218</v>
      </c>
      <c r="I2834" s="23" t="s">
        <v>24</v>
      </c>
      <c r="J2834" s="34">
        <v>500</v>
      </c>
      <c r="K2834" s="35">
        <v>0.25</v>
      </c>
      <c r="L2834" s="36">
        <f t="shared" si="424"/>
        <v>125</v>
      </c>
      <c r="M2834" s="37">
        <f t="shared" si="425"/>
        <v>375</v>
      </c>
      <c r="N2834" s="38">
        <v>0.16</v>
      </c>
      <c r="O2834" s="39">
        <f t="shared" si="426"/>
        <v>60</v>
      </c>
      <c r="P2834" s="40">
        <f t="shared" si="427"/>
        <v>435</v>
      </c>
      <c r="Q2834" s="23"/>
      <c r="R2834" s="56"/>
      <c r="S2834" s="57"/>
      <c r="T2834" s="58">
        <f t="shared" si="428"/>
        <v>0</v>
      </c>
      <c r="U2834" s="36">
        <f t="shared" si="429"/>
        <v>0</v>
      </c>
      <c r="V2834" s="59">
        <f t="shared" si="430"/>
        <v>0</v>
      </c>
      <c r="W2834" s="39">
        <f t="shared" si="431"/>
        <v>0</v>
      </c>
      <c r="X2834" s="40">
        <f t="shared" si="432"/>
        <v>0</v>
      </c>
      <c r="Y2834"/>
      <c r="Z2834"/>
      <c r="AA2834"/>
    </row>
    <row r="2835" spans="1:27" s="51" customFormat="1" ht="18.600000000000001" hidden="1" customHeight="1" x14ac:dyDescent="0.25">
      <c r="A2835" s="82" t="s">
        <v>2653</v>
      </c>
      <c r="B2835" s="41" t="s">
        <v>9370</v>
      </c>
      <c r="C2835" s="42" t="s">
        <v>9373</v>
      </c>
      <c r="D2835" s="41" t="s">
        <v>7219</v>
      </c>
      <c r="E2835" s="43" t="s">
        <v>7220</v>
      </c>
      <c r="F2835" s="43" t="s">
        <v>1937</v>
      </c>
      <c r="G2835" s="43"/>
      <c r="H2835" s="85" t="s">
        <v>7221</v>
      </c>
      <c r="I2835" s="23" t="s">
        <v>24</v>
      </c>
      <c r="J2835" s="44">
        <v>180</v>
      </c>
      <c r="K2835" s="45">
        <v>0.25</v>
      </c>
      <c r="L2835" s="46">
        <f t="shared" si="424"/>
        <v>45</v>
      </c>
      <c r="M2835" s="47">
        <f t="shared" si="425"/>
        <v>135</v>
      </c>
      <c r="N2835" s="48">
        <v>0.16</v>
      </c>
      <c r="O2835" s="49">
        <f t="shared" si="426"/>
        <v>21.6</v>
      </c>
      <c r="P2835" s="50">
        <f t="shared" si="427"/>
        <v>156.6</v>
      </c>
      <c r="Q2835" s="23"/>
      <c r="R2835" s="60"/>
      <c r="S2835" s="61"/>
      <c r="T2835" s="62">
        <f t="shared" si="428"/>
        <v>0</v>
      </c>
      <c r="U2835" s="46">
        <f t="shared" si="429"/>
        <v>0</v>
      </c>
      <c r="V2835" s="63">
        <f t="shared" si="430"/>
        <v>0</v>
      </c>
      <c r="W2835" s="49">
        <f t="shared" si="431"/>
        <v>0</v>
      </c>
      <c r="X2835" s="50">
        <f t="shared" si="432"/>
        <v>0</v>
      </c>
      <c r="Y2835"/>
      <c r="Z2835"/>
      <c r="AA2835"/>
    </row>
    <row r="2836" spans="1:27" s="51" customFormat="1" ht="18.600000000000001" hidden="1" customHeight="1" x14ac:dyDescent="0.25">
      <c r="A2836" s="80" t="s">
        <v>2653</v>
      </c>
      <c r="B2836" s="20" t="s">
        <v>9370</v>
      </c>
      <c r="C2836" s="21" t="s">
        <v>9372</v>
      </c>
      <c r="D2836" s="20" t="s">
        <v>7222</v>
      </c>
      <c r="E2836" s="22" t="s">
        <v>7223</v>
      </c>
      <c r="F2836" s="22" t="s">
        <v>1937</v>
      </c>
      <c r="G2836" s="22" t="s">
        <v>7224</v>
      </c>
      <c r="H2836" s="83" t="s">
        <v>7225</v>
      </c>
      <c r="I2836" s="23" t="s">
        <v>24</v>
      </c>
      <c r="J2836" s="24">
        <v>1400</v>
      </c>
      <c r="K2836" s="25">
        <v>0.25</v>
      </c>
      <c r="L2836" s="26">
        <f t="shared" si="424"/>
        <v>350</v>
      </c>
      <c r="M2836" s="27">
        <f t="shared" si="425"/>
        <v>1050</v>
      </c>
      <c r="N2836" s="28">
        <v>0.16</v>
      </c>
      <c r="O2836" s="29">
        <f t="shared" si="426"/>
        <v>168</v>
      </c>
      <c r="P2836" s="30">
        <f t="shared" si="427"/>
        <v>1218</v>
      </c>
      <c r="Q2836" s="23"/>
      <c r="R2836" s="52"/>
      <c r="S2836" s="53"/>
      <c r="T2836" s="54">
        <f t="shared" si="428"/>
        <v>0</v>
      </c>
      <c r="U2836" s="26">
        <f t="shared" si="429"/>
        <v>0</v>
      </c>
      <c r="V2836" s="55">
        <f t="shared" si="430"/>
        <v>0</v>
      </c>
      <c r="W2836" s="29">
        <f t="shared" si="431"/>
        <v>0</v>
      </c>
      <c r="X2836" s="30">
        <f t="shared" si="432"/>
        <v>0</v>
      </c>
      <c r="Y2836"/>
      <c r="Z2836"/>
      <c r="AA2836"/>
    </row>
    <row r="2837" spans="1:27" s="51" customFormat="1" ht="18.600000000000001" hidden="1" customHeight="1" x14ac:dyDescent="0.25">
      <c r="A2837" s="81" t="s">
        <v>2653</v>
      </c>
      <c r="B2837" s="31" t="s">
        <v>9370</v>
      </c>
      <c r="C2837" s="32" t="s">
        <v>9321</v>
      </c>
      <c r="D2837" s="31" t="s">
        <v>7226</v>
      </c>
      <c r="E2837" s="33" t="s">
        <v>7227</v>
      </c>
      <c r="F2837" s="33" t="s">
        <v>1937</v>
      </c>
      <c r="G2837" s="33" t="s">
        <v>2655</v>
      </c>
      <c r="H2837" s="84" t="s">
        <v>7228</v>
      </c>
      <c r="I2837" s="23" t="s">
        <v>24</v>
      </c>
      <c r="J2837" s="34">
        <v>155</v>
      </c>
      <c r="K2837" s="35">
        <v>0.25</v>
      </c>
      <c r="L2837" s="36">
        <f t="shared" si="424"/>
        <v>38.75</v>
      </c>
      <c r="M2837" s="37">
        <f t="shared" si="425"/>
        <v>116.25</v>
      </c>
      <c r="N2837" s="38">
        <v>0.16</v>
      </c>
      <c r="O2837" s="39">
        <f t="shared" si="426"/>
        <v>18.600000000000001</v>
      </c>
      <c r="P2837" s="40">
        <f t="shared" si="427"/>
        <v>134.85</v>
      </c>
      <c r="Q2837" s="23"/>
      <c r="R2837" s="56"/>
      <c r="S2837" s="57"/>
      <c r="T2837" s="58">
        <f t="shared" si="428"/>
        <v>0</v>
      </c>
      <c r="U2837" s="36">
        <f t="shared" si="429"/>
        <v>0</v>
      </c>
      <c r="V2837" s="59">
        <f t="shared" si="430"/>
        <v>0</v>
      </c>
      <c r="W2837" s="39">
        <f t="shared" si="431"/>
        <v>0</v>
      </c>
      <c r="X2837" s="40">
        <f t="shared" si="432"/>
        <v>0</v>
      </c>
      <c r="Y2837"/>
      <c r="Z2837"/>
      <c r="AA2837"/>
    </row>
    <row r="2838" spans="1:27" s="51" customFormat="1" ht="18.600000000000001" hidden="1" customHeight="1" x14ac:dyDescent="0.25">
      <c r="A2838" s="82" t="s">
        <v>2653</v>
      </c>
      <c r="B2838" s="41" t="s">
        <v>9370</v>
      </c>
      <c r="C2838" s="42" t="s">
        <v>9321</v>
      </c>
      <c r="D2838" s="41" t="s">
        <v>7229</v>
      </c>
      <c r="E2838" s="43" t="s">
        <v>7230</v>
      </c>
      <c r="F2838" s="43" t="s">
        <v>1937</v>
      </c>
      <c r="G2838" s="43" t="s">
        <v>2655</v>
      </c>
      <c r="H2838" s="85" t="s">
        <v>7231</v>
      </c>
      <c r="I2838" s="23" t="s">
        <v>24</v>
      </c>
      <c r="J2838" s="44">
        <v>155</v>
      </c>
      <c r="K2838" s="45">
        <v>0.25</v>
      </c>
      <c r="L2838" s="46">
        <f t="shared" si="424"/>
        <v>38.75</v>
      </c>
      <c r="M2838" s="47">
        <f t="shared" si="425"/>
        <v>116.25</v>
      </c>
      <c r="N2838" s="48">
        <v>0.16</v>
      </c>
      <c r="O2838" s="49">
        <f t="shared" si="426"/>
        <v>18.600000000000001</v>
      </c>
      <c r="P2838" s="50">
        <f t="shared" si="427"/>
        <v>134.85</v>
      </c>
      <c r="Q2838" s="23"/>
      <c r="R2838" s="60"/>
      <c r="S2838" s="61"/>
      <c r="T2838" s="62">
        <f t="shared" si="428"/>
        <v>0</v>
      </c>
      <c r="U2838" s="46">
        <f t="shared" si="429"/>
        <v>0</v>
      </c>
      <c r="V2838" s="63">
        <f t="shared" si="430"/>
        <v>0</v>
      </c>
      <c r="W2838" s="49">
        <f t="shared" si="431"/>
        <v>0</v>
      </c>
      <c r="X2838" s="50">
        <f t="shared" si="432"/>
        <v>0</v>
      </c>
      <c r="Y2838"/>
      <c r="Z2838"/>
      <c r="AA2838"/>
    </row>
    <row r="2839" spans="1:27" s="51" customFormat="1" ht="18.600000000000001" hidden="1" customHeight="1" x14ac:dyDescent="0.25">
      <c r="A2839" s="80" t="s">
        <v>2653</v>
      </c>
      <c r="B2839" s="20" t="s">
        <v>9370</v>
      </c>
      <c r="C2839" s="21" t="s">
        <v>9374</v>
      </c>
      <c r="D2839" s="20" t="s">
        <v>7232</v>
      </c>
      <c r="E2839" s="22" t="s">
        <v>7233</v>
      </c>
      <c r="F2839" s="22" t="s">
        <v>1937</v>
      </c>
      <c r="G2839" s="22"/>
      <c r="H2839" s="83" t="s">
        <v>7234</v>
      </c>
      <c r="I2839" s="23" t="s">
        <v>24</v>
      </c>
      <c r="J2839" s="24">
        <v>75</v>
      </c>
      <c r="K2839" s="25">
        <v>0.25</v>
      </c>
      <c r="L2839" s="26">
        <f t="shared" si="424"/>
        <v>18.75</v>
      </c>
      <c r="M2839" s="27">
        <f t="shared" si="425"/>
        <v>56.25</v>
      </c>
      <c r="N2839" s="28">
        <v>0.16</v>
      </c>
      <c r="O2839" s="29">
        <f t="shared" si="426"/>
        <v>9</v>
      </c>
      <c r="P2839" s="30">
        <f t="shared" si="427"/>
        <v>65.25</v>
      </c>
      <c r="Q2839" s="23"/>
      <c r="R2839" s="52"/>
      <c r="S2839" s="53"/>
      <c r="T2839" s="54">
        <f t="shared" si="428"/>
        <v>0</v>
      </c>
      <c r="U2839" s="26">
        <f t="shared" si="429"/>
        <v>0</v>
      </c>
      <c r="V2839" s="55">
        <f t="shared" si="430"/>
        <v>0</v>
      </c>
      <c r="W2839" s="29">
        <f t="shared" si="431"/>
        <v>0</v>
      </c>
      <c r="X2839" s="30">
        <f t="shared" si="432"/>
        <v>0</v>
      </c>
      <c r="Y2839"/>
      <c r="Z2839"/>
      <c r="AA2839"/>
    </row>
    <row r="2840" spans="1:27" s="51" customFormat="1" ht="18.600000000000001" hidden="1" customHeight="1" x14ac:dyDescent="0.25">
      <c r="A2840" s="81" t="s">
        <v>2653</v>
      </c>
      <c r="B2840" s="31" t="s">
        <v>9370</v>
      </c>
      <c r="C2840" s="32" t="s">
        <v>9374</v>
      </c>
      <c r="D2840" s="31" t="s">
        <v>7235</v>
      </c>
      <c r="E2840" s="33" t="s">
        <v>7236</v>
      </c>
      <c r="F2840" s="33" t="s">
        <v>1937</v>
      </c>
      <c r="G2840" s="33"/>
      <c r="H2840" s="84" t="s">
        <v>7237</v>
      </c>
      <c r="I2840" s="23" t="s">
        <v>24</v>
      </c>
      <c r="J2840" s="34">
        <v>90</v>
      </c>
      <c r="K2840" s="35">
        <v>0.25</v>
      </c>
      <c r="L2840" s="36">
        <f t="shared" si="424"/>
        <v>22.5</v>
      </c>
      <c r="M2840" s="37">
        <f t="shared" si="425"/>
        <v>67.5</v>
      </c>
      <c r="N2840" s="38">
        <v>0.16</v>
      </c>
      <c r="O2840" s="39">
        <f t="shared" si="426"/>
        <v>10.8</v>
      </c>
      <c r="P2840" s="40">
        <f t="shared" si="427"/>
        <v>78.3</v>
      </c>
      <c r="Q2840" s="23"/>
      <c r="R2840" s="56"/>
      <c r="S2840" s="57"/>
      <c r="T2840" s="58">
        <f t="shared" si="428"/>
        <v>0</v>
      </c>
      <c r="U2840" s="36">
        <f t="shared" si="429"/>
        <v>0</v>
      </c>
      <c r="V2840" s="59">
        <f t="shared" si="430"/>
        <v>0</v>
      </c>
      <c r="W2840" s="39">
        <f t="shared" si="431"/>
        <v>0</v>
      </c>
      <c r="X2840" s="40">
        <f t="shared" si="432"/>
        <v>0</v>
      </c>
      <c r="Y2840"/>
      <c r="Z2840"/>
      <c r="AA2840"/>
    </row>
    <row r="2841" spans="1:27" s="51" customFormat="1" ht="18.600000000000001" hidden="1" customHeight="1" x14ac:dyDescent="0.25">
      <c r="A2841" s="82" t="s">
        <v>2653</v>
      </c>
      <c r="B2841" s="41" t="s">
        <v>9370</v>
      </c>
      <c r="C2841" s="42" t="s">
        <v>9375</v>
      </c>
      <c r="D2841" s="41" t="s">
        <v>7238</v>
      </c>
      <c r="E2841" s="43" t="s">
        <v>7239</v>
      </c>
      <c r="F2841" s="43" t="s">
        <v>1937</v>
      </c>
      <c r="G2841" s="43"/>
      <c r="H2841" s="85" t="s">
        <v>7240</v>
      </c>
      <c r="I2841" s="23" t="s">
        <v>24</v>
      </c>
      <c r="J2841" s="44">
        <v>95</v>
      </c>
      <c r="K2841" s="45">
        <v>0.25</v>
      </c>
      <c r="L2841" s="46">
        <f t="shared" si="424"/>
        <v>23.75</v>
      </c>
      <c r="M2841" s="47">
        <f t="shared" si="425"/>
        <v>71.25</v>
      </c>
      <c r="N2841" s="48">
        <v>0.16</v>
      </c>
      <c r="O2841" s="49">
        <f t="shared" si="426"/>
        <v>11.4</v>
      </c>
      <c r="P2841" s="50">
        <f t="shared" si="427"/>
        <v>82.65</v>
      </c>
      <c r="Q2841" s="23"/>
      <c r="R2841" s="60"/>
      <c r="S2841" s="61"/>
      <c r="T2841" s="62">
        <f t="shared" si="428"/>
        <v>0</v>
      </c>
      <c r="U2841" s="46">
        <f t="shared" si="429"/>
        <v>0</v>
      </c>
      <c r="V2841" s="63">
        <f t="shared" si="430"/>
        <v>0</v>
      </c>
      <c r="W2841" s="49">
        <f t="shared" si="431"/>
        <v>0</v>
      </c>
      <c r="X2841" s="50">
        <f t="shared" si="432"/>
        <v>0</v>
      </c>
      <c r="Y2841"/>
      <c r="Z2841"/>
      <c r="AA2841"/>
    </row>
    <row r="2842" spans="1:27" s="51" customFormat="1" ht="18.600000000000001" hidden="1" customHeight="1" x14ac:dyDescent="0.25">
      <c r="A2842" s="80" t="s">
        <v>2653</v>
      </c>
      <c r="B2842" s="20" t="s">
        <v>9370</v>
      </c>
      <c r="C2842" s="21" t="s">
        <v>9375</v>
      </c>
      <c r="D2842" s="20" t="s">
        <v>7241</v>
      </c>
      <c r="E2842" s="22" t="s">
        <v>7242</v>
      </c>
      <c r="F2842" s="22" t="s">
        <v>1937</v>
      </c>
      <c r="G2842" s="22"/>
      <c r="H2842" s="83" t="s">
        <v>7243</v>
      </c>
      <c r="I2842" s="23" t="s">
        <v>24</v>
      </c>
      <c r="J2842" s="24">
        <v>100</v>
      </c>
      <c r="K2842" s="25">
        <v>0.25</v>
      </c>
      <c r="L2842" s="26">
        <f t="shared" si="424"/>
        <v>25</v>
      </c>
      <c r="M2842" s="27">
        <f t="shared" si="425"/>
        <v>75</v>
      </c>
      <c r="N2842" s="28">
        <v>0.16</v>
      </c>
      <c r="O2842" s="29">
        <f t="shared" si="426"/>
        <v>12</v>
      </c>
      <c r="P2842" s="30">
        <f t="shared" si="427"/>
        <v>87</v>
      </c>
      <c r="Q2842" s="23"/>
      <c r="R2842" s="52"/>
      <c r="S2842" s="53"/>
      <c r="T2842" s="54">
        <f t="shared" si="428"/>
        <v>0</v>
      </c>
      <c r="U2842" s="26">
        <f t="shared" si="429"/>
        <v>0</v>
      </c>
      <c r="V2842" s="55">
        <f t="shared" si="430"/>
        <v>0</v>
      </c>
      <c r="W2842" s="29">
        <f t="shared" si="431"/>
        <v>0</v>
      </c>
      <c r="X2842" s="30">
        <f t="shared" si="432"/>
        <v>0</v>
      </c>
      <c r="Y2842"/>
      <c r="Z2842"/>
      <c r="AA2842"/>
    </row>
    <row r="2843" spans="1:27" s="51" customFormat="1" ht="18.600000000000001" hidden="1" customHeight="1" x14ac:dyDescent="0.25">
      <c r="A2843" s="81" t="s">
        <v>2653</v>
      </c>
      <c r="B2843" s="31" t="s">
        <v>9370</v>
      </c>
      <c r="C2843" s="32" t="s">
        <v>9375</v>
      </c>
      <c r="D2843" s="31" t="s">
        <v>7244</v>
      </c>
      <c r="E2843" s="33" t="s">
        <v>7245</v>
      </c>
      <c r="F2843" s="33" t="s">
        <v>1937</v>
      </c>
      <c r="G2843" s="33"/>
      <c r="H2843" s="84" t="s">
        <v>7246</v>
      </c>
      <c r="I2843" s="23" t="s">
        <v>24</v>
      </c>
      <c r="J2843" s="34">
        <v>105</v>
      </c>
      <c r="K2843" s="35">
        <v>0.25</v>
      </c>
      <c r="L2843" s="36">
        <f t="shared" si="424"/>
        <v>26.25</v>
      </c>
      <c r="M2843" s="37">
        <f t="shared" si="425"/>
        <v>78.75</v>
      </c>
      <c r="N2843" s="38">
        <v>0.16</v>
      </c>
      <c r="O2843" s="39">
        <f t="shared" si="426"/>
        <v>12.6</v>
      </c>
      <c r="P2843" s="40">
        <f t="shared" si="427"/>
        <v>91.35</v>
      </c>
      <c r="Q2843" s="23"/>
      <c r="R2843" s="56"/>
      <c r="S2843" s="57"/>
      <c r="T2843" s="58">
        <f t="shared" si="428"/>
        <v>0</v>
      </c>
      <c r="U2843" s="36">
        <f t="shared" si="429"/>
        <v>0</v>
      </c>
      <c r="V2843" s="59">
        <f t="shared" si="430"/>
        <v>0</v>
      </c>
      <c r="W2843" s="39">
        <f t="shared" si="431"/>
        <v>0</v>
      </c>
      <c r="X2843" s="40">
        <f t="shared" si="432"/>
        <v>0</v>
      </c>
      <c r="Y2843"/>
      <c r="Z2843"/>
      <c r="AA2843"/>
    </row>
    <row r="2844" spans="1:27" s="51" customFormat="1" ht="18.600000000000001" hidden="1" customHeight="1" x14ac:dyDescent="0.25">
      <c r="A2844" s="82" t="s">
        <v>2653</v>
      </c>
      <c r="B2844" s="41" t="s">
        <v>9370</v>
      </c>
      <c r="C2844" s="42" t="s">
        <v>9376</v>
      </c>
      <c r="D2844" s="41" t="s">
        <v>7247</v>
      </c>
      <c r="E2844" s="43" t="s">
        <v>7248</v>
      </c>
      <c r="F2844" s="43" t="s">
        <v>1937</v>
      </c>
      <c r="G2844" s="43"/>
      <c r="H2844" s="85" t="s">
        <v>7249</v>
      </c>
      <c r="I2844" s="23" t="s">
        <v>24</v>
      </c>
      <c r="J2844" s="44">
        <v>75</v>
      </c>
      <c r="K2844" s="45">
        <v>0.25</v>
      </c>
      <c r="L2844" s="46">
        <f t="shared" si="424"/>
        <v>18.75</v>
      </c>
      <c r="M2844" s="47">
        <f t="shared" si="425"/>
        <v>56.25</v>
      </c>
      <c r="N2844" s="48">
        <v>0.16</v>
      </c>
      <c r="O2844" s="49">
        <f t="shared" si="426"/>
        <v>9</v>
      </c>
      <c r="P2844" s="50">
        <f t="shared" si="427"/>
        <v>65.25</v>
      </c>
      <c r="Q2844" s="23"/>
      <c r="R2844" s="60"/>
      <c r="S2844" s="61"/>
      <c r="T2844" s="62">
        <f t="shared" si="428"/>
        <v>0</v>
      </c>
      <c r="U2844" s="46">
        <f t="shared" si="429"/>
        <v>0</v>
      </c>
      <c r="V2844" s="63">
        <f t="shared" si="430"/>
        <v>0</v>
      </c>
      <c r="W2844" s="49">
        <f t="shared" si="431"/>
        <v>0</v>
      </c>
      <c r="X2844" s="50">
        <f t="shared" si="432"/>
        <v>0</v>
      </c>
      <c r="Y2844"/>
      <c r="Z2844"/>
      <c r="AA2844"/>
    </row>
    <row r="2845" spans="1:27" s="51" customFormat="1" ht="18.600000000000001" hidden="1" customHeight="1" x14ac:dyDescent="0.25">
      <c r="A2845" s="80" t="s">
        <v>2653</v>
      </c>
      <c r="B2845" s="20" t="s">
        <v>9370</v>
      </c>
      <c r="C2845" s="21" t="s">
        <v>9376</v>
      </c>
      <c r="D2845" s="20" t="s">
        <v>7250</v>
      </c>
      <c r="E2845" s="22" t="s">
        <v>7251</v>
      </c>
      <c r="F2845" s="22" t="s">
        <v>1937</v>
      </c>
      <c r="G2845" s="22"/>
      <c r="H2845" s="83" t="s">
        <v>7252</v>
      </c>
      <c r="I2845" s="23" t="s">
        <v>24</v>
      </c>
      <c r="J2845" s="24">
        <v>95</v>
      </c>
      <c r="K2845" s="25">
        <v>0.25</v>
      </c>
      <c r="L2845" s="26">
        <f t="shared" si="424"/>
        <v>23.75</v>
      </c>
      <c r="M2845" s="27">
        <f t="shared" si="425"/>
        <v>71.25</v>
      </c>
      <c r="N2845" s="28">
        <v>0.16</v>
      </c>
      <c r="O2845" s="29">
        <f t="shared" si="426"/>
        <v>11.4</v>
      </c>
      <c r="P2845" s="30">
        <f t="shared" si="427"/>
        <v>82.65</v>
      </c>
      <c r="Q2845" s="23"/>
      <c r="R2845" s="52"/>
      <c r="S2845" s="53"/>
      <c r="T2845" s="54">
        <f t="shared" si="428"/>
        <v>0</v>
      </c>
      <c r="U2845" s="26">
        <f t="shared" si="429"/>
        <v>0</v>
      </c>
      <c r="V2845" s="55">
        <f t="shared" si="430"/>
        <v>0</v>
      </c>
      <c r="W2845" s="29">
        <f t="shared" si="431"/>
        <v>0</v>
      </c>
      <c r="X2845" s="30">
        <f t="shared" si="432"/>
        <v>0</v>
      </c>
      <c r="Y2845"/>
      <c r="Z2845"/>
      <c r="AA2845"/>
    </row>
    <row r="2846" spans="1:27" s="51" customFormat="1" ht="18.600000000000001" hidden="1" customHeight="1" x14ac:dyDescent="0.25">
      <c r="A2846" s="81" t="s">
        <v>2653</v>
      </c>
      <c r="B2846" s="31" t="s">
        <v>9370</v>
      </c>
      <c r="C2846" s="32" t="s">
        <v>9376</v>
      </c>
      <c r="D2846" s="31" t="s">
        <v>7253</v>
      </c>
      <c r="E2846" s="33" t="s">
        <v>7254</v>
      </c>
      <c r="F2846" s="33" t="s">
        <v>1937</v>
      </c>
      <c r="G2846" s="33"/>
      <c r="H2846" s="84" t="s">
        <v>7255</v>
      </c>
      <c r="I2846" s="23" t="s">
        <v>24</v>
      </c>
      <c r="J2846" s="34">
        <v>85</v>
      </c>
      <c r="K2846" s="35">
        <v>0.25</v>
      </c>
      <c r="L2846" s="36">
        <f t="shared" si="424"/>
        <v>21.25</v>
      </c>
      <c r="M2846" s="37">
        <f t="shared" si="425"/>
        <v>63.75</v>
      </c>
      <c r="N2846" s="38">
        <v>0.16</v>
      </c>
      <c r="O2846" s="39">
        <f t="shared" si="426"/>
        <v>10.200000000000001</v>
      </c>
      <c r="P2846" s="40">
        <f t="shared" si="427"/>
        <v>73.95</v>
      </c>
      <c r="Q2846" s="23"/>
      <c r="R2846" s="56"/>
      <c r="S2846" s="57"/>
      <c r="T2846" s="58">
        <f t="shared" si="428"/>
        <v>0</v>
      </c>
      <c r="U2846" s="36">
        <f t="shared" si="429"/>
        <v>0</v>
      </c>
      <c r="V2846" s="59">
        <f t="shared" si="430"/>
        <v>0</v>
      </c>
      <c r="W2846" s="39">
        <f t="shared" si="431"/>
        <v>0</v>
      </c>
      <c r="X2846" s="40">
        <f t="shared" si="432"/>
        <v>0</v>
      </c>
      <c r="Y2846"/>
      <c r="Z2846"/>
      <c r="AA2846"/>
    </row>
    <row r="2847" spans="1:27" s="51" customFormat="1" ht="18.600000000000001" hidden="1" customHeight="1" x14ac:dyDescent="0.25">
      <c r="A2847" s="82" t="s">
        <v>2653</v>
      </c>
      <c r="B2847" s="41" t="s">
        <v>9370</v>
      </c>
      <c r="C2847" s="42" t="s">
        <v>9376</v>
      </c>
      <c r="D2847" s="41" t="s">
        <v>7256</v>
      </c>
      <c r="E2847" s="43" t="s">
        <v>7257</v>
      </c>
      <c r="F2847" s="43" t="s">
        <v>1937</v>
      </c>
      <c r="G2847" s="43"/>
      <c r="H2847" s="85" t="s">
        <v>7258</v>
      </c>
      <c r="I2847" s="23" t="s">
        <v>24</v>
      </c>
      <c r="J2847" s="44">
        <v>85</v>
      </c>
      <c r="K2847" s="45">
        <v>0.25</v>
      </c>
      <c r="L2847" s="46">
        <f t="shared" si="424"/>
        <v>21.25</v>
      </c>
      <c r="M2847" s="47">
        <f t="shared" si="425"/>
        <v>63.75</v>
      </c>
      <c r="N2847" s="48">
        <v>0.16</v>
      </c>
      <c r="O2847" s="49">
        <f t="shared" si="426"/>
        <v>10.200000000000001</v>
      </c>
      <c r="P2847" s="50">
        <f t="shared" si="427"/>
        <v>73.95</v>
      </c>
      <c r="Q2847" s="23"/>
      <c r="R2847" s="60"/>
      <c r="S2847" s="61"/>
      <c r="T2847" s="62">
        <f t="shared" si="428"/>
        <v>0</v>
      </c>
      <c r="U2847" s="46">
        <f t="shared" si="429"/>
        <v>0</v>
      </c>
      <c r="V2847" s="63">
        <f t="shared" si="430"/>
        <v>0</v>
      </c>
      <c r="W2847" s="49">
        <f t="shared" si="431"/>
        <v>0</v>
      </c>
      <c r="X2847" s="50">
        <f t="shared" si="432"/>
        <v>0</v>
      </c>
      <c r="Y2847"/>
      <c r="Z2847"/>
      <c r="AA2847"/>
    </row>
    <row r="2848" spans="1:27" s="51" customFormat="1" ht="18.600000000000001" hidden="1" customHeight="1" x14ac:dyDescent="0.25">
      <c r="A2848" s="80" t="s">
        <v>2653</v>
      </c>
      <c r="B2848" s="20" t="s">
        <v>9370</v>
      </c>
      <c r="C2848" s="21" t="s">
        <v>9376</v>
      </c>
      <c r="D2848" s="20" t="s">
        <v>7259</v>
      </c>
      <c r="E2848" s="22" t="s">
        <v>7260</v>
      </c>
      <c r="F2848" s="22" t="s">
        <v>1937</v>
      </c>
      <c r="G2848" s="22"/>
      <c r="H2848" s="83" t="s">
        <v>7261</v>
      </c>
      <c r="I2848" s="23" t="s">
        <v>24</v>
      </c>
      <c r="J2848" s="24">
        <v>85</v>
      </c>
      <c r="K2848" s="25">
        <v>0.25</v>
      </c>
      <c r="L2848" s="26">
        <f t="shared" si="424"/>
        <v>21.25</v>
      </c>
      <c r="M2848" s="27">
        <f t="shared" si="425"/>
        <v>63.75</v>
      </c>
      <c r="N2848" s="28">
        <v>0.16</v>
      </c>
      <c r="O2848" s="29">
        <f t="shared" si="426"/>
        <v>10.200000000000001</v>
      </c>
      <c r="P2848" s="30">
        <f t="shared" si="427"/>
        <v>73.95</v>
      </c>
      <c r="Q2848" s="23"/>
      <c r="R2848" s="52"/>
      <c r="S2848" s="53"/>
      <c r="T2848" s="54">
        <f t="shared" si="428"/>
        <v>0</v>
      </c>
      <c r="U2848" s="26">
        <f t="shared" si="429"/>
        <v>0</v>
      </c>
      <c r="V2848" s="55">
        <f t="shared" si="430"/>
        <v>0</v>
      </c>
      <c r="W2848" s="29">
        <f t="shared" si="431"/>
        <v>0</v>
      </c>
      <c r="X2848" s="30">
        <f t="shared" si="432"/>
        <v>0</v>
      </c>
      <c r="Y2848"/>
      <c r="Z2848"/>
      <c r="AA2848"/>
    </row>
    <row r="2849" spans="1:27" s="51" customFormat="1" ht="18.600000000000001" hidden="1" customHeight="1" x14ac:dyDescent="0.25">
      <c r="A2849" s="81" t="s">
        <v>2653</v>
      </c>
      <c r="B2849" s="31" t="s">
        <v>9370</v>
      </c>
      <c r="C2849" s="32" t="s">
        <v>9377</v>
      </c>
      <c r="D2849" s="31" t="s">
        <v>7262</v>
      </c>
      <c r="E2849" s="33" t="s">
        <v>9572</v>
      </c>
      <c r="F2849" s="33" t="s">
        <v>1937</v>
      </c>
      <c r="G2849" s="33"/>
      <c r="H2849" s="84" t="s">
        <v>7263</v>
      </c>
      <c r="I2849" s="23" t="s">
        <v>24</v>
      </c>
      <c r="J2849" s="34">
        <v>450</v>
      </c>
      <c r="K2849" s="35">
        <v>0.25</v>
      </c>
      <c r="L2849" s="36">
        <f t="shared" si="424"/>
        <v>112.5</v>
      </c>
      <c r="M2849" s="37">
        <f t="shared" si="425"/>
        <v>337.5</v>
      </c>
      <c r="N2849" s="38">
        <v>0.16</v>
      </c>
      <c r="O2849" s="39">
        <f t="shared" si="426"/>
        <v>54</v>
      </c>
      <c r="P2849" s="40">
        <f t="shared" si="427"/>
        <v>391.5</v>
      </c>
      <c r="Q2849" s="23"/>
      <c r="R2849" s="56"/>
      <c r="S2849" s="57"/>
      <c r="T2849" s="58">
        <f t="shared" si="428"/>
        <v>0</v>
      </c>
      <c r="U2849" s="36">
        <f t="shared" si="429"/>
        <v>0</v>
      </c>
      <c r="V2849" s="59">
        <f t="shared" si="430"/>
        <v>0</v>
      </c>
      <c r="W2849" s="39">
        <f t="shared" si="431"/>
        <v>0</v>
      </c>
      <c r="X2849" s="40">
        <f t="shared" si="432"/>
        <v>0</v>
      </c>
      <c r="Y2849"/>
      <c r="Z2849"/>
      <c r="AA2849"/>
    </row>
    <row r="2850" spans="1:27" s="51" customFormat="1" ht="18.600000000000001" hidden="1" customHeight="1" x14ac:dyDescent="0.25">
      <c r="A2850" s="82" t="s">
        <v>2653</v>
      </c>
      <c r="B2850" s="41" t="s">
        <v>9370</v>
      </c>
      <c r="C2850" s="42" t="s">
        <v>9377</v>
      </c>
      <c r="D2850" s="41" t="s">
        <v>7264</v>
      </c>
      <c r="E2850" s="43" t="s">
        <v>9573</v>
      </c>
      <c r="F2850" s="43" t="s">
        <v>1937</v>
      </c>
      <c r="G2850" s="43"/>
      <c r="H2850" s="85" t="s">
        <v>7265</v>
      </c>
      <c r="I2850" s="23" t="s">
        <v>24</v>
      </c>
      <c r="J2850" s="44">
        <v>500</v>
      </c>
      <c r="K2850" s="45">
        <v>0.25</v>
      </c>
      <c r="L2850" s="46">
        <f t="shared" si="424"/>
        <v>125</v>
      </c>
      <c r="M2850" s="47">
        <f t="shared" si="425"/>
        <v>375</v>
      </c>
      <c r="N2850" s="48">
        <v>0.16</v>
      </c>
      <c r="O2850" s="49">
        <f t="shared" si="426"/>
        <v>60</v>
      </c>
      <c r="P2850" s="50">
        <f t="shared" si="427"/>
        <v>435</v>
      </c>
      <c r="Q2850" s="23"/>
      <c r="R2850" s="60"/>
      <c r="S2850" s="61"/>
      <c r="T2850" s="62">
        <f t="shared" si="428"/>
        <v>0</v>
      </c>
      <c r="U2850" s="46">
        <f t="shared" si="429"/>
        <v>0</v>
      </c>
      <c r="V2850" s="63">
        <f t="shared" si="430"/>
        <v>0</v>
      </c>
      <c r="W2850" s="49">
        <f t="shared" si="431"/>
        <v>0</v>
      </c>
      <c r="X2850" s="50">
        <f t="shared" si="432"/>
        <v>0</v>
      </c>
      <c r="Y2850"/>
      <c r="Z2850"/>
      <c r="AA2850"/>
    </row>
    <row r="2851" spans="1:27" s="51" customFormat="1" ht="18.600000000000001" hidden="1" customHeight="1" x14ac:dyDescent="0.25">
      <c r="A2851" s="80" t="s">
        <v>2653</v>
      </c>
      <c r="B2851" s="20" t="s">
        <v>9370</v>
      </c>
      <c r="C2851" s="21" t="s">
        <v>9377</v>
      </c>
      <c r="D2851" s="20">
        <v>8436564921376</v>
      </c>
      <c r="E2851" s="22" t="s">
        <v>7266</v>
      </c>
      <c r="F2851" s="22" t="s">
        <v>1937</v>
      </c>
      <c r="G2851" s="22"/>
      <c r="H2851" s="83" t="s">
        <v>9699</v>
      </c>
      <c r="I2851" s="23" t="s">
        <v>24</v>
      </c>
      <c r="J2851" s="24">
        <v>420</v>
      </c>
      <c r="K2851" s="25">
        <v>0.25</v>
      </c>
      <c r="L2851" s="26">
        <f t="shared" si="424"/>
        <v>105</v>
      </c>
      <c r="M2851" s="27">
        <f t="shared" si="425"/>
        <v>315</v>
      </c>
      <c r="N2851" s="28">
        <v>0.16</v>
      </c>
      <c r="O2851" s="29">
        <f t="shared" si="426"/>
        <v>50.4</v>
      </c>
      <c r="P2851" s="30">
        <f t="shared" si="427"/>
        <v>365.4</v>
      </c>
      <c r="Q2851" s="23"/>
      <c r="R2851" s="52"/>
      <c r="S2851" s="53"/>
      <c r="T2851" s="54">
        <f t="shared" si="428"/>
        <v>0</v>
      </c>
      <c r="U2851" s="26">
        <f t="shared" si="429"/>
        <v>0</v>
      </c>
      <c r="V2851" s="55">
        <f t="shared" si="430"/>
        <v>0</v>
      </c>
      <c r="W2851" s="29">
        <f t="shared" si="431"/>
        <v>0</v>
      </c>
      <c r="X2851" s="30">
        <f t="shared" si="432"/>
        <v>0</v>
      </c>
      <c r="Y2851"/>
      <c r="Z2851"/>
      <c r="AA2851"/>
    </row>
    <row r="2852" spans="1:27" s="51" customFormat="1" ht="18.600000000000001" hidden="1" customHeight="1" x14ac:dyDescent="0.25">
      <c r="A2852" s="81" t="s">
        <v>2653</v>
      </c>
      <c r="B2852" s="31" t="s">
        <v>9370</v>
      </c>
      <c r="C2852" s="32" t="s">
        <v>9377</v>
      </c>
      <c r="D2852" s="31">
        <v>8436564921369</v>
      </c>
      <c r="E2852" s="33" t="s">
        <v>7267</v>
      </c>
      <c r="F2852" s="33" t="s">
        <v>1937</v>
      </c>
      <c r="G2852" s="33"/>
      <c r="H2852" s="84" t="s">
        <v>9700</v>
      </c>
      <c r="I2852" s="23" t="s">
        <v>24</v>
      </c>
      <c r="J2852" s="34">
        <v>390</v>
      </c>
      <c r="K2852" s="35">
        <v>0.25</v>
      </c>
      <c r="L2852" s="36">
        <f t="shared" si="424"/>
        <v>97.5</v>
      </c>
      <c r="M2852" s="37">
        <f t="shared" si="425"/>
        <v>292.5</v>
      </c>
      <c r="N2852" s="38">
        <v>0.16</v>
      </c>
      <c r="O2852" s="39">
        <f t="shared" si="426"/>
        <v>46.800000000000004</v>
      </c>
      <c r="P2852" s="40">
        <f t="shared" si="427"/>
        <v>339.3</v>
      </c>
      <c r="Q2852" s="23"/>
      <c r="R2852" s="56"/>
      <c r="S2852" s="57"/>
      <c r="T2852" s="58">
        <f t="shared" si="428"/>
        <v>0</v>
      </c>
      <c r="U2852" s="36">
        <f t="shared" si="429"/>
        <v>0</v>
      </c>
      <c r="V2852" s="59">
        <f t="shared" si="430"/>
        <v>0</v>
      </c>
      <c r="W2852" s="39">
        <f t="shared" si="431"/>
        <v>0</v>
      </c>
      <c r="X2852" s="40">
        <f t="shared" si="432"/>
        <v>0</v>
      </c>
      <c r="Y2852"/>
      <c r="Z2852"/>
      <c r="AA2852"/>
    </row>
    <row r="2853" spans="1:27" s="51" customFormat="1" ht="18.600000000000001" hidden="1" customHeight="1" x14ac:dyDescent="0.25">
      <c r="A2853" s="82" t="s">
        <v>2653</v>
      </c>
      <c r="B2853" s="41" t="s">
        <v>9370</v>
      </c>
      <c r="C2853" s="42" t="s">
        <v>9377</v>
      </c>
      <c r="D2853" s="41">
        <v>8436564921383</v>
      </c>
      <c r="E2853" s="43" t="s">
        <v>7268</v>
      </c>
      <c r="F2853" s="43" t="s">
        <v>1937</v>
      </c>
      <c r="G2853" s="43"/>
      <c r="H2853" s="85" t="s">
        <v>9701</v>
      </c>
      <c r="I2853" s="23" t="s">
        <v>24</v>
      </c>
      <c r="J2853" s="44">
        <v>460</v>
      </c>
      <c r="K2853" s="45">
        <v>0.25</v>
      </c>
      <c r="L2853" s="46">
        <f t="shared" si="424"/>
        <v>115</v>
      </c>
      <c r="M2853" s="47">
        <f t="shared" si="425"/>
        <v>345</v>
      </c>
      <c r="N2853" s="48">
        <v>0.16</v>
      </c>
      <c r="O2853" s="49">
        <f t="shared" si="426"/>
        <v>55.2</v>
      </c>
      <c r="P2853" s="50">
        <f t="shared" si="427"/>
        <v>400.2</v>
      </c>
      <c r="Q2853" s="23"/>
      <c r="R2853" s="60"/>
      <c r="S2853" s="61"/>
      <c r="T2853" s="62">
        <f t="shared" si="428"/>
        <v>0</v>
      </c>
      <c r="U2853" s="46">
        <f t="shared" si="429"/>
        <v>0</v>
      </c>
      <c r="V2853" s="63">
        <f t="shared" si="430"/>
        <v>0</v>
      </c>
      <c r="W2853" s="49">
        <f t="shared" si="431"/>
        <v>0</v>
      </c>
      <c r="X2853" s="50">
        <f t="shared" si="432"/>
        <v>0</v>
      </c>
      <c r="Y2853"/>
      <c r="Z2853"/>
      <c r="AA2853"/>
    </row>
    <row r="2854" spans="1:27" s="51" customFormat="1" ht="18.600000000000001" hidden="1" customHeight="1" x14ac:dyDescent="0.25">
      <c r="A2854" s="80" t="s">
        <v>2653</v>
      </c>
      <c r="B2854" s="20" t="s">
        <v>9370</v>
      </c>
      <c r="C2854" s="21" t="s">
        <v>9377</v>
      </c>
      <c r="D2854" s="20">
        <v>8436564921390</v>
      </c>
      <c r="E2854" s="22" t="s">
        <v>7269</v>
      </c>
      <c r="F2854" s="22" t="s">
        <v>1937</v>
      </c>
      <c r="G2854" s="22"/>
      <c r="H2854" s="83" t="s">
        <v>9702</v>
      </c>
      <c r="I2854" s="23" t="s">
        <v>24</v>
      </c>
      <c r="J2854" s="24">
        <v>520</v>
      </c>
      <c r="K2854" s="25">
        <v>0.25</v>
      </c>
      <c r="L2854" s="26">
        <f t="shared" ref="L2854:L2917" si="433">+J2854*K2854</f>
        <v>130</v>
      </c>
      <c r="M2854" s="27">
        <f t="shared" ref="M2854:M2917" si="434">+J2854-L2854</f>
        <v>390</v>
      </c>
      <c r="N2854" s="28">
        <v>0.16</v>
      </c>
      <c r="O2854" s="29">
        <f t="shared" ref="O2854:O2917" si="435">+M2854*N2854</f>
        <v>62.4</v>
      </c>
      <c r="P2854" s="30">
        <f t="shared" ref="P2854:P2917" si="436">+M2854+O2854</f>
        <v>452.4</v>
      </c>
      <c r="Q2854" s="23"/>
      <c r="R2854" s="52"/>
      <c r="S2854" s="53"/>
      <c r="T2854" s="54">
        <f t="shared" ref="T2854:T2917" si="437">+S2854*J2854</f>
        <v>0</v>
      </c>
      <c r="U2854" s="26">
        <f t="shared" ref="U2854:U2917" si="438">+T2854*K2854</f>
        <v>0</v>
      </c>
      <c r="V2854" s="55">
        <f t="shared" ref="V2854:V2917" si="439">+T2854-U2854</f>
        <v>0</v>
      </c>
      <c r="W2854" s="29">
        <f t="shared" ref="W2854:W2917" si="440">+V2854*N2854</f>
        <v>0</v>
      </c>
      <c r="X2854" s="30">
        <f t="shared" ref="X2854:X2917" si="441">+V2854+W2854</f>
        <v>0</v>
      </c>
      <c r="Y2854"/>
      <c r="Z2854"/>
      <c r="AA2854"/>
    </row>
    <row r="2855" spans="1:27" s="51" customFormat="1" ht="18.600000000000001" hidden="1" customHeight="1" x14ac:dyDescent="0.25">
      <c r="A2855" s="81" t="s">
        <v>2653</v>
      </c>
      <c r="B2855" s="31" t="s">
        <v>9370</v>
      </c>
      <c r="C2855" s="32" t="s">
        <v>9378</v>
      </c>
      <c r="D2855" s="31">
        <v>8436535579674</v>
      </c>
      <c r="E2855" s="33" t="s">
        <v>7270</v>
      </c>
      <c r="F2855" s="33" t="s">
        <v>1937</v>
      </c>
      <c r="G2855" s="33"/>
      <c r="H2855" s="84" t="s">
        <v>9703</v>
      </c>
      <c r="I2855" s="23" t="s">
        <v>24</v>
      </c>
      <c r="J2855" s="34">
        <v>130</v>
      </c>
      <c r="K2855" s="35">
        <v>0.25</v>
      </c>
      <c r="L2855" s="36">
        <f t="shared" si="433"/>
        <v>32.5</v>
      </c>
      <c r="M2855" s="37">
        <f t="shared" si="434"/>
        <v>97.5</v>
      </c>
      <c r="N2855" s="38">
        <v>0.16</v>
      </c>
      <c r="O2855" s="39">
        <f t="shared" si="435"/>
        <v>15.6</v>
      </c>
      <c r="P2855" s="40">
        <f t="shared" si="436"/>
        <v>113.1</v>
      </c>
      <c r="Q2855" s="23"/>
      <c r="R2855" s="56"/>
      <c r="S2855" s="57"/>
      <c r="T2855" s="58">
        <f t="shared" si="437"/>
        <v>0</v>
      </c>
      <c r="U2855" s="36">
        <f t="shared" si="438"/>
        <v>0</v>
      </c>
      <c r="V2855" s="59">
        <f t="shared" si="439"/>
        <v>0</v>
      </c>
      <c r="W2855" s="39">
        <f t="shared" si="440"/>
        <v>0</v>
      </c>
      <c r="X2855" s="40">
        <f t="shared" si="441"/>
        <v>0</v>
      </c>
      <c r="Y2855"/>
      <c r="Z2855"/>
      <c r="AA2855"/>
    </row>
    <row r="2856" spans="1:27" s="51" customFormat="1" ht="18.600000000000001" hidden="1" customHeight="1" x14ac:dyDescent="0.25">
      <c r="A2856" s="82" t="s">
        <v>2653</v>
      </c>
      <c r="B2856" s="41" t="s">
        <v>9370</v>
      </c>
      <c r="C2856" s="42" t="s">
        <v>9378</v>
      </c>
      <c r="D2856" s="41">
        <v>8436535579605</v>
      </c>
      <c r="E2856" s="43" t="s">
        <v>7271</v>
      </c>
      <c r="F2856" s="43" t="s">
        <v>1937</v>
      </c>
      <c r="G2856" s="43"/>
      <c r="H2856" s="85" t="s">
        <v>9704</v>
      </c>
      <c r="I2856" s="23" t="s">
        <v>24</v>
      </c>
      <c r="J2856" s="44">
        <v>130</v>
      </c>
      <c r="K2856" s="45">
        <v>0.25</v>
      </c>
      <c r="L2856" s="46">
        <f t="shared" si="433"/>
        <v>32.5</v>
      </c>
      <c r="M2856" s="47">
        <f t="shared" si="434"/>
        <v>97.5</v>
      </c>
      <c r="N2856" s="48">
        <v>0.16</v>
      </c>
      <c r="O2856" s="49">
        <f t="shared" si="435"/>
        <v>15.6</v>
      </c>
      <c r="P2856" s="50">
        <f t="shared" si="436"/>
        <v>113.1</v>
      </c>
      <c r="Q2856" s="23"/>
      <c r="R2856" s="60"/>
      <c r="S2856" s="61"/>
      <c r="T2856" s="62">
        <f t="shared" si="437"/>
        <v>0</v>
      </c>
      <c r="U2856" s="46">
        <f t="shared" si="438"/>
        <v>0</v>
      </c>
      <c r="V2856" s="63">
        <f t="shared" si="439"/>
        <v>0</v>
      </c>
      <c r="W2856" s="49">
        <f t="shared" si="440"/>
        <v>0</v>
      </c>
      <c r="X2856" s="50">
        <f t="shared" si="441"/>
        <v>0</v>
      </c>
      <c r="Y2856"/>
      <c r="Z2856"/>
      <c r="AA2856"/>
    </row>
    <row r="2857" spans="1:27" s="51" customFormat="1" ht="18.600000000000001" hidden="1" customHeight="1" x14ac:dyDescent="0.25">
      <c r="A2857" s="80" t="s">
        <v>2653</v>
      </c>
      <c r="B2857" s="20" t="s">
        <v>9370</v>
      </c>
      <c r="C2857" s="21" t="s">
        <v>9378</v>
      </c>
      <c r="D2857" s="20">
        <v>8436535579612</v>
      </c>
      <c r="E2857" s="22" t="s">
        <v>7272</v>
      </c>
      <c r="F2857" s="22" t="s">
        <v>1937</v>
      </c>
      <c r="G2857" s="22"/>
      <c r="H2857" s="83" t="s">
        <v>9705</v>
      </c>
      <c r="I2857" s="23" t="s">
        <v>24</v>
      </c>
      <c r="J2857" s="24">
        <v>135</v>
      </c>
      <c r="K2857" s="25">
        <v>0.25</v>
      </c>
      <c r="L2857" s="26">
        <f t="shared" si="433"/>
        <v>33.75</v>
      </c>
      <c r="M2857" s="27">
        <f t="shared" si="434"/>
        <v>101.25</v>
      </c>
      <c r="N2857" s="28">
        <v>0.16</v>
      </c>
      <c r="O2857" s="29">
        <f t="shared" si="435"/>
        <v>16.2</v>
      </c>
      <c r="P2857" s="30">
        <f t="shared" si="436"/>
        <v>117.45</v>
      </c>
      <c r="Q2857" s="23"/>
      <c r="R2857" s="52"/>
      <c r="S2857" s="53"/>
      <c r="T2857" s="54">
        <f t="shared" si="437"/>
        <v>0</v>
      </c>
      <c r="U2857" s="26">
        <f t="shared" si="438"/>
        <v>0</v>
      </c>
      <c r="V2857" s="55">
        <f t="shared" si="439"/>
        <v>0</v>
      </c>
      <c r="W2857" s="29">
        <f t="shared" si="440"/>
        <v>0</v>
      </c>
      <c r="X2857" s="30">
        <f t="shared" si="441"/>
        <v>0</v>
      </c>
      <c r="Y2857"/>
      <c r="Z2857"/>
      <c r="AA2857"/>
    </row>
    <row r="2858" spans="1:27" s="51" customFormat="1" ht="18.600000000000001" hidden="1" customHeight="1" x14ac:dyDescent="0.25">
      <c r="A2858" s="81" t="s">
        <v>2653</v>
      </c>
      <c r="B2858" s="31" t="s">
        <v>9370</v>
      </c>
      <c r="C2858" s="32" t="s">
        <v>9378</v>
      </c>
      <c r="D2858" s="31">
        <v>8436535579643</v>
      </c>
      <c r="E2858" s="33" t="s">
        <v>7273</v>
      </c>
      <c r="F2858" s="33" t="s">
        <v>1937</v>
      </c>
      <c r="G2858" s="33"/>
      <c r="H2858" s="84" t="s">
        <v>9706</v>
      </c>
      <c r="I2858" s="23" t="s">
        <v>24</v>
      </c>
      <c r="J2858" s="34">
        <v>130</v>
      </c>
      <c r="K2858" s="35">
        <v>0.25</v>
      </c>
      <c r="L2858" s="36">
        <f t="shared" si="433"/>
        <v>32.5</v>
      </c>
      <c r="M2858" s="37">
        <f t="shared" si="434"/>
        <v>97.5</v>
      </c>
      <c r="N2858" s="38">
        <v>0.16</v>
      </c>
      <c r="O2858" s="39">
        <f t="shared" si="435"/>
        <v>15.6</v>
      </c>
      <c r="P2858" s="40">
        <f t="shared" si="436"/>
        <v>113.1</v>
      </c>
      <c r="Q2858" s="23"/>
      <c r="R2858" s="56"/>
      <c r="S2858" s="57"/>
      <c r="T2858" s="58">
        <f t="shared" si="437"/>
        <v>0</v>
      </c>
      <c r="U2858" s="36">
        <f t="shared" si="438"/>
        <v>0</v>
      </c>
      <c r="V2858" s="59">
        <f t="shared" si="439"/>
        <v>0</v>
      </c>
      <c r="W2858" s="39">
        <f t="shared" si="440"/>
        <v>0</v>
      </c>
      <c r="X2858" s="40">
        <f t="shared" si="441"/>
        <v>0</v>
      </c>
      <c r="Y2858"/>
      <c r="Z2858"/>
      <c r="AA2858"/>
    </row>
    <row r="2859" spans="1:27" s="51" customFormat="1" ht="18.600000000000001" hidden="1" customHeight="1" x14ac:dyDescent="0.25">
      <c r="A2859" s="82" t="s">
        <v>2653</v>
      </c>
      <c r="B2859" s="41" t="s">
        <v>9370</v>
      </c>
      <c r="C2859" s="42" t="s">
        <v>9378</v>
      </c>
      <c r="D2859" s="41">
        <v>8436535579629</v>
      </c>
      <c r="E2859" s="43" t="s">
        <v>7274</v>
      </c>
      <c r="F2859" s="43" t="s">
        <v>1937</v>
      </c>
      <c r="G2859" s="43"/>
      <c r="H2859" s="85" t="s">
        <v>9707</v>
      </c>
      <c r="I2859" s="23" t="s">
        <v>24</v>
      </c>
      <c r="J2859" s="44">
        <v>150</v>
      </c>
      <c r="K2859" s="45">
        <v>0.25</v>
      </c>
      <c r="L2859" s="46">
        <f t="shared" si="433"/>
        <v>37.5</v>
      </c>
      <c r="M2859" s="47">
        <f t="shared" si="434"/>
        <v>112.5</v>
      </c>
      <c r="N2859" s="48">
        <v>0.16</v>
      </c>
      <c r="O2859" s="49">
        <f t="shared" si="435"/>
        <v>18</v>
      </c>
      <c r="P2859" s="50">
        <f t="shared" si="436"/>
        <v>130.5</v>
      </c>
      <c r="Q2859" s="23"/>
      <c r="R2859" s="60"/>
      <c r="S2859" s="61"/>
      <c r="T2859" s="62">
        <f t="shared" si="437"/>
        <v>0</v>
      </c>
      <c r="U2859" s="46">
        <f t="shared" si="438"/>
        <v>0</v>
      </c>
      <c r="V2859" s="63">
        <f t="shared" si="439"/>
        <v>0</v>
      </c>
      <c r="W2859" s="49">
        <f t="shared" si="440"/>
        <v>0</v>
      </c>
      <c r="X2859" s="50">
        <f t="shared" si="441"/>
        <v>0</v>
      </c>
      <c r="Y2859"/>
      <c r="Z2859"/>
      <c r="AA2859"/>
    </row>
    <row r="2860" spans="1:27" s="51" customFormat="1" ht="18.600000000000001" hidden="1" customHeight="1" x14ac:dyDescent="0.25">
      <c r="A2860" s="80" t="s">
        <v>2653</v>
      </c>
      <c r="B2860" s="20" t="s">
        <v>9370</v>
      </c>
      <c r="C2860" s="21" t="s">
        <v>9378</v>
      </c>
      <c r="D2860" s="20">
        <v>8436535579742</v>
      </c>
      <c r="E2860" s="22" t="s">
        <v>7275</v>
      </c>
      <c r="F2860" s="22" t="s">
        <v>1937</v>
      </c>
      <c r="G2860" s="22"/>
      <c r="H2860" s="83" t="s">
        <v>9708</v>
      </c>
      <c r="I2860" s="23" t="s">
        <v>24</v>
      </c>
      <c r="J2860" s="24">
        <v>140</v>
      </c>
      <c r="K2860" s="25">
        <v>0.25</v>
      </c>
      <c r="L2860" s="26">
        <f t="shared" si="433"/>
        <v>35</v>
      </c>
      <c r="M2860" s="27">
        <f t="shared" si="434"/>
        <v>105</v>
      </c>
      <c r="N2860" s="28">
        <v>0.16</v>
      </c>
      <c r="O2860" s="29">
        <f t="shared" si="435"/>
        <v>16.8</v>
      </c>
      <c r="P2860" s="30">
        <f t="shared" si="436"/>
        <v>121.8</v>
      </c>
      <c r="Q2860" s="23"/>
      <c r="R2860" s="52"/>
      <c r="S2860" s="53"/>
      <c r="T2860" s="54">
        <f t="shared" si="437"/>
        <v>0</v>
      </c>
      <c r="U2860" s="26">
        <f t="shared" si="438"/>
        <v>0</v>
      </c>
      <c r="V2860" s="55">
        <f t="shared" si="439"/>
        <v>0</v>
      </c>
      <c r="W2860" s="29">
        <f t="shared" si="440"/>
        <v>0</v>
      </c>
      <c r="X2860" s="30">
        <f t="shared" si="441"/>
        <v>0</v>
      </c>
      <c r="Y2860"/>
      <c r="Z2860"/>
      <c r="AA2860"/>
    </row>
    <row r="2861" spans="1:27" s="51" customFormat="1" ht="18.600000000000001" hidden="1" customHeight="1" x14ac:dyDescent="0.25">
      <c r="A2861" s="81" t="s">
        <v>2653</v>
      </c>
      <c r="B2861" s="31" t="s">
        <v>9370</v>
      </c>
      <c r="C2861" s="32" t="s">
        <v>9378</v>
      </c>
      <c r="D2861" s="31">
        <v>8436535579773</v>
      </c>
      <c r="E2861" s="33" t="s">
        <v>7276</v>
      </c>
      <c r="F2861" s="33" t="s">
        <v>1937</v>
      </c>
      <c r="G2861" s="33"/>
      <c r="H2861" s="84" t="s">
        <v>9709</v>
      </c>
      <c r="I2861" s="23" t="s">
        <v>24</v>
      </c>
      <c r="J2861" s="34">
        <v>145</v>
      </c>
      <c r="K2861" s="35">
        <v>0.25</v>
      </c>
      <c r="L2861" s="36">
        <f t="shared" si="433"/>
        <v>36.25</v>
      </c>
      <c r="M2861" s="37">
        <f t="shared" si="434"/>
        <v>108.75</v>
      </c>
      <c r="N2861" s="38">
        <v>0.16</v>
      </c>
      <c r="O2861" s="39">
        <f t="shared" si="435"/>
        <v>17.400000000000002</v>
      </c>
      <c r="P2861" s="40">
        <f t="shared" si="436"/>
        <v>126.15</v>
      </c>
      <c r="Q2861" s="23"/>
      <c r="R2861" s="56"/>
      <c r="S2861" s="57"/>
      <c r="T2861" s="58">
        <f t="shared" si="437"/>
        <v>0</v>
      </c>
      <c r="U2861" s="36">
        <f t="shared" si="438"/>
        <v>0</v>
      </c>
      <c r="V2861" s="59">
        <f t="shared" si="439"/>
        <v>0</v>
      </c>
      <c r="W2861" s="39">
        <f t="shared" si="440"/>
        <v>0</v>
      </c>
      <c r="X2861" s="40">
        <f t="shared" si="441"/>
        <v>0</v>
      </c>
      <c r="Y2861"/>
      <c r="Z2861"/>
      <c r="AA2861"/>
    </row>
    <row r="2862" spans="1:27" s="51" customFormat="1" ht="18.600000000000001" hidden="1" customHeight="1" x14ac:dyDescent="0.25">
      <c r="A2862" s="82" t="s">
        <v>2653</v>
      </c>
      <c r="B2862" s="41" t="s">
        <v>9370</v>
      </c>
      <c r="C2862" s="42" t="s">
        <v>9378</v>
      </c>
      <c r="D2862" s="41">
        <v>8436535579780</v>
      </c>
      <c r="E2862" s="43" t="s">
        <v>7277</v>
      </c>
      <c r="F2862" s="43" t="s">
        <v>1937</v>
      </c>
      <c r="G2862" s="43"/>
      <c r="H2862" s="85" t="s">
        <v>9710</v>
      </c>
      <c r="I2862" s="23" t="s">
        <v>24</v>
      </c>
      <c r="J2862" s="44">
        <v>155</v>
      </c>
      <c r="K2862" s="45">
        <v>0.25</v>
      </c>
      <c r="L2862" s="46">
        <f t="shared" si="433"/>
        <v>38.75</v>
      </c>
      <c r="M2862" s="47">
        <f t="shared" si="434"/>
        <v>116.25</v>
      </c>
      <c r="N2862" s="48">
        <v>0.16</v>
      </c>
      <c r="O2862" s="49">
        <f t="shared" si="435"/>
        <v>18.600000000000001</v>
      </c>
      <c r="P2862" s="50">
        <f t="shared" si="436"/>
        <v>134.85</v>
      </c>
      <c r="Q2862" s="23"/>
      <c r="R2862" s="60"/>
      <c r="S2862" s="61"/>
      <c r="T2862" s="62">
        <f t="shared" si="437"/>
        <v>0</v>
      </c>
      <c r="U2862" s="46">
        <f t="shared" si="438"/>
        <v>0</v>
      </c>
      <c r="V2862" s="63">
        <f t="shared" si="439"/>
        <v>0</v>
      </c>
      <c r="W2862" s="49">
        <f t="shared" si="440"/>
        <v>0</v>
      </c>
      <c r="X2862" s="50">
        <f t="shared" si="441"/>
        <v>0</v>
      </c>
      <c r="Y2862"/>
      <c r="Z2862"/>
      <c r="AA2862"/>
    </row>
    <row r="2863" spans="1:27" s="51" customFormat="1" ht="18.600000000000001" hidden="1" customHeight="1" x14ac:dyDescent="0.25">
      <c r="A2863" s="80" t="s">
        <v>2653</v>
      </c>
      <c r="B2863" s="20" t="s">
        <v>9370</v>
      </c>
      <c r="C2863" s="21" t="s">
        <v>9378</v>
      </c>
      <c r="D2863" s="20">
        <v>8436535579681</v>
      </c>
      <c r="E2863" s="22" t="s">
        <v>7278</v>
      </c>
      <c r="F2863" s="22" t="s">
        <v>1937</v>
      </c>
      <c r="G2863" s="22"/>
      <c r="H2863" s="83" t="s">
        <v>9711</v>
      </c>
      <c r="I2863" s="23" t="s">
        <v>24</v>
      </c>
      <c r="J2863" s="24">
        <v>150</v>
      </c>
      <c r="K2863" s="25">
        <v>0.25</v>
      </c>
      <c r="L2863" s="26">
        <f t="shared" si="433"/>
        <v>37.5</v>
      </c>
      <c r="M2863" s="27">
        <f t="shared" si="434"/>
        <v>112.5</v>
      </c>
      <c r="N2863" s="28">
        <v>0.16</v>
      </c>
      <c r="O2863" s="29">
        <f t="shared" si="435"/>
        <v>18</v>
      </c>
      <c r="P2863" s="30">
        <f t="shared" si="436"/>
        <v>130.5</v>
      </c>
      <c r="Q2863" s="23"/>
      <c r="R2863" s="52"/>
      <c r="S2863" s="53"/>
      <c r="T2863" s="54">
        <f t="shared" si="437"/>
        <v>0</v>
      </c>
      <c r="U2863" s="26">
        <f t="shared" si="438"/>
        <v>0</v>
      </c>
      <c r="V2863" s="55">
        <f t="shared" si="439"/>
        <v>0</v>
      </c>
      <c r="W2863" s="29">
        <f t="shared" si="440"/>
        <v>0</v>
      </c>
      <c r="X2863" s="30">
        <f t="shared" si="441"/>
        <v>0</v>
      </c>
      <c r="Y2863"/>
      <c r="Z2863"/>
      <c r="AA2863"/>
    </row>
    <row r="2864" spans="1:27" s="51" customFormat="1" ht="18.600000000000001" hidden="1" customHeight="1" x14ac:dyDescent="0.25">
      <c r="A2864" s="81" t="s">
        <v>2653</v>
      </c>
      <c r="B2864" s="31" t="s">
        <v>9370</v>
      </c>
      <c r="C2864" s="32" t="s">
        <v>9378</v>
      </c>
      <c r="D2864" s="31">
        <v>8436535579704</v>
      </c>
      <c r="E2864" s="33" t="s">
        <v>7279</v>
      </c>
      <c r="F2864" s="33" t="s">
        <v>1937</v>
      </c>
      <c r="G2864" s="33"/>
      <c r="H2864" s="84" t="s">
        <v>9712</v>
      </c>
      <c r="I2864" s="23" t="s">
        <v>24</v>
      </c>
      <c r="J2864" s="34">
        <v>195</v>
      </c>
      <c r="K2864" s="35">
        <v>0.25</v>
      </c>
      <c r="L2864" s="36">
        <f t="shared" si="433"/>
        <v>48.75</v>
      </c>
      <c r="M2864" s="37">
        <f t="shared" si="434"/>
        <v>146.25</v>
      </c>
      <c r="N2864" s="38">
        <v>0.16</v>
      </c>
      <c r="O2864" s="39">
        <f t="shared" si="435"/>
        <v>23.400000000000002</v>
      </c>
      <c r="P2864" s="40">
        <f t="shared" si="436"/>
        <v>169.65</v>
      </c>
      <c r="Q2864" s="23"/>
      <c r="R2864" s="56"/>
      <c r="S2864" s="57"/>
      <c r="T2864" s="58">
        <f t="shared" si="437"/>
        <v>0</v>
      </c>
      <c r="U2864" s="36">
        <f t="shared" si="438"/>
        <v>0</v>
      </c>
      <c r="V2864" s="59">
        <f t="shared" si="439"/>
        <v>0</v>
      </c>
      <c r="W2864" s="39">
        <f t="shared" si="440"/>
        <v>0</v>
      </c>
      <c r="X2864" s="40">
        <f t="shared" si="441"/>
        <v>0</v>
      </c>
      <c r="Y2864"/>
      <c r="Z2864"/>
      <c r="AA2864"/>
    </row>
    <row r="2865" spans="1:27" s="51" customFormat="1" ht="18.600000000000001" hidden="1" customHeight="1" x14ac:dyDescent="0.25">
      <c r="A2865" s="82" t="s">
        <v>2653</v>
      </c>
      <c r="B2865" s="41" t="s">
        <v>9370</v>
      </c>
      <c r="C2865" s="42" t="s">
        <v>9378</v>
      </c>
      <c r="D2865" s="41">
        <v>8436535579711</v>
      </c>
      <c r="E2865" s="43" t="s">
        <v>7280</v>
      </c>
      <c r="F2865" s="43" t="s">
        <v>1937</v>
      </c>
      <c r="G2865" s="43"/>
      <c r="H2865" s="85" t="s">
        <v>9713</v>
      </c>
      <c r="I2865" s="23" t="s">
        <v>24</v>
      </c>
      <c r="J2865" s="44">
        <v>140</v>
      </c>
      <c r="K2865" s="45">
        <v>0.25</v>
      </c>
      <c r="L2865" s="46">
        <f t="shared" si="433"/>
        <v>35</v>
      </c>
      <c r="M2865" s="47">
        <f t="shared" si="434"/>
        <v>105</v>
      </c>
      <c r="N2865" s="48">
        <v>0.16</v>
      </c>
      <c r="O2865" s="49">
        <f t="shared" si="435"/>
        <v>16.8</v>
      </c>
      <c r="P2865" s="50">
        <f t="shared" si="436"/>
        <v>121.8</v>
      </c>
      <c r="Q2865" s="23"/>
      <c r="R2865" s="60"/>
      <c r="S2865" s="61"/>
      <c r="T2865" s="62">
        <f t="shared" si="437"/>
        <v>0</v>
      </c>
      <c r="U2865" s="46">
        <f t="shared" si="438"/>
        <v>0</v>
      </c>
      <c r="V2865" s="63">
        <f t="shared" si="439"/>
        <v>0</v>
      </c>
      <c r="W2865" s="49">
        <f t="shared" si="440"/>
        <v>0</v>
      </c>
      <c r="X2865" s="50">
        <f t="shared" si="441"/>
        <v>0</v>
      </c>
      <c r="Y2865"/>
      <c r="Z2865"/>
      <c r="AA2865"/>
    </row>
    <row r="2866" spans="1:27" s="51" customFormat="1" ht="18.600000000000001" hidden="1" customHeight="1" x14ac:dyDescent="0.25">
      <c r="A2866" s="80" t="s">
        <v>2653</v>
      </c>
      <c r="B2866" s="20" t="s">
        <v>9370</v>
      </c>
      <c r="C2866" s="21" t="s">
        <v>9378</v>
      </c>
      <c r="D2866" s="20">
        <v>8436535579728</v>
      </c>
      <c r="E2866" s="22" t="s">
        <v>7281</v>
      </c>
      <c r="F2866" s="22" t="s">
        <v>1937</v>
      </c>
      <c r="G2866" s="22"/>
      <c r="H2866" s="83" t="s">
        <v>9714</v>
      </c>
      <c r="I2866" s="23" t="s">
        <v>24</v>
      </c>
      <c r="J2866" s="24">
        <v>150</v>
      </c>
      <c r="K2866" s="25">
        <v>0.25</v>
      </c>
      <c r="L2866" s="26">
        <f t="shared" si="433"/>
        <v>37.5</v>
      </c>
      <c r="M2866" s="27">
        <f t="shared" si="434"/>
        <v>112.5</v>
      </c>
      <c r="N2866" s="28">
        <v>0.16</v>
      </c>
      <c r="O2866" s="29">
        <f t="shared" si="435"/>
        <v>18</v>
      </c>
      <c r="P2866" s="30">
        <f t="shared" si="436"/>
        <v>130.5</v>
      </c>
      <c r="Q2866" s="23"/>
      <c r="R2866" s="52"/>
      <c r="S2866" s="53"/>
      <c r="T2866" s="54">
        <f t="shared" si="437"/>
        <v>0</v>
      </c>
      <c r="U2866" s="26">
        <f t="shared" si="438"/>
        <v>0</v>
      </c>
      <c r="V2866" s="55">
        <f t="shared" si="439"/>
        <v>0</v>
      </c>
      <c r="W2866" s="29">
        <f t="shared" si="440"/>
        <v>0</v>
      </c>
      <c r="X2866" s="30">
        <f t="shared" si="441"/>
        <v>0</v>
      </c>
      <c r="Y2866"/>
      <c r="Z2866"/>
      <c r="AA2866"/>
    </row>
    <row r="2867" spans="1:27" s="51" customFormat="1" ht="18.600000000000001" hidden="1" customHeight="1" x14ac:dyDescent="0.25">
      <c r="A2867" s="81" t="s">
        <v>2653</v>
      </c>
      <c r="B2867" s="31" t="s">
        <v>9370</v>
      </c>
      <c r="C2867" s="32" t="s">
        <v>9378</v>
      </c>
      <c r="D2867" s="31">
        <v>8436535579735</v>
      </c>
      <c r="E2867" s="33" t="s">
        <v>7282</v>
      </c>
      <c r="F2867" s="33" t="s">
        <v>1937</v>
      </c>
      <c r="G2867" s="33"/>
      <c r="H2867" s="84" t="s">
        <v>9715</v>
      </c>
      <c r="I2867" s="23" t="s">
        <v>24</v>
      </c>
      <c r="J2867" s="34">
        <v>155</v>
      </c>
      <c r="K2867" s="35">
        <v>0.25</v>
      </c>
      <c r="L2867" s="36">
        <f t="shared" si="433"/>
        <v>38.75</v>
      </c>
      <c r="M2867" s="37">
        <f t="shared" si="434"/>
        <v>116.25</v>
      </c>
      <c r="N2867" s="38">
        <v>0.16</v>
      </c>
      <c r="O2867" s="39">
        <f t="shared" si="435"/>
        <v>18.600000000000001</v>
      </c>
      <c r="P2867" s="40">
        <f t="shared" si="436"/>
        <v>134.85</v>
      </c>
      <c r="Q2867" s="23"/>
      <c r="R2867" s="56"/>
      <c r="S2867" s="57"/>
      <c r="T2867" s="58">
        <f t="shared" si="437"/>
        <v>0</v>
      </c>
      <c r="U2867" s="36">
        <f t="shared" si="438"/>
        <v>0</v>
      </c>
      <c r="V2867" s="59">
        <f t="shared" si="439"/>
        <v>0</v>
      </c>
      <c r="W2867" s="39">
        <f t="shared" si="440"/>
        <v>0</v>
      </c>
      <c r="X2867" s="40">
        <f t="shared" si="441"/>
        <v>0</v>
      </c>
      <c r="Y2867"/>
      <c r="Z2867"/>
      <c r="AA2867"/>
    </row>
    <row r="2868" spans="1:27" s="51" customFormat="1" ht="18.600000000000001" hidden="1" customHeight="1" x14ac:dyDescent="0.25">
      <c r="A2868" s="82" t="s">
        <v>2653</v>
      </c>
      <c r="B2868" s="41" t="s">
        <v>9370</v>
      </c>
      <c r="C2868" s="42" t="s">
        <v>9379</v>
      </c>
      <c r="D2868" s="41" t="s">
        <v>7283</v>
      </c>
      <c r="E2868" s="43" t="s">
        <v>7284</v>
      </c>
      <c r="F2868" s="43" t="s">
        <v>1937</v>
      </c>
      <c r="G2868" s="43"/>
      <c r="H2868" s="85" t="s">
        <v>9716</v>
      </c>
      <c r="I2868" s="23" t="s">
        <v>24</v>
      </c>
      <c r="J2868" s="44">
        <v>55</v>
      </c>
      <c r="K2868" s="45">
        <v>0.25</v>
      </c>
      <c r="L2868" s="46">
        <f t="shared" si="433"/>
        <v>13.75</v>
      </c>
      <c r="M2868" s="47">
        <f t="shared" si="434"/>
        <v>41.25</v>
      </c>
      <c r="N2868" s="48">
        <v>0.16</v>
      </c>
      <c r="O2868" s="49">
        <f t="shared" si="435"/>
        <v>6.6000000000000005</v>
      </c>
      <c r="P2868" s="50">
        <f t="shared" si="436"/>
        <v>47.85</v>
      </c>
      <c r="Q2868" s="23"/>
      <c r="R2868" s="60"/>
      <c r="S2868" s="61"/>
      <c r="T2868" s="62">
        <f t="shared" si="437"/>
        <v>0</v>
      </c>
      <c r="U2868" s="46">
        <f t="shared" si="438"/>
        <v>0</v>
      </c>
      <c r="V2868" s="63">
        <f t="shared" si="439"/>
        <v>0</v>
      </c>
      <c r="W2868" s="49">
        <f t="shared" si="440"/>
        <v>0</v>
      </c>
      <c r="X2868" s="50">
        <f t="shared" si="441"/>
        <v>0</v>
      </c>
      <c r="Y2868"/>
      <c r="Z2868"/>
      <c r="AA2868"/>
    </row>
    <row r="2869" spans="1:27" s="51" customFormat="1" ht="18.600000000000001" hidden="1" customHeight="1" x14ac:dyDescent="0.25">
      <c r="A2869" s="80" t="s">
        <v>2653</v>
      </c>
      <c r="B2869" s="20" t="s">
        <v>9370</v>
      </c>
      <c r="C2869" s="21" t="s">
        <v>9379</v>
      </c>
      <c r="D2869" s="20" t="s">
        <v>7285</v>
      </c>
      <c r="E2869" s="22" t="s">
        <v>7286</v>
      </c>
      <c r="F2869" s="22" t="s">
        <v>1937</v>
      </c>
      <c r="G2869" s="22"/>
      <c r="H2869" s="83" t="s">
        <v>9717</v>
      </c>
      <c r="I2869" s="23" t="s">
        <v>24</v>
      </c>
      <c r="J2869" s="24">
        <v>35</v>
      </c>
      <c r="K2869" s="25">
        <v>0.25</v>
      </c>
      <c r="L2869" s="26">
        <f t="shared" si="433"/>
        <v>8.75</v>
      </c>
      <c r="M2869" s="27">
        <f t="shared" si="434"/>
        <v>26.25</v>
      </c>
      <c r="N2869" s="28">
        <v>0.16</v>
      </c>
      <c r="O2869" s="29">
        <f t="shared" si="435"/>
        <v>4.2</v>
      </c>
      <c r="P2869" s="30">
        <f t="shared" si="436"/>
        <v>30.45</v>
      </c>
      <c r="Q2869" s="23"/>
      <c r="R2869" s="52"/>
      <c r="S2869" s="53"/>
      <c r="T2869" s="54">
        <f t="shared" si="437"/>
        <v>0</v>
      </c>
      <c r="U2869" s="26">
        <f t="shared" si="438"/>
        <v>0</v>
      </c>
      <c r="V2869" s="55">
        <f t="shared" si="439"/>
        <v>0</v>
      </c>
      <c r="W2869" s="29">
        <f t="shared" si="440"/>
        <v>0</v>
      </c>
      <c r="X2869" s="30">
        <f t="shared" si="441"/>
        <v>0</v>
      </c>
      <c r="Y2869"/>
      <c r="Z2869"/>
      <c r="AA2869"/>
    </row>
    <row r="2870" spans="1:27" s="51" customFormat="1" ht="18.600000000000001" hidden="1" customHeight="1" x14ac:dyDescent="0.25">
      <c r="A2870" s="81" t="s">
        <v>2653</v>
      </c>
      <c r="B2870" s="31" t="s">
        <v>9380</v>
      </c>
      <c r="C2870" s="32"/>
      <c r="D2870" s="31" t="s">
        <v>7287</v>
      </c>
      <c r="E2870" s="33" t="s">
        <v>7288</v>
      </c>
      <c r="F2870" s="33" t="s">
        <v>1937</v>
      </c>
      <c r="G2870" s="33"/>
      <c r="H2870" s="84" t="s">
        <v>7289</v>
      </c>
      <c r="I2870" s="23" t="s">
        <v>24</v>
      </c>
      <c r="J2870" s="34">
        <v>1600</v>
      </c>
      <c r="K2870" s="35">
        <v>0.25</v>
      </c>
      <c r="L2870" s="36">
        <f t="shared" si="433"/>
        <v>400</v>
      </c>
      <c r="M2870" s="37">
        <f t="shared" si="434"/>
        <v>1200</v>
      </c>
      <c r="N2870" s="38">
        <v>0.16</v>
      </c>
      <c r="O2870" s="39">
        <f t="shared" si="435"/>
        <v>192</v>
      </c>
      <c r="P2870" s="40">
        <f t="shared" si="436"/>
        <v>1392</v>
      </c>
      <c r="Q2870" s="23"/>
      <c r="R2870" s="56"/>
      <c r="S2870" s="57"/>
      <c r="T2870" s="58">
        <f t="shared" si="437"/>
        <v>0</v>
      </c>
      <c r="U2870" s="36">
        <f t="shared" si="438"/>
        <v>0</v>
      </c>
      <c r="V2870" s="59">
        <f t="shared" si="439"/>
        <v>0</v>
      </c>
      <c r="W2870" s="39">
        <f t="shared" si="440"/>
        <v>0</v>
      </c>
      <c r="X2870" s="40">
        <f t="shared" si="441"/>
        <v>0</v>
      </c>
      <c r="Y2870"/>
      <c r="Z2870"/>
      <c r="AA2870"/>
    </row>
    <row r="2871" spans="1:27" s="51" customFormat="1" ht="18.600000000000001" hidden="1" customHeight="1" x14ac:dyDescent="0.25">
      <c r="A2871" s="82" t="s">
        <v>2653</v>
      </c>
      <c r="B2871" s="41" t="s">
        <v>9380</v>
      </c>
      <c r="C2871" s="42"/>
      <c r="D2871" s="41" t="s">
        <v>7290</v>
      </c>
      <c r="E2871" s="43" t="s">
        <v>7291</v>
      </c>
      <c r="F2871" s="43" t="s">
        <v>1937</v>
      </c>
      <c r="G2871" s="43"/>
      <c r="H2871" s="85" t="s">
        <v>7292</v>
      </c>
      <c r="I2871" s="23" t="s">
        <v>24</v>
      </c>
      <c r="J2871" s="44">
        <v>190</v>
      </c>
      <c r="K2871" s="45">
        <v>0.25</v>
      </c>
      <c r="L2871" s="46">
        <f t="shared" si="433"/>
        <v>47.5</v>
      </c>
      <c r="M2871" s="47">
        <f t="shared" si="434"/>
        <v>142.5</v>
      </c>
      <c r="N2871" s="48">
        <v>0.16</v>
      </c>
      <c r="O2871" s="49">
        <f t="shared" si="435"/>
        <v>22.8</v>
      </c>
      <c r="P2871" s="50">
        <f t="shared" si="436"/>
        <v>165.3</v>
      </c>
      <c r="Q2871" s="23"/>
      <c r="R2871" s="60"/>
      <c r="S2871" s="61"/>
      <c r="T2871" s="62">
        <f t="shared" si="437"/>
        <v>0</v>
      </c>
      <c r="U2871" s="46">
        <f t="shared" si="438"/>
        <v>0</v>
      </c>
      <c r="V2871" s="63">
        <f t="shared" si="439"/>
        <v>0</v>
      </c>
      <c r="W2871" s="49">
        <f t="shared" si="440"/>
        <v>0</v>
      </c>
      <c r="X2871" s="50">
        <f t="shared" si="441"/>
        <v>0</v>
      </c>
      <c r="Y2871"/>
      <c r="Z2871"/>
      <c r="AA2871"/>
    </row>
    <row r="2872" spans="1:27" s="51" customFormat="1" ht="18.600000000000001" hidden="1" customHeight="1" x14ac:dyDescent="0.25">
      <c r="A2872" s="80" t="s">
        <v>2653</v>
      </c>
      <c r="B2872" s="20" t="s">
        <v>9380</v>
      </c>
      <c r="C2872" s="21"/>
      <c r="D2872" s="20" t="s">
        <v>7293</v>
      </c>
      <c r="E2872" s="22" t="s">
        <v>7294</v>
      </c>
      <c r="F2872" s="22" t="s">
        <v>1937</v>
      </c>
      <c r="G2872" s="22"/>
      <c r="H2872" s="83" t="s">
        <v>7295</v>
      </c>
      <c r="I2872" s="23" t="s">
        <v>24</v>
      </c>
      <c r="J2872" s="24">
        <v>190</v>
      </c>
      <c r="K2872" s="25">
        <v>0.25</v>
      </c>
      <c r="L2872" s="26">
        <f t="shared" si="433"/>
        <v>47.5</v>
      </c>
      <c r="M2872" s="27">
        <f t="shared" si="434"/>
        <v>142.5</v>
      </c>
      <c r="N2872" s="28">
        <v>0.16</v>
      </c>
      <c r="O2872" s="29">
        <f t="shared" si="435"/>
        <v>22.8</v>
      </c>
      <c r="P2872" s="30">
        <f t="shared" si="436"/>
        <v>165.3</v>
      </c>
      <c r="Q2872" s="23"/>
      <c r="R2872" s="52"/>
      <c r="S2872" s="53"/>
      <c r="T2872" s="54">
        <f t="shared" si="437"/>
        <v>0</v>
      </c>
      <c r="U2872" s="26">
        <f t="shared" si="438"/>
        <v>0</v>
      </c>
      <c r="V2872" s="55">
        <f t="shared" si="439"/>
        <v>0</v>
      </c>
      <c r="W2872" s="29">
        <f t="shared" si="440"/>
        <v>0</v>
      </c>
      <c r="X2872" s="30">
        <f t="shared" si="441"/>
        <v>0</v>
      </c>
      <c r="Y2872"/>
      <c r="Z2872"/>
      <c r="AA2872"/>
    </row>
    <row r="2873" spans="1:27" s="51" customFormat="1" ht="18.600000000000001" hidden="1" customHeight="1" x14ac:dyDescent="0.25">
      <c r="A2873" s="81" t="s">
        <v>2653</v>
      </c>
      <c r="B2873" s="31" t="s">
        <v>9380</v>
      </c>
      <c r="C2873" s="32"/>
      <c r="D2873" s="31" t="s">
        <v>7296</v>
      </c>
      <c r="E2873" s="33" t="s">
        <v>7297</v>
      </c>
      <c r="F2873" s="33" t="s">
        <v>1937</v>
      </c>
      <c r="G2873" s="33"/>
      <c r="H2873" s="84" t="s">
        <v>7298</v>
      </c>
      <c r="I2873" s="23" t="s">
        <v>24</v>
      </c>
      <c r="J2873" s="34">
        <v>265</v>
      </c>
      <c r="K2873" s="35">
        <v>0.25</v>
      </c>
      <c r="L2873" s="36">
        <f t="shared" si="433"/>
        <v>66.25</v>
      </c>
      <c r="M2873" s="37">
        <f t="shared" si="434"/>
        <v>198.75</v>
      </c>
      <c r="N2873" s="38">
        <v>0.16</v>
      </c>
      <c r="O2873" s="39">
        <f t="shared" si="435"/>
        <v>31.8</v>
      </c>
      <c r="P2873" s="40">
        <f t="shared" si="436"/>
        <v>230.55</v>
      </c>
      <c r="Q2873" s="23"/>
      <c r="R2873" s="56"/>
      <c r="S2873" s="57"/>
      <c r="T2873" s="58">
        <f t="shared" si="437"/>
        <v>0</v>
      </c>
      <c r="U2873" s="36">
        <f t="shared" si="438"/>
        <v>0</v>
      </c>
      <c r="V2873" s="59">
        <f t="shared" si="439"/>
        <v>0</v>
      </c>
      <c r="W2873" s="39">
        <f t="shared" si="440"/>
        <v>0</v>
      </c>
      <c r="X2873" s="40">
        <f t="shared" si="441"/>
        <v>0</v>
      </c>
      <c r="Y2873"/>
      <c r="Z2873"/>
      <c r="AA2873"/>
    </row>
    <row r="2874" spans="1:27" s="51" customFormat="1" ht="18.600000000000001" hidden="1" customHeight="1" x14ac:dyDescent="0.25">
      <c r="A2874" s="82" t="s">
        <v>2653</v>
      </c>
      <c r="B2874" s="41" t="s">
        <v>9380</v>
      </c>
      <c r="C2874" s="42"/>
      <c r="D2874" s="41" t="s">
        <v>7299</v>
      </c>
      <c r="E2874" s="43" t="s">
        <v>7300</v>
      </c>
      <c r="F2874" s="43" t="s">
        <v>1937</v>
      </c>
      <c r="G2874" s="43"/>
      <c r="H2874" s="85" t="s">
        <v>7301</v>
      </c>
      <c r="I2874" s="23" t="s">
        <v>24</v>
      </c>
      <c r="J2874" s="44">
        <v>175</v>
      </c>
      <c r="K2874" s="45">
        <v>0.25</v>
      </c>
      <c r="L2874" s="46">
        <f t="shared" si="433"/>
        <v>43.75</v>
      </c>
      <c r="M2874" s="47">
        <f t="shared" si="434"/>
        <v>131.25</v>
      </c>
      <c r="N2874" s="48">
        <v>0.16</v>
      </c>
      <c r="O2874" s="49">
        <f t="shared" si="435"/>
        <v>21</v>
      </c>
      <c r="P2874" s="50">
        <f t="shared" si="436"/>
        <v>152.25</v>
      </c>
      <c r="Q2874" s="23"/>
      <c r="R2874" s="60"/>
      <c r="S2874" s="61"/>
      <c r="T2874" s="62">
        <f t="shared" si="437"/>
        <v>0</v>
      </c>
      <c r="U2874" s="46">
        <f t="shared" si="438"/>
        <v>0</v>
      </c>
      <c r="V2874" s="63">
        <f t="shared" si="439"/>
        <v>0</v>
      </c>
      <c r="W2874" s="49">
        <f t="shared" si="440"/>
        <v>0</v>
      </c>
      <c r="X2874" s="50">
        <f t="shared" si="441"/>
        <v>0</v>
      </c>
      <c r="Y2874"/>
      <c r="Z2874"/>
      <c r="AA2874"/>
    </row>
    <row r="2875" spans="1:27" s="51" customFormat="1" ht="18.600000000000001" hidden="1" customHeight="1" x14ac:dyDescent="0.25">
      <c r="A2875" s="80" t="s">
        <v>2653</v>
      </c>
      <c r="B2875" s="20" t="s">
        <v>9380</v>
      </c>
      <c r="C2875" s="21"/>
      <c r="D2875" s="20">
        <v>8435568305151</v>
      </c>
      <c r="E2875" s="22" t="s">
        <v>7302</v>
      </c>
      <c r="F2875" s="22" t="s">
        <v>1937</v>
      </c>
      <c r="G2875" s="22"/>
      <c r="H2875" s="83" t="s">
        <v>7303</v>
      </c>
      <c r="I2875" s="23" t="s">
        <v>24</v>
      </c>
      <c r="J2875" s="24">
        <v>450</v>
      </c>
      <c r="K2875" s="25">
        <v>0.25</v>
      </c>
      <c r="L2875" s="26">
        <f t="shared" si="433"/>
        <v>112.5</v>
      </c>
      <c r="M2875" s="27">
        <f t="shared" si="434"/>
        <v>337.5</v>
      </c>
      <c r="N2875" s="28">
        <v>0.16</v>
      </c>
      <c r="O2875" s="29">
        <f t="shared" si="435"/>
        <v>54</v>
      </c>
      <c r="P2875" s="30">
        <f t="shared" si="436"/>
        <v>391.5</v>
      </c>
      <c r="Q2875" s="23"/>
      <c r="R2875" s="52"/>
      <c r="S2875" s="53"/>
      <c r="T2875" s="54">
        <f t="shared" si="437"/>
        <v>0</v>
      </c>
      <c r="U2875" s="26">
        <f t="shared" si="438"/>
        <v>0</v>
      </c>
      <c r="V2875" s="55">
        <f t="shared" si="439"/>
        <v>0</v>
      </c>
      <c r="W2875" s="29">
        <f t="shared" si="440"/>
        <v>0</v>
      </c>
      <c r="X2875" s="30">
        <f t="shared" si="441"/>
        <v>0</v>
      </c>
      <c r="Y2875"/>
      <c r="Z2875"/>
      <c r="AA2875"/>
    </row>
    <row r="2876" spans="1:27" s="51" customFormat="1" ht="18.600000000000001" hidden="1" customHeight="1" x14ac:dyDescent="0.25">
      <c r="A2876" s="81" t="s">
        <v>2653</v>
      </c>
      <c r="B2876" s="31" t="s">
        <v>9380</v>
      </c>
      <c r="C2876" s="32"/>
      <c r="D2876" s="31" t="s">
        <v>7304</v>
      </c>
      <c r="E2876" s="33" t="s">
        <v>7305</v>
      </c>
      <c r="F2876" s="33" t="s">
        <v>1937</v>
      </c>
      <c r="G2876" s="33"/>
      <c r="H2876" s="84" t="s">
        <v>7306</v>
      </c>
      <c r="I2876" s="23" t="s">
        <v>24</v>
      </c>
      <c r="J2876" s="34">
        <v>390</v>
      </c>
      <c r="K2876" s="35">
        <v>0.25</v>
      </c>
      <c r="L2876" s="36">
        <f t="shared" si="433"/>
        <v>97.5</v>
      </c>
      <c r="M2876" s="37">
        <f t="shared" si="434"/>
        <v>292.5</v>
      </c>
      <c r="N2876" s="38">
        <v>0.16</v>
      </c>
      <c r="O2876" s="39">
        <f t="shared" si="435"/>
        <v>46.800000000000004</v>
      </c>
      <c r="P2876" s="40">
        <f t="shared" si="436"/>
        <v>339.3</v>
      </c>
      <c r="Q2876" s="23"/>
      <c r="R2876" s="56"/>
      <c r="S2876" s="57"/>
      <c r="T2876" s="58">
        <f t="shared" si="437"/>
        <v>0</v>
      </c>
      <c r="U2876" s="36">
        <f t="shared" si="438"/>
        <v>0</v>
      </c>
      <c r="V2876" s="59">
        <f t="shared" si="439"/>
        <v>0</v>
      </c>
      <c r="W2876" s="39">
        <f t="shared" si="440"/>
        <v>0</v>
      </c>
      <c r="X2876" s="40">
        <f t="shared" si="441"/>
        <v>0</v>
      </c>
      <c r="Y2876"/>
      <c r="Z2876"/>
      <c r="AA2876"/>
    </row>
    <row r="2877" spans="1:27" s="51" customFormat="1" ht="18.600000000000001" hidden="1" customHeight="1" x14ac:dyDescent="0.25">
      <c r="A2877" s="82" t="s">
        <v>2653</v>
      </c>
      <c r="B2877" s="41" t="s">
        <v>9380</v>
      </c>
      <c r="C2877" s="42"/>
      <c r="D2877" s="41">
        <v>8435568305175</v>
      </c>
      <c r="E2877" s="43" t="s">
        <v>7307</v>
      </c>
      <c r="F2877" s="43" t="s">
        <v>1937</v>
      </c>
      <c r="G2877" s="43"/>
      <c r="H2877" s="85" t="s">
        <v>7308</v>
      </c>
      <c r="I2877" s="23" t="s">
        <v>24</v>
      </c>
      <c r="J2877" s="44">
        <v>100</v>
      </c>
      <c r="K2877" s="45">
        <v>0.25</v>
      </c>
      <c r="L2877" s="46">
        <f t="shared" si="433"/>
        <v>25</v>
      </c>
      <c r="M2877" s="47">
        <f t="shared" si="434"/>
        <v>75</v>
      </c>
      <c r="N2877" s="48">
        <v>0.16</v>
      </c>
      <c r="O2877" s="49">
        <f t="shared" si="435"/>
        <v>12</v>
      </c>
      <c r="P2877" s="50">
        <f t="shared" si="436"/>
        <v>87</v>
      </c>
      <c r="Q2877" s="23"/>
      <c r="R2877" s="60"/>
      <c r="S2877" s="61"/>
      <c r="T2877" s="62">
        <f t="shared" si="437"/>
        <v>0</v>
      </c>
      <c r="U2877" s="46">
        <f t="shared" si="438"/>
        <v>0</v>
      </c>
      <c r="V2877" s="63">
        <f t="shared" si="439"/>
        <v>0</v>
      </c>
      <c r="W2877" s="49">
        <f t="shared" si="440"/>
        <v>0</v>
      </c>
      <c r="X2877" s="50">
        <f t="shared" si="441"/>
        <v>0</v>
      </c>
      <c r="Y2877"/>
      <c r="Z2877"/>
      <c r="AA2877"/>
    </row>
    <row r="2878" spans="1:27" s="51" customFormat="1" ht="18.600000000000001" hidden="1" customHeight="1" x14ac:dyDescent="0.25">
      <c r="A2878" s="80" t="s">
        <v>2653</v>
      </c>
      <c r="B2878" s="20" t="s">
        <v>9380</v>
      </c>
      <c r="C2878" s="21"/>
      <c r="D2878" s="20">
        <v>8435568305182</v>
      </c>
      <c r="E2878" s="22" t="s">
        <v>7309</v>
      </c>
      <c r="F2878" s="22" t="s">
        <v>1937</v>
      </c>
      <c r="G2878" s="22"/>
      <c r="H2878" s="83" t="s">
        <v>7310</v>
      </c>
      <c r="I2878" s="23" t="s">
        <v>24</v>
      </c>
      <c r="J2878" s="24">
        <v>100</v>
      </c>
      <c r="K2878" s="25">
        <v>0.25</v>
      </c>
      <c r="L2878" s="26">
        <f t="shared" si="433"/>
        <v>25</v>
      </c>
      <c r="M2878" s="27">
        <f t="shared" si="434"/>
        <v>75</v>
      </c>
      <c r="N2878" s="28">
        <v>0.16</v>
      </c>
      <c r="O2878" s="29">
        <f t="shared" si="435"/>
        <v>12</v>
      </c>
      <c r="P2878" s="30">
        <f t="shared" si="436"/>
        <v>87</v>
      </c>
      <c r="Q2878" s="23"/>
      <c r="R2878" s="52"/>
      <c r="S2878" s="53"/>
      <c r="T2878" s="54">
        <f t="shared" si="437"/>
        <v>0</v>
      </c>
      <c r="U2878" s="26">
        <f t="shared" si="438"/>
        <v>0</v>
      </c>
      <c r="V2878" s="55">
        <f t="shared" si="439"/>
        <v>0</v>
      </c>
      <c r="W2878" s="29">
        <f t="shared" si="440"/>
        <v>0</v>
      </c>
      <c r="X2878" s="30">
        <f t="shared" si="441"/>
        <v>0</v>
      </c>
      <c r="Y2878"/>
      <c r="Z2878"/>
      <c r="AA2878"/>
    </row>
    <row r="2879" spans="1:27" s="51" customFormat="1" ht="18.600000000000001" hidden="1" customHeight="1" x14ac:dyDescent="0.25">
      <c r="A2879" s="81" t="s">
        <v>2653</v>
      </c>
      <c r="B2879" s="31" t="s">
        <v>9380</v>
      </c>
      <c r="C2879" s="32"/>
      <c r="D2879" s="31" t="s">
        <v>7311</v>
      </c>
      <c r="E2879" s="33" t="s">
        <v>7312</v>
      </c>
      <c r="F2879" s="33" t="s">
        <v>1937</v>
      </c>
      <c r="G2879" s="33"/>
      <c r="H2879" s="84" t="s">
        <v>7313</v>
      </c>
      <c r="I2879" s="23" t="s">
        <v>24</v>
      </c>
      <c r="J2879" s="34">
        <v>385</v>
      </c>
      <c r="K2879" s="35">
        <v>0.25</v>
      </c>
      <c r="L2879" s="36">
        <f t="shared" si="433"/>
        <v>96.25</v>
      </c>
      <c r="M2879" s="37">
        <f t="shared" si="434"/>
        <v>288.75</v>
      </c>
      <c r="N2879" s="38">
        <v>0.16</v>
      </c>
      <c r="O2879" s="39">
        <f t="shared" si="435"/>
        <v>46.2</v>
      </c>
      <c r="P2879" s="40">
        <f t="shared" si="436"/>
        <v>334.95</v>
      </c>
      <c r="Q2879" s="23"/>
      <c r="R2879" s="56"/>
      <c r="S2879" s="57"/>
      <c r="T2879" s="58">
        <f t="shared" si="437"/>
        <v>0</v>
      </c>
      <c r="U2879" s="36">
        <f t="shared" si="438"/>
        <v>0</v>
      </c>
      <c r="V2879" s="59">
        <f t="shared" si="439"/>
        <v>0</v>
      </c>
      <c r="W2879" s="39">
        <f t="shared" si="440"/>
        <v>0</v>
      </c>
      <c r="X2879" s="40">
        <f t="shared" si="441"/>
        <v>0</v>
      </c>
      <c r="Y2879"/>
      <c r="Z2879"/>
      <c r="AA2879"/>
    </row>
    <row r="2880" spans="1:27" s="51" customFormat="1" ht="18.600000000000001" hidden="1" customHeight="1" x14ac:dyDescent="0.25">
      <c r="A2880" s="82" t="s">
        <v>2653</v>
      </c>
      <c r="B2880" s="41" t="s">
        <v>9380</v>
      </c>
      <c r="C2880" s="42"/>
      <c r="D2880" s="41" t="s">
        <v>7314</v>
      </c>
      <c r="E2880" s="43" t="s">
        <v>7315</v>
      </c>
      <c r="F2880" s="43" t="s">
        <v>1937</v>
      </c>
      <c r="G2880" s="43"/>
      <c r="H2880" s="85" t="s">
        <v>7316</v>
      </c>
      <c r="I2880" s="23" t="s">
        <v>24</v>
      </c>
      <c r="J2880" s="44">
        <v>350</v>
      </c>
      <c r="K2880" s="45">
        <v>0.25</v>
      </c>
      <c r="L2880" s="46">
        <f t="shared" si="433"/>
        <v>87.5</v>
      </c>
      <c r="M2880" s="47">
        <f t="shared" si="434"/>
        <v>262.5</v>
      </c>
      <c r="N2880" s="48">
        <v>0.16</v>
      </c>
      <c r="O2880" s="49">
        <f t="shared" si="435"/>
        <v>42</v>
      </c>
      <c r="P2880" s="50">
        <f t="shared" si="436"/>
        <v>304.5</v>
      </c>
      <c r="Q2880" s="23"/>
      <c r="R2880" s="60"/>
      <c r="S2880" s="61"/>
      <c r="T2880" s="62">
        <f t="shared" si="437"/>
        <v>0</v>
      </c>
      <c r="U2880" s="46">
        <f t="shared" si="438"/>
        <v>0</v>
      </c>
      <c r="V2880" s="63">
        <f t="shared" si="439"/>
        <v>0</v>
      </c>
      <c r="W2880" s="49">
        <f t="shared" si="440"/>
        <v>0</v>
      </c>
      <c r="X2880" s="50">
        <f t="shared" si="441"/>
        <v>0</v>
      </c>
      <c r="Y2880"/>
      <c r="Z2880"/>
      <c r="AA2880"/>
    </row>
    <row r="2881" spans="1:27" s="51" customFormat="1" ht="18.600000000000001" hidden="1" customHeight="1" x14ac:dyDescent="0.25">
      <c r="A2881" s="80" t="s">
        <v>2653</v>
      </c>
      <c r="B2881" s="20" t="s">
        <v>9380</v>
      </c>
      <c r="C2881" s="21"/>
      <c r="D2881" s="20" t="s">
        <v>7317</v>
      </c>
      <c r="E2881" s="22" t="s">
        <v>7318</v>
      </c>
      <c r="F2881" s="22" t="s">
        <v>1937</v>
      </c>
      <c r="G2881" s="22"/>
      <c r="H2881" s="83" t="s">
        <v>7319</v>
      </c>
      <c r="I2881" s="23" t="s">
        <v>24</v>
      </c>
      <c r="J2881" s="24">
        <v>185</v>
      </c>
      <c r="K2881" s="25">
        <v>0.25</v>
      </c>
      <c r="L2881" s="26">
        <f t="shared" si="433"/>
        <v>46.25</v>
      </c>
      <c r="M2881" s="27">
        <f t="shared" si="434"/>
        <v>138.75</v>
      </c>
      <c r="N2881" s="28">
        <v>0.16</v>
      </c>
      <c r="O2881" s="29">
        <f t="shared" si="435"/>
        <v>22.2</v>
      </c>
      <c r="P2881" s="30">
        <f t="shared" si="436"/>
        <v>160.94999999999999</v>
      </c>
      <c r="Q2881" s="23"/>
      <c r="R2881" s="52"/>
      <c r="S2881" s="53"/>
      <c r="T2881" s="54">
        <f t="shared" si="437"/>
        <v>0</v>
      </c>
      <c r="U2881" s="26">
        <f t="shared" si="438"/>
        <v>0</v>
      </c>
      <c r="V2881" s="55">
        <f t="shared" si="439"/>
        <v>0</v>
      </c>
      <c r="W2881" s="29">
        <f t="shared" si="440"/>
        <v>0</v>
      </c>
      <c r="X2881" s="30">
        <f t="shared" si="441"/>
        <v>0</v>
      </c>
      <c r="Y2881"/>
      <c r="Z2881"/>
      <c r="AA2881"/>
    </row>
    <row r="2882" spans="1:27" s="51" customFormat="1" ht="18.600000000000001" hidden="1" customHeight="1" x14ac:dyDescent="0.25">
      <c r="A2882" s="81" t="s">
        <v>2653</v>
      </c>
      <c r="B2882" s="31" t="s">
        <v>9380</v>
      </c>
      <c r="C2882" s="32"/>
      <c r="D2882" s="31" t="s">
        <v>7320</v>
      </c>
      <c r="E2882" s="33" t="s">
        <v>7321</v>
      </c>
      <c r="F2882" s="33" t="s">
        <v>1937</v>
      </c>
      <c r="G2882" s="33"/>
      <c r="H2882" s="84" t="s">
        <v>7322</v>
      </c>
      <c r="I2882" s="23" t="s">
        <v>24</v>
      </c>
      <c r="J2882" s="34">
        <v>185</v>
      </c>
      <c r="K2882" s="35">
        <v>0.25</v>
      </c>
      <c r="L2882" s="36">
        <f t="shared" si="433"/>
        <v>46.25</v>
      </c>
      <c r="M2882" s="37">
        <f t="shared" si="434"/>
        <v>138.75</v>
      </c>
      <c r="N2882" s="38">
        <v>0.16</v>
      </c>
      <c r="O2882" s="39">
        <f t="shared" si="435"/>
        <v>22.2</v>
      </c>
      <c r="P2882" s="40">
        <f t="shared" si="436"/>
        <v>160.94999999999999</v>
      </c>
      <c r="Q2882" s="23"/>
      <c r="R2882" s="56"/>
      <c r="S2882" s="57"/>
      <c r="T2882" s="58">
        <f t="shared" si="437"/>
        <v>0</v>
      </c>
      <c r="U2882" s="36">
        <f t="shared" si="438"/>
        <v>0</v>
      </c>
      <c r="V2882" s="59">
        <f t="shared" si="439"/>
        <v>0</v>
      </c>
      <c r="W2882" s="39">
        <f t="shared" si="440"/>
        <v>0</v>
      </c>
      <c r="X2882" s="40">
        <f t="shared" si="441"/>
        <v>0</v>
      </c>
      <c r="Y2882"/>
      <c r="Z2882"/>
      <c r="AA2882"/>
    </row>
    <row r="2883" spans="1:27" s="51" customFormat="1" ht="18.600000000000001" hidden="1" customHeight="1" x14ac:dyDescent="0.25">
      <c r="A2883" s="82" t="s">
        <v>2653</v>
      </c>
      <c r="B2883" s="41" t="s">
        <v>9380</v>
      </c>
      <c r="C2883" s="42"/>
      <c r="D2883" s="41" t="s">
        <v>7323</v>
      </c>
      <c r="E2883" s="43" t="s">
        <v>7324</v>
      </c>
      <c r="F2883" s="43" t="s">
        <v>1937</v>
      </c>
      <c r="G2883" s="43"/>
      <c r="H2883" s="85" t="s">
        <v>7325</v>
      </c>
      <c r="I2883" s="23" t="s">
        <v>24</v>
      </c>
      <c r="J2883" s="44">
        <v>680</v>
      </c>
      <c r="K2883" s="45">
        <v>0.25</v>
      </c>
      <c r="L2883" s="46">
        <f t="shared" si="433"/>
        <v>170</v>
      </c>
      <c r="M2883" s="47">
        <f t="shared" si="434"/>
        <v>510</v>
      </c>
      <c r="N2883" s="48">
        <v>0.16</v>
      </c>
      <c r="O2883" s="49">
        <f t="shared" si="435"/>
        <v>81.600000000000009</v>
      </c>
      <c r="P2883" s="50">
        <f t="shared" si="436"/>
        <v>591.6</v>
      </c>
      <c r="Q2883" s="23"/>
      <c r="R2883" s="60"/>
      <c r="S2883" s="61"/>
      <c r="T2883" s="62">
        <f t="shared" si="437"/>
        <v>0</v>
      </c>
      <c r="U2883" s="46">
        <f t="shared" si="438"/>
        <v>0</v>
      </c>
      <c r="V2883" s="63">
        <f t="shared" si="439"/>
        <v>0</v>
      </c>
      <c r="W2883" s="49">
        <f t="shared" si="440"/>
        <v>0</v>
      </c>
      <c r="X2883" s="50">
        <f t="shared" si="441"/>
        <v>0</v>
      </c>
      <c r="Y2883"/>
      <c r="Z2883"/>
      <c r="AA2883"/>
    </row>
    <row r="2884" spans="1:27" s="51" customFormat="1" ht="18.600000000000001" hidden="1" customHeight="1" x14ac:dyDescent="0.25">
      <c r="A2884" s="80" t="s">
        <v>2653</v>
      </c>
      <c r="B2884" s="20" t="s">
        <v>9380</v>
      </c>
      <c r="C2884" s="21"/>
      <c r="D2884" s="20" t="s">
        <v>7326</v>
      </c>
      <c r="E2884" s="22" t="s">
        <v>7327</v>
      </c>
      <c r="F2884" s="22" t="s">
        <v>1937</v>
      </c>
      <c r="G2884" s="22"/>
      <c r="H2884" s="83" t="s">
        <v>7328</v>
      </c>
      <c r="I2884" s="23" t="s">
        <v>24</v>
      </c>
      <c r="J2884" s="24">
        <v>185</v>
      </c>
      <c r="K2884" s="25">
        <v>0.25</v>
      </c>
      <c r="L2884" s="26">
        <f t="shared" si="433"/>
        <v>46.25</v>
      </c>
      <c r="M2884" s="27">
        <f t="shared" si="434"/>
        <v>138.75</v>
      </c>
      <c r="N2884" s="28">
        <v>0.16</v>
      </c>
      <c r="O2884" s="29">
        <f t="shared" si="435"/>
        <v>22.2</v>
      </c>
      <c r="P2884" s="30">
        <f t="shared" si="436"/>
        <v>160.94999999999999</v>
      </c>
      <c r="Q2884" s="23"/>
      <c r="R2884" s="52"/>
      <c r="S2884" s="53"/>
      <c r="T2884" s="54">
        <f t="shared" si="437"/>
        <v>0</v>
      </c>
      <c r="U2884" s="26">
        <f t="shared" si="438"/>
        <v>0</v>
      </c>
      <c r="V2884" s="55">
        <f t="shared" si="439"/>
        <v>0</v>
      </c>
      <c r="W2884" s="29">
        <f t="shared" si="440"/>
        <v>0</v>
      </c>
      <c r="X2884" s="30">
        <f t="shared" si="441"/>
        <v>0</v>
      </c>
      <c r="Y2884"/>
      <c r="Z2884"/>
      <c r="AA2884"/>
    </row>
    <row r="2885" spans="1:27" s="51" customFormat="1" ht="18.600000000000001" hidden="1" customHeight="1" x14ac:dyDescent="0.25">
      <c r="A2885" s="81" t="s">
        <v>2653</v>
      </c>
      <c r="B2885" s="31" t="s">
        <v>9380</v>
      </c>
      <c r="C2885" s="32"/>
      <c r="D2885" s="31" t="s">
        <v>7329</v>
      </c>
      <c r="E2885" s="33" t="s">
        <v>7330</v>
      </c>
      <c r="F2885" s="33" t="s">
        <v>1937</v>
      </c>
      <c r="G2885" s="33"/>
      <c r="H2885" s="84" t="s">
        <v>7331</v>
      </c>
      <c r="I2885" s="23" t="s">
        <v>24</v>
      </c>
      <c r="J2885" s="34">
        <v>475</v>
      </c>
      <c r="K2885" s="35">
        <v>0.25</v>
      </c>
      <c r="L2885" s="36">
        <f t="shared" si="433"/>
        <v>118.75</v>
      </c>
      <c r="M2885" s="37">
        <f t="shared" si="434"/>
        <v>356.25</v>
      </c>
      <c r="N2885" s="38">
        <v>0.16</v>
      </c>
      <c r="O2885" s="39">
        <f t="shared" si="435"/>
        <v>57</v>
      </c>
      <c r="P2885" s="40">
        <f t="shared" si="436"/>
        <v>413.25</v>
      </c>
      <c r="Q2885" s="23"/>
      <c r="R2885" s="56"/>
      <c r="S2885" s="57"/>
      <c r="T2885" s="58">
        <f t="shared" si="437"/>
        <v>0</v>
      </c>
      <c r="U2885" s="36">
        <f t="shared" si="438"/>
        <v>0</v>
      </c>
      <c r="V2885" s="59">
        <f t="shared" si="439"/>
        <v>0</v>
      </c>
      <c r="W2885" s="39">
        <f t="shared" si="440"/>
        <v>0</v>
      </c>
      <c r="X2885" s="40">
        <f t="shared" si="441"/>
        <v>0</v>
      </c>
      <c r="Y2885"/>
      <c r="Z2885"/>
      <c r="AA2885"/>
    </row>
    <row r="2886" spans="1:27" s="51" customFormat="1" ht="18.600000000000001" hidden="1" customHeight="1" x14ac:dyDescent="0.25">
      <c r="A2886" s="82" t="s">
        <v>2653</v>
      </c>
      <c r="B2886" s="41" t="s">
        <v>9380</v>
      </c>
      <c r="C2886" s="42"/>
      <c r="D2886" s="41" t="s">
        <v>7332</v>
      </c>
      <c r="E2886" s="43" t="s">
        <v>7333</v>
      </c>
      <c r="F2886" s="43" t="s">
        <v>1937</v>
      </c>
      <c r="G2886" s="43"/>
      <c r="H2886" s="85" t="s">
        <v>7334</v>
      </c>
      <c r="I2886" s="23" t="s">
        <v>24</v>
      </c>
      <c r="J2886" s="44">
        <v>245</v>
      </c>
      <c r="K2886" s="45">
        <v>0.25</v>
      </c>
      <c r="L2886" s="46">
        <f t="shared" si="433"/>
        <v>61.25</v>
      </c>
      <c r="M2886" s="47">
        <f t="shared" si="434"/>
        <v>183.75</v>
      </c>
      <c r="N2886" s="48">
        <v>0.16</v>
      </c>
      <c r="O2886" s="49">
        <f t="shared" si="435"/>
        <v>29.400000000000002</v>
      </c>
      <c r="P2886" s="50">
        <f t="shared" si="436"/>
        <v>213.15</v>
      </c>
      <c r="Q2886" s="23"/>
      <c r="R2886" s="60"/>
      <c r="S2886" s="61"/>
      <c r="T2886" s="62">
        <f t="shared" si="437"/>
        <v>0</v>
      </c>
      <c r="U2886" s="46">
        <f t="shared" si="438"/>
        <v>0</v>
      </c>
      <c r="V2886" s="63">
        <f t="shared" si="439"/>
        <v>0</v>
      </c>
      <c r="W2886" s="49">
        <f t="shared" si="440"/>
        <v>0</v>
      </c>
      <c r="X2886" s="50">
        <f t="shared" si="441"/>
        <v>0</v>
      </c>
      <c r="Y2886"/>
      <c r="Z2886"/>
      <c r="AA2886"/>
    </row>
    <row r="2887" spans="1:27" s="51" customFormat="1" ht="18.600000000000001" hidden="1" customHeight="1" x14ac:dyDescent="0.25">
      <c r="A2887" s="80" t="s">
        <v>2653</v>
      </c>
      <c r="B2887" s="20" t="s">
        <v>9380</v>
      </c>
      <c r="C2887" s="21"/>
      <c r="D2887" s="20" t="s">
        <v>7335</v>
      </c>
      <c r="E2887" s="22" t="s">
        <v>7336</v>
      </c>
      <c r="F2887" s="22" t="s">
        <v>1937</v>
      </c>
      <c r="G2887" s="22"/>
      <c r="H2887" s="83" t="s">
        <v>7337</v>
      </c>
      <c r="I2887" s="23" t="s">
        <v>24</v>
      </c>
      <c r="J2887" s="24">
        <v>160</v>
      </c>
      <c r="K2887" s="25">
        <v>0.25</v>
      </c>
      <c r="L2887" s="26">
        <f t="shared" si="433"/>
        <v>40</v>
      </c>
      <c r="M2887" s="27">
        <f t="shared" si="434"/>
        <v>120</v>
      </c>
      <c r="N2887" s="28">
        <v>0.16</v>
      </c>
      <c r="O2887" s="29">
        <f t="shared" si="435"/>
        <v>19.2</v>
      </c>
      <c r="P2887" s="30">
        <f t="shared" si="436"/>
        <v>139.19999999999999</v>
      </c>
      <c r="Q2887" s="23"/>
      <c r="R2887" s="52"/>
      <c r="S2887" s="53"/>
      <c r="T2887" s="54">
        <f t="shared" si="437"/>
        <v>0</v>
      </c>
      <c r="U2887" s="26">
        <f t="shared" si="438"/>
        <v>0</v>
      </c>
      <c r="V2887" s="55">
        <f t="shared" si="439"/>
        <v>0</v>
      </c>
      <c r="W2887" s="29">
        <f t="shared" si="440"/>
        <v>0</v>
      </c>
      <c r="X2887" s="30">
        <f t="shared" si="441"/>
        <v>0</v>
      </c>
      <c r="Y2887"/>
      <c r="Z2887"/>
      <c r="AA2887"/>
    </row>
    <row r="2888" spans="1:27" s="51" customFormat="1" ht="18.600000000000001" hidden="1" customHeight="1" x14ac:dyDescent="0.25">
      <c r="A2888" s="81" t="s">
        <v>2653</v>
      </c>
      <c r="B2888" s="31" t="s">
        <v>9380</v>
      </c>
      <c r="C2888" s="32"/>
      <c r="D2888" s="31">
        <v>8435568306127</v>
      </c>
      <c r="E2888" s="33" t="s">
        <v>7338</v>
      </c>
      <c r="F2888" s="33" t="s">
        <v>1937</v>
      </c>
      <c r="G2888" s="33"/>
      <c r="H2888" s="84" t="s">
        <v>7339</v>
      </c>
      <c r="I2888" s="23" t="s">
        <v>24</v>
      </c>
      <c r="J2888" s="34">
        <v>510</v>
      </c>
      <c r="K2888" s="35">
        <v>0.25</v>
      </c>
      <c r="L2888" s="36">
        <f t="shared" si="433"/>
        <v>127.5</v>
      </c>
      <c r="M2888" s="37">
        <f t="shared" si="434"/>
        <v>382.5</v>
      </c>
      <c r="N2888" s="38">
        <v>0.16</v>
      </c>
      <c r="O2888" s="39">
        <f t="shared" si="435"/>
        <v>61.2</v>
      </c>
      <c r="P2888" s="40">
        <f t="shared" si="436"/>
        <v>443.7</v>
      </c>
      <c r="Q2888" s="23"/>
      <c r="R2888" s="56"/>
      <c r="S2888" s="57"/>
      <c r="T2888" s="58">
        <f t="shared" si="437"/>
        <v>0</v>
      </c>
      <c r="U2888" s="36">
        <f t="shared" si="438"/>
        <v>0</v>
      </c>
      <c r="V2888" s="59">
        <f t="shared" si="439"/>
        <v>0</v>
      </c>
      <c r="W2888" s="39">
        <f t="shared" si="440"/>
        <v>0</v>
      </c>
      <c r="X2888" s="40">
        <f t="shared" si="441"/>
        <v>0</v>
      </c>
      <c r="Y2888"/>
      <c r="Z2888"/>
      <c r="AA2888"/>
    </row>
    <row r="2889" spans="1:27" s="51" customFormat="1" ht="18.600000000000001" hidden="1" customHeight="1" x14ac:dyDescent="0.25">
      <c r="A2889" s="82" t="s">
        <v>2653</v>
      </c>
      <c r="B2889" s="41" t="s">
        <v>9380</v>
      </c>
      <c r="C2889" s="42"/>
      <c r="D2889" s="41" t="s">
        <v>7340</v>
      </c>
      <c r="E2889" s="43" t="s">
        <v>7341</v>
      </c>
      <c r="F2889" s="43" t="s">
        <v>1937</v>
      </c>
      <c r="G2889" s="43"/>
      <c r="H2889" s="85" t="s">
        <v>7342</v>
      </c>
      <c r="I2889" s="23" t="s">
        <v>24</v>
      </c>
      <c r="J2889" s="44">
        <v>210</v>
      </c>
      <c r="K2889" s="45">
        <v>0.25</v>
      </c>
      <c r="L2889" s="46">
        <f t="shared" si="433"/>
        <v>52.5</v>
      </c>
      <c r="M2889" s="47">
        <f t="shared" si="434"/>
        <v>157.5</v>
      </c>
      <c r="N2889" s="48">
        <v>0.16</v>
      </c>
      <c r="O2889" s="49">
        <f t="shared" si="435"/>
        <v>25.2</v>
      </c>
      <c r="P2889" s="50">
        <f t="shared" si="436"/>
        <v>182.7</v>
      </c>
      <c r="Q2889" s="23"/>
      <c r="R2889" s="60"/>
      <c r="S2889" s="61"/>
      <c r="T2889" s="62">
        <f t="shared" si="437"/>
        <v>0</v>
      </c>
      <c r="U2889" s="46">
        <f t="shared" si="438"/>
        <v>0</v>
      </c>
      <c r="V2889" s="63">
        <f t="shared" si="439"/>
        <v>0</v>
      </c>
      <c r="W2889" s="49">
        <f t="shared" si="440"/>
        <v>0</v>
      </c>
      <c r="X2889" s="50">
        <f t="shared" si="441"/>
        <v>0</v>
      </c>
      <c r="Y2889"/>
      <c r="Z2889"/>
      <c r="AA2889"/>
    </row>
    <row r="2890" spans="1:27" s="51" customFormat="1" ht="18.600000000000001" hidden="1" customHeight="1" x14ac:dyDescent="0.25">
      <c r="A2890" s="80" t="s">
        <v>2653</v>
      </c>
      <c r="B2890" s="20" t="s">
        <v>9380</v>
      </c>
      <c r="C2890" s="21"/>
      <c r="D2890" s="20" t="s">
        <v>7343</v>
      </c>
      <c r="E2890" s="22" t="s">
        <v>7344</v>
      </c>
      <c r="F2890" s="22" t="s">
        <v>1937</v>
      </c>
      <c r="G2890" s="22"/>
      <c r="H2890" s="83" t="s">
        <v>7345</v>
      </c>
      <c r="I2890" s="23" t="s">
        <v>24</v>
      </c>
      <c r="J2890" s="24">
        <v>210</v>
      </c>
      <c r="K2890" s="25">
        <v>0.25</v>
      </c>
      <c r="L2890" s="26">
        <f t="shared" si="433"/>
        <v>52.5</v>
      </c>
      <c r="M2890" s="27">
        <f t="shared" si="434"/>
        <v>157.5</v>
      </c>
      <c r="N2890" s="28">
        <v>0.16</v>
      </c>
      <c r="O2890" s="29">
        <f t="shared" si="435"/>
        <v>25.2</v>
      </c>
      <c r="P2890" s="30">
        <f t="shared" si="436"/>
        <v>182.7</v>
      </c>
      <c r="Q2890" s="23"/>
      <c r="R2890" s="52"/>
      <c r="S2890" s="53"/>
      <c r="T2890" s="54">
        <f t="shared" si="437"/>
        <v>0</v>
      </c>
      <c r="U2890" s="26">
        <f t="shared" si="438"/>
        <v>0</v>
      </c>
      <c r="V2890" s="55">
        <f t="shared" si="439"/>
        <v>0</v>
      </c>
      <c r="W2890" s="29">
        <f t="shared" si="440"/>
        <v>0</v>
      </c>
      <c r="X2890" s="30">
        <f t="shared" si="441"/>
        <v>0</v>
      </c>
      <c r="Y2890"/>
      <c r="Z2890"/>
      <c r="AA2890"/>
    </row>
    <row r="2891" spans="1:27" s="51" customFormat="1" ht="18.600000000000001" hidden="1" customHeight="1" x14ac:dyDescent="0.25">
      <c r="A2891" s="81" t="s">
        <v>2653</v>
      </c>
      <c r="B2891" s="31" t="s">
        <v>9380</v>
      </c>
      <c r="C2891" s="32"/>
      <c r="D2891" s="31" t="s">
        <v>7346</v>
      </c>
      <c r="E2891" s="33" t="s">
        <v>7347</v>
      </c>
      <c r="F2891" s="33" t="s">
        <v>1937</v>
      </c>
      <c r="G2891" s="33"/>
      <c r="H2891" s="84" t="s">
        <v>7348</v>
      </c>
      <c r="I2891" s="23" t="s">
        <v>24</v>
      </c>
      <c r="J2891" s="34">
        <v>210</v>
      </c>
      <c r="K2891" s="35">
        <v>0.25</v>
      </c>
      <c r="L2891" s="36">
        <f t="shared" si="433"/>
        <v>52.5</v>
      </c>
      <c r="M2891" s="37">
        <f t="shared" si="434"/>
        <v>157.5</v>
      </c>
      <c r="N2891" s="38">
        <v>0.16</v>
      </c>
      <c r="O2891" s="39">
        <f t="shared" si="435"/>
        <v>25.2</v>
      </c>
      <c r="P2891" s="40">
        <f t="shared" si="436"/>
        <v>182.7</v>
      </c>
      <c r="Q2891" s="23"/>
      <c r="R2891" s="56"/>
      <c r="S2891" s="57"/>
      <c r="T2891" s="58">
        <f t="shared" si="437"/>
        <v>0</v>
      </c>
      <c r="U2891" s="36">
        <f t="shared" si="438"/>
        <v>0</v>
      </c>
      <c r="V2891" s="59">
        <f t="shared" si="439"/>
        <v>0</v>
      </c>
      <c r="W2891" s="39">
        <f t="shared" si="440"/>
        <v>0</v>
      </c>
      <c r="X2891" s="40">
        <f t="shared" si="441"/>
        <v>0</v>
      </c>
      <c r="Y2891"/>
      <c r="Z2891"/>
      <c r="AA2891"/>
    </row>
    <row r="2892" spans="1:27" s="51" customFormat="1" ht="18.600000000000001" hidden="1" customHeight="1" x14ac:dyDescent="0.25">
      <c r="A2892" s="82" t="s">
        <v>2653</v>
      </c>
      <c r="B2892" s="41" t="s">
        <v>9380</v>
      </c>
      <c r="C2892" s="42"/>
      <c r="D2892" s="41" t="s">
        <v>7349</v>
      </c>
      <c r="E2892" s="43" t="s">
        <v>7350</v>
      </c>
      <c r="F2892" s="43" t="s">
        <v>1937</v>
      </c>
      <c r="G2892" s="43"/>
      <c r="H2892" s="85" t="s">
        <v>7351</v>
      </c>
      <c r="I2892" s="23" t="s">
        <v>24</v>
      </c>
      <c r="J2892" s="44">
        <v>210</v>
      </c>
      <c r="K2892" s="45">
        <v>0.25</v>
      </c>
      <c r="L2892" s="46">
        <f t="shared" si="433"/>
        <v>52.5</v>
      </c>
      <c r="M2892" s="47">
        <f t="shared" si="434"/>
        <v>157.5</v>
      </c>
      <c r="N2892" s="48">
        <v>0.16</v>
      </c>
      <c r="O2892" s="49">
        <f t="shared" si="435"/>
        <v>25.2</v>
      </c>
      <c r="P2892" s="50">
        <f t="shared" si="436"/>
        <v>182.7</v>
      </c>
      <c r="Q2892" s="23"/>
      <c r="R2892" s="60"/>
      <c r="S2892" s="61"/>
      <c r="T2892" s="62">
        <f t="shared" si="437"/>
        <v>0</v>
      </c>
      <c r="U2892" s="46">
        <f t="shared" si="438"/>
        <v>0</v>
      </c>
      <c r="V2892" s="63">
        <f t="shared" si="439"/>
        <v>0</v>
      </c>
      <c r="W2892" s="49">
        <f t="shared" si="440"/>
        <v>0</v>
      </c>
      <c r="X2892" s="50">
        <f t="shared" si="441"/>
        <v>0</v>
      </c>
      <c r="Y2892"/>
      <c r="Z2892"/>
      <c r="AA2892"/>
    </row>
    <row r="2893" spans="1:27" s="51" customFormat="1" ht="18.600000000000001" hidden="1" customHeight="1" x14ac:dyDescent="0.25">
      <c r="A2893" s="80" t="s">
        <v>2653</v>
      </c>
      <c r="B2893" s="20" t="s">
        <v>9380</v>
      </c>
      <c r="C2893" s="21"/>
      <c r="D2893" s="20">
        <v>8435568307957</v>
      </c>
      <c r="E2893" s="22" t="s">
        <v>7352</v>
      </c>
      <c r="F2893" s="22" t="s">
        <v>1937</v>
      </c>
      <c r="G2893" s="22"/>
      <c r="H2893" s="83" t="s">
        <v>7353</v>
      </c>
      <c r="I2893" s="23" t="s">
        <v>24</v>
      </c>
      <c r="J2893" s="24">
        <v>360</v>
      </c>
      <c r="K2893" s="25">
        <v>0.25</v>
      </c>
      <c r="L2893" s="26">
        <f t="shared" si="433"/>
        <v>90</v>
      </c>
      <c r="M2893" s="27">
        <f t="shared" si="434"/>
        <v>270</v>
      </c>
      <c r="N2893" s="28">
        <v>0.16</v>
      </c>
      <c r="O2893" s="29">
        <f t="shared" si="435"/>
        <v>43.2</v>
      </c>
      <c r="P2893" s="30">
        <f t="shared" si="436"/>
        <v>313.2</v>
      </c>
      <c r="Q2893" s="23"/>
      <c r="R2893" s="52"/>
      <c r="S2893" s="53"/>
      <c r="T2893" s="54">
        <f t="shared" si="437"/>
        <v>0</v>
      </c>
      <c r="U2893" s="26">
        <f t="shared" si="438"/>
        <v>0</v>
      </c>
      <c r="V2893" s="55">
        <f t="shared" si="439"/>
        <v>0</v>
      </c>
      <c r="W2893" s="29">
        <f t="shared" si="440"/>
        <v>0</v>
      </c>
      <c r="X2893" s="30">
        <f t="shared" si="441"/>
        <v>0</v>
      </c>
      <c r="Y2893"/>
      <c r="Z2893"/>
      <c r="AA2893"/>
    </row>
    <row r="2894" spans="1:27" s="51" customFormat="1" ht="18.600000000000001" hidden="1" customHeight="1" x14ac:dyDescent="0.25">
      <c r="A2894" s="81" t="s">
        <v>2653</v>
      </c>
      <c r="B2894" s="31" t="s">
        <v>9380</v>
      </c>
      <c r="C2894" s="32"/>
      <c r="D2894" s="31">
        <v>8435568307964</v>
      </c>
      <c r="E2894" s="33" t="s">
        <v>7354</v>
      </c>
      <c r="F2894" s="33" t="s">
        <v>1937</v>
      </c>
      <c r="G2894" s="33"/>
      <c r="H2894" s="84" t="s">
        <v>7355</v>
      </c>
      <c r="I2894" s="23" t="s">
        <v>24</v>
      </c>
      <c r="J2894" s="34">
        <v>385</v>
      </c>
      <c r="K2894" s="35">
        <v>0.25</v>
      </c>
      <c r="L2894" s="36">
        <f t="shared" si="433"/>
        <v>96.25</v>
      </c>
      <c r="M2894" s="37">
        <f t="shared" si="434"/>
        <v>288.75</v>
      </c>
      <c r="N2894" s="38">
        <v>0.16</v>
      </c>
      <c r="O2894" s="39">
        <f t="shared" si="435"/>
        <v>46.2</v>
      </c>
      <c r="P2894" s="40">
        <f t="shared" si="436"/>
        <v>334.95</v>
      </c>
      <c r="Q2894" s="23"/>
      <c r="R2894" s="56"/>
      <c r="S2894" s="57"/>
      <c r="T2894" s="58">
        <f t="shared" si="437"/>
        <v>0</v>
      </c>
      <c r="U2894" s="36">
        <f t="shared" si="438"/>
        <v>0</v>
      </c>
      <c r="V2894" s="59">
        <f t="shared" si="439"/>
        <v>0</v>
      </c>
      <c r="W2894" s="39">
        <f t="shared" si="440"/>
        <v>0</v>
      </c>
      <c r="X2894" s="40">
        <f t="shared" si="441"/>
        <v>0</v>
      </c>
      <c r="Y2894"/>
      <c r="Z2894"/>
      <c r="AA2894"/>
    </row>
    <row r="2895" spans="1:27" s="51" customFormat="1" ht="18.600000000000001" hidden="1" customHeight="1" x14ac:dyDescent="0.25">
      <c r="A2895" s="82" t="s">
        <v>2653</v>
      </c>
      <c r="B2895" s="41" t="s">
        <v>9380</v>
      </c>
      <c r="C2895" s="42"/>
      <c r="D2895" s="41">
        <v>8435568307971</v>
      </c>
      <c r="E2895" s="43" t="s">
        <v>7356</v>
      </c>
      <c r="F2895" s="43" t="s">
        <v>1937</v>
      </c>
      <c r="G2895" s="43"/>
      <c r="H2895" s="85" t="s">
        <v>7357</v>
      </c>
      <c r="I2895" s="23" t="s">
        <v>24</v>
      </c>
      <c r="J2895" s="44">
        <v>385</v>
      </c>
      <c r="K2895" s="45">
        <v>0.25</v>
      </c>
      <c r="L2895" s="46">
        <f t="shared" si="433"/>
        <v>96.25</v>
      </c>
      <c r="M2895" s="47">
        <f t="shared" si="434"/>
        <v>288.75</v>
      </c>
      <c r="N2895" s="48">
        <v>0.16</v>
      </c>
      <c r="O2895" s="49">
        <f t="shared" si="435"/>
        <v>46.2</v>
      </c>
      <c r="P2895" s="50">
        <f t="shared" si="436"/>
        <v>334.95</v>
      </c>
      <c r="Q2895" s="23"/>
      <c r="R2895" s="60"/>
      <c r="S2895" s="61"/>
      <c r="T2895" s="62">
        <f t="shared" si="437"/>
        <v>0</v>
      </c>
      <c r="U2895" s="46">
        <f t="shared" si="438"/>
        <v>0</v>
      </c>
      <c r="V2895" s="63">
        <f t="shared" si="439"/>
        <v>0</v>
      </c>
      <c r="W2895" s="49">
        <f t="shared" si="440"/>
        <v>0</v>
      </c>
      <c r="X2895" s="50">
        <f t="shared" si="441"/>
        <v>0</v>
      </c>
      <c r="Y2895"/>
      <c r="Z2895"/>
      <c r="AA2895"/>
    </row>
    <row r="2896" spans="1:27" s="51" customFormat="1" ht="18.600000000000001" hidden="1" customHeight="1" x14ac:dyDescent="0.25">
      <c r="A2896" s="80" t="s">
        <v>2653</v>
      </c>
      <c r="B2896" s="20" t="s">
        <v>9380</v>
      </c>
      <c r="C2896" s="21"/>
      <c r="D2896" s="20">
        <v>8435568308459</v>
      </c>
      <c r="E2896" s="22" t="s">
        <v>7358</v>
      </c>
      <c r="F2896" s="22" t="s">
        <v>1937</v>
      </c>
      <c r="G2896" s="22"/>
      <c r="H2896" s="83" t="s">
        <v>7359</v>
      </c>
      <c r="I2896" s="23" t="s">
        <v>24</v>
      </c>
      <c r="J2896" s="24">
        <v>300</v>
      </c>
      <c r="K2896" s="25">
        <v>0.25</v>
      </c>
      <c r="L2896" s="26">
        <f t="shared" si="433"/>
        <v>75</v>
      </c>
      <c r="M2896" s="27">
        <f t="shared" si="434"/>
        <v>225</v>
      </c>
      <c r="N2896" s="28">
        <v>0.16</v>
      </c>
      <c r="O2896" s="29">
        <f t="shared" si="435"/>
        <v>36</v>
      </c>
      <c r="P2896" s="30">
        <f t="shared" si="436"/>
        <v>261</v>
      </c>
      <c r="Q2896" s="23"/>
      <c r="R2896" s="52"/>
      <c r="S2896" s="53"/>
      <c r="T2896" s="54">
        <f t="shared" si="437"/>
        <v>0</v>
      </c>
      <c r="U2896" s="26">
        <f t="shared" si="438"/>
        <v>0</v>
      </c>
      <c r="V2896" s="55">
        <f t="shared" si="439"/>
        <v>0</v>
      </c>
      <c r="W2896" s="29">
        <f t="shared" si="440"/>
        <v>0</v>
      </c>
      <c r="X2896" s="30">
        <f t="shared" si="441"/>
        <v>0</v>
      </c>
      <c r="Y2896"/>
      <c r="Z2896"/>
      <c r="AA2896"/>
    </row>
    <row r="2897" spans="1:27" s="51" customFormat="1" ht="18.600000000000001" hidden="1" customHeight="1" x14ac:dyDescent="0.25">
      <c r="A2897" s="81" t="s">
        <v>2653</v>
      </c>
      <c r="B2897" s="31" t="s">
        <v>9380</v>
      </c>
      <c r="C2897" s="32"/>
      <c r="D2897" s="31">
        <v>8435568308466</v>
      </c>
      <c r="E2897" s="33" t="s">
        <v>7360</v>
      </c>
      <c r="F2897" s="33" t="s">
        <v>1937</v>
      </c>
      <c r="G2897" s="33"/>
      <c r="H2897" s="84" t="s">
        <v>7361</v>
      </c>
      <c r="I2897" s="23" t="s">
        <v>24</v>
      </c>
      <c r="J2897" s="34">
        <v>170</v>
      </c>
      <c r="K2897" s="35">
        <v>0.25</v>
      </c>
      <c r="L2897" s="36">
        <f t="shared" si="433"/>
        <v>42.5</v>
      </c>
      <c r="M2897" s="37">
        <f t="shared" si="434"/>
        <v>127.5</v>
      </c>
      <c r="N2897" s="38">
        <v>0.16</v>
      </c>
      <c r="O2897" s="39">
        <f t="shared" si="435"/>
        <v>20.400000000000002</v>
      </c>
      <c r="P2897" s="40">
        <f t="shared" si="436"/>
        <v>147.9</v>
      </c>
      <c r="Q2897" s="23"/>
      <c r="R2897" s="56"/>
      <c r="S2897" s="57"/>
      <c r="T2897" s="58">
        <f t="shared" si="437"/>
        <v>0</v>
      </c>
      <c r="U2897" s="36">
        <f t="shared" si="438"/>
        <v>0</v>
      </c>
      <c r="V2897" s="59">
        <f t="shared" si="439"/>
        <v>0</v>
      </c>
      <c r="W2897" s="39">
        <f t="shared" si="440"/>
        <v>0</v>
      </c>
      <c r="X2897" s="40">
        <f t="shared" si="441"/>
        <v>0</v>
      </c>
      <c r="Y2897"/>
      <c r="Z2897"/>
      <c r="AA2897"/>
    </row>
    <row r="2898" spans="1:27" s="51" customFormat="1" ht="18.600000000000001" hidden="1" customHeight="1" x14ac:dyDescent="0.25">
      <c r="A2898" s="82" t="s">
        <v>2653</v>
      </c>
      <c r="B2898" s="41" t="s">
        <v>9380</v>
      </c>
      <c r="C2898" s="42"/>
      <c r="D2898" s="41" t="s">
        <v>7362</v>
      </c>
      <c r="E2898" s="43" t="s">
        <v>7363</v>
      </c>
      <c r="F2898" s="43" t="s">
        <v>1937</v>
      </c>
      <c r="G2898" s="43"/>
      <c r="H2898" s="85" t="s">
        <v>7364</v>
      </c>
      <c r="I2898" s="23" t="s">
        <v>24</v>
      </c>
      <c r="J2898" s="44">
        <v>300</v>
      </c>
      <c r="K2898" s="45">
        <v>0.25</v>
      </c>
      <c r="L2898" s="46">
        <f t="shared" si="433"/>
        <v>75</v>
      </c>
      <c r="M2898" s="47">
        <f t="shared" si="434"/>
        <v>225</v>
      </c>
      <c r="N2898" s="48">
        <v>0.16</v>
      </c>
      <c r="O2898" s="49">
        <f t="shared" si="435"/>
        <v>36</v>
      </c>
      <c r="P2898" s="50">
        <f t="shared" si="436"/>
        <v>261</v>
      </c>
      <c r="Q2898" s="23"/>
      <c r="R2898" s="60"/>
      <c r="S2898" s="61"/>
      <c r="T2898" s="62">
        <f t="shared" si="437"/>
        <v>0</v>
      </c>
      <c r="U2898" s="46">
        <f t="shared" si="438"/>
        <v>0</v>
      </c>
      <c r="V2898" s="63">
        <f t="shared" si="439"/>
        <v>0</v>
      </c>
      <c r="W2898" s="49">
        <f t="shared" si="440"/>
        <v>0</v>
      </c>
      <c r="X2898" s="50">
        <f t="shared" si="441"/>
        <v>0</v>
      </c>
      <c r="Y2898"/>
      <c r="Z2898"/>
      <c r="AA2898"/>
    </row>
    <row r="2899" spans="1:27" s="51" customFormat="1" ht="18.600000000000001" hidden="1" customHeight="1" x14ac:dyDescent="0.25">
      <c r="A2899" s="80" t="s">
        <v>2653</v>
      </c>
      <c r="B2899" s="20" t="s">
        <v>9380</v>
      </c>
      <c r="C2899" s="21"/>
      <c r="D2899" s="20" t="s">
        <v>7365</v>
      </c>
      <c r="E2899" s="22" t="s">
        <v>7366</v>
      </c>
      <c r="F2899" s="22" t="s">
        <v>1937</v>
      </c>
      <c r="G2899" s="22"/>
      <c r="H2899" s="83" t="s">
        <v>7367</v>
      </c>
      <c r="I2899" s="23" t="s">
        <v>24</v>
      </c>
      <c r="J2899" s="24">
        <v>300</v>
      </c>
      <c r="K2899" s="25">
        <v>0.25</v>
      </c>
      <c r="L2899" s="26">
        <f t="shared" si="433"/>
        <v>75</v>
      </c>
      <c r="M2899" s="27">
        <f t="shared" si="434"/>
        <v>225</v>
      </c>
      <c r="N2899" s="28">
        <v>0.16</v>
      </c>
      <c r="O2899" s="29">
        <f t="shared" si="435"/>
        <v>36</v>
      </c>
      <c r="P2899" s="30">
        <f t="shared" si="436"/>
        <v>261</v>
      </c>
      <c r="Q2899" s="23"/>
      <c r="R2899" s="52"/>
      <c r="S2899" s="53"/>
      <c r="T2899" s="54">
        <f t="shared" si="437"/>
        <v>0</v>
      </c>
      <c r="U2899" s="26">
        <f t="shared" si="438"/>
        <v>0</v>
      </c>
      <c r="V2899" s="55">
        <f t="shared" si="439"/>
        <v>0</v>
      </c>
      <c r="W2899" s="29">
        <f t="shared" si="440"/>
        <v>0</v>
      </c>
      <c r="X2899" s="30">
        <f t="shared" si="441"/>
        <v>0</v>
      </c>
      <c r="Y2899"/>
      <c r="Z2899"/>
      <c r="AA2899"/>
    </row>
    <row r="2900" spans="1:27" s="51" customFormat="1" ht="18.600000000000001" hidden="1" customHeight="1" x14ac:dyDescent="0.25">
      <c r="A2900" s="81" t="s">
        <v>2653</v>
      </c>
      <c r="B2900" s="31" t="s">
        <v>9380</v>
      </c>
      <c r="C2900" s="32"/>
      <c r="D2900" s="31" t="s">
        <v>7368</v>
      </c>
      <c r="E2900" s="33" t="s">
        <v>7369</v>
      </c>
      <c r="F2900" s="33" t="s">
        <v>1937</v>
      </c>
      <c r="G2900" s="33"/>
      <c r="H2900" s="84" t="s">
        <v>7370</v>
      </c>
      <c r="I2900" s="23" t="s">
        <v>24</v>
      </c>
      <c r="J2900" s="34">
        <v>300</v>
      </c>
      <c r="K2900" s="35">
        <v>0.25</v>
      </c>
      <c r="L2900" s="36">
        <f t="shared" si="433"/>
        <v>75</v>
      </c>
      <c r="M2900" s="37">
        <f t="shared" si="434"/>
        <v>225</v>
      </c>
      <c r="N2900" s="38">
        <v>0.16</v>
      </c>
      <c r="O2900" s="39">
        <f t="shared" si="435"/>
        <v>36</v>
      </c>
      <c r="P2900" s="40">
        <f t="shared" si="436"/>
        <v>261</v>
      </c>
      <c r="Q2900" s="23"/>
      <c r="R2900" s="56"/>
      <c r="S2900" s="57"/>
      <c r="T2900" s="58">
        <f t="shared" si="437"/>
        <v>0</v>
      </c>
      <c r="U2900" s="36">
        <f t="shared" si="438"/>
        <v>0</v>
      </c>
      <c r="V2900" s="59">
        <f t="shared" si="439"/>
        <v>0</v>
      </c>
      <c r="W2900" s="39">
        <f t="shared" si="440"/>
        <v>0</v>
      </c>
      <c r="X2900" s="40">
        <f t="shared" si="441"/>
        <v>0</v>
      </c>
      <c r="Y2900"/>
      <c r="Z2900"/>
      <c r="AA2900"/>
    </row>
    <row r="2901" spans="1:27" s="51" customFormat="1" ht="18.600000000000001" hidden="1" customHeight="1" x14ac:dyDescent="0.25">
      <c r="A2901" s="82" t="s">
        <v>2653</v>
      </c>
      <c r="B2901" s="41" t="s">
        <v>9380</v>
      </c>
      <c r="C2901" s="42"/>
      <c r="D2901" s="41" t="s">
        <v>7371</v>
      </c>
      <c r="E2901" s="43" t="s">
        <v>7372</v>
      </c>
      <c r="F2901" s="43" t="s">
        <v>1937</v>
      </c>
      <c r="G2901" s="43"/>
      <c r="H2901" s="85" t="s">
        <v>7373</v>
      </c>
      <c r="I2901" s="23" t="s">
        <v>24</v>
      </c>
      <c r="J2901" s="44">
        <v>300</v>
      </c>
      <c r="K2901" s="45">
        <v>0.25</v>
      </c>
      <c r="L2901" s="46">
        <f t="shared" si="433"/>
        <v>75</v>
      </c>
      <c r="M2901" s="47">
        <f t="shared" si="434"/>
        <v>225</v>
      </c>
      <c r="N2901" s="48">
        <v>0.16</v>
      </c>
      <c r="O2901" s="49">
        <f t="shared" si="435"/>
        <v>36</v>
      </c>
      <c r="P2901" s="50">
        <f t="shared" si="436"/>
        <v>261</v>
      </c>
      <c r="Q2901" s="23"/>
      <c r="R2901" s="60"/>
      <c r="S2901" s="61"/>
      <c r="T2901" s="62">
        <f t="shared" si="437"/>
        <v>0</v>
      </c>
      <c r="U2901" s="46">
        <f t="shared" si="438"/>
        <v>0</v>
      </c>
      <c r="V2901" s="63">
        <f t="shared" si="439"/>
        <v>0</v>
      </c>
      <c r="W2901" s="49">
        <f t="shared" si="440"/>
        <v>0</v>
      </c>
      <c r="X2901" s="50">
        <f t="shared" si="441"/>
        <v>0</v>
      </c>
      <c r="Y2901"/>
      <c r="Z2901"/>
      <c r="AA2901"/>
    </row>
    <row r="2902" spans="1:27" s="51" customFormat="1" ht="18.600000000000001" hidden="1" customHeight="1" x14ac:dyDescent="0.25">
      <c r="A2902" s="80" t="s">
        <v>2653</v>
      </c>
      <c r="B2902" s="20" t="s">
        <v>9380</v>
      </c>
      <c r="C2902" s="21"/>
      <c r="D2902" s="20" t="s">
        <v>7374</v>
      </c>
      <c r="E2902" s="22" t="s">
        <v>7375</v>
      </c>
      <c r="F2902" s="22" t="s">
        <v>1937</v>
      </c>
      <c r="G2902" s="22"/>
      <c r="H2902" s="83" t="s">
        <v>7376</v>
      </c>
      <c r="I2902" s="23" t="s">
        <v>24</v>
      </c>
      <c r="J2902" s="24">
        <v>300</v>
      </c>
      <c r="K2902" s="25">
        <v>0.25</v>
      </c>
      <c r="L2902" s="26">
        <f t="shared" si="433"/>
        <v>75</v>
      </c>
      <c r="M2902" s="27">
        <f t="shared" si="434"/>
        <v>225</v>
      </c>
      <c r="N2902" s="28">
        <v>0.16</v>
      </c>
      <c r="O2902" s="29">
        <f t="shared" si="435"/>
        <v>36</v>
      </c>
      <c r="P2902" s="30">
        <f t="shared" si="436"/>
        <v>261</v>
      </c>
      <c r="Q2902" s="23"/>
      <c r="R2902" s="52"/>
      <c r="S2902" s="53"/>
      <c r="T2902" s="54">
        <f t="shared" si="437"/>
        <v>0</v>
      </c>
      <c r="U2902" s="26">
        <f t="shared" si="438"/>
        <v>0</v>
      </c>
      <c r="V2902" s="55">
        <f t="shared" si="439"/>
        <v>0</v>
      </c>
      <c r="W2902" s="29">
        <f t="shared" si="440"/>
        <v>0</v>
      </c>
      <c r="X2902" s="30">
        <f t="shared" si="441"/>
        <v>0</v>
      </c>
      <c r="Y2902"/>
      <c r="Z2902"/>
      <c r="AA2902"/>
    </row>
    <row r="2903" spans="1:27" s="51" customFormat="1" ht="18.600000000000001" hidden="1" customHeight="1" x14ac:dyDescent="0.25">
      <c r="A2903" s="81" t="s">
        <v>2653</v>
      </c>
      <c r="B2903" s="31" t="s">
        <v>9380</v>
      </c>
      <c r="C2903" s="32"/>
      <c r="D2903" s="31" t="s">
        <v>7377</v>
      </c>
      <c r="E2903" s="33" t="s">
        <v>7378</v>
      </c>
      <c r="F2903" s="33" t="s">
        <v>1937</v>
      </c>
      <c r="G2903" s="33"/>
      <c r="H2903" s="84" t="s">
        <v>7379</v>
      </c>
      <c r="I2903" s="23" t="s">
        <v>24</v>
      </c>
      <c r="J2903" s="34">
        <v>260</v>
      </c>
      <c r="K2903" s="35">
        <v>0.25</v>
      </c>
      <c r="L2903" s="36">
        <f t="shared" si="433"/>
        <v>65</v>
      </c>
      <c r="M2903" s="37">
        <f t="shared" si="434"/>
        <v>195</v>
      </c>
      <c r="N2903" s="38">
        <v>0.16</v>
      </c>
      <c r="O2903" s="39">
        <f t="shared" si="435"/>
        <v>31.2</v>
      </c>
      <c r="P2903" s="40">
        <f t="shared" si="436"/>
        <v>226.2</v>
      </c>
      <c r="Q2903" s="23"/>
      <c r="R2903" s="56"/>
      <c r="S2903" s="57"/>
      <c r="T2903" s="58">
        <f t="shared" si="437"/>
        <v>0</v>
      </c>
      <c r="U2903" s="36">
        <f t="shared" si="438"/>
        <v>0</v>
      </c>
      <c r="V2903" s="59">
        <f t="shared" si="439"/>
        <v>0</v>
      </c>
      <c r="W2903" s="39">
        <f t="shared" si="440"/>
        <v>0</v>
      </c>
      <c r="X2903" s="40">
        <f t="shared" si="441"/>
        <v>0</v>
      </c>
      <c r="Y2903"/>
      <c r="Z2903"/>
      <c r="AA2903"/>
    </row>
    <row r="2904" spans="1:27" s="51" customFormat="1" ht="18.600000000000001" hidden="1" customHeight="1" x14ac:dyDescent="0.25">
      <c r="A2904" s="82" t="s">
        <v>2653</v>
      </c>
      <c r="B2904" s="41" t="s">
        <v>9380</v>
      </c>
      <c r="C2904" s="42"/>
      <c r="D2904" s="41" t="s">
        <v>7380</v>
      </c>
      <c r="E2904" s="43" t="s">
        <v>7381</v>
      </c>
      <c r="F2904" s="43" t="s">
        <v>1937</v>
      </c>
      <c r="G2904" s="43"/>
      <c r="H2904" s="85" t="s">
        <v>7382</v>
      </c>
      <c r="I2904" s="23" t="s">
        <v>24</v>
      </c>
      <c r="J2904" s="44">
        <v>450</v>
      </c>
      <c r="K2904" s="45">
        <v>0.25</v>
      </c>
      <c r="L2904" s="46">
        <f t="shared" si="433"/>
        <v>112.5</v>
      </c>
      <c r="M2904" s="47">
        <f t="shared" si="434"/>
        <v>337.5</v>
      </c>
      <c r="N2904" s="48">
        <v>0.16</v>
      </c>
      <c r="O2904" s="49">
        <f t="shared" si="435"/>
        <v>54</v>
      </c>
      <c r="P2904" s="50">
        <f t="shared" si="436"/>
        <v>391.5</v>
      </c>
      <c r="Q2904" s="23"/>
      <c r="R2904" s="60"/>
      <c r="S2904" s="61"/>
      <c r="T2904" s="62">
        <f t="shared" si="437"/>
        <v>0</v>
      </c>
      <c r="U2904" s="46">
        <f t="shared" si="438"/>
        <v>0</v>
      </c>
      <c r="V2904" s="63">
        <f t="shared" si="439"/>
        <v>0</v>
      </c>
      <c r="W2904" s="49">
        <f t="shared" si="440"/>
        <v>0</v>
      </c>
      <c r="X2904" s="50">
        <f t="shared" si="441"/>
        <v>0</v>
      </c>
      <c r="Y2904"/>
      <c r="Z2904"/>
      <c r="AA2904"/>
    </row>
    <row r="2905" spans="1:27" s="51" customFormat="1" ht="18.600000000000001" hidden="1" customHeight="1" x14ac:dyDescent="0.25">
      <c r="A2905" s="80" t="s">
        <v>2653</v>
      </c>
      <c r="B2905" s="20" t="s">
        <v>9380</v>
      </c>
      <c r="C2905" s="21"/>
      <c r="D2905" s="20" t="s">
        <v>7383</v>
      </c>
      <c r="E2905" s="22" t="s">
        <v>7384</v>
      </c>
      <c r="F2905" s="22" t="s">
        <v>1937</v>
      </c>
      <c r="G2905" s="22"/>
      <c r="H2905" s="83" t="s">
        <v>7385</v>
      </c>
      <c r="I2905" s="23" t="s">
        <v>24</v>
      </c>
      <c r="J2905" s="24">
        <v>370</v>
      </c>
      <c r="K2905" s="25">
        <v>0.25</v>
      </c>
      <c r="L2905" s="26">
        <f t="shared" si="433"/>
        <v>92.5</v>
      </c>
      <c r="M2905" s="27">
        <f t="shared" si="434"/>
        <v>277.5</v>
      </c>
      <c r="N2905" s="28">
        <v>0.16</v>
      </c>
      <c r="O2905" s="29">
        <f t="shared" si="435"/>
        <v>44.4</v>
      </c>
      <c r="P2905" s="30">
        <f t="shared" si="436"/>
        <v>321.89999999999998</v>
      </c>
      <c r="Q2905" s="23"/>
      <c r="R2905" s="52"/>
      <c r="S2905" s="53"/>
      <c r="T2905" s="54">
        <f t="shared" si="437"/>
        <v>0</v>
      </c>
      <c r="U2905" s="26">
        <f t="shared" si="438"/>
        <v>0</v>
      </c>
      <c r="V2905" s="55">
        <f t="shared" si="439"/>
        <v>0</v>
      </c>
      <c r="W2905" s="29">
        <f t="shared" si="440"/>
        <v>0</v>
      </c>
      <c r="X2905" s="30">
        <f t="shared" si="441"/>
        <v>0</v>
      </c>
      <c r="Y2905"/>
      <c r="Z2905"/>
      <c r="AA2905"/>
    </row>
    <row r="2906" spans="1:27" s="51" customFormat="1" ht="18.600000000000001" hidden="1" customHeight="1" x14ac:dyDescent="0.25">
      <c r="A2906" s="81" t="s">
        <v>2653</v>
      </c>
      <c r="B2906" s="31" t="s">
        <v>9380</v>
      </c>
      <c r="C2906" s="32"/>
      <c r="D2906" s="31" t="s">
        <v>7386</v>
      </c>
      <c r="E2906" s="33" t="s">
        <v>7387</v>
      </c>
      <c r="F2906" s="33" t="s">
        <v>1937</v>
      </c>
      <c r="G2906" s="33"/>
      <c r="H2906" s="84" t="s">
        <v>7388</v>
      </c>
      <c r="I2906" s="23" t="s">
        <v>24</v>
      </c>
      <c r="J2906" s="34">
        <v>210</v>
      </c>
      <c r="K2906" s="35">
        <v>0.25</v>
      </c>
      <c r="L2906" s="36">
        <f t="shared" si="433"/>
        <v>52.5</v>
      </c>
      <c r="M2906" s="37">
        <f t="shared" si="434"/>
        <v>157.5</v>
      </c>
      <c r="N2906" s="38">
        <v>0.16</v>
      </c>
      <c r="O2906" s="39">
        <f t="shared" si="435"/>
        <v>25.2</v>
      </c>
      <c r="P2906" s="40">
        <f t="shared" si="436"/>
        <v>182.7</v>
      </c>
      <c r="Q2906" s="23"/>
      <c r="R2906" s="56"/>
      <c r="S2906" s="57"/>
      <c r="T2906" s="58">
        <f t="shared" si="437"/>
        <v>0</v>
      </c>
      <c r="U2906" s="36">
        <f t="shared" si="438"/>
        <v>0</v>
      </c>
      <c r="V2906" s="59">
        <f t="shared" si="439"/>
        <v>0</v>
      </c>
      <c r="W2906" s="39">
        <f t="shared" si="440"/>
        <v>0</v>
      </c>
      <c r="X2906" s="40">
        <f t="shared" si="441"/>
        <v>0</v>
      </c>
      <c r="Y2906"/>
      <c r="Z2906"/>
      <c r="AA2906"/>
    </row>
    <row r="2907" spans="1:27" s="51" customFormat="1" ht="18.600000000000001" hidden="1" customHeight="1" x14ac:dyDescent="0.25">
      <c r="A2907" s="82" t="s">
        <v>2653</v>
      </c>
      <c r="B2907" s="41" t="s">
        <v>9380</v>
      </c>
      <c r="C2907" s="42"/>
      <c r="D2907" s="41" t="s">
        <v>7389</v>
      </c>
      <c r="E2907" s="43" t="s">
        <v>7390</v>
      </c>
      <c r="F2907" s="43" t="s">
        <v>1937</v>
      </c>
      <c r="G2907" s="43"/>
      <c r="H2907" s="85" t="s">
        <v>7391</v>
      </c>
      <c r="I2907" s="23" t="s">
        <v>24</v>
      </c>
      <c r="J2907" s="44">
        <v>105</v>
      </c>
      <c r="K2907" s="45">
        <v>0.25</v>
      </c>
      <c r="L2907" s="46">
        <f t="shared" si="433"/>
        <v>26.25</v>
      </c>
      <c r="M2907" s="47">
        <f t="shared" si="434"/>
        <v>78.75</v>
      </c>
      <c r="N2907" s="48">
        <v>0.16</v>
      </c>
      <c r="O2907" s="49">
        <f t="shared" si="435"/>
        <v>12.6</v>
      </c>
      <c r="P2907" s="50">
        <f t="shared" si="436"/>
        <v>91.35</v>
      </c>
      <c r="Q2907" s="23"/>
      <c r="R2907" s="60"/>
      <c r="S2907" s="61"/>
      <c r="T2907" s="62">
        <f t="shared" si="437"/>
        <v>0</v>
      </c>
      <c r="U2907" s="46">
        <f t="shared" si="438"/>
        <v>0</v>
      </c>
      <c r="V2907" s="63">
        <f t="shared" si="439"/>
        <v>0</v>
      </c>
      <c r="W2907" s="49">
        <f t="shared" si="440"/>
        <v>0</v>
      </c>
      <c r="X2907" s="50">
        <f t="shared" si="441"/>
        <v>0</v>
      </c>
      <c r="Y2907"/>
      <c r="Z2907"/>
      <c r="AA2907"/>
    </row>
    <row r="2908" spans="1:27" s="51" customFormat="1" ht="18.600000000000001" hidden="1" customHeight="1" x14ac:dyDescent="0.25">
      <c r="A2908" s="80" t="s">
        <v>2653</v>
      </c>
      <c r="B2908" s="20" t="s">
        <v>9380</v>
      </c>
      <c r="C2908" s="21"/>
      <c r="D2908" s="20">
        <v>8435568330580</v>
      </c>
      <c r="E2908" s="22" t="s">
        <v>7392</v>
      </c>
      <c r="F2908" s="22" t="s">
        <v>1937</v>
      </c>
      <c r="G2908" s="22"/>
      <c r="H2908" s="83" t="s">
        <v>7393</v>
      </c>
      <c r="I2908" s="23" t="s">
        <v>24</v>
      </c>
      <c r="J2908" s="24">
        <v>250</v>
      </c>
      <c r="K2908" s="25">
        <v>0.25</v>
      </c>
      <c r="L2908" s="26">
        <f t="shared" si="433"/>
        <v>62.5</v>
      </c>
      <c r="M2908" s="27">
        <f t="shared" si="434"/>
        <v>187.5</v>
      </c>
      <c r="N2908" s="28">
        <v>0.16</v>
      </c>
      <c r="O2908" s="29">
        <f t="shared" si="435"/>
        <v>30</v>
      </c>
      <c r="P2908" s="30">
        <f t="shared" si="436"/>
        <v>217.5</v>
      </c>
      <c r="Q2908" s="23"/>
      <c r="R2908" s="52"/>
      <c r="S2908" s="53"/>
      <c r="T2908" s="54">
        <f t="shared" si="437"/>
        <v>0</v>
      </c>
      <c r="U2908" s="26">
        <f t="shared" si="438"/>
        <v>0</v>
      </c>
      <c r="V2908" s="55">
        <f t="shared" si="439"/>
        <v>0</v>
      </c>
      <c r="W2908" s="29">
        <f t="shared" si="440"/>
        <v>0</v>
      </c>
      <c r="X2908" s="30">
        <f t="shared" si="441"/>
        <v>0</v>
      </c>
      <c r="Y2908"/>
      <c r="Z2908"/>
      <c r="AA2908"/>
    </row>
    <row r="2909" spans="1:27" s="51" customFormat="1" ht="18.600000000000001" hidden="1" customHeight="1" x14ac:dyDescent="0.25">
      <c r="A2909" s="81" t="s">
        <v>2653</v>
      </c>
      <c r="B2909" s="31" t="s">
        <v>9380</v>
      </c>
      <c r="C2909" s="32"/>
      <c r="D2909" s="31">
        <v>8435568330597</v>
      </c>
      <c r="E2909" s="33" t="s">
        <v>7394</v>
      </c>
      <c r="F2909" s="33" t="s">
        <v>1937</v>
      </c>
      <c r="G2909" s="33"/>
      <c r="H2909" s="84" t="s">
        <v>7395</v>
      </c>
      <c r="I2909" s="23" t="s">
        <v>24</v>
      </c>
      <c r="J2909" s="34">
        <v>115</v>
      </c>
      <c r="K2909" s="35">
        <v>0.25</v>
      </c>
      <c r="L2909" s="36">
        <f t="shared" si="433"/>
        <v>28.75</v>
      </c>
      <c r="M2909" s="37">
        <f t="shared" si="434"/>
        <v>86.25</v>
      </c>
      <c r="N2909" s="38">
        <v>0.16</v>
      </c>
      <c r="O2909" s="39">
        <f t="shared" si="435"/>
        <v>13.8</v>
      </c>
      <c r="P2909" s="40">
        <f t="shared" si="436"/>
        <v>100.05</v>
      </c>
      <c r="Q2909" s="23"/>
      <c r="R2909" s="56"/>
      <c r="S2909" s="57"/>
      <c r="T2909" s="58">
        <f t="shared" si="437"/>
        <v>0</v>
      </c>
      <c r="U2909" s="36">
        <f t="shared" si="438"/>
        <v>0</v>
      </c>
      <c r="V2909" s="59">
        <f t="shared" si="439"/>
        <v>0</v>
      </c>
      <c r="W2909" s="39">
        <f t="shared" si="440"/>
        <v>0</v>
      </c>
      <c r="X2909" s="40">
        <f t="shared" si="441"/>
        <v>0</v>
      </c>
      <c r="Y2909"/>
      <c r="Z2909"/>
      <c r="AA2909"/>
    </row>
    <row r="2910" spans="1:27" s="51" customFormat="1" ht="18.600000000000001" hidden="1" customHeight="1" x14ac:dyDescent="0.25">
      <c r="A2910" s="82" t="s">
        <v>2653</v>
      </c>
      <c r="B2910" s="41" t="s">
        <v>9380</v>
      </c>
      <c r="C2910" s="42"/>
      <c r="D2910" s="41">
        <v>8435568330603</v>
      </c>
      <c r="E2910" s="43" t="s">
        <v>7396</v>
      </c>
      <c r="F2910" s="43" t="s">
        <v>1937</v>
      </c>
      <c r="G2910" s="43"/>
      <c r="H2910" s="85" t="s">
        <v>7397</v>
      </c>
      <c r="I2910" s="23" t="s">
        <v>24</v>
      </c>
      <c r="J2910" s="44">
        <v>115</v>
      </c>
      <c r="K2910" s="45">
        <v>0.25</v>
      </c>
      <c r="L2910" s="46">
        <f t="shared" si="433"/>
        <v>28.75</v>
      </c>
      <c r="M2910" s="47">
        <f t="shared" si="434"/>
        <v>86.25</v>
      </c>
      <c r="N2910" s="48">
        <v>0.16</v>
      </c>
      <c r="O2910" s="49">
        <f t="shared" si="435"/>
        <v>13.8</v>
      </c>
      <c r="P2910" s="50">
        <f t="shared" si="436"/>
        <v>100.05</v>
      </c>
      <c r="Q2910" s="23"/>
      <c r="R2910" s="60"/>
      <c r="S2910" s="61"/>
      <c r="T2910" s="62">
        <f t="shared" si="437"/>
        <v>0</v>
      </c>
      <c r="U2910" s="46">
        <f t="shared" si="438"/>
        <v>0</v>
      </c>
      <c r="V2910" s="63">
        <f t="shared" si="439"/>
        <v>0</v>
      </c>
      <c r="W2910" s="49">
        <f t="shared" si="440"/>
        <v>0</v>
      </c>
      <c r="X2910" s="50">
        <f t="shared" si="441"/>
        <v>0</v>
      </c>
      <c r="Y2910"/>
      <c r="Z2910"/>
      <c r="AA2910"/>
    </row>
    <row r="2911" spans="1:27" s="51" customFormat="1" ht="18.600000000000001" hidden="1" customHeight="1" x14ac:dyDescent="0.25">
      <c r="A2911" s="80" t="s">
        <v>2653</v>
      </c>
      <c r="B2911" s="20" t="s">
        <v>9380</v>
      </c>
      <c r="C2911" s="21"/>
      <c r="D2911" s="20" t="s">
        <v>7398</v>
      </c>
      <c r="E2911" s="22" t="s">
        <v>7399</v>
      </c>
      <c r="F2911" s="22" t="s">
        <v>1937</v>
      </c>
      <c r="G2911" s="22"/>
      <c r="H2911" s="83" t="s">
        <v>7400</v>
      </c>
      <c r="I2911" s="23" t="s">
        <v>24</v>
      </c>
      <c r="J2911" s="24">
        <v>160</v>
      </c>
      <c r="K2911" s="25">
        <v>0.25</v>
      </c>
      <c r="L2911" s="26">
        <f t="shared" si="433"/>
        <v>40</v>
      </c>
      <c r="M2911" s="27">
        <f t="shared" si="434"/>
        <v>120</v>
      </c>
      <c r="N2911" s="28">
        <v>0.16</v>
      </c>
      <c r="O2911" s="29">
        <f t="shared" si="435"/>
        <v>19.2</v>
      </c>
      <c r="P2911" s="30">
        <f t="shared" si="436"/>
        <v>139.19999999999999</v>
      </c>
      <c r="Q2911" s="23"/>
      <c r="R2911" s="52"/>
      <c r="S2911" s="53"/>
      <c r="T2911" s="54">
        <f t="shared" si="437"/>
        <v>0</v>
      </c>
      <c r="U2911" s="26">
        <f t="shared" si="438"/>
        <v>0</v>
      </c>
      <c r="V2911" s="55">
        <f t="shared" si="439"/>
        <v>0</v>
      </c>
      <c r="W2911" s="29">
        <f t="shared" si="440"/>
        <v>0</v>
      </c>
      <c r="X2911" s="30">
        <f t="shared" si="441"/>
        <v>0</v>
      </c>
      <c r="Y2911"/>
      <c r="Z2911"/>
      <c r="AA2911"/>
    </row>
    <row r="2912" spans="1:27" s="51" customFormat="1" ht="18.600000000000001" hidden="1" customHeight="1" x14ac:dyDescent="0.25">
      <c r="A2912" s="81" t="s">
        <v>2653</v>
      </c>
      <c r="B2912" s="31" t="s">
        <v>9380</v>
      </c>
      <c r="C2912" s="32"/>
      <c r="D2912" s="31" t="s">
        <v>7401</v>
      </c>
      <c r="E2912" s="33" t="s">
        <v>7402</v>
      </c>
      <c r="F2912" s="33" t="s">
        <v>1937</v>
      </c>
      <c r="G2912" s="33"/>
      <c r="H2912" s="84" t="s">
        <v>7403</v>
      </c>
      <c r="I2912" s="23" t="s">
        <v>24</v>
      </c>
      <c r="J2912" s="34">
        <v>160</v>
      </c>
      <c r="K2912" s="35">
        <v>0.25</v>
      </c>
      <c r="L2912" s="36">
        <f t="shared" si="433"/>
        <v>40</v>
      </c>
      <c r="M2912" s="37">
        <f t="shared" si="434"/>
        <v>120</v>
      </c>
      <c r="N2912" s="38">
        <v>0.16</v>
      </c>
      <c r="O2912" s="39">
        <f t="shared" si="435"/>
        <v>19.2</v>
      </c>
      <c r="P2912" s="40">
        <f t="shared" si="436"/>
        <v>139.19999999999999</v>
      </c>
      <c r="Q2912" s="23"/>
      <c r="R2912" s="56"/>
      <c r="S2912" s="57"/>
      <c r="T2912" s="58">
        <f t="shared" si="437"/>
        <v>0</v>
      </c>
      <c r="U2912" s="36">
        <f t="shared" si="438"/>
        <v>0</v>
      </c>
      <c r="V2912" s="59">
        <f t="shared" si="439"/>
        <v>0</v>
      </c>
      <c r="W2912" s="39">
        <f t="shared" si="440"/>
        <v>0</v>
      </c>
      <c r="X2912" s="40">
        <f t="shared" si="441"/>
        <v>0</v>
      </c>
      <c r="Y2912"/>
      <c r="Z2912"/>
      <c r="AA2912"/>
    </row>
    <row r="2913" spans="1:27" s="51" customFormat="1" ht="18.600000000000001" hidden="1" customHeight="1" x14ac:dyDescent="0.25">
      <c r="A2913" s="82" t="s">
        <v>2653</v>
      </c>
      <c r="B2913" s="41" t="s">
        <v>9380</v>
      </c>
      <c r="C2913" s="42"/>
      <c r="D2913" s="41" t="s">
        <v>7404</v>
      </c>
      <c r="E2913" s="43" t="s">
        <v>7405</v>
      </c>
      <c r="F2913" s="43" t="s">
        <v>1937</v>
      </c>
      <c r="G2913" s="43"/>
      <c r="H2913" s="85" t="s">
        <v>7406</v>
      </c>
      <c r="I2913" s="23" t="s">
        <v>24</v>
      </c>
      <c r="J2913" s="44">
        <v>80</v>
      </c>
      <c r="K2913" s="45">
        <v>0.25</v>
      </c>
      <c r="L2913" s="46">
        <f t="shared" si="433"/>
        <v>20</v>
      </c>
      <c r="M2913" s="47">
        <f t="shared" si="434"/>
        <v>60</v>
      </c>
      <c r="N2913" s="48">
        <v>0.16</v>
      </c>
      <c r="O2913" s="49">
        <f t="shared" si="435"/>
        <v>9.6</v>
      </c>
      <c r="P2913" s="50">
        <f t="shared" si="436"/>
        <v>69.599999999999994</v>
      </c>
      <c r="Q2913" s="23"/>
      <c r="R2913" s="60"/>
      <c r="S2913" s="61"/>
      <c r="T2913" s="62">
        <f t="shared" si="437"/>
        <v>0</v>
      </c>
      <c r="U2913" s="46">
        <f t="shared" si="438"/>
        <v>0</v>
      </c>
      <c r="V2913" s="63">
        <f t="shared" si="439"/>
        <v>0</v>
      </c>
      <c r="W2913" s="49">
        <f t="shared" si="440"/>
        <v>0</v>
      </c>
      <c r="X2913" s="50">
        <f t="shared" si="441"/>
        <v>0</v>
      </c>
      <c r="Y2913"/>
      <c r="Z2913"/>
      <c r="AA2913"/>
    </row>
    <row r="2914" spans="1:27" s="51" customFormat="1" ht="18.600000000000001" hidden="1" customHeight="1" x14ac:dyDescent="0.25">
      <c r="A2914" s="80" t="s">
        <v>2653</v>
      </c>
      <c r="B2914" s="20" t="s">
        <v>9380</v>
      </c>
      <c r="C2914" s="21" t="s">
        <v>9381</v>
      </c>
      <c r="D2914" s="20" t="s">
        <v>7407</v>
      </c>
      <c r="E2914" s="22" t="s">
        <v>7408</v>
      </c>
      <c r="F2914" s="22" t="s">
        <v>1937</v>
      </c>
      <c r="G2914" s="22"/>
      <c r="H2914" s="83" t="s">
        <v>7409</v>
      </c>
      <c r="I2914" s="23" t="s">
        <v>24</v>
      </c>
      <c r="J2914" s="24">
        <v>160</v>
      </c>
      <c r="K2914" s="25">
        <v>0.25</v>
      </c>
      <c r="L2914" s="26">
        <f t="shared" si="433"/>
        <v>40</v>
      </c>
      <c r="M2914" s="27">
        <f t="shared" si="434"/>
        <v>120</v>
      </c>
      <c r="N2914" s="28">
        <v>0.16</v>
      </c>
      <c r="O2914" s="29">
        <f t="shared" si="435"/>
        <v>19.2</v>
      </c>
      <c r="P2914" s="30">
        <f t="shared" si="436"/>
        <v>139.19999999999999</v>
      </c>
      <c r="Q2914" s="23"/>
      <c r="R2914" s="52"/>
      <c r="S2914" s="53"/>
      <c r="T2914" s="54">
        <f t="shared" si="437"/>
        <v>0</v>
      </c>
      <c r="U2914" s="26">
        <f t="shared" si="438"/>
        <v>0</v>
      </c>
      <c r="V2914" s="55">
        <f t="shared" si="439"/>
        <v>0</v>
      </c>
      <c r="W2914" s="29">
        <f t="shared" si="440"/>
        <v>0</v>
      </c>
      <c r="X2914" s="30">
        <f t="shared" si="441"/>
        <v>0</v>
      </c>
      <c r="Y2914"/>
      <c r="Z2914"/>
      <c r="AA2914"/>
    </row>
    <row r="2915" spans="1:27" s="51" customFormat="1" ht="18.600000000000001" hidden="1" customHeight="1" x14ac:dyDescent="0.25">
      <c r="A2915" s="81" t="s">
        <v>2653</v>
      </c>
      <c r="B2915" s="31" t="s">
        <v>9380</v>
      </c>
      <c r="C2915" s="32" t="s">
        <v>9381</v>
      </c>
      <c r="D2915" s="31" t="s">
        <v>7410</v>
      </c>
      <c r="E2915" s="33" t="s">
        <v>7411</v>
      </c>
      <c r="F2915" s="33" t="s">
        <v>1937</v>
      </c>
      <c r="G2915" s="33"/>
      <c r="H2915" s="84" t="s">
        <v>7412</v>
      </c>
      <c r="I2915" s="23" t="s">
        <v>24</v>
      </c>
      <c r="J2915" s="34">
        <v>160</v>
      </c>
      <c r="K2915" s="35">
        <v>0.25</v>
      </c>
      <c r="L2915" s="36">
        <f t="shared" si="433"/>
        <v>40</v>
      </c>
      <c r="M2915" s="37">
        <f t="shared" si="434"/>
        <v>120</v>
      </c>
      <c r="N2915" s="38">
        <v>0.16</v>
      </c>
      <c r="O2915" s="39">
        <f t="shared" si="435"/>
        <v>19.2</v>
      </c>
      <c r="P2915" s="40">
        <f t="shared" si="436"/>
        <v>139.19999999999999</v>
      </c>
      <c r="Q2915" s="23"/>
      <c r="R2915" s="56"/>
      <c r="S2915" s="57"/>
      <c r="T2915" s="58">
        <f t="shared" si="437"/>
        <v>0</v>
      </c>
      <c r="U2915" s="36">
        <f t="shared" si="438"/>
        <v>0</v>
      </c>
      <c r="V2915" s="59">
        <f t="shared" si="439"/>
        <v>0</v>
      </c>
      <c r="W2915" s="39">
        <f t="shared" si="440"/>
        <v>0</v>
      </c>
      <c r="X2915" s="40">
        <f t="shared" si="441"/>
        <v>0</v>
      </c>
      <c r="Y2915"/>
      <c r="Z2915"/>
      <c r="AA2915"/>
    </row>
    <row r="2916" spans="1:27" s="51" customFormat="1" ht="18.600000000000001" hidden="1" customHeight="1" x14ac:dyDescent="0.25">
      <c r="A2916" s="82" t="s">
        <v>2653</v>
      </c>
      <c r="B2916" s="41" t="s">
        <v>9380</v>
      </c>
      <c r="C2916" s="42" t="s">
        <v>9381</v>
      </c>
      <c r="D2916" s="41" t="s">
        <v>7413</v>
      </c>
      <c r="E2916" s="43" t="s">
        <v>7414</v>
      </c>
      <c r="F2916" s="43" t="s">
        <v>1937</v>
      </c>
      <c r="G2916" s="43"/>
      <c r="H2916" s="85" t="s">
        <v>7415</v>
      </c>
      <c r="I2916" s="23" t="s">
        <v>24</v>
      </c>
      <c r="J2916" s="44">
        <v>160</v>
      </c>
      <c r="K2916" s="45">
        <v>0.25</v>
      </c>
      <c r="L2916" s="46">
        <f t="shared" si="433"/>
        <v>40</v>
      </c>
      <c r="M2916" s="47">
        <f t="shared" si="434"/>
        <v>120</v>
      </c>
      <c r="N2916" s="48">
        <v>0.16</v>
      </c>
      <c r="O2916" s="49">
        <f t="shared" si="435"/>
        <v>19.2</v>
      </c>
      <c r="P2916" s="50">
        <f t="shared" si="436"/>
        <v>139.19999999999999</v>
      </c>
      <c r="Q2916" s="23"/>
      <c r="R2916" s="60"/>
      <c r="S2916" s="61"/>
      <c r="T2916" s="62">
        <f t="shared" si="437"/>
        <v>0</v>
      </c>
      <c r="U2916" s="46">
        <f t="shared" si="438"/>
        <v>0</v>
      </c>
      <c r="V2916" s="63">
        <f t="shared" si="439"/>
        <v>0</v>
      </c>
      <c r="W2916" s="49">
        <f t="shared" si="440"/>
        <v>0</v>
      </c>
      <c r="X2916" s="50">
        <f t="shared" si="441"/>
        <v>0</v>
      </c>
      <c r="Y2916"/>
      <c r="Z2916"/>
      <c r="AA2916"/>
    </row>
    <row r="2917" spans="1:27" s="51" customFormat="1" ht="18.600000000000001" hidden="1" customHeight="1" x14ac:dyDescent="0.25">
      <c r="A2917" s="80" t="s">
        <v>2653</v>
      </c>
      <c r="B2917" s="20" t="s">
        <v>9380</v>
      </c>
      <c r="C2917" s="21" t="s">
        <v>9381</v>
      </c>
      <c r="D2917" s="20">
        <v>8435568305236</v>
      </c>
      <c r="E2917" s="22" t="s">
        <v>7416</v>
      </c>
      <c r="F2917" s="22" t="s">
        <v>1937</v>
      </c>
      <c r="G2917" s="22"/>
      <c r="H2917" s="83" t="s">
        <v>7417</v>
      </c>
      <c r="I2917" s="23" t="s">
        <v>24</v>
      </c>
      <c r="J2917" s="24">
        <v>130</v>
      </c>
      <c r="K2917" s="25">
        <v>0.25</v>
      </c>
      <c r="L2917" s="26">
        <f t="shared" si="433"/>
        <v>32.5</v>
      </c>
      <c r="M2917" s="27">
        <f t="shared" si="434"/>
        <v>97.5</v>
      </c>
      <c r="N2917" s="28">
        <v>0.16</v>
      </c>
      <c r="O2917" s="29">
        <f t="shared" si="435"/>
        <v>15.6</v>
      </c>
      <c r="P2917" s="30">
        <f t="shared" si="436"/>
        <v>113.1</v>
      </c>
      <c r="Q2917" s="23"/>
      <c r="R2917" s="52"/>
      <c r="S2917" s="53"/>
      <c r="T2917" s="54">
        <f t="shared" si="437"/>
        <v>0</v>
      </c>
      <c r="U2917" s="26">
        <f t="shared" si="438"/>
        <v>0</v>
      </c>
      <c r="V2917" s="55">
        <f t="shared" si="439"/>
        <v>0</v>
      </c>
      <c r="W2917" s="29">
        <f t="shared" si="440"/>
        <v>0</v>
      </c>
      <c r="X2917" s="30">
        <f t="shared" si="441"/>
        <v>0</v>
      </c>
      <c r="Y2917"/>
      <c r="Z2917"/>
      <c r="AA2917"/>
    </row>
    <row r="2918" spans="1:27" s="51" customFormat="1" ht="18.600000000000001" hidden="1" customHeight="1" x14ac:dyDescent="0.25">
      <c r="A2918" s="81" t="s">
        <v>2653</v>
      </c>
      <c r="B2918" s="31" t="s">
        <v>9380</v>
      </c>
      <c r="C2918" s="32" t="s">
        <v>9381</v>
      </c>
      <c r="D2918" s="31">
        <v>8435568305243</v>
      </c>
      <c r="E2918" s="33" t="s">
        <v>7418</v>
      </c>
      <c r="F2918" s="33" t="s">
        <v>1937</v>
      </c>
      <c r="G2918" s="33"/>
      <c r="H2918" s="84" t="s">
        <v>7419</v>
      </c>
      <c r="I2918" s="23" t="s">
        <v>24</v>
      </c>
      <c r="J2918" s="34">
        <v>130</v>
      </c>
      <c r="K2918" s="35">
        <v>0.25</v>
      </c>
      <c r="L2918" s="36">
        <f t="shared" ref="L2918:L2981" si="442">+J2918*K2918</f>
        <v>32.5</v>
      </c>
      <c r="M2918" s="37">
        <f t="shared" ref="M2918:M2981" si="443">+J2918-L2918</f>
        <v>97.5</v>
      </c>
      <c r="N2918" s="38">
        <v>0.16</v>
      </c>
      <c r="O2918" s="39">
        <f t="shared" ref="O2918:O2981" si="444">+M2918*N2918</f>
        <v>15.6</v>
      </c>
      <c r="P2918" s="40">
        <f t="shared" ref="P2918:P2981" si="445">+M2918+O2918</f>
        <v>113.1</v>
      </c>
      <c r="Q2918" s="23"/>
      <c r="R2918" s="56"/>
      <c r="S2918" s="57"/>
      <c r="T2918" s="58">
        <f t="shared" ref="T2918:T2981" si="446">+S2918*J2918</f>
        <v>0</v>
      </c>
      <c r="U2918" s="36">
        <f t="shared" ref="U2918:U2981" si="447">+T2918*K2918</f>
        <v>0</v>
      </c>
      <c r="V2918" s="59">
        <f t="shared" ref="V2918:V2981" si="448">+T2918-U2918</f>
        <v>0</v>
      </c>
      <c r="W2918" s="39">
        <f t="shared" ref="W2918:W2981" si="449">+V2918*N2918</f>
        <v>0</v>
      </c>
      <c r="X2918" s="40">
        <f t="shared" ref="X2918:X2981" si="450">+V2918+W2918</f>
        <v>0</v>
      </c>
      <c r="Y2918"/>
      <c r="Z2918"/>
      <c r="AA2918"/>
    </row>
    <row r="2919" spans="1:27" s="51" customFormat="1" ht="18.600000000000001" hidden="1" customHeight="1" x14ac:dyDescent="0.25">
      <c r="A2919" s="82" t="s">
        <v>2653</v>
      </c>
      <c r="B2919" s="41" t="s">
        <v>9380</v>
      </c>
      <c r="C2919" s="42" t="s">
        <v>9381</v>
      </c>
      <c r="D2919" s="41">
        <v>8435568305250</v>
      </c>
      <c r="E2919" s="43" t="s">
        <v>7420</v>
      </c>
      <c r="F2919" s="43" t="s">
        <v>1937</v>
      </c>
      <c r="G2919" s="43"/>
      <c r="H2919" s="85" t="s">
        <v>7421</v>
      </c>
      <c r="I2919" s="23" t="s">
        <v>24</v>
      </c>
      <c r="J2919" s="44">
        <v>130</v>
      </c>
      <c r="K2919" s="45">
        <v>0.25</v>
      </c>
      <c r="L2919" s="46">
        <f t="shared" si="442"/>
        <v>32.5</v>
      </c>
      <c r="M2919" s="47">
        <f t="shared" si="443"/>
        <v>97.5</v>
      </c>
      <c r="N2919" s="48">
        <v>0.16</v>
      </c>
      <c r="O2919" s="49">
        <f t="shared" si="444"/>
        <v>15.6</v>
      </c>
      <c r="P2919" s="50">
        <f t="shared" si="445"/>
        <v>113.1</v>
      </c>
      <c r="Q2919" s="23"/>
      <c r="R2919" s="60"/>
      <c r="S2919" s="61"/>
      <c r="T2919" s="62">
        <f t="shared" si="446"/>
        <v>0</v>
      </c>
      <c r="U2919" s="46">
        <f t="shared" si="447"/>
        <v>0</v>
      </c>
      <c r="V2919" s="63">
        <f t="shared" si="448"/>
        <v>0</v>
      </c>
      <c r="W2919" s="49">
        <f t="shared" si="449"/>
        <v>0</v>
      </c>
      <c r="X2919" s="50">
        <f t="shared" si="450"/>
        <v>0</v>
      </c>
      <c r="Y2919"/>
      <c r="Z2919"/>
      <c r="AA2919"/>
    </row>
    <row r="2920" spans="1:27" s="51" customFormat="1" ht="18.600000000000001" hidden="1" customHeight="1" x14ac:dyDescent="0.25">
      <c r="A2920" s="80" t="s">
        <v>2653</v>
      </c>
      <c r="B2920" s="20" t="s">
        <v>9380</v>
      </c>
      <c r="C2920" s="21" t="s">
        <v>9381</v>
      </c>
      <c r="D2920" s="20">
        <v>8435568305267</v>
      </c>
      <c r="E2920" s="22" t="s">
        <v>7422</v>
      </c>
      <c r="F2920" s="22" t="s">
        <v>1937</v>
      </c>
      <c r="G2920" s="22"/>
      <c r="H2920" s="83" t="s">
        <v>7423</v>
      </c>
      <c r="I2920" s="23" t="s">
        <v>24</v>
      </c>
      <c r="J2920" s="24">
        <v>130</v>
      </c>
      <c r="K2920" s="25">
        <v>0.25</v>
      </c>
      <c r="L2920" s="26">
        <f t="shared" si="442"/>
        <v>32.5</v>
      </c>
      <c r="M2920" s="27">
        <f t="shared" si="443"/>
        <v>97.5</v>
      </c>
      <c r="N2920" s="28">
        <v>0.16</v>
      </c>
      <c r="O2920" s="29">
        <f t="shared" si="444"/>
        <v>15.6</v>
      </c>
      <c r="P2920" s="30">
        <f t="shared" si="445"/>
        <v>113.1</v>
      </c>
      <c r="Q2920" s="23"/>
      <c r="R2920" s="52"/>
      <c r="S2920" s="53"/>
      <c r="T2920" s="54">
        <f t="shared" si="446"/>
        <v>0</v>
      </c>
      <c r="U2920" s="26">
        <f t="shared" si="447"/>
        <v>0</v>
      </c>
      <c r="V2920" s="55">
        <f t="shared" si="448"/>
        <v>0</v>
      </c>
      <c r="W2920" s="29">
        <f t="shared" si="449"/>
        <v>0</v>
      </c>
      <c r="X2920" s="30">
        <f t="shared" si="450"/>
        <v>0</v>
      </c>
      <c r="Y2920"/>
      <c r="Z2920"/>
      <c r="AA2920"/>
    </row>
    <row r="2921" spans="1:27" s="51" customFormat="1" ht="18.600000000000001" hidden="1" customHeight="1" x14ac:dyDescent="0.25">
      <c r="A2921" s="81" t="s">
        <v>2653</v>
      </c>
      <c r="B2921" s="31" t="s">
        <v>9380</v>
      </c>
      <c r="C2921" s="32" t="s">
        <v>9381</v>
      </c>
      <c r="D2921" s="31">
        <v>8435568305274</v>
      </c>
      <c r="E2921" s="33" t="s">
        <v>7424</v>
      </c>
      <c r="F2921" s="33" t="s">
        <v>1937</v>
      </c>
      <c r="G2921" s="33"/>
      <c r="H2921" s="84" t="s">
        <v>7425</v>
      </c>
      <c r="I2921" s="23" t="s">
        <v>24</v>
      </c>
      <c r="J2921" s="34">
        <v>130</v>
      </c>
      <c r="K2921" s="35">
        <v>0.25</v>
      </c>
      <c r="L2921" s="36">
        <f t="shared" si="442"/>
        <v>32.5</v>
      </c>
      <c r="M2921" s="37">
        <f t="shared" si="443"/>
        <v>97.5</v>
      </c>
      <c r="N2921" s="38">
        <v>0.16</v>
      </c>
      <c r="O2921" s="39">
        <f t="shared" si="444"/>
        <v>15.6</v>
      </c>
      <c r="P2921" s="40">
        <f t="shared" si="445"/>
        <v>113.1</v>
      </c>
      <c r="Q2921" s="23"/>
      <c r="R2921" s="56"/>
      <c r="S2921" s="57"/>
      <c r="T2921" s="58">
        <f t="shared" si="446"/>
        <v>0</v>
      </c>
      <c r="U2921" s="36">
        <f t="shared" si="447"/>
        <v>0</v>
      </c>
      <c r="V2921" s="59">
        <f t="shared" si="448"/>
        <v>0</v>
      </c>
      <c r="W2921" s="39">
        <f t="shared" si="449"/>
        <v>0</v>
      </c>
      <c r="X2921" s="40">
        <f t="shared" si="450"/>
        <v>0</v>
      </c>
      <c r="Y2921"/>
      <c r="Z2921"/>
      <c r="AA2921"/>
    </row>
    <row r="2922" spans="1:27" s="51" customFormat="1" ht="18.600000000000001" hidden="1" customHeight="1" x14ac:dyDescent="0.25">
      <c r="A2922" s="82" t="s">
        <v>2653</v>
      </c>
      <c r="B2922" s="41" t="s">
        <v>9380</v>
      </c>
      <c r="C2922" s="42" t="s">
        <v>9381</v>
      </c>
      <c r="D2922" s="41">
        <v>8435568305281</v>
      </c>
      <c r="E2922" s="43" t="s">
        <v>7426</v>
      </c>
      <c r="F2922" s="43" t="s">
        <v>1937</v>
      </c>
      <c r="G2922" s="43"/>
      <c r="H2922" s="85" t="s">
        <v>7427</v>
      </c>
      <c r="I2922" s="23" t="s">
        <v>24</v>
      </c>
      <c r="J2922" s="44">
        <v>130</v>
      </c>
      <c r="K2922" s="45">
        <v>0.25</v>
      </c>
      <c r="L2922" s="46">
        <f t="shared" si="442"/>
        <v>32.5</v>
      </c>
      <c r="M2922" s="47">
        <f t="shared" si="443"/>
        <v>97.5</v>
      </c>
      <c r="N2922" s="48">
        <v>0.16</v>
      </c>
      <c r="O2922" s="49">
        <f t="shared" si="444"/>
        <v>15.6</v>
      </c>
      <c r="P2922" s="50">
        <f t="shared" si="445"/>
        <v>113.1</v>
      </c>
      <c r="Q2922" s="23"/>
      <c r="R2922" s="60"/>
      <c r="S2922" s="61"/>
      <c r="T2922" s="62">
        <f t="shared" si="446"/>
        <v>0</v>
      </c>
      <c r="U2922" s="46">
        <f t="shared" si="447"/>
        <v>0</v>
      </c>
      <c r="V2922" s="63">
        <f t="shared" si="448"/>
        <v>0</v>
      </c>
      <c r="W2922" s="49">
        <f t="shared" si="449"/>
        <v>0</v>
      </c>
      <c r="X2922" s="50">
        <f t="shared" si="450"/>
        <v>0</v>
      </c>
      <c r="Y2922"/>
      <c r="Z2922"/>
      <c r="AA2922"/>
    </row>
    <row r="2923" spans="1:27" s="51" customFormat="1" ht="18.600000000000001" hidden="1" customHeight="1" x14ac:dyDescent="0.25">
      <c r="A2923" s="80" t="s">
        <v>2653</v>
      </c>
      <c r="B2923" s="20" t="s">
        <v>9380</v>
      </c>
      <c r="C2923" s="21" t="s">
        <v>9381</v>
      </c>
      <c r="D2923" s="20">
        <v>8435568305298</v>
      </c>
      <c r="E2923" s="22" t="s">
        <v>7428</v>
      </c>
      <c r="F2923" s="22" t="s">
        <v>1937</v>
      </c>
      <c r="G2923" s="22"/>
      <c r="H2923" s="83" t="s">
        <v>7429</v>
      </c>
      <c r="I2923" s="23" t="s">
        <v>24</v>
      </c>
      <c r="J2923" s="24">
        <v>130</v>
      </c>
      <c r="K2923" s="25">
        <v>0.25</v>
      </c>
      <c r="L2923" s="26">
        <f t="shared" si="442"/>
        <v>32.5</v>
      </c>
      <c r="M2923" s="27">
        <f t="shared" si="443"/>
        <v>97.5</v>
      </c>
      <c r="N2923" s="28">
        <v>0.16</v>
      </c>
      <c r="O2923" s="29">
        <f t="shared" si="444"/>
        <v>15.6</v>
      </c>
      <c r="P2923" s="30">
        <f t="shared" si="445"/>
        <v>113.1</v>
      </c>
      <c r="Q2923" s="23"/>
      <c r="R2923" s="52"/>
      <c r="S2923" s="53"/>
      <c r="T2923" s="54">
        <f t="shared" si="446"/>
        <v>0</v>
      </c>
      <c r="U2923" s="26">
        <f t="shared" si="447"/>
        <v>0</v>
      </c>
      <c r="V2923" s="55">
        <f t="shared" si="448"/>
        <v>0</v>
      </c>
      <c r="W2923" s="29">
        <f t="shared" si="449"/>
        <v>0</v>
      </c>
      <c r="X2923" s="30">
        <f t="shared" si="450"/>
        <v>0</v>
      </c>
      <c r="Y2923"/>
      <c r="Z2923"/>
      <c r="AA2923"/>
    </row>
    <row r="2924" spans="1:27" s="51" customFormat="1" ht="18.600000000000001" hidden="1" customHeight="1" x14ac:dyDescent="0.25">
      <c r="A2924" s="81" t="s">
        <v>2653</v>
      </c>
      <c r="B2924" s="31" t="s">
        <v>9380</v>
      </c>
      <c r="C2924" s="32" t="s">
        <v>9381</v>
      </c>
      <c r="D2924" s="31" t="s">
        <v>7430</v>
      </c>
      <c r="E2924" s="33" t="s">
        <v>7431</v>
      </c>
      <c r="F2924" s="33" t="s">
        <v>1937</v>
      </c>
      <c r="G2924" s="33"/>
      <c r="H2924" s="84" t="s">
        <v>7432</v>
      </c>
      <c r="I2924" s="23" t="s">
        <v>24</v>
      </c>
      <c r="J2924" s="34">
        <v>80</v>
      </c>
      <c r="K2924" s="35">
        <v>0.25</v>
      </c>
      <c r="L2924" s="36">
        <f t="shared" si="442"/>
        <v>20</v>
      </c>
      <c r="M2924" s="37">
        <f t="shared" si="443"/>
        <v>60</v>
      </c>
      <c r="N2924" s="38">
        <v>0.16</v>
      </c>
      <c r="O2924" s="39">
        <f t="shared" si="444"/>
        <v>9.6</v>
      </c>
      <c r="P2924" s="40">
        <f t="shared" si="445"/>
        <v>69.599999999999994</v>
      </c>
      <c r="Q2924" s="23"/>
      <c r="R2924" s="56"/>
      <c r="S2924" s="57"/>
      <c r="T2924" s="58">
        <f t="shared" si="446"/>
        <v>0</v>
      </c>
      <c r="U2924" s="36">
        <f t="shared" si="447"/>
        <v>0</v>
      </c>
      <c r="V2924" s="59">
        <f t="shared" si="448"/>
        <v>0</v>
      </c>
      <c r="W2924" s="39">
        <f t="shared" si="449"/>
        <v>0</v>
      </c>
      <c r="X2924" s="40">
        <f t="shared" si="450"/>
        <v>0</v>
      </c>
      <c r="Y2924"/>
      <c r="Z2924"/>
      <c r="AA2924"/>
    </row>
    <row r="2925" spans="1:27" s="51" customFormat="1" ht="18.600000000000001" hidden="1" customHeight="1" x14ac:dyDescent="0.25">
      <c r="A2925" s="82" t="s">
        <v>2653</v>
      </c>
      <c r="B2925" s="41" t="s">
        <v>9380</v>
      </c>
      <c r="C2925" s="42" t="s">
        <v>9381</v>
      </c>
      <c r="D2925" s="41" t="s">
        <v>7433</v>
      </c>
      <c r="E2925" s="43" t="s">
        <v>7434</v>
      </c>
      <c r="F2925" s="43" t="s">
        <v>1937</v>
      </c>
      <c r="G2925" s="43"/>
      <c r="H2925" s="85" t="s">
        <v>7435</v>
      </c>
      <c r="I2925" s="23" t="s">
        <v>24</v>
      </c>
      <c r="J2925" s="44">
        <v>80</v>
      </c>
      <c r="K2925" s="45">
        <v>0.25</v>
      </c>
      <c r="L2925" s="46">
        <f t="shared" si="442"/>
        <v>20</v>
      </c>
      <c r="M2925" s="47">
        <f t="shared" si="443"/>
        <v>60</v>
      </c>
      <c r="N2925" s="48">
        <v>0.16</v>
      </c>
      <c r="O2925" s="49">
        <f t="shared" si="444"/>
        <v>9.6</v>
      </c>
      <c r="P2925" s="50">
        <f t="shared" si="445"/>
        <v>69.599999999999994</v>
      </c>
      <c r="Q2925" s="23"/>
      <c r="R2925" s="60"/>
      <c r="S2925" s="61"/>
      <c r="T2925" s="62">
        <f t="shared" si="446"/>
        <v>0</v>
      </c>
      <c r="U2925" s="46">
        <f t="shared" si="447"/>
        <v>0</v>
      </c>
      <c r="V2925" s="63">
        <f t="shared" si="448"/>
        <v>0</v>
      </c>
      <c r="W2925" s="49">
        <f t="shared" si="449"/>
        <v>0</v>
      </c>
      <c r="X2925" s="50">
        <f t="shared" si="450"/>
        <v>0</v>
      </c>
      <c r="Y2925"/>
      <c r="Z2925"/>
      <c r="AA2925"/>
    </row>
    <row r="2926" spans="1:27" s="51" customFormat="1" ht="18.600000000000001" hidden="1" customHeight="1" x14ac:dyDescent="0.25">
      <c r="A2926" s="80" t="s">
        <v>2653</v>
      </c>
      <c r="B2926" s="20" t="s">
        <v>9380</v>
      </c>
      <c r="C2926" s="21" t="s">
        <v>9381</v>
      </c>
      <c r="D2926" s="20" t="s">
        <v>7436</v>
      </c>
      <c r="E2926" s="22" t="s">
        <v>7437</v>
      </c>
      <c r="F2926" s="22" t="s">
        <v>1937</v>
      </c>
      <c r="G2926" s="22"/>
      <c r="H2926" s="83" t="s">
        <v>7438</v>
      </c>
      <c r="I2926" s="23" t="s">
        <v>24</v>
      </c>
      <c r="J2926" s="24">
        <v>80</v>
      </c>
      <c r="K2926" s="25">
        <v>0.25</v>
      </c>
      <c r="L2926" s="26">
        <f t="shared" si="442"/>
        <v>20</v>
      </c>
      <c r="M2926" s="27">
        <f t="shared" si="443"/>
        <v>60</v>
      </c>
      <c r="N2926" s="28">
        <v>0.16</v>
      </c>
      <c r="O2926" s="29">
        <f t="shared" si="444"/>
        <v>9.6</v>
      </c>
      <c r="P2926" s="30">
        <f t="shared" si="445"/>
        <v>69.599999999999994</v>
      </c>
      <c r="Q2926" s="23"/>
      <c r="R2926" s="52"/>
      <c r="S2926" s="53"/>
      <c r="T2926" s="54">
        <f t="shared" si="446"/>
        <v>0</v>
      </c>
      <c r="U2926" s="26">
        <f t="shared" si="447"/>
        <v>0</v>
      </c>
      <c r="V2926" s="55">
        <f t="shared" si="448"/>
        <v>0</v>
      </c>
      <c r="W2926" s="29">
        <f t="shared" si="449"/>
        <v>0</v>
      </c>
      <c r="X2926" s="30">
        <f t="shared" si="450"/>
        <v>0</v>
      </c>
      <c r="Y2926"/>
      <c r="Z2926"/>
      <c r="AA2926"/>
    </row>
    <row r="2927" spans="1:27" s="51" customFormat="1" ht="18.600000000000001" hidden="1" customHeight="1" x14ac:dyDescent="0.25">
      <c r="A2927" s="81" t="s">
        <v>2653</v>
      </c>
      <c r="B2927" s="31" t="s">
        <v>9380</v>
      </c>
      <c r="C2927" s="32" t="s">
        <v>9381</v>
      </c>
      <c r="D2927" s="31" t="s">
        <v>7439</v>
      </c>
      <c r="E2927" s="33" t="s">
        <v>7440</v>
      </c>
      <c r="F2927" s="33" t="s">
        <v>1937</v>
      </c>
      <c r="G2927" s="33"/>
      <c r="H2927" s="84" t="s">
        <v>7441</v>
      </c>
      <c r="I2927" s="23" t="s">
        <v>24</v>
      </c>
      <c r="J2927" s="34">
        <v>80</v>
      </c>
      <c r="K2927" s="35">
        <v>0.25</v>
      </c>
      <c r="L2927" s="36">
        <f t="shared" si="442"/>
        <v>20</v>
      </c>
      <c r="M2927" s="37">
        <f t="shared" si="443"/>
        <v>60</v>
      </c>
      <c r="N2927" s="38">
        <v>0.16</v>
      </c>
      <c r="O2927" s="39">
        <f t="shared" si="444"/>
        <v>9.6</v>
      </c>
      <c r="P2927" s="40">
        <f t="shared" si="445"/>
        <v>69.599999999999994</v>
      </c>
      <c r="Q2927" s="23"/>
      <c r="R2927" s="56"/>
      <c r="S2927" s="57"/>
      <c r="T2927" s="58">
        <f t="shared" si="446"/>
        <v>0</v>
      </c>
      <c r="U2927" s="36">
        <f t="shared" si="447"/>
        <v>0</v>
      </c>
      <c r="V2927" s="59">
        <f t="shared" si="448"/>
        <v>0</v>
      </c>
      <c r="W2927" s="39">
        <f t="shared" si="449"/>
        <v>0</v>
      </c>
      <c r="X2927" s="40">
        <f t="shared" si="450"/>
        <v>0</v>
      </c>
      <c r="Y2927"/>
      <c r="Z2927"/>
      <c r="AA2927"/>
    </row>
    <row r="2928" spans="1:27" s="51" customFormat="1" ht="18.600000000000001" hidden="1" customHeight="1" x14ac:dyDescent="0.25">
      <c r="A2928" s="82" t="s">
        <v>2653</v>
      </c>
      <c r="B2928" s="41" t="s">
        <v>9380</v>
      </c>
      <c r="C2928" s="42" t="s">
        <v>9381</v>
      </c>
      <c r="D2928" s="41" t="s">
        <v>7442</v>
      </c>
      <c r="E2928" s="43" t="s">
        <v>7443</v>
      </c>
      <c r="F2928" s="43" t="s">
        <v>1937</v>
      </c>
      <c r="G2928" s="43"/>
      <c r="H2928" s="85" t="s">
        <v>7444</v>
      </c>
      <c r="I2928" s="23" t="s">
        <v>24</v>
      </c>
      <c r="J2928" s="44">
        <v>80</v>
      </c>
      <c r="K2928" s="45">
        <v>0.25</v>
      </c>
      <c r="L2928" s="46">
        <f t="shared" si="442"/>
        <v>20</v>
      </c>
      <c r="M2928" s="47">
        <f t="shared" si="443"/>
        <v>60</v>
      </c>
      <c r="N2928" s="48">
        <v>0.16</v>
      </c>
      <c r="O2928" s="49">
        <f t="shared" si="444"/>
        <v>9.6</v>
      </c>
      <c r="P2928" s="50">
        <f t="shared" si="445"/>
        <v>69.599999999999994</v>
      </c>
      <c r="Q2928" s="23"/>
      <c r="R2928" s="60"/>
      <c r="S2928" s="61"/>
      <c r="T2928" s="62">
        <f t="shared" si="446"/>
        <v>0</v>
      </c>
      <c r="U2928" s="46">
        <f t="shared" si="447"/>
        <v>0</v>
      </c>
      <c r="V2928" s="63">
        <f t="shared" si="448"/>
        <v>0</v>
      </c>
      <c r="W2928" s="49">
        <f t="shared" si="449"/>
        <v>0</v>
      </c>
      <c r="X2928" s="50">
        <f t="shared" si="450"/>
        <v>0</v>
      </c>
      <c r="Y2928"/>
      <c r="Z2928"/>
      <c r="AA2928"/>
    </row>
    <row r="2929" spans="1:27" s="51" customFormat="1" ht="18.600000000000001" hidden="1" customHeight="1" x14ac:dyDescent="0.25">
      <c r="A2929" s="80" t="s">
        <v>2653</v>
      </c>
      <c r="B2929" s="20" t="s">
        <v>9380</v>
      </c>
      <c r="C2929" s="21" t="s">
        <v>9381</v>
      </c>
      <c r="D2929" s="20" t="s">
        <v>7445</v>
      </c>
      <c r="E2929" s="22" t="s">
        <v>7446</v>
      </c>
      <c r="F2929" s="22" t="s">
        <v>1937</v>
      </c>
      <c r="G2929" s="22"/>
      <c r="H2929" s="83" t="s">
        <v>7447</v>
      </c>
      <c r="I2929" s="23" t="s">
        <v>24</v>
      </c>
      <c r="J2929" s="24">
        <v>80</v>
      </c>
      <c r="K2929" s="25">
        <v>0.25</v>
      </c>
      <c r="L2929" s="26">
        <f t="shared" si="442"/>
        <v>20</v>
      </c>
      <c r="M2929" s="27">
        <f t="shared" si="443"/>
        <v>60</v>
      </c>
      <c r="N2929" s="28">
        <v>0.16</v>
      </c>
      <c r="O2929" s="29">
        <f t="shared" si="444"/>
        <v>9.6</v>
      </c>
      <c r="P2929" s="30">
        <f t="shared" si="445"/>
        <v>69.599999999999994</v>
      </c>
      <c r="Q2929" s="23"/>
      <c r="R2929" s="52"/>
      <c r="S2929" s="53"/>
      <c r="T2929" s="54">
        <f t="shared" si="446"/>
        <v>0</v>
      </c>
      <c r="U2929" s="26">
        <f t="shared" si="447"/>
        <v>0</v>
      </c>
      <c r="V2929" s="55">
        <f t="shared" si="448"/>
        <v>0</v>
      </c>
      <c r="W2929" s="29">
        <f t="shared" si="449"/>
        <v>0</v>
      </c>
      <c r="X2929" s="30">
        <f t="shared" si="450"/>
        <v>0</v>
      </c>
      <c r="Y2929"/>
      <c r="Z2929"/>
      <c r="AA2929"/>
    </row>
    <row r="2930" spans="1:27" s="51" customFormat="1" ht="18.600000000000001" hidden="1" customHeight="1" x14ac:dyDescent="0.25">
      <c r="A2930" s="81" t="s">
        <v>2653</v>
      </c>
      <c r="B2930" s="31" t="s">
        <v>9380</v>
      </c>
      <c r="C2930" s="32" t="s">
        <v>9381</v>
      </c>
      <c r="D2930" s="31" t="s">
        <v>7448</v>
      </c>
      <c r="E2930" s="33" t="s">
        <v>7449</v>
      </c>
      <c r="F2930" s="33" t="s">
        <v>1937</v>
      </c>
      <c r="G2930" s="33"/>
      <c r="H2930" s="84" t="s">
        <v>7450</v>
      </c>
      <c r="I2930" s="23" t="s">
        <v>24</v>
      </c>
      <c r="J2930" s="34">
        <v>80</v>
      </c>
      <c r="K2930" s="35">
        <v>0.25</v>
      </c>
      <c r="L2930" s="36">
        <f t="shared" si="442"/>
        <v>20</v>
      </c>
      <c r="M2930" s="37">
        <f t="shared" si="443"/>
        <v>60</v>
      </c>
      <c r="N2930" s="38">
        <v>0.16</v>
      </c>
      <c r="O2930" s="39">
        <f t="shared" si="444"/>
        <v>9.6</v>
      </c>
      <c r="P2930" s="40">
        <f t="shared" si="445"/>
        <v>69.599999999999994</v>
      </c>
      <c r="Q2930" s="23"/>
      <c r="R2930" s="56"/>
      <c r="S2930" s="57"/>
      <c r="T2930" s="58">
        <f t="shared" si="446"/>
        <v>0</v>
      </c>
      <c r="U2930" s="36">
        <f t="shared" si="447"/>
        <v>0</v>
      </c>
      <c r="V2930" s="59">
        <f t="shared" si="448"/>
        <v>0</v>
      </c>
      <c r="W2930" s="39">
        <f t="shared" si="449"/>
        <v>0</v>
      </c>
      <c r="X2930" s="40">
        <f t="shared" si="450"/>
        <v>0</v>
      </c>
      <c r="Y2930"/>
      <c r="Z2930"/>
      <c r="AA2930"/>
    </row>
    <row r="2931" spans="1:27" s="51" customFormat="1" ht="18.600000000000001" hidden="1" customHeight="1" x14ac:dyDescent="0.25">
      <c r="A2931" s="82" t="s">
        <v>2653</v>
      </c>
      <c r="B2931" s="41" t="s">
        <v>9380</v>
      </c>
      <c r="C2931" s="42" t="s">
        <v>9381</v>
      </c>
      <c r="D2931" s="41" t="s">
        <v>7451</v>
      </c>
      <c r="E2931" s="43" t="s">
        <v>7452</v>
      </c>
      <c r="F2931" s="43" t="s">
        <v>1937</v>
      </c>
      <c r="G2931" s="43"/>
      <c r="H2931" s="85" t="s">
        <v>7453</v>
      </c>
      <c r="I2931" s="23" t="s">
        <v>24</v>
      </c>
      <c r="J2931" s="44">
        <v>80</v>
      </c>
      <c r="K2931" s="45">
        <v>0.25</v>
      </c>
      <c r="L2931" s="46">
        <f t="shared" si="442"/>
        <v>20</v>
      </c>
      <c r="M2931" s="47">
        <f t="shared" si="443"/>
        <v>60</v>
      </c>
      <c r="N2931" s="48">
        <v>0.16</v>
      </c>
      <c r="O2931" s="49">
        <f t="shared" si="444"/>
        <v>9.6</v>
      </c>
      <c r="P2931" s="50">
        <f t="shared" si="445"/>
        <v>69.599999999999994</v>
      </c>
      <c r="Q2931" s="23"/>
      <c r="R2931" s="60"/>
      <c r="S2931" s="61"/>
      <c r="T2931" s="62">
        <f t="shared" si="446"/>
        <v>0</v>
      </c>
      <c r="U2931" s="46">
        <f t="shared" si="447"/>
        <v>0</v>
      </c>
      <c r="V2931" s="63">
        <f t="shared" si="448"/>
        <v>0</v>
      </c>
      <c r="W2931" s="49">
        <f t="shared" si="449"/>
        <v>0</v>
      </c>
      <c r="X2931" s="50">
        <f t="shared" si="450"/>
        <v>0</v>
      </c>
      <c r="Y2931"/>
      <c r="Z2931"/>
      <c r="AA2931"/>
    </row>
    <row r="2932" spans="1:27" s="51" customFormat="1" ht="18.600000000000001" hidden="1" customHeight="1" x14ac:dyDescent="0.25">
      <c r="A2932" s="80" t="s">
        <v>2653</v>
      </c>
      <c r="B2932" s="20" t="s">
        <v>9380</v>
      </c>
      <c r="C2932" s="21" t="s">
        <v>9381</v>
      </c>
      <c r="D2932" s="20" t="s">
        <v>7454</v>
      </c>
      <c r="E2932" s="22" t="s">
        <v>7455</v>
      </c>
      <c r="F2932" s="22" t="s">
        <v>1937</v>
      </c>
      <c r="G2932" s="22"/>
      <c r="H2932" s="83" t="s">
        <v>7456</v>
      </c>
      <c r="I2932" s="23" t="s">
        <v>24</v>
      </c>
      <c r="J2932" s="24">
        <v>80</v>
      </c>
      <c r="K2932" s="25">
        <v>0.25</v>
      </c>
      <c r="L2932" s="26">
        <f t="shared" si="442"/>
        <v>20</v>
      </c>
      <c r="M2932" s="27">
        <f t="shared" si="443"/>
        <v>60</v>
      </c>
      <c r="N2932" s="28">
        <v>0.16</v>
      </c>
      <c r="O2932" s="29">
        <f t="shared" si="444"/>
        <v>9.6</v>
      </c>
      <c r="P2932" s="30">
        <f t="shared" si="445"/>
        <v>69.599999999999994</v>
      </c>
      <c r="Q2932" s="23"/>
      <c r="R2932" s="52"/>
      <c r="S2932" s="53"/>
      <c r="T2932" s="54">
        <f t="shared" si="446"/>
        <v>0</v>
      </c>
      <c r="U2932" s="26">
        <f t="shared" si="447"/>
        <v>0</v>
      </c>
      <c r="V2932" s="55">
        <f t="shared" si="448"/>
        <v>0</v>
      </c>
      <c r="W2932" s="29">
        <f t="shared" si="449"/>
        <v>0</v>
      </c>
      <c r="X2932" s="30">
        <f t="shared" si="450"/>
        <v>0</v>
      </c>
      <c r="Y2932"/>
      <c r="Z2932"/>
      <c r="AA2932"/>
    </row>
    <row r="2933" spans="1:27" s="51" customFormat="1" ht="18.600000000000001" hidden="1" customHeight="1" x14ac:dyDescent="0.25">
      <c r="A2933" s="81" t="s">
        <v>2653</v>
      </c>
      <c r="B2933" s="31" t="s">
        <v>9380</v>
      </c>
      <c r="C2933" s="32" t="s">
        <v>9381</v>
      </c>
      <c r="D2933" s="31" t="s">
        <v>7457</v>
      </c>
      <c r="E2933" s="33" t="s">
        <v>7458</v>
      </c>
      <c r="F2933" s="33" t="s">
        <v>1937</v>
      </c>
      <c r="G2933" s="33"/>
      <c r="H2933" s="84" t="s">
        <v>7459</v>
      </c>
      <c r="I2933" s="23" t="s">
        <v>24</v>
      </c>
      <c r="J2933" s="34">
        <v>80</v>
      </c>
      <c r="K2933" s="35">
        <v>0.25</v>
      </c>
      <c r="L2933" s="36">
        <f t="shared" si="442"/>
        <v>20</v>
      </c>
      <c r="M2933" s="37">
        <f t="shared" si="443"/>
        <v>60</v>
      </c>
      <c r="N2933" s="38">
        <v>0.16</v>
      </c>
      <c r="O2933" s="39">
        <f t="shared" si="444"/>
        <v>9.6</v>
      </c>
      <c r="P2933" s="40">
        <f t="shared" si="445"/>
        <v>69.599999999999994</v>
      </c>
      <c r="Q2933" s="23"/>
      <c r="R2933" s="56"/>
      <c r="S2933" s="57"/>
      <c r="T2933" s="58">
        <f t="shared" si="446"/>
        <v>0</v>
      </c>
      <c r="U2933" s="36">
        <f t="shared" si="447"/>
        <v>0</v>
      </c>
      <c r="V2933" s="59">
        <f t="shared" si="448"/>
        <v>0</v>
      </c>
      <c r="W2933" s="39">
        <f t="shared" si="449"/>
        <v>0</v>
      </c>
      <c r="X2933" s="40">
        <f t="shared" si="450"/>
        <v>0</v>
      </c>
      <c r="Y2933"/>
      <c r="Z2933"/>
      <c r="AA2933"/>
    </row>
    <row r="2934" spans="1:27" s="51" customFormat="1" ht="18.600000000000001" hidden="1" customHeight="1" x14ac:dyDescent="0.25">
      <c r="A2934" s="82" t="s">
        <v>2653</v>
      </c>
      <c r="B2934" s="41" t="s">
        <v>9380</v>
      </c>
      <c r="C2934" s="42" t="s">
        <v>9381</v>
      </c>
      <c r="D2934" s="41" t="s">
        <v>7460</v>
      </c>
      <c r="E2934" s="43" t="s">
        <v>7461</v>
      </c>
      <c r="F2934" s="43" t="s">
        <v>1937</v>
      </c>
      <c r="G2934" s="43"/>
      <c r="H2934" s="85" t="s">
        <v>7462</v>
      </c>
      <c r="I2934" s="23" t="s">
        <v>24</v>
      </c>
      <c r="J2934" s="44">
        <v>80</v>
      </c>
      <c r="K2934" s="45">
        <v>0.25</v>
      </c>
      <c r="L2934" s="46">
        <f t="shared" si="442"/>
        <v>20</v>
      </c>
      <c r="M2934" s="47">
        <f t="shared" si="443"/>
        <v>60</v>
      </c>
      <c r="N2934" s="48">
        <v>0.16</v>
      </c>
      <c r="O2934" s="49">
        <f t="shared" si="444"/>
        <v>9.6</v>
      </c>
      <c r="P2934" s="50">
        <f t="shared" si="445"/>
        <v>69.599999999999994</v>
      </c>
      <c r="Q2934" s="23"/>
      <c r="R2934" s="60"/>
      <c r="S2934" s="61"/>
      <c r="T2934" s="62">
        <f t="shared" si="446"/>
        <v>0</v>
      </c>
      <c r="U2934" s="46">
        <f t="shared" si="447"/>
        <v>0</v>
      </c>
      <c r="V2934" s="63">
        <f t="shared" si="448"/>
        <v>0</v>
      </c>
      <c r="W2934" s="49">
        <f t="shared" si="449"/>
        <v>0</v>
      </c>
      <c r="X2934" s="50">
        <f t="shared" si="450"/>
        <v>0</v>
      </c>
      <c r="Y2934"/>
      <c r="Z2934"/>
      <c r="AA2934"/>
    </row>
    <row r="2935" spans="1:27" s="51" customFormat="1" ht="18.600000000000001" hidden="1" customHeight="1" x14ac:dyDescent="0.25">
      <c r="A2935" s="80" t="s">
        <v>2653</v>
      </c>
      <c r="B2935" s="20" t="s">
        <v>9380</v>
      </c>
      <c r="C2935" s="21" t="s">
        <v>9381</v>
      </c>
      <c r="D2935" s="20" t="s">
        <v>7463</v>
      </c>
      <c r="E2935" s="22" t="s">
        <v>7464</v>
      </c>
      <c r="F2935" s="22" t="s">
        <v>1937</v>
      </c>
      <c r="G2935" s="22"/>
      <c r="H2935" s="83" t="s">
        <v>7465</v>
      </c>
      <c r="I2935" s="23" t="s">
        <v>24</v>
      </c>
      <c r="J2935" s="24">
        <v>75</v>
      </c>
      <c r="K2935" s="25">
        <v>0.25</v>
      </c>
      <c r="L2935" s="26">
        <f t="shared" si="442"/>
        <v>18.75</v>
      </c>
      <c r="M2935" s="27">
        <f t="shared" si="443"/>
        <v>56.25</v>
      </c>
      <c r="N2935" s="28">
        <v>0.16</v>
      </c>
      <c r="O2935" s="29">
        <f t="shared" si="444"/>
        <v>9</v>
      </c>
      <c r="P2935" s="30">
        <f t="shared" si="445"/>
        <v>65.25</v>
      </c>
      <c r="Q2935" s="23"/>
      <c r="R2935" s="52"/>
      <c r="S2935" s="53"/>
      <c r="T2935" s="54">
        <f t="shared" si="446"/>
        <v>0</v>
      </c>
      <c r="U2935" s="26">
        <f t="shared" si="447"/>
        <v>0</v>
      </c>
      <c r="V2935" s="55">
        <f t="shared" si="448"/>
        <v>0</v>
      </c>
      <c r="W2935" s="29">
        <f t="shared" si="449"/>
        <v>0</v>
      </c>
      <c r="X2935" s="30">
        <f t="shared" si="450"/>
        <v>0</v>
      </c>
      <c r="Y2935"/>
      <c r="Z2935"/>
      <c r="AA2935"/>
    </row>
    <row r="2936" spans="1:27" s="51" customFormat="1" ht="18.600000000000001" hidden="1" customHeight="1" x14ac:dyDescent="0.25">
      <c r="A2936" s="81" t="s">
        <v>2653</v>
      </c>
      <c r="B2936" s="31" t="s">
        <v>9380</v>
      </c>
      <c r="C2936" s="32" t="s">
        <v>9381</v>
      </c>
      <c r="D2936" s="31" t="s">
        <v>7466</v>
      </c>
      <c r="E2936" s="33" t="s">
        <v>7467</v>
      </c>
      <c r="F2936" s="33" t="s">
        <v>1937</v>
      </c>
      <c r="G2936" s="33"/>
      <c r="H2936" s="84" t="s">
        <v>7468</v>
      </c>
      <c r="I2936" s="23" t="s">
        <v>24</v>
      </c>
      <c r="J2936" s="34">
        <v>75</v>
      </c>
      <c r="K2936" s="35">
        <v>0.25</v>
      </c>
      <c r="L2936" s="36">
        <f t="shared" si="442"/>
        <v>18.75</v>
      </c>
      <c r="M2936" s="37">
        <f t="shared" si="443"/>
        <v>56.25</v>
      </c>
      <c r="N2936" s="38">
        <v>0.16</v>
      </c>
      <c r="O2936" s="39">
        <f t="shared" si="444"/>
        <v>9</v>
      </c>
      <c r="P2936" s="40">
        <f t="shared" si="445"/>
        <v>65.25</v>
      </c>
      <c r="Q2936" s="23"/>
      <c r="R2936" s="56"/>
      <c r="S2936" s="57"/>
      <c r="T2936" s="58">
        <f t="shared" si="446"/>
        <v>0</v>
      </c>
      <c r="U2936" s="36">
        <f t="shared" si="447"/>
        <v>0</v>
      </c>
      <c r="V2936" s="59">
        <f t="shared" si="448"/>
        <v>0</v>
      </c>
      <c r="W2936" s="39">
        <f t="shared" si="449"/>
        <v>0</v>
      </c>
      <c r="X2936" s="40">
        <f t="shared" si="450"/>
        <v>0</v>
      </c>
      <c r="Y2936"/>
      <c r="Z2936"/>
      <c r="AA2936"/>
    </row>
    <row r="2937" spans="1:27" s="51" customFormat="1" ht="18.600000000000001" hidden="1" customHeight="1" x14ac:dyDescent="0.25">
      <c r="A2937" s="82" t="s">
        <v>2653</v>
      </c>
      <c r="B2937" s="41" t="s">
        <v>9380</v>
      </c>
      <c r="C2937" s="42" t="s">
        <v>9381</v>
      </c>
      <c r="D2937" s="41" t="s">
        <v>7469</v>
      </c>
      <c r="E2937" s="43" t="s">
        <v>7470</v>
      </c>
      <c r="F2937" s="43" t="s">
        <v>1937</v>
      </c>
      <c r="G2937" s="43"/>
      <c r="H2937" s="85" t="s">
        <v>7471</v>
      </c>
      <c r="I2937" s="23" t="s">
        <v>24</v>
      </c>
      <c r="J2937" s="44">
        <v>75</v>
      </c>
      <c r="K2937" s="45">
        <v>0.25</v>
      </c>
      <c r="L2937" s="46">
        <f t="shared" si="442"/>
        <v>18.75</v>
      </c>
      <c r="M2937" s="47">
        <f t="shared" si="443"/>
        <v>56.25</v>
      </c>
      <c r="N2937" s="48">
        <v>0.16</v>
      </c>
      <c r="O2937" s="49">
        <f t="shared" si="444"/>
        <v>9</v>
      </c>
      <c r="P2937" s="50">
        <f t="shared" si="445"/>
        <v>65.25</v>
      </c>
      <c r="Q2937" s="23"/>
      <c r="R2937" s="60"/>
      <c r="S2937" s="61"/>
      <c r="T2937" s="62">
        <f t="shared" si="446"/>
        <v>0</v>
      </c>
      <c r="U2937" s="46">
        <f t="shared" si="447"/>
        <v>0</v>
      </c>
      <c r="V2937" s="63">
        <f t="shared" si="448"/>
        <v>0</v>
      </c>
      <c r="W2937" s="49">
        <f t="shared" si="449"/>
        <v>0</v>
      </c>
      <c r="X2937" s="50">
        <f t="shared" si="450"/>
        <v>0</v>
      </c>
      <c r="Y2937"/>
      <c r="Z2937"/>
      <c r="AA2937"/>
    </row>
    <row r="2938" spans="1:27" s="51" customFormat="1" ht="18.600000000000001" hidden="1" customHeight="1" x14ac:dyDescent="0.25">
      <c r="A2938" s="80" t="s">
        <v>2653</v>
      </c>
      <c r="B2938" s="20" t="s">
        <v>9380</v>
      </c>
      <c r="C2938" s="21" t="s">
        <v>9381</v>
      </c>
      <c r="D2938" s="20" t="s">
        <v>7472</v>
      </c>
      <c r="E2938" s="22" t="s">
        <v>7473</v>
      </c>
      <c r="F2938" s="22" t="s">
        <v>1937</v>
      </c>
      <c r="G2938" s="22"/>
      <c r="H2938" s="83" t="s">
        <v>7474</v>
      </c>
      <c r="I2938" s="23" t="s">
        <v>24</v>
      </c>
      <c r="J2938" s="24">
        <v>75</v>
      </c>
      <c r="K2938" s="25">
        <v>0.25</v>
      </c>
      <c r="L2938" s="26">
        <f t="shared" si="442"/>
        <v>18.75</v>
      </c>
      <c r="M2938" s="27">
        <f t="shared" si="443"/>
        <v>56.25</v>
      </c>
      <c r="N2938" s="28">
        <v>0.16</v>
      </c>
      <c r="O2938" s="29">
        <f t="shared" si="444"/>
        <v>9</v>
      </c>
      <c r="P2938" s="30">
        <f t="shared" si="445"/>
        <v>65.25</v>
      </c>
      <c r="Q2938" s="23"/>
      <c r="R2938" s="52"/>
      <c r="S2938" s="53"/>
      <c r="T2938" s="54">
        <f t="shared" si="446"/>
        <v>0</v>
      </c>
      <c r="U2938" s="26">
        <f t="shared" si="447"/>
        <v>0</v>
      </c>
      <c r="V2938" s="55">
        <f t="shared" si="448"/>
        <v>0</v>
      </c>
      <c r="W2938" s="29">
        <f t="shared" si="449"/>
        <v>0</v>
      </c>
      <c r="X2938" s="30">
        <f t="shared" si="450"/>
        <v>0</v>
      </c>
      <c r="Y2938"/>
      <c r="Z2938"/>
      <c r="AA2938"/>
    </row>
    <row r="2939" spans="1:27" s="51" customFormat="1" ht="18.600000000000001" hidden="1" customHeight="1" x14ac:dyDescent="0.25">
      <c r="A2939" s="81" t="s">
        <v>2653</v>
      </c>
      <c r="B2939" s="31" t="s">
        <v>9380</v>
      </c>
      <c r="C2939" s="32" t="s">
        <v>9381</v>
      </c>
      <c r="D2939" s="31" t="s">
        <v>7475</v>
      </c>
      <c r="E2939" s="33" t="s">
        <v>7476</v>
      </c>
      <c r="F2939" s="33" t="s">
        <v>1937</v>
      </c>
      <c r="G2939" s="33"/>
      <c r="H2939" s="84" t="s">
        <v>7477</v>
      </c>
      <c r="I2939" s="23" t="s">
        <v>24</v>
      </c>
      <c r="J2939" s="34">
        <v>95</v>
      </c>
      <c r="K2939" s="35">
        <v>0.25</v>
      </c>
      <c r="L2939" s="36">
        <f t="shared" si="442"/>
        <v>23.75</v>
      </c>
      <c r="M2939" s="37">
        <f t="shared" si="443"/>
        <v>71.25</v>
      </c>
      <c r="N2939" s="38">
        <v>0.16</v>
      </c>
      <c r="O2939" s="39">
        <f t="shared" si="444"/>
        <v>11.4</v>
      </c>
      <c r="P2939" s="40">
        <f t="shared" si="445"/>
        <v>82.65</v>
      </c>
      <c r="Q2939" s="23"/>
      <c r="R2939" s="56"/>
      <c r="S2939" s="57"/>
      <c r="T2939" s="58">
        <f t="shared" si="446"/>
        <v>0</v>
      </c>
      <c r="U2939" s="36">
        <f t="shared" si="447"/>
        <v>0</v>
      </c>
      <c r="V2939" s="59">
        <f t="shared" si="448"/>
        <v>0</v>
      </c>
      <c r="W2939" s="39">
        <f t="shared" si="449"/>
        <v>0</v>
      </c>
      <c r="X2939" s="40">
        <f t="shared" si="450"/>
        <v>0</v>
      </c>
      <c r="Y2939"/>
      <c r="Z2939"/>
      <c r="AA2939"/>
    </row>
    <row r="2940" spans="1:27" s="51" customFormat="1" ht="18.600000000000001" hidden="1" customHeight="1" x14ac:dyDescent="0.25">
      <c r="A2940" s="82" t="s">
        <v>2653</v>
      </c>
      <c r="B2940" s="41" t="s">
        <v>9380</v>
      </c>
      <c r="C2940" s="42" t="s">
        <v>9381</v>
      </c>
      <c r="D2940" s="41" t="s">
        <v>7478</v>
      </c>
      <c r="E2940" s="43" t="s">
        <v>7479</v>
      </c>
      <c r="F2940" s="43" t="s">
        <v>1937</v>
      </c>
      <c r="G2940" s="43"/>
      <c r="H2940" s="85" t="s">
        <v>7480</v>
      </c>
      <c r="I2940" s="23" t="s">
        <v>24</v>
      </c>
      <c r="J2940" s="44">
        <v>350</v>
      </c>
      <c r="K2940" s="45">
        <v>0.25</v>
      </c>
      <c r="L2940" s="46">
        <f t="shared" si="442"/>
        <v>87.5</v>
      </c>
      <c r="M2940" s="47">
        <f t="shared" si="443"/>
        <v>262.5</v>
      </c>
      <c r="N2940" s="48">
        <v>0.16</v>
      </c>
      <c r="O2940" s="49">
        <f t="shared" si="444"/>
        <v>42</v>
      </c>
      <c r="P2940" s="50">
        <f t="shared" si="445"/>
        <v>304.5</v>
      </c>
      <c r="Q2940" s="23"/>
      <c r="R2940" s="60"/>
      <c r="S2940" s="61"/>
      <c r="T2940" s="62">
        <f t="shared" si="446"/>
        <v>0</v>
      </c>
      <c r="U2940" s="46">
        <f t="shared" si="447"/>
        <v>0</v>
      </c>
      <c r="V2940" s="63">
        <f t="shared" si="448"/>
        <v>0</v>
      </c>
      <c r="W2940" s="49">
        <f t="shared" si="449"/>
        <v>0</v>
      </c>
      <c r="X2940" s="50">
        <f t="shared" si="450"/>
        <v>0</v>
      </c>
      <c r="Y2940"/>
      <c r="Z2940"/>
      <c r="AA2940"/>
    </row>
    <row r="2941" spans="1:27" s="51" customFormat="1" ht="18.600000000000001" hidden="1" customHeight="1" x14ac:dyDescent="0.25">
      <c r="A2941" s="80" t="s">
        <v>2653</v>
      </c>
      <c r="B2941" s="20" t="s">
        <v>9380</v>
      </c>
      <c r="C2941" s="21" t="s">
        <v>9382</v>
      </c>
      <c r="D2941" s="20" t="s">
        <v>7481</v>
      </c>
      <c r="E2941" s="22" t="s">
        <v>7482</v>
      </c>
      <c r="F2941" s="22" t="s">
        <v>1937</v>
      </c>
      <c r="G2941" s="22"/>
      <c r="H2941" s="83" t="s">
        <v>7483</v>
      </c>
      <c r="I2941" s="23" t="s">
        <v>24</v>
      </c>
      <c r="J2941" s="24">
        <v>700</v>
      </c>
      <c r="K2941" s="25">
        <v>0.25</v>
      </c>
      <c r="L2941" s="26">
        <f t="shared" si="442"/>
        <v>175</v>
      </c>
      <c r="M2941" s="27">
        <f t="shared" si="443"/>
        <v>525</v>
      </c>
      <c r="N2941" s="28">
        <v>0.16</v>
      </c>
      <c r="O2941" s="29">
        <f t="shared" si="444"/>
        <v>84</v>
      </c>
      <c r="P2941" s="30">
        <f t="shared" si="445"/>
        <v>609</v>
      </c>
      <c r="Q2941" s="23"/>
      <c r="R2941" s="52"/>
      <c r="S2941" s="53"/>
      <c r="T2941" s="54">
        <f t="shared" si="446"/>
        <v>0</v>
      </c>
      <c r="U2941" s="26">
        <f t="shared" si="447"/>
        <v>0</v>
      </c>
      <c r="V2941" s="55">
        <f t="shared" si="448"/>
        <v>0</v>
      </c>
      <c r="W2941" s="29">
        <f t="shared" si="449"/>
        <v>0</v>
      </c>
      <c r="X2941" s="30">
        <f t="shared" si="450"/>
        <v>0</v>
      </c>
      <c r="Y2941"/>
      <c r="Z2941"/>
      <c r="AA2941"/>
    </row>
    <row r="2942" spans="1:27" s="51" customFormat="1" ht="18.600000000000001" hidden="1" customHeight="1" x14ac:dyDescent="0.25">
      <c r="A2942" s="81" t="s">
        <v>2653</v>
      </c>
      <c r="B2942" s="31" t="s">
        <v>9380</v>
      </c>
      <c r="C2942" s="32" t="s">
        <v>9383</v>
      </c>
      <c r="D2942" s="31" t="s">
        <v>7484</v>
      </c>
      <c r="E2942" s="33" t="s">
        <v>7485</v>
      </c>
      <c r="F2942" s="33" t="s">
        <v>1937</v>
      </c>
      <c r="G2942" s="33"/>
      <c r="H2942" s="84" t="s">
        <v>7486</v>
      </c>
      <c r="I2942" s="23" t="s">
        <v>24</v>
      </c>
      <c r="J2942" s="34">
        <v>120</v>
      </c>
      <c r="K2942" s="35">
        <v>0.25</v>
      </c>
      <c r="L2942" s="36">
        <f t="shared" si="442"/>
        <v>30</v>
      </c>
      <c r="M2942" s="37">
        <f t="shared" si="443"/>
        <v>90</v>
      </c>
      <c r="N2942" s="38">
        <v>0.16</v>
      </c>
      <c r="O2942" s="39">
        <f t="shared" si="444"/>
        <v>14.4</v>
      </c>
      <c r="P2942" s="40">
        <f t="shared" si="445"/>
        <v>104.4</v>
      </c>
      <c r="Q2942" s="23"/>
      <c r="R2942" s="56"/>
      <c r="S2942" s="57"/>
      <c r="T2942" s="58">
        <f t="shared" si="446"/>
        <v>0</v>
      </c>
      <c r="U2942" s="36">
        <f t="shared" si="447"/>
        <v>0</v>
      </c>
      <c r="V2942" s="59">
        <f t="shared" si="448"/>
        <v>0</v>
      </c>
      <c r="W2942" s="39">
        <f t="shared" si="449"/>
        <v>0</v>
      </c>
      <c r="X2942" s="40">
        <f t="shared" si="450"/>
        <v>0</v>
      </c>
      <c r="Y2942"/>
      <c r="Z2942"/>
      <c r="AA2942"/>
    </row>
    <row r="2943" spans="1:27" s="51" customFormat="1" ht="18.600000000000001" hidden="1" customHeight="1" x14ac:dyDescent="0.25">
      <c r="A2943" s="82" t="s">
        <v>2653</v>
      </c>
      <c r="B2943" s="41" t="s">
        <v>9380</v>
      </c>
      <c r="C2943" s="42" t="s">
        <v>9383</v>
      </c>
      <c r="D2943" s="41" t="s">
        <v>7487</v>
      </c>
      <c r="E2943" s="43" t="s">
        <v>7488</v>
      </c>
      <c r="F2943" s="43" t="s">
        <v>1937</v>
      </c>
      <c r="G2943" s="43"/>
      <c r="H2943" s="85" t="s">
        <v>7489</v>
      </c>
      <c r="I2943" s="23" t="s">
        <v>24</v>
      </c>
      <c r="J2943" s="44">
        <v>85</v>
      </c>
      <c r="K2943" s="45">
        <v>0.25</v>
      </c>
      <c r="L2943" s="46">
        <f t="shared" si="442"/>
        <v>21.25</v>
      </c>
      <c r="M2943" s="47">
        <f t="shared" si="443"/>
        <v>63.75</v>
      </c>
      <c r="N2943" s="48">
        <v>0.16</v>
      </c>
      <c r="O2943" s="49">
        <f t="shared" si="444"/>
        <v>10.200000000000001</v>
      </c>
      <c r="P2943" s="50">
        <f t="shared" si="445"/>
        <v>73.95</v>
      </c>
      <c r="Q2943" s="23"/>
      <c r="R2943" s="60"/>
      <c r="S2943" s="61"/>
      <c r="T2943" s="62">
        <f t="shared" si="446"/>
        <v>0</v>
      </c>
      <c r="U2943" s="46">
        <f t="shared" si="447"/>
        <v>0</v>
      </c>
      <c r="V2943" s="63">
        <f t="shared" si="448"/>
        <v>0</v>
      </c>
      <c r="W2943" s="49">
        <f t="shared" si="449"/>
        <v>0</v>
      </c>
      <c r="X2943" s="50">
        <f t="shared" si="450"/>
        <v>0</v>
      </c>
      <c r="Y2943"/>
      <c r="Z2943"/>
      <c r="AA2943"/>
    </row>
    <row r="2944" spans="1:27" s="51" customFormat="1" ht="18.600000000000001" hidden="1" customHeight="1" x14ac:dyDescent="0.25">
      <c r="A2944" s="80" t="s">
        <v>2653</v>
      </c>
      <c r="B2944" s="20" t="s">
        <v>9380</v>
      </c>
      <c r="C2944" s="21"/>
      <c r="D2944" s="20" t="s">
        <v>7490</v>
      </c>
      <c r="E2944" s="22" t="s">
        <v>7491</v>
      </c>
      <c r="F2944" s="22" t="s">
        <v>1937</v>
      </c>
      <c r="G2944" s="22"/>
      <c r="H2944" s="83" t="s">
        <v>7492</v>
      </c>
      <c r="I2944" s="23" t="s">
        <v>24</v>
      </c>
      <c r="J2944" s="24">
        <v>950</v>
      </c>
      <c r="K2944" s="25">
        <v>0.25</v>
      </c>
      <c r="L2944" s="26">
        <f t="shared" si="442"/>
        <v>237.5</v>
      </c>
      <c r="M2944" s="27">
        <f t="shared" si="443"/>
        <v>712.5</v>
      </c>
      <c r="N2944" s="28">
        <v>0.16</v>
      </c>
      <c r="O2944" s="29">
        <f t="shared" si="444"/>
        <v>114</v>
      </c>
      <c r="P2944" s="30">
        <f t="shared" si="445"/>
        <v>826.5</v>
      </c>
      <c r="Q2944" s="23"/>
      <c r="R2944" s="52"/>
      <c r="S2944" s="53"/>
      <c r="T2944" s="54">
        <f t="shared" si="446"/>
        <v>0</v>
      </c>
      <c r="U2944" s="26">
        <f t="shared" si="447"/>
        <v>0</v>
      </c>
      <c r="V2944" s="55">
        <f t="shared" si="448"/>
        <v>0</v>
      </c>
      <c r="W2944" s="29">
        <f t="shared" si="449"/>
        <v>0</v>
      </c>
      <c r="X2944" s="30">
        <f t="shared" si="450"/>
        <v>0</v>
      </c>
      <c r="Y2944"/>
      <c r="Z2944"/>
      <c r="AA2944"/>
    </row>
    <row r="2945" spans="1:27" s="51" customFormat="1" ht="18.600000000000001" hidden="1" customHeight="1" x14ac:dyDescent="0.25">
      <c r="A2945" s="81" t="s">
        <v>2653</v>
      </c>
      <c r="B2945" s="31" t="s">
        <v>9380</v>
      </c>
      <c r="C2945" s="32"/>
      <c r="D2945" s="31" t="s">
        <v>7493</v>
      </c>
      <c r="E2945" s="33" t="s">
        <v>7494</v>
      </c>
      <c r="F2945" s="33" t="s">
        <v>1937</v>
      </c>
      <c r="G2945" s="33"/>
      <c r="H2945" s="84" t="s">
        <v>7495</v>
      </c>
      <c r="I2945" s="23" t="s">
        <v>24</v>
      </c>
      <c r="J2945" s="34">
        <v>100</v>
      </c>
      <c r="K2945" s="35">
        <v>0.25</v>
      </c>
      <c r="L2945" s="36">
        <f t="shared" si="442"/>
        <v>25</v>
      </c>
      <c r="M2945" s="37">
        <f t="shared" si="443"/>
        <v>75</v>
      </c>
      <c r="N2945" s="38">
        <v>0.16</v>
      </c>
      <c r="O2945" s="39">
        <f t="shared" si="444"/>
        <v>12</v>
      </c>
      <c r="P2945" s="40">
        <f t="shared" si="445"/>
        <v>87</v>
      </c>
      <c r="Q2945" s="23"/>
      <c r="R2945" s="56"/>
      <c r="S2945" s="57"/>
      <c r="T2945" s="58">
        <f t="shared" si="446"/>
        <v>0</v>
      </c>
      <c r="U2945" s="36">
        <f t="shared" si="447"/>
        <v>0</v>
      </c>
      <c r="V2945" s="59">
        <f t="shared" si="448"/>
        <v>0</v>
      </c>
      <c r="W2945" s="39">
        <f t="shared" si="449"/>
        <v>0</v>
      </c>
      <c r="X2945" s="40">
        <f t="shared" si="450"/>
        <v>0</v>
      </c>
      <c r="Y2945"/>
      <c r="Z2945"/>
      <c r="AA2945"/>
    </row>
    <row r="2946" spans="1:27" s="51" customFormat="1" ht="18.600000000000001" hidden="1" customHeight="1" x14ac:dyDescent="0.25">
      <c r="A2946" s="82" t="s">
        <v>2653</v>
      </c>
      <c r="B2946" s="41" t="s">
        <v>9380</v>
      </c>
      <c r="C2946" s="42"/>
      <c r="D2946" s="41" t="s">
        <v>7496</v>
      </c>
      <c r="E2946" s="43" t="s">
        <v>7497</v>
      </c>
      <c r="F2946" s="43" t="s">
        <v>1937</v>
      </c>
      <c r="G2946" s="43"/>
      <c r="H2946" s="85" t="s">
        <v>7498</v>
      </c>
      <c r="I2946" s="23" t="s">
        <v>24</v>
      </c>
      <c r="J2946" s="44">
        <v>85</v>
      </c>
      <c r="K2946" s="45">
        <v>0.25</v>
      </c>
      <c r="L2946" s="46">
        <f t="shared" si="442"/>
        <v>21.25</v>
      </c>
      <c r="M2946" s="47">
        <f t="shared" si="443"/>
        <v>63.75</v>
      </c>
      <c r="N2946" s="48">
        <v>0.16</v>
      </c>
      <c r="O2946" s="49">
        <f t="shared" si="444"/>
        <v>10.200000000000001</v>
      </c>
      <c r="P2946" s="50">
        <f t="shared" si="445"/>
        <v>73.95</v>
      </c>
      <c r="Q2946" s="23"/>
      <c r="R2946" s="60"/>
      <c r="S2946" s="61"/>
      <c r="T2946" s="62">
        <f t="shared" si="446"/>
        <v>0</v>
      </c>
      <c r="U2946" s="46">
        <f t="shared" si="447"/>
        <v>0</v>
      </c>
      <c r="V2946" s="63">
        <f t="shared" si="448"/>
        <v>0</v>
      </c>
      <c r="W2946" s="49">
        <f t="shared" si="449"/>
        <v>0</v>
      </c>
      <c r="X2946" s="50">
        <f t="shared" si="450"/>
        <v>0</v>
      </c>
      <c r="Y2946"/>
      <c r="Z2946"/>
      <c r="AA2946"/>
    </row>
    <row r="2947" spans="1:27" s="51" customFormat="1" ht="18.600000000000001" hidden="1" customHeight="1" x14ac:dyDescent="0.25">
      <c r="A2947" s="80" t="s">
        <v>2653</v>
      </c>
      <c r="B2947" s="20" t="s">
        <v>9380</v>
      </c>
      <c r="C2947" s="21"/>
      <c r="D2947" s="20" t="s">
        <v>7499</v>
      </c>
      <c r="E2947" s="22" t="s">
        <v>7500</v>
      </c>
      <c r="F2947" s="22" t="s">
        <v>1937</v>
      </c>
      <c r="G2947" s="22"/>
      <c r="H2947" s="83" t="s">
        <v>7501</v>
      </c>
      <c r="I2947" s="23" t="s">
        <v>24</v>
      </c>
      <c r="J2947" s="24">
        <v>85</v>
      </c>
      <c r="K2947" s="25">
        <v>0.25</v>
      </c>
      <c r="L2947" s="26">
        <f t="shared" si="442"/>
        <v>21.25</v>
      </c>
      <c r="M2947" s="27">
        <f t="shared" si="443"/>
        <v>63.75</v>
      </c>
      <c r="N2947" s="28">
        <v>0.16</v>
      </c>
      <c r="O2947" s="29">
        <f t="shared" si="444"/>
        <v>10.200000000000001</v>
      </c>
      <c r="P2947" s="30">
        <f t="shared" si="445"/>
        <v>73.95</v>
      </c>
      <c r="Q2947" s="23"/>
      <c r="R2947" s="52"/>
      <c r="S2947" s="53"/>
      <c r="T2947" s="54">
        <f t="shared" si="446"/>
        <v>0</v>
      </c>
      <c r="U2947" s="26">
        <f t="shared" si="447"/>
        <v>0</v>
      </c>
      <c r="V2947" s="55">
        <f t="shared" si="448"/>
        <v>0</v>
      </c>
      <c r="W2947" s="29">
        <f t="shared" si="449"/>
        <v>0</v>
      </c>
      <c r="X2947" s="30">
        <f t="shared" si="450"/>
        <v>0</v>
      </c>
      <c r="Y2947"/>
      <c r="Z2947"/>
      <c r="AA2947"/>
    </row>
    <row r="2948" spans="1:27" s="51" customFormat="1" ht="18.600000000000001" hidden="1" customHeight="1" x14ac:dyDescent="0.25">
      <c r="A2948" s="81" t="s">
        <v>2653</v>
      </c>
      <c r="B2948" s="31" t="s">
        <v>9380</v>
      </c>
      <c r="C2948" s="32"/>
      <c r="D2948" s="31" t="s">
        <v>7502</v>
      </c>
      <c r="E2948" s="33" t="s">
        <v>7503</v>
      </c>
      <c r="F2948" s="33" t="s">
        <v>1937</v>
      </c>
      <c r="G2948" s="33"/>
      <c r="H2948" s="84" t="s">
        <v>7504</v>
      </c>
      <c r="I2948" s="23" t="s">
        <v>24</v>
      </c>
      <c r="J2948" s="34">
        <v>700</v>
      </c>
      <c r="K2948" s="35">
        <v>0.25</v>
      </c>
      <c r="L2948" s="36">
        <f t="shared" si="442"/>
        <v>175</v>
      </c>
      <c r="M2948" s="37">
        <f t="shared" si="443"/>
        <v>525</v>
      </c>
      <c r="N2948" s="38">
        <v>0.16</v>
      </c>
      <c r="O2948" s="39">
        <f t="shared" si="444"/>
        <v>84</v>
      </c>
      <c r="P2948" s="40">
        <f t="shared" si="445"/>
        <v>609</v>
      </c>
      <c r="Q2948" s="23"/>
      <c r="R2948" s="56"/>
      <c r="S2948" s="57"/>
      <c r="T2948" s="58">
        <f t="shared" si="446"/>
        <v>0</v>
      </c>
      <c r="U2948" s="36">
        <f t="shared" si="447"/>
        <v>0</v>
      </c>
      <c r="V2948" s="59">
        <f t="shared" si="448"/>
        <v>0</v>
      </c>
      <c r="W2948" s="39">
        <f t="shared" si="449"/>
        <v>0</v>
      </c>
      <c r="X2948" s="40">
        <f t="shared" si="450"/>
        <v>0</v>
      </c>
      <c r="Y2948"/>
      <c r="Z2948"/>
      <c r="AA2948"/>
    </row>
    <row r="2949" spans="1:27" s="51" customFormat="1" ht="18.600000000000001" hidden="1" customHeight="1" x14ac:dyDescent="0.25">
      <c r="A2949" s="82" t="s">
        <v>2653</v>
      </c>
      <c r="B2949" s="41" t="s">
        <v>9380</v>
      </c>
      <c r="C2949" s="42"/>
      <c r="D2949" s="41" t="s">
        <v>7505</v>
      </c>
      <c r="E2949" s="43" t="s">
        <v>7506</v>
      </c>
      <c r="F2949" s="43" t="s">
        <v>1937</v>
      </c>
      <c r="G2949" s="43"/>
      <c r="H2949" s="85" t="s">
        <v>7507</v>
      </c>
      <c r="I2949" s="23" t="s">
        <v>24</v>
      </c>
      <c r="J2949" s="44">
        <v>390</v>
      </c>
      <c r="K2949" s="45">
        <v>0.25</v>
      </c>
      <c r="L2949" s="46">
        <f t="shared" si="442"/>
        <v>97.5</v>
      </c>
      <c r="M2949" s="47">
        <f t="shared" si="443"/>
        <v>292.5</v>
      </c>
      <c r="N2949" s="48">
        <v>0.16</v>
      </c>
      <c r="O2949" s="49">
        <f t="shared" si="444"/>
        <v>46.800000000000004</v>
      </c>
      <c r="P2949" s="50">
        <f t="shared" si="445"/>
        <v>339.3</v>
      </c>
      <c r="Q2949" s="23"/>
      <c r="R2949" s="60"/>
      <c r="S2949" s="61"/>
      <c r="T2949" s="62">
        <f t="shared" si="446"/>
        <v>0</v>
      </c>
      <c r="U2949" s="46">
        <f t="shared" si="447"/>
        <v>0</v>
      </c>
      <c r="V2949" s="63">
        <f t="shared" si="448"/>
        <v>0</v>
      </c>
      <c r="W2949" s="49">
        <f t="shared" si="449"/>
        <v>0</v>
      </c>
      <c r="X2949" s="50">
        <f t="shared" si="450"/>
        <v>0</v>
      </c>
      <c r="Y2949"/>
      <c r="Z2949"/>
      <c r="AA2949"/>
    </row>
    <row r="2950" spans="1:27" s="51" customFormat="1" ht="18.600000000000001" hidden="1" customHeight="1" x14ac:dyDescent="0.25">
      <c r="A2950" s="80" t="s">
        <v>2653</v>
      </c>
      <c r="B2950" s="20" t="s">
        <v>9380</v>
      </c>
      <c r="C2950" s="21"/>
      <c r="D2950" s="20" t="s">
        <v>7508</v>
      </c>
      <c r="E2950" s="22" t="s">
        <v>7509</v>
      </c>
      <c r="F2950" s="22" t="s">
        <v>1937</v>
      </c>
      <c r="G2950" s="22"/>
      <c r="H2950" s="83" t="s">
        <v>7510</v>
      </c>
      <c r="I2950" s="23" t="s">
        <v>24</v>
      </c>
      <c r="J2950" s="24">
        <v>450</v>
      </c>
      <c r="K2950" s="25">
        <v>0.25</v>
      </c>
      <c r="L2950" s="26">
        <f t="shared" si="442"/>
        <v>112.5</v>
      </c>
      <c r="M2950" s="27">
        <f t="shared" si="443"/>
        <v>337.5</v>
      </c>
      <c r="N2950" s="28">
        <v>0.16</v>
      </c>
      <c r="O2950" s="29">
        <f t="shared" si="444"/>
        <v>54</v>
      </c>
      <c r="P2950" s="30">
        <f t="shared" si="445"/>
        <v>391.5</v>
      </c>
      <c r="Q2950" s="23"/>
      <c r="R2950" s="52"/>
      <c r="S2950" s="53"/>
      <c r="T2950" s="54">
        <f t="shared" si="446"/>
        <v>0</v>
      </c>
      <c r="U2950" s="26">
        <f t="shared" si="447"/>
        <v>0</v>
      </c>
      <c r="V2950" s="55">
        <f t="shared" si="448"/>
        <v>0</v>
      </c>
      <c r="W2950" s="29">
        <f t="shared" si="449"/>
        <v>0</v>
      </c>
      <c r="X2950" s="30">
        <f t="shared" si="450"/>
        <v>0</v>
      </c>
      <c r="Y2950"/>
      <c r="Z2950"/>
      <c r="AA2950"/>
    </row>
    <row r="2951" spans="1:27" s="51" customFormat="1" ht="18.600000000000001" hidden="1" customHeight="1" x14ac:dyDescent="0.25">
      <c r="A2951" s="81" t="s">
        <v>2653</v>
      </c>
      <c r="B2951" s="31" t="s">
        <v>9380</v>
      </c>
      <c r="C2951" s="32"/>
      <c r="D2951" s="31" t="s">
        <v>7511</v>
      </c>
      <c r="E2951" s="33" t="s">
        <v>7512</v>
      </c>
      <c r="F2951" s="33" t="s">
        <v>1937</v>
      </c>
      <c r="G2951" s="33"/>
      <c r="H2951" s="84" t="s">
        <v>7513</v>
      </c>
      <c r="I2951" s="23" t="s">
        <v>24</v>
      </c>
      <c r="J2951" s="34">
        <v>175</v>
      </c>
      <c r="K2951" s="35">
        <v>0.25</v>
      </c>
      <c r="L2951" s="36">
        <f t="shared" si="442"/>
        <v>43.75</v>
      </c>
      <c r="M2951" s="37">
        <f t="shared" si="443"/>
        <v>131.25</v>
      </c>
      <c r="N2951" s="38">
        <v>0.16</v>
      </c>
      <c r="O2951" s="39">
        <f t="shared" si="444"/>
        <v>21</v>
      </c>
      <c r="P2951" s="40">
        <f t="shared" si="445"/>
        <v>152.25</v>
      </c>
      <c r="Q2951" s="23"/>
      <c r="R2951" s="56"/>
      <c r="S2951" s="57"/>
      <c r="T2951" s="58">
        <f t="shared" si="446"/>
        <v>0</v>
      </c>
      <c r="U2951" s="36">
        <f t="shared" si="447"/>
        <v>0</v>
      </c>
      <c r="V2951" s="59">
        <f t="shared" si="448"/>
        <v>0</v>
      </c>
      <c r="W2951" s="39">
        <f t="shared" si="449"/>
        <v>0</v>
      </c>
      <c r="X2951" s="40">
        <f t="shared" si="450"/>
        <v>0</v>
      </c>
      <c r="Y2951"/>
      <c r="Z2951"/>
      <c r="AA2951"/>
    </row>
    <row r="2952" spans="1:27" s="51" customFormat="1" ht="18.600000000000001" hidden="1" customHeight="1" x14ac:dyDescent="0.25">
      <c r="A2952" s="82" t="s">
        <v>2653</v>
      </c>
      <c r="B2952" s="41" t="s">
        <v>9380</v>
      </c>
      <c r="C2952" s="42"/>
      <c r="D2952" s="41" t="s">
        <v>7514</v>
      </c>
      <c r="E2952" s="43" t="s">
        <v>7515</v>
      </c>
      <c r="F2952" s="43" t="s">
        <v>1937</v>
      </c>
      <c r="G2952" s="43"/>
      <c r="H2952" s="85" t="s">
        <v>9940</v>
      </c>
      <c r="I2952" s="23" t="s">
        <v>24</v>
      </c>
      <c r="J2952" s="44">
        <v>120</v>
      </c>
      <c r="K2952" s="45">
        <v>0.25</v>
      </c>
      <c r="L2952" s="46">
        <f t="shared" si="442"/>
        <v>30</v>
      </c>
      <c r="M2952" s="47">
        <f t="shared" si="443"/>
        <v>90</v>
      </c>
      <c r="N2952" s="48">
        <v>0.16</v>
      </c>
      <c r="O2952" s="49">
        <f t="shared" si="444"/>
        <v>14.4</v>
      </c>
      <c r="P2952" s="50">
        <f t="shared" si="445"/>
        <v>104.4</v>
      </c>
      <c r="Q2952" s="23"/>
      <c r="R2952" s="60"/>
      <c r="S2952" s="61"/>
      <c r="T2952" s="62">
        <f t="shared" si="446"/>
        <v>0</v>
      </c>
      <c r="U2952" s="46">
        <f t="shared" si="447"/>
        <v>0</v>
      </c>
      <c r="V2952" s="63">
        <f t="shared" si="448"/>
        <v>0</v>
      </c>
      <c r="W2952" s="49">
        <f t="shared" si="449"/>
        <v>0</v>
      </c>
      <c r="X2952" s="50">
        <f t="shared" si="450"/>
        <v>0</v>
      </c>
      <c r="Y2952"/>
      <c r="Z2952"/>
      <c r="AA2952"/>
    </row>
    <row r="2953" spans="1:27" s="51" customFormat="1" ht="18.600000000000001" hidden="1" customHeight="1" x14ac:dyDescent="0.25">
      <c r="A2953" s="80" t="s">
        <v>2653</v>
      </c>
      <c r="B2953" s="20" t="s">
        <v>9380</v>
      </c>
      <c r="C2953" s="21"/>
      <c r="D2953" s="20" t="s">
        <v>7516</v>
      </c>
      <c r="E2953" s="22" t="s">
        <v>7517</v>
      </c>
      <c r="F2953" s="22" t="s">
        <v>1937</v>
      </c>
      <c r="G2953" s="22"/>
      <c r="H2953" s="83" t="s">
        <v>9941</v>
      </c>
      <c r="I2953" s="23" t="s">
        <v>24</v>
      </c>
      <c r="J2953" s="24">
        <v>120</v>
      </c>
      <c r="K2953" s="25">
        <v>0.25</v>
      </c>
      <c r="L2953" s="26">
        <f t="shared" si="442"/>
        <v>30</v>
      </c>
      <c r="M2953" s="27">
        <f t="shared" si="443"/>
        <v>90</v>
      </c>
      <c r="N2953" s="28">
        <v>0.16</v>
      </c>
      <c r="O2953" s="29">
        <f t="shared" si="444"/>
        <v>14.4</v>
      </c>
      <c r="P2953" s="30">
        <f t="shared" si="445"/>
        <v>104.4</v>
      </c>
      <c r="Q2953" s="23"/>
      <c r="R2953" s="52"/>
      <c r="S2953" s="53"/>
      <c r="T2953" s="54">
        <f t="shared" si="446"/>
        <v>0</v>
      </c>
      <c r="U2953" s="26">
        <f t="shared" si="447"/>
        <v>0</v>
      </c>
      <c r="V2953" s="55">
        <f t="shared" si="448"/>
        <v>0</v>
      </c>
      <c r="W2953" s="29">
        <f t="shared" si="449"/>
        <v>0</v>
      </c>
      <c r="X2953" s="30">
        <f t="shared" si="450"/>
        <v>0</v>
      </c>
      <c r="Y2953"/>
      <c r="Z2953"/>
      <c r="AA2953"/>
    </row>
    <row r="2954" spans="1:27" s="51" customFormat="1" ht="18.600000000000001" hidden="1" customHeight="1" x14ac:dyDescent="0.25">
      <c r="A2954" s="81" t="s">
        <v>2653</v>
      </c>
      <c r="B2954" s="31" t="s">
        <v>9380</v>
      </c>
      <c r="C2954" s="32"/>
      <c r="D2954" s="31" t="s">
        <v>7518</v>
      </c>
      <c r="E2954" s="33" t="s">
        <v>7519</v>
      </c>
      <c r="F2954" s="33" t="s">
        <v>1937</v>
      </c>
      <c r="G2954" s="33"/>
      <c r="H2954" s="84" t="s">
        <v>9942</v>
      </c>
      <c r="I2954" s="23" t="s">
        <v>24</v>
      </c>
      <c r="J2954" s="34">
        <v>120</v>
      </c>
      <c r="K2954" s="35">
        <v>0.25</v>
      </c>
      <c r="L2954" s="36">
        <f t="shared" si="442"/>
        <v>30</v>
      </c>
      <c r="M2954" s="37">
        <f t="shared" si="443"/>
        <v>90</v>
      </c>
      <c r="N2954" s="38">
        <v>0.16</v>
      </c>
      <c r="O2954" s="39">
        <f t="shared" si="444"/>
        <v>14.4</v>
      </c>
      <c r="P2954" s="40">
        <f t="shared" si="445"/>
        <v>104.4</v>
      </c>
      <c r="Q2954" s="23"/>
      <c r="R2954" s="56"/>
      <c r="S2954" s="57"/>
      <c r="T2954" s="58">
        <f t="shared" si="446"/>
        <v>0</v>
      </c>
      <c r="U2954" s="36">
        <f t="shared" si="447"/>
        <v>0</v>
      </c>
      <c r="V2954" s="59">
        <f t="shared" si="448"/>
        <v>0</v>
      </c>
      <c r="W2954" s="39">
        <f t="shared" si="449"/>
        <v>0</v>
      </c>
      <c r="X2954" s="40">
        <f t="shared" si="450"/>
        <v>0</v>
      </c>
      <c r="Y2954"/>
      <c r="Z2954"/>
      <c r="AA2954"/>
    </row>
    <row r="2955" spans="1:27" s="51" customFormat="1" ht="18.600000000000001" hidden="1" customHeight="1" x14ac:dyDescent="0.25">
      <c r="A2955" s="82" t="s">
        <v>2653</v>
      </c>
      <c r="B2955" s="41" t="s">
        <v>9380</v>
      </c>
      <c r="C2955" s="42"/>
      <c r="D2955" s="41" t="s">
        <v>7520</v>
      </c>
      <c r="E2955" s="43" t="s">
        <v>7521</v>
      </c>
      <c r="F2955" s="43" t="s">
        <v>1937</v>
      </c>
      <c r="G2955" s="43"/>
      <c r="H2955" s="85" t="s">
        <v>7522</v>
      </c>
      <c r="I2955" s="23" t="s">
        <v>24</v>
      </c>
      <c r="J2955" s="44">
        <v>115</v>
      </c>
      <c r="K2955" s="45">
        <v>0.25</v>
      </c>
      <c r="L2955" s="46">
        <f t="shared" si="442"/>
        <v>28.75</v>
      </c>
      <c r="M2955" s="47">
        <f t="shared" si="443"/>
        <v>86.25</v>
      </c>
      <c r="N2955" s="48">
        <v>0.16</v>
      </c>
      <c r="O2955" s="49">
        <f t="shared" si="444"/>
        <v>13.8</v>
      </c>
      <c r="P2955" s="50">
        <f t="shared" si="445"/>
        <v>100.05</v>
      </c>
      <c r="Q2955" s="23"/>
      <c r="R2955" s="60"/>
      <c r="S2955" s="61"/>
      <c r="T2955" s="62">
        <f t="shared" si="446"/>
        <v>0</v>
      </c>
      <c r="U2955" s="46">
        <f t="shared" si="447"/>
        <v>0</v>
      </c>
      <c r="V2955" s="63">
        <f t="shared" si="448"/>
        <v>0</v>
      </c>
      <c r="W2955" s="49">
        <f t="shared" si="449"/>
        <v>0</v>
      </c>
      <c r="X2955" s="50">
        <f t="shared" si="450"/>
        <v>0</v>
      </c>
      <c r="Y2955"/>
      <c r="Z2955"/>
      <c r="AA2955"/>
    </row>
    <row r="2956" spans="1:27" s="51" customFormat="1" ht="18.600000000000001" hidden="1" customHeight="1" x14ac:dyDescent="0.25">
      <c r="A2956" s="80" t="s">
        <v>2653</v>
      </c>
      <c r="B2956" s="20" t="s">
        <v>9380</v>
      </c>
      <c r="C2956" s="21"/>
      <c r="D2956" s="20" t="s">
        <v>7523</v>
      </c>
      <c r="E2956" s="22" t="s">
        <v>7524</v>
      </c>
      <c r="F2956" s="22" t="s">
        <v>1937</v>
      </c>
      <c r="G2956" s="22"/>
      <c r="H2956" s="83" t="s">
        <v>7525</v>
      </c>
      <c r="I2956" s="23" t="s">
        <v>24</v>
      </c>
      <c r="J2956" s="24">
        <v>115</v>
      </c>
      <c r="K2956" s="25">
        <v>0.25</v>
      </c>
      <c r="L2956" s="26">
        <f t="shared" si="442"/>
        <v>28.75</v>
      </c>
      <c r="M2956" s="27">
        <f t="shared" si="443"/>
        <v>86.25</v>
      </c>
      <c r="N2956" s="28">
        <v>0.16</v>
      </c>
      <c r="O2956" s="29">
        <f t="shared" si="444"/>
        <v>13.8</v>
      </c>
      <c r="P2956" s="30">
        <f t="shared" si="445"/>
        <v>100.05</v>
      </c>
      <c r="Q2956" s="23"/>
      <c r="R2956" s="52"/>
      <c r="S2956" s="53"/>
      <c r="T2956" s="54">
        <f t="shared" si="446"/>
        <v>0</v>
      </c>
      <c r="U2956" s="26">
        <f t="shared" si="447"/>
        <v>0</v>
      </c>
      <c r="V2956" s="55">
        <f t="shared" si="448"/>
        <v>0</v>
      </c>
      <c r="W2956" s="29">
        <f t="shared" si="449"/>
        <v>0</v>
      </c>
      <c r="X2956" s="30">
        <f t="shared" si="450"/>
        <v>0</v>
      </c>
      <c r="Y2956"/>
      <c r="Z2956"/>
      <c r="AA2956"/>
    </row>
    <row r="2957" spans="1:27" s="51" customFormat="1" ht="18.600000000000001" hidden="1" customHeight="1" x14ac:dyDescent="0.25">
      <c r="A2957" s="81" t="s">
        <v>2653</v>
      </c>
      <c r="B2957" s="31" t="s">
        <v>9380</v>
      </c>
      <c r="C2957" s="32"/>
      <c r="D2957" s="31" t="s">
        <v>7526</v>
      </c>
      <c r="E2957" s="33" t="s">
        <v>7527</v>
      </c>
      <c r="F2957" s="33" t="s">
        <v>1937</v>
      </c>
      <c r="G2957" s="33"/>
      <c r="H2957" s="84" t="s">
        <v>7528</v>
      </c>
      <c r="I2957" s="23" t="s">
        <v>24</v>
      </c>
      <c r="J2957" s="34">
        <v>900</v>
      </c>
      <c r="K2957" s="35">
        <v>0.25</v>
      </c>
      <c r="L2957" s="36">
        <f t="shared" si="442"/>
        <v>225</v>
      </c>
      <c r="M2957" s="37">
        <f t="shared" si="443"/>
        <v>675</v>
      </c>
      <c r="N2957" s="38">
        <v>0.16</v>
      </c>
      <c r="O2957" s="39">
        <f t="shared" si="444"/>
        <v>108</v>
      </c>
      <c r="P2957" s="40">
        <f t="shared" si="445"/>
        <v>783</v>
      </c>
      <c r="Q2957" s="23"/>
      <c r="R2957" s="56"/>
      <c r="S2957" s="57"/>
      <c r="T2957" s="58">
        <f t="shared" si="446"/>
        <v>0</v>
      </c>
      <c r="U2957" s="36">
        <f t="shared" si="447"/>
        <v>0</v>
      </c>
      <c r="V2957" s="59">
        <f t="shared" si="448"/>
        <v>0</v>
      </c>
      <c r="W2957" s="39">
        <f t="shared" si="449"/>
        <v>0</v>
      </c>
      <c r="X2957" s="40">
        <f t="shared" si="450"/>
        <v>0</v>
      </c>
      <c r="Y2957"/>
      <c r="Z2957"/>
      <c r="AA2957"/>
    </row>
    <row r="2958" spans="1:27" s="51" customFormat="1" ht="18.600000000000001" hidden="1" customHeight="1" x14ac:dyDescent="0.25">
      <c r="A2958" s="82" t="s">
        <v>2653</v>
      </c>
      <c r="B2958" s="41" t="s">
        <v>9380</v>
      </c>
      <c r="C2958" s="42"/>
      <c r="D2958" s="41" t="s">
        <v>7529</v>
      </c>
      <c r="E2958" s="43" t="s">
        <v>7530</v>
      </c>
      <c r="F2958" s="43" t="s">
        <v>1937</v>
      </c>
      <c r="G2958" s="43"/>
      <c r="H2958" s="85" t="s">
        <v>7531</v>
      </c>
      <c r="I2958" s="23" t="s">
        <v>24</v>
      </c>
      <c r="J2958" s="44">
        <v>1600</v>
      </c>
      <c r="K2958" s="45">
        <v>0.25</v>
      </c>
      <c r="L2958" s="46">
        <f t="shared" si="442"/>
        <v>400</v>
      </c>
      <c r="M2958" s="47">
        <f t="shared" si="443"/>
        <v>1200</v>
      </c>
      <c r="N2958" s="48">
        <v>0.16</v>
      </c>
      <c r="O2958" s="49">
        <f t="shared" si="444"/>
        <v>192</v>
      </c>
      <c r="P2958" s="50">
        <f t="shared" si="445"/>
        <v>1392</v>
      </c>
      <c r="Q2958" s="23"/>
      <c r="R2958" s="60"/>
      <c r="S2958" s="61"/>
      <c r="T2958" s="62">
        <f t="shared" si="446"/>
        <v>0</v>
      </c>
      <c r="U2958" s="46">
        <f t="shared" si="447"/>
        <v>0</v>
      </c>
      <c r="V2958" s="63">
        <f t="shared" si="448"/>
        <v>0</v>
      </c>
      <c r="W2958" s="49">
        <f t="shared" si="449"/>
        <v>0</v>
      </c>
      <c r="X2958" s="50">
        <f t="shared" si="450"/>
        <v>0</v>
      </c>
      <c r="Y2958"/>
      <c r="Z2958"/>
      <c r="AA2958"/>
    </row>
    <row r="2959" spans="1:27" s="51" customFormat="1" ht="18.600000000000001" hidden="1" customHeight="1" x14ac:dyDescent="0.25">
      <c r="A2959" s="80" t="s">
        <v>2653</v>
      </c>
      <c r="B2959" s="20" t="s">
        <v>9380</v>
      </c>
      <c r="C2959" s="21"/>
      <c r="D2959" s="20" t="s">
        <v>9481</v>
      </c>
      <c r="E2959" s="22" t="s">
        <v>9574</v>
      </c>
      <c r="F2959" s="22" t="s">
        <v>1937</v>
      </c>
      <c r="G2959" s="22"/>
      <c r="H2959" s="83" t="s">
        <v>9718</v>
      </c>
      <c r="I2959" s="23" t="s">
        <v>24</v>
      </c>
      <c r="J2959" s="24">
        <v>355</v>
      </c>
      <c r="K2959" s="25">
        <v>0.25</v>
      </c>
      <c r="L2959" s="26">
        <f t="shared" si="442"/>
        <v>88.75</v>
      </c>
      <c r="M2959" s="27">
        <f t="shared" si="443"/>
        <v>266.25</v>
      </c>
      <c r="N2959" s="28">
        <v>0.16</v>
      </c>
      <c r="O2959" s="29">
        <f t="shared" si="444"/>
        <v>42.6</v>
      </c>
      <c r="P2959" s="30">
        <f t="shared" si="445"/>
        <v>308.85000000000002</v>
      </c>
      <c r="Q2959" s="23"/>
      <c r="R2959" s="52"/>
      <c r="S2959" s="53"/>
      <c r="T2959" s="54">
        <f t="shared" si="446"/>
        <v>0</v>
      </c>
      <c r="U2959" s="26">
        <f t="shared" si="447"/>
        <v>0</v>
      </c>
      <c r="V2959" s="55">
        <f t="shared" si="448"/>
        <v>0</v>
      </c>
      <c r="W2959" s="29">
        <f t="shared" si="449"/>
        <v>0</v>
      </c>
      <c r="X2959" s="30">
        <f t="shared" si="450"/>
        <v>0</v>
      </c>
      <c r="Y2959"/>
      <c r="Z2959"/>
      <c r="AA2959"/>
    </row>
    <row r="2960" spans="1:27" s="51" customFormat="1" ht="18.600000000000001" hidden="1" customHeight="1" x14ac:dyDescent="0.25">
      <c r="A2960" s="81" t="s">
        <v>2653</v>
      </c>
      <c r="B2960" s="31" t="s">
        <v>9380</v>
      </c>
      <c r="C2960" s="32"/>
      <c r="D2960" s="31" t="s">
        <v>7532</v>
      </c>
      <c r="E2960" s="33" t="s">
        <v>7533</v>
      </c>
      <c r="F2960" s="33" t="s">
        <v>1937</v>
      </c>
      <c r="G2960" s="33"/>
      <c r="H2960" s="84" t="s">
        <v>7534</v>
      </c>
      <c r="I2960" s="23" t="s">
        <v>24</v>
      </c>
      <c r="J2960" s="34">
        <v>1050</v>
      </c>
      <c r="K2960" s="35">
        <v>0.25</v>
      </c>
      <c r="L2960" s="36">
        <f t="shared" si="442"/>
        <v>262.5</v>
      </c>
      <c r="M2960" s="37">
        <f t="shared" si="443"/>
        <v>787.5</v>
      </c>
      <c r="N2960" s="38">
        <v>0.16</v>
      </c>
      <c r="O2960" s="39">
        <f t="shared" si="444"/>
        <v>126</v>
      </c>
      <c r="P2960" s="40">
        <f t="shared" si="445"/>
        <v>913.5</v>
      </c>
      <c r="Q2960" s="23"/>
      <c r="R2960" s="56"/>
      <c r="S2960" s="57"/>
      <c r="T2960" s="58">
        <f t="shared" si="446"/>
        <v>0</v>
      </c>
      <c r="U2960" s="36">
        <f t="shared" si="447"/>
        <v>0</v>
      </c>
      <c r="V2960" s="59">
        <f t="shared" si="448"/>
        <v>0</v>
      </c>
      <c r="W2960" s="39">
        <f t="shared" si="449"/>
        <v>0</v>
      </c>
      <c r="X2960" s="40">
        <f t="shared" si="450"/>
        <v>0</v>
      </c>
      <c r="Y2960"/>
      <c r="Z2960"/>
      <c r="AA2960"/>
    </row>
    <row r="2961" spans="1:27" s="51" customFormat="1" ht="18.600000000000001" hidden="1" customHeight="1" x14ac:dyDescent="0.25">
      <c r="A2961" s="82" t="s">
        <v>2653</v>
      </c>
      <c r="B2961" s="41" t="s">
        <v>9380</v>
      </c>
      <c r="C2961" s="42"/>
      <c r="D2961" s="41" t="s">
        <v>9482</v>
      </c>
      <c r="E2961" s="43" t="s">
        <v>9575</v>
      </c>
      <c r="F2961" s="43" t="s">
        <v>1937</v>
      </c>
      <c r="G2961" s="43"/>
      <c r="H2961" s="85" t="s">
        <v>9719</v>
      </c>
      <c r="I2961" s="23" t="s">
        <v>24</v>
      </c>
      <c r="J2961" s="44">
        <v>320</v>
      </c>
      <c r="K2961" s="45">
        <v>0.25</v>
      </c>
      <c r="L2961" s="46">
        <f t="shared" si="442"/>
        <v>80</v>
      </c>
      <c r="M2961" s="47">
        <f t="shared" si="443"/>
        <v>240</v>
      </c>
      <c r="N2961" s="48">
        <v>0.16</v>
      </c>
      <c r="O2961" s="49">
        <f t="shared" si="444"/>
        <v>38.4</v>
      </c>
      <c r="P2961" s="50">
        <f t="shared" si="445"/>
        <v>278.39999999999998</v>
      </c>
      <c r="Q2961" s="23"/>
      <c r="R2961" s="60"/>
      <c r="S2961" s="61"/>
      <c r="T2961" s="62">
        <f t="shared" si="446"/>
        <v>0</v>
      </c>
      <c r="U2961" s="46">
        <f t="shared" si="447"/>
        <v>0</v>
      </c>
      <c r="V2961" s="63">
        <f t="shared" si="448"/>
        <v>0</v>
      </c>
      <c r="W2961" s="49">
        <f t="shared" si="449"/>
        <v>0</v>
      </c>
      <c r="X2961" s="50">
        <f t="shared" si="450"/>
        <v>0</v>
      </c>
      <c r="Y2961"/>
      <c r="Z2961"/>
      <c r="AA2961"/>
    </row>
    <row r="2962" spans="1:27" s="51" customFormat="1" ht="18.600000000000001" hidden="1" customHeight="1" x14ac:dyDescent="0.25">
      <c r="A2962" s="80" t="s">
        <v>2653</v>
      </c>
      <c r="B2962" s="20" t="s">
        <v>9380</v>
      </c>
      <c r="C2962" s="21"/>
      <c r="D2962" s="20" t="s">
        <v>9483</v>
      </c>
      <c r="E2962" s="22" t="s">
        <v>9576</v>
      </c>
      <c r="F2962" s="22" t="s">
        <v>1937</v>
      </c>
      <c r="G2962" s="22"/>
      <c r="H2962" s="83" t="s">
        <v>9720</v>
      </c>
      <c r="I2962" s="23" t="s">
        <v>24</v>
      </c>
      <c r="J2962" s="24">
        <v>125</v>
      </c>
      <c r="K2962" s="25">
        <v>0.25</v>
      </c>
      <c r="L2962" s="26">
        <f t="shared" si="442"/>
        <v>31.25</v>
      </c>
      <c r="M2962" s="27">
        <f t="shared" si="443"/>
        <v>93.75</v>
      </c>
      <c r="N2962" s="28">
        <v>0.16</v>
      </c>
      <c r="O2962" s="29">
        <f t="shared" si="444"/>
        <v>15</v>
      </c>
      <c r="P2962" s="30">
        <f t="shared" si="445"/>
        <v>108.75</v>
      </c>
      <c r="Q2962" s="23"/>
      <c r="R2962" s="52"/>
      <c r="S2962" s="53"/>
      <c r="T2962" s="54">
        <f t="shared" si="446"/>
        <v>0</v>
      </c>
      <c r="U2962" s="26">
        <f t="shared" si="447"/>
        <v>0</v>
      </c>
      <c r="V2962" s="55">
        <f t="shared" si="448"/>
        <v>0</v>
      </c>
      <c r="W2962" s="29">
        <f t="shared" si="449"/>
        <v>0</v>
      </c>
      <c r="X2962" s="30">
        <f t="shared" si="450"/>
        <v>0</v>
      </c>
      <c r="Y2962"/>
      <c r="Z2962"/>
      <c r="AA2962"/>
    </row>
    <row r="2963" spans="1:27" s="51" customFormat="1" ht="18.600000000000001" hidden="1" customHeight="1" x14ac:dyDescent="0.25">
      <c r="A2963" s="81" t="s">
        <v>2653</v>
      </c>
      <c r="B2963" s="31" t="s">
        <v>9380</v>
      </c>
      <c r="C2963" s="32"/>
      <c r="D2963" s="31" t="s">
        <v>9484</v>
      </c>
      <c r="E2963" s="33" t="s">
        <v>9577</v>
      </c>
      <c r="F2963" s="33" t="s">
        <v>1937</v>
      </c>
      <c r="G2963" s="33"/>
      <c r="H2963" s="84" t="s">
        <v>9721</v>
      </c>
      <c r="I2963" s="23" t="s">
        <v>24</v>
      </c>
      <c r="J2963" s="34">
        <v>820</v>
      </c>
      <c r="K2963" s="35">
        <v>0.25</v>
      </c>
      <c r="L2963" s="36">
        <f t="shared" si="442"/>
        <v>205</v>
      </c>
      <c r="M2963" s="37">
        <f t="shared" si="443"/>
        <v>615</v>
      </c>
      <c r="N2963" s="38">
        <v>0.16</v>
      </c>
      <c r="O2963" s="39">
        <f t="shared" si="444"/>
        <v>98.4</v>
      </c>
      <c r="P2963" s="40">
        <f t="shared" si="445"/>
        <v>713.4</v>
      </c>
      <c r="Q2963" s="23"/>
      <c r="R2963" s="56"/>
      <c r="S2963" s="57"/>
      <c r="T2963" s="58">
        <f t="shared" si="446"/>
        <v>0</v>
      </c>
      <c r="U2963" s="36">
        <f t="shared" si="447"/>
        <v>0</v>
      </c>
      <c r="V2963" s="59">
        <f t="shared" si="448"/>
        <v>0</v>
      </c>
      <c r="W2963" s="39">
        <f t="shared" si="449"/>
        <v>0</v>
      </c>
      <c r="X2963" s="40">
        <f t="shared" si="450"/>
        <v>0</v>
      </c>
      <c r="Y2963"/>
      <c r="Z2963"/>
      <c r="AA2963"/>
    </row>
    <row r="2964" spans="1:27" s="51" customFormat="1" ht="18.600000000000001" hidden="1" customHeight="1" x14ac:dyDescent="0.25">
      <c r="A2964" s="82" t="s">
        <v>2653</v>
      </c>
      <c r="B2964" s="41" t="s">
        <v>9380</v>
      </c>
      <c r="C2964" s="42"/>
      <c r="D2964" s="41" t="s">
        <v>9485</v>
      </c>
      <c r="E2964" s="43" t="s">
        <v>9578</v>
      </c>
      <c r="F2964" s="43" t="s">
        <v>1937</v>
      </c>
      <c r="G2964" s="43"/>
      <c r="H2964" s="85" t="s">
        <v>9722</v>
      </c>
      <c r="I2964" s="23" t="s">
        <v>24</v>
      </c>
      <c r="J2964" s="44">
        <v>850</v>
      </c>
      <c r="K2964" s="45">
        <v>0.25</v>
      </c>
      <c r="L2964" s="46">
        <f t="shared" si="442"/>
        <v>212.5</v>
      </c>
      <c r="M2964" s="47">
        <f t="shared" si="443"/>
        <v>637.5</v>
      </c>
      <c r="N2964" s="48">
        <v>0.16</v>
      </c>
      <c r="O2964" s="49">
        <f t="shared" si="444"/>
        <v>102</v>
      </c>
      <c r="P2964" s="50">
        <f t="shared" si="445"/>
        <v>739.5</v>
      </c>
      <c r="Q2964" s="23"/>
      <c r="R2964" s="60"/>
      <c r="S2964" s="61"/>
      <c r="T2964" s="62">
        <f t="shared" si="446"/>
        <v>0</v>
      </c>
      <c r="U2964" s="46">
        <f t="shared" si="447"/>
        <v>0</v>
      </c>
      <c r="V2964" s="63">
        <f t="shared" si="448"/>
        <v>0</v>
      </c>
      <c r="W2964" s="49">
        <f t="shared" si="449"/>
        <v>0</v>
      </c>
      <c r="X2964" s="50">
        <f t="shared" si="450"/>
        <v>0</v>
      </c>
      <c r="Y2964"/>
      <c r="Z2964"/>
      <c r="AA2964"/>
    </row>
    <row r="2965" spans="1:27" s="51" customFormat="1" ht="18.600000000000001" hidden="1" customHeight="1" x14ac:dyDescent="0.25">
      <c r="A2965" s="80" t="s">
        <v>2653</v>
      </c>
      <c r="B2965" s="20" t="s">
        <v>9380</v>
      </c>
      <c r="C2965" s="21"/>
      <c r="D2965" s="20" t="s">
        <v>9486</v>
      </c>
      <c r="E2965" s="22" t="s">
        <v>9579</v>
      </c>
      <c r="F2965" s="22" t="s">
        <v>1937</v>
      </c>
      <c r="G2965" s="22"/>
      <c r="H2965" s="83" t="s">
        <v>9723</v>
      </c>
      <c r="I2965" s="23" t="s">
        <v>24</v>
      </c>
      <c r="J2965" s="24">
        <v>850</v>
      </c>
      <c r="K2965" s="25">
        <v>0.25</v>
      </c>
      <c r="L2965" s="26">
        <f t="shared" si="442"/>
        <v>212.5</v>
      </c>
      <c r="M2965" s="27">
        <f t="shared" si="443"/>
        <v>637.5</v>
      </c>
      <c r="N2965" s="28">
        <v>0.16</v>
      </c>
      <c r="O2965" s="29">
        <f t="shared" si="444"/>
        <v>102</v>
      </c>
      <c r="P2965" s="30">
        <f t="shared" si="445"/>
        <v>739.5</v>
      </c>
      <c r="Q2965" s="23"/>
      <c r="R2965" s="52"/>
      <c r="S2965" s="53"/>
      <c r="T2965" s="54">
        <f t="shared" si="446"/>
        <v>0</v>
      </c>
      <c r="U2965" s="26">
        <f t="shared" si="447"/>
        <v>0</v>
      </c>
      <c r="V2965" s="55">
        <f t="shared" si="448"/>
        <v>0</v>
      </c>
      <c r="W2965" s="29">
        <f t="shared" si="449"/>
        <v>0</v>
      </c>
      <c r="X2965" s="30">
        <f t="shared" si="450"/>
        <v>0</v>
      </c>
      <c r="Y2965"/>
      <c r="Z2965"/>
      <c r="AA2965"/>
    </row>
    <row r="2966" spans="1:27" s="51" customFormat="1" ht="18.600000000000001" hidden="1" customHeight="1" x14ac:dyDescent="0.25">
      <c r="A2966" s="81" t="s">
        <v>2653</v>
      </c>
      <c r="B2966" s="31" t="s">
        <v>9380</v>
      </c>
      <c r="C2966" s="32" t="s">
        <v>9384</v>
      </c>
      <c r="D2966" s="31" t="s">
        <v>9487</v>
      </c>
      <c r="E2966" s="33" t="s">
        <v>9580</v>
      </c>
      <c r="F2966" s="33" t="s">
        <v>1937</v>
      </c>
      <c r="G2966" s="33"/>
      <c r="H2966" s="84" t="s">
        <v>9724</v>
      </c>
      <c r="I2966" s="23" t="s">
        <v>24</v>
      </c>
      <c r="J2966" s="34">
        <v>2850</v>
      </c>
      <c r="K2966" s="35">
        <v>0.25</v>
      </c>
      <c r="L2966" s="36">
        <f t="shared" si="442"/>
        <v>712.5</v>
      </c>
      <c r="M2966" s="37">
        <f t="shared" si="443"/>
        <v>2137.5</v>
      </c>
      <c r="N2966" s="38">
        <v>0.16</v>
      </c>
      <c r="O2966" s="39">
        <f t="shared" si="444"/>
        <v>342</v>
      </c>
      <c r="P2966" s="40">
        <f t="shared" si="445"/>
        <v>2479.5</v>
      </c>
      <c r="Q2966" s="23"/>
      <c r="R2966" s="56"/>
      <c r="S2966" s="57"/>
      <c r="T2966" s="58">
        <f t="shared" si="446"/>
        <v>0</v>
      </c>
      <c r="U2966" s="36">
        <f t="shared" si="447"/>
        <v>0</v>
      </c>
      <c r="V2966" s="59">
        <f t="shared" si="448"/>
        <v>0</v>
      </c>
      <c r="W2966" s="39">
        <f t="shared" si="449"/>
        <v>0</v>
      </c>
      <c r="X2966" s="40">
        <f t="shared" si="450"/>
        <v>0</v>
      </c>
      <c r="Y2966"/>
      <c r="Z2966"/>
      <c r="AA2966"/>
    </row>
    <row r="2967" spans="1:27" s="51" customFormat="1" ht="18.600000000000001" hidden="1" customHeight="1" x14ac:dyDescent="0.25">
      <c r="A2967" s="82" t="s">
        <v>2653</v>
      </c>
      <c r="B2967" s="41" t="s">
        <v>9380</v>
      </c>
      <c r="C2967" s="42"/>
      <c r="D2967" s="41">
        <v>8435568346918</v>
      </c>
      <c r="E2967" s="43" t="s">
        <v>7535</v>
      </c>
      <c r="F2967" s="43" t="s">
        <v>1937</v>
      </c>
      <c r="G2967" s="43"/>
      <c r="H2967" s="85" t="s">
        <v>7536</v>
      </c>
      <c r="I2967" s="23" t="s">
        <v>24</v>
      </c>
      <c r="J2967" s="44">
        <v>470</v>
      </c>
      <c r="K2967" s="45">
        <v>0.25</v>
      </c>
      <c r="L2967" s="46">
        <f t="shared" si="442"/>
        <v>117.5</v>
      </c>
      <c r="M2967" s="47">
        <f t="shared" si="443"/>
        <v>352.5</v>
      </c>
      <c r="N2967" s="48">
        <v>0.16</v>
      </c>
      <c r="O2967" s="49">
        <f t="shared" si="444"/>
        <v>56.4</v>
      </c>
      <c r="P2967" s="50">
        <f t="shared" si="445"/>
        <v>408.9</v>
      </c>
      <c r="Q2967" s="23"/>
      <c r="R2967" s="60"/>
      <c r="S2967" s="61"/>
      <c r="T2967" s="62">
        <f t="shared" si="446"/>
        <v>0</v>
      </c>
      <c r="U2967" s="46">
        <f t="shared" si="447"/>
        <v>0</v>
      </c>
      <c r="V2967" s="63">
        <f t="shared" si="448"/>
        <v>0</v>
      </c>
      <c r="W2967" s="49">
        <f t="shared" si="449"/>
        <v>0</v>
      </c>
      <c r="X2967" s="50">
        <f t="shared" si="450"/>
        <v>0</v>
      </c>
      <c r="Y2967"/>
      <c r="Z2967"/>
      <c r="AA2967"/>
    </row>
    <row r="2968" spans="1:27" s="51" customFormat="1" ht="18.600000000000001" hidden="1" customHeight="1" x14ac:dyDescent="0.25">
      <c r="A2968" s="80" t="s">
        <v>2653</v>
      </c>
      <c r="B2968" s="20" t="s">
        <v>9355</v>
      </c>
      <c r="C2968" s="21" t="s">
        <v>9385</v>
      </c>
      <c r="D2968" s="20">
        <v>8436564920843</v>
      </c>
      <c r="E2968" s="22" t="s">
        <v>7537</v>
      </c>
      <c r="F2968" s="22" t="s">
        <v>1937</v>
      </c>
      <c r="G2968" s="22" t="s">
        <v>7538</v>
      </c>
      <c r="H2968" s="83" t="s">
        <v>7539</v>
      </c>
      <c r="I2968" s="23" t="s">
        <v>24</v>
      </c>
      <c r="J2968" s="24">
        <v>335</v>
      </c>
      <c r="K2968" s="25">
        <v>0.25</v>
      </c>
      <c r="L2968" s="26">
        <f t="shared" si="442"/>
        <v>83.75</v>
      </c>
      <c r="M2968" s="27">
        <f t="shared" si="443"/>
        <v>251.25</v>
      </c>
      <c r="N2968" s="28">
        <v>0.16</v>
      </c>
      <c r="O2968" s="29">
        <f t="shared" si="444"/>
        <v>40.200000000000003</v>
      </c>
      <c r="P2968" s="30">
        <f t="shared" si="445"/>
        <v>291.45</v>
      </c>
      <c r="Q2968" s="23"/>
      <c r="R2968" s="52"/>
      <c r="S2968" s="53"/>
      <c r="T2968" s="54">
        <f t="shared" si="446"/>
        <v>0</v>
      </c>
      <c r="U2968" s="26">
        <f t="shared" si="447"/>
        <v>0</v>
      </c>
      <c r="V2968" s="55">
        <f t="shared" si="448"/>
        <v>0</v>
      </c>
      <c r="W2968" s="29">
        <f t="shared" si="449"/>
        <v>0</v>
      </c>
      <c r="X2968" s="30">
        <f t="shared" si="450"/>
        <v>0</v>
      </c>
      <c r="Y2968"/>
      <c r="Z2968"/>
      <c r="AA2968"/>
    </row>
    <row r="2969" spans="1:27" s="51" customFormat="1" ht="18.600000000000001" hidden="1" customHeight="1" x14ac:dyDescent="0.25">
      <c r="A2969" s="81" t="s">
        <v>2653</v>
      </c>
      <c r="B2969" s="31" t="s">
        <v>9355</v>
      </c>
      <c r="C2969" s="32" t="s">
        <v>9385</v>
      </c>
      <c r="D2969" s="31">
        <v>8436564920850</v>
      </c>
      <c r="E2969" s="33" t="s">
        <v>7540</v>
      </c>
      <c r="F2969" s="33" t="s">
        <v>1937</v>
      </c>
      <c r="G2969" s="33" t="s">
        <v>7538</v>
      </c>
      <c r="H2969" s="84" t="s">
        <v>7541</v>
      </c>
      <c r="I2969" s="23" t="s">
        <v>24</v>
      </c>
      <c r="J2969" s="34">
        <v>335</v>
      </c>
      <c r="K2969" s="35">
        <v>0.25</v>
      </c>
      <c r="L2969" s="36">
        <f t="shared" si="442"/>
        <v>83.75</v>
      </c>
      <c r="M2969" s="37">
        <f t="shared" si="443"/>
        <v>251.25</v>
      </c>
      <c r="N2969" s="38">
        <v>0.16</v>
      </c>
      <c r="O2969" s="39">
        <f t="shared" si="444"/>
        <v>40.200000000000003</v>
      </c>
      <c r="P2969" s="40">
        <f t="shared" si="445"/>
        <v>291.45</v>
      </c>
      <c r="Q2969" s="23"/>
      <c r="R2969" s="56"/>
      <c r="S2969" s="57"/>
      <c r="T2969" s="58">
        <f t="shared" si="446"/>
        <v>0</v>
      </c>
      <c r="U2969" s="36">
        <f t="shared" si="447"/>
        <v>0</v>
      </c>
      <c r="V2969" s="59">
        <f t="shared" si="448"/>
        <v>0</v>
      </c>
      <c r="W2969" s="39">
        <f t="shared" si="449"/>
        <v>0</v>
      </c>
      <c r="X2969" s="40">
        <f t="shared" si="450"/>
        <v>0</v>
      </c>
      <c r="Y2969"/>
      <c r="Z2969"/>
      <c r="AA2969"/>
    </row>
    <row r="2970" spans="1:27" s="51" customFormat="1" ht="18.600000000000001" hidden="1" customHeight="1" x14ac:dyDescent="0.25">
      <c r="A2970" s="82" t="s">
        <v>2653</v>
      </c>
      <c r="B2970" s="41" t="s">
        <v>9355</v>
      </c>
      <c r="C2970" s="42" t="s">
        <v>9385</v>
      </c>
      <c r="D2970" s="41">
        <v>8436564920867</v>
      </c>
      <c r="E2970" s="43" t="s">
        <v>7542</v>
      </c>
      <c r="F2970" s="43" t="s">
        <v>1937</v>
      </c>
      <c r="G2970" s="43" t="s">
        <v>7538</v>
      </c>
      <c r="H2970" s="85" t="s">
        <v>7543</v>
      </c>
      <c r="I2970" s="23" t="s">
        <v>24</v>
      </c>
      <c r="J2970" s="44">
        <v>335</v>
      </c>
      <c r="K2970" s="45">
        <v>0.25</v>
      </c>
      <c r="L2970" s="46">
        <f t="shared" si="442"/>
        <v>83.75</v>
      </c>
      <c r="M2970" s="47">
        <f t="shared" si="443"/>
        <v>251.25</v>
      </c>
      <c r="N2970" s="48">
        <v>0.16</v>
      </c>
      <c r="O2970" s="49">
        <f t="shared" si="444"/>
        <v>40.200000000000003</v>
      </c>
      <c r="P2970" s="50">
        <f t="shared" si="445"/>
        <v>291.45</v>
      </c>
      <c r="Q2970" s="23"/>
      <c r="R2970" s="60"/>
      <c r="S2970" s="61"/>
      <c r="T2970" s="62">
        <f t="shared" si="446"/>
        <v>0</v>
      </c>
      <c r="U2970" s="46">
        <f t="shared" si="447"/>
        <v>0</v>
      </c>
      <c r="V2970" s="63">
        <f t="shared" si="448"/>
        <v>0</v>
      </c>
      <c r="W2970" s="49">
        <f t="shared" si="449"/>
        <v>0</v>
      </c>
      <c r="X2970" s="50">
        <f t="shared" si="450"/>
        <v>0</v>
      </c>
      <c r="Y2970"/>
      <c r="Z2970"/>
      <c r="AA2970"/>
    </row>
    <row r="2971" spans="1:27" s="51" customFormat="1" ht="18.600000000000001" hidden="1" customHeight="1" x14ac:dyDescent="0.25">
      <c r="A2971" s="80" t="s">
        <v>2653</v>
      </c>
      <c r="B2971" s="20" t="s">
        <v>9355</v>
      </c>
      <c r="C2971" s="21" t="s">
        <v>9385</v>
      </c>
      <c r="D2971" s="20">
        <v>8436564920881</v>
      </c>
      <c r="E2971" s="22" t="s">
        <v>7544</v>
      </c>
      <c r="F2971" s="22" t="s">
        <v>1937</v>
      </c>
      <c r="G2971" s="22" t="s">
        <v>7538</v>
      </c>
      <c r="H2971" s="83" t="s">
        <v>7545</v>
      </c>
      <c r="I2971" s="23" t="s">
        <v>24</v>
      </c>
      <c r="J2971" s="24">
        <v>335</v>
      </c>
      <c r="K2971" s="25">
        <v>0.25</v>
      </c>
      <c r="L2971" s="26">
        <f t="shared" si="442"/>
        <v>83.75</v>
      </c>
      <c r="M2971" s="27">
        <f t="shared" si="443"/>
        <v>251.25</v>
      </c>
      <c r="N2971" s="28">
        <v>0.16</v>
      </c>
      <c r="O2971" s="29">
        <f t="shared" si="444"/>
        <v>40.200000000000003</v>
      </c>
      <c r="P2971" s="30">
        <f t="shared" si="445"/>
        <v>291.45</v>
      </c>
      <c r="Q2971" s="23"/>
      <c r="R2971" s="52"/>
      <c r="S2971" s="53"/>
      <c r="T2971" s="54">
        <f t="shared" si="446"/>
        <v>0</v>
      </c>
      <c r="U2971" s="26">
        <f t="shared" si="447"/>
        <v>0</v>
      </c>
      <c r="V2971" s="55">
        <f t="shared" si="448"/>
        <v>0</v>
      </c>
      <c r="W2971" s="29">
        <f t="shared" si="449"/>
        <v>0</v>
      </c>
      <c r="X2971" s="30">
        <f t="shared" si="450"/>
        <v>0</v>
      </c>
      <c r="Y2971"/>
      <c r="Z2971"/>
      <c r="AA2971"/>
    </row>
    <row r="2972" spans="1:27" s="51" customFormat="1" ht="18.600000000000001" hidden="1" customHeight="1" x14ac:dyDescent="0.25">
      <c r="A2972" s="81" t="s">
        <v>2653</v>
      </c>
      <c r="B2972" s="31" t="s">
        <v>9355</v>
      </c>
      <c r="C2972" s="32" t="s">
        <v>9385</v>
      </c>
      <c r="D2972" s="31">
        <v>8436564920898</v>
      </c>
      <c r="E2972" s="33" t="s">
        <v>7546</v>
      </c>
      <c r="F2972" s="33" t="s">
        <v>1937</v>
      </c>
      <c r="G2972" s="33" t="s">
        <v>5026</v>
      </c>
      <c r="H2972" s="84" t="s">
        <v>7547</v>
      </c>
      <c r="I2972" s="23" t="s">
        <v>24</v>
      </c>
      <c r="J2972" s="34">
        <v>245</v>
      </c>
      <c r="K2972" s="35">
        <v>0.25</v>
      </c>
      <c r="L2972" s="36">
        <f t="shared" si="442"/>
        <v>61.25</v>
      </c>
      <c r="M2972" s="37">
        <f t="shared" si="443"/>
        <v>183.75</v>
      </c>
      <c r="N2972" s="38">
        <v>0.16</v>
      </c>
      <c r="O2972" s="39">
        <f t="shared" si="444"/>
        <v>29.400000000000002</v>
      </c>
      <c r="P2972" s="40">
        <f t="shared" si="445"/>
        <v>213.15</v>
      </c>
      <c r="Q2972" s="23"/>
      <c r="R2972" s="56"/>
      <c r="S2972" s="57"/>
      <c r="T2972" s="58">
        <f t="shared" si="446"/>
        <v>0</v>
      </c>
      <c r="U2972" s="36">
        <f t="shared" si="447"/>
        <v>0</v>
      </c>
      <c r="V2972" s="59">
        <f t="shared" si="448"/>
        <v>0</v>
      </c>
      <c r="W2972" s="39">
        <f t="shared" si="449"/>
        <v>0</v>
      </c>
      <c r="X2972" s="40">
        <f t="shared" si="450"/>
        <v>0</v>
      </c>
      <c r="Y2972"/>
      <c r="Z2972"/>
      <c r="AA2972"/>
    </row>
    <row r="2973" spans="1:27" s="51" customFormat="1" ht="18.600000000000001" hidden="1" customHeight="1" x14ac:dyDescent="0.25">
      <c r="A2973" s="82" t="s">
        <v>2653</v>
      </c>
      <c r="B2973" s="41" t="s">
        <v>9355</v>
      </c>
      <c r="C2973" s="42" t="s">
        <v>9385</v>
      </c>
      <c r="D2973" s="41">
        <v>8436564920904</v>
      </c>
      <c r="E2973" s="43" t="s">
        <v>7548</v>
      </c>
      <c r="F2973" s="43" t="s">
        <v>1937</v>
      </c>
      <c r="G2973" s="43" t="s">
        <v>7538</v>
      </c>
      <c r="H2973" s="85" t="s">
        <v>7549</v>
      </c>
      <c r="I2973" s="23" t="s">
        <v>24</v>
      </c>
      <c r="J2973" s="44">
        <v>350</v>
      </c>
      <c r="K2973" s="45">
        <v>0.25</v>
      </c>
      <c r="L2973" s="46">
        <f t="shared" si="442"/>
        <v>87.5</v>
      </c>
      <c r="M2973" s="47">
        <f t="shared" si="443"/>
        <v>262.5</v>
      </c>
      <c r="N2973" s="48">
        <v>0.16</v>
      </c>
      <c r="O2973" s="49">
        <f t="shared" si="444"/>
        <v>42</v>
      </c>
      <c r="P2973" s="50">
        <f t="shared" si="445"/>
        <v>304.5</v>
      </c>
      <c r="Q2973" s="23"/>
      <c r="R2973" s="60"/>
      <c r="S2973" s="61"/>
      <c r="T2973" s="62">
        <f t="shared" si="446"/>
        <v>0</v>
      </c>
      <c r="U2973" s="46">
        <f t="shared" si="447"/>
        <v>0</v>
      </c>
      <c r="V2973" s="63">
        <f t="shared" si="448"/>
        <v>0</v>
      </c>
      <c r="W2973" s="49">
        <f t="shared" si="449"/>
        <v>0</v>
      </c>
      <c r="X2973" s="50">
        <f t="shared" si="450"/>
        <v>0</v>
      </c>
      <c r="Y2973"/>
      <c r="Z2973"/>
      <c r="AA2973"/>
    </row>
    <row r="2974" spans="1:27" s="51" customFormat="1" ht="18.600000000000001" hidden="1" customHeight="1" x14ac:dyDescent="0.25">
      <c r="A2974" s="80" t="s">
        <v>2653</v>
      </c>
      <c r="B2974" s="20" t="s">
        <v>9355</v>
      </c>
      <c r="C2974" s="21" t="s">
        <v>9385</v>
      </c>
      <c r="D2974" s="20">
        <v>8436564920911</v>
      </c>
      <c r="E2974" s="22" t="s">
        <v>7550</v>
      </c>
      <c r="F2974" s="22" t="s">
        <v>1937</v>
      </c>
      <c r="G2974" s="22" t="s">
        <v>5026</v>
      </c>
      <c r="H2974" s="83" t="s">
        <v>7551</v>
      </c>
      <c r="I2974" s="23" t="s">
        <v>24</v>
      </c>
      <c r="J2974" s="24">
        <v>350</v>
      </c>
      <c r="K2974" s="25">
        <v>0.25</v>
      </c>
      <c r="L2974" s="26">
        <f t="shared" si="442"/>
        <v>87.5</v>
      </c>
      <c r="M2974" s="27">
        <f t="shared" si="443"/>
        <v>262.5</v>
      </c>
      <c r="N2974" s="28">
        <v>0.16</v>
      </c>
      <c r="O2974" s="29">
        <f t="shared" si="444"/>
        <v>42</v>
      </c>
      <c r="P2974" s="30">
        <f t="shared" si="445"/>
        <v>304.5</v>
      </c>
      <c r="Q2974" s="23"/>
      <c r="R2974" s="52"/>
      <c r="S2974" s="53"/>
      <c r="T2974" s="54">
        <f t="shared" si="446"/>
        <v>0</v>
      </c>
      <c r="U2974" s="26">
        <f t="shared" si="447"/>
        <v>0</v>
      </c>
      <c r="V2974" s="55">
        <f t="shared" si="448"/>
        <v>0</v>
      </c>
      <c r="W2974" s="29">
        <f t="shared" si="449"/>
        <v>0</v>
      </c>
      <c r="X2974" s="30">
        <f t="shared" si="450"/>
        <v>0</v>
      </c>
      <c r="Y2974"/>
      <c r="Z2974"/>
      <c r="AA2974"/>
    </row>
    <row r="2975" spans="1:27" s="51" customFormat="1" ht="18.600000000000001" hidden="1" customHeight="1" x14ac:dyDescent="0.25">
      <c r="A2975" s="81" t="s">
        <v>2653</v>
      </c>
      <c r="B2975" s="31" t="s">
        <v>9355</v>
      </c>
      <c r="C2975" s="32" t="s">
        <v>9385</v>
      </c>
      <c r="D2975" s="31">
        <v>8436564920928</v>
      </c>
      <c r="E2975" s="33" t="s">
        <v>7552</v>
      </c>
      <c r="F2975" s="33" t="s">
        <v>1937</v>
      </c>
      <c r="G2975" s="33" t="s">
        <v>5026</v>
      </c>
      <c r="H2975" s="84" t="s">
        <v>7553</v>
      </c>
      <c r="I2975" s="23" t="s">
        <v>24</v>
      </c>
      <c r="J2975" s="34">
        <v>245</v>
      </c>
      <c r="K2975" s="35">
        <v>0.25</v>
      </c>
      <c r="L2975" s="36">
        <f t="shared" si="442"/>
        <v>61.25</v>
      </c>
      <c r="M2975" s="37">
        <f t="shared" si="443"/>
        <v>183.75</v>
      </c>
      <c r="N2975" s="38">
        <v>0.16</v>
      </c>
      <c r="O2975" s="39">
        <f t="shared" si="444"/>
        <v>29.400000000000002</v>
      </c>
      <c r="P2975" s="40">
        <f t="shared" si="445"/>
        <v>213.15</v>
      </c>
      <c r="Q2975" s="23"/>
      <c r="R2975" s="56"/>
      <c r="S2975" s="57"/>
      <c r="T2975" s="58">
        <f t="shared" si="446"/>
        <v>0</v>
      </c>
      <c r="U2975" s="36">
        <f t="shared" si="447"/>
        <v>0</v>
      </c>
      <c r="V2975" s="59">
        <f t="shared" si="448"/>
        <v>0</v>
      </c>
      <c r="W2975" s="39">
        <f t="shared" si="449"/>
        <v>0</v>
      </c>
      <c r="X2975" s="40">
        <f t="shared" si="450"/>
        <v>0</v>
      </c>
      <c r="Y2975"/>
      <c r="Z2975"/>
      <c r="AA2975"/>
    </row>
    <row r="2976" spans="1:27" s="51" customFormat="1" ht="18.600000000000001" hidden="1" customHeight="1" x14ac:dyDescent="0.25">
      <c r="A2976" s="82" t="s">
        <v>2653</v>
      </c>
      <c r="B2976" s="41" t="s">
        <v>9355</v>
      </c>
      <c r="C2976" s="42" t="s">
        <v>9385</v>
      </c>
      <c r="D2976" s="41">
        <v>8436564920935</v>
      </c>
      <c r="E2976" s="43" t="s">
        <v>7554</v>
      </c>
      <c r="F2976" s="43" t="s">
        <v>1937</v>
      </c>
      <c r="G2976" s="43" t="s">
        <v>7538</v>
      </c>
      <c r="H2976" s="85" t="s">
        <v>7555</v>
      </c>
      <c r="I2976" s="23" t="s">
        <v>24</v>
      </c>
      <c r="J2976" s="44">
        <v>335</v>
      </c>
      <c r="K2976" s="45">
        <v>0.25</v>
      </c>
      <c r="L2976" s="46">
        <f t="shared" si="442"/>
        <v>83.75</v>
      </c>
      <c r="M2976" s="47">
        <f t="shared" si="443"/>
        <v>251.25</v>
      </c>
      <c r="N2976" s="48">
        <v>0.16</v>
      </c>
      <c r="O2976" s="49">
        <f t="shared" si="444"/>
        <v>40.200000000000003</v>
      </c>
      <c r="P2976" s="50">
        <f t="shared" si="445"/>
        <v>291.45</v>
      </c>
      <c r="Q2976" s="23"/>
      <c r="R2976" s="60"/>
      <c r="S2976" s="61"/>
      <c r="T2976" s="62">
        <f t="shared" si="446"/>
        <v>0</v>
      </c>
      <c r="U2976" s="46">
        <f t="shared" si="447"/>
        <v>0</v>
      </c>
      <c r="V2976" s="63">
        <f t="shared" si="448"/>
        <v>0</v>
      </c>
      <c r="W2976" s="49">
        <f t="shared" si="449"/>
        <v>0</v>
      </c>
      <c r="X2976" s="50">
        <f t="shared" si="450"/>
        <v>0</v>
      </c>
      <c r="Y2976"/>
      <c r="Z2976"/>
      <c r="AA2976"/>
    </row>
    <row r="2977" spans="1:27" s="51" customFormat="1" ht="18.600000000000001" hidden="1" customHeight="1" x14ac:dyDescent="0.25">
      <c r="A2977" s="80" t="s">
        <v>2653</v>
      </c>
      <c r="B2977" s="20" t="s">
        <v>9355</v>
      </c>
      <c r="C2977" s="21" t="s">
        <v>9385</v>
      </c>
      <c r="D2977" s="20" t="s">
        <v>7556</v>
      </c>
      <c r="E2977" s="22" t="s">
        <v>7557</v>
      </c>
      <c r="F2977" s="22" t="s">
        <v>1937</v>
      </c>
      <c r="G2977" s="22" t="s">
        <v>7538</v>
      </c>
      <c r="H2977" s="83" t="s">
        <v>7558</v>
      </c>
      <c r="I2977" s="23" t="s">
        <v>24</v>
      </c>
      <c r="J2977" s="24">
        <v>335</v>
      </c>
      <c r="K2977" s="25">
        <v>0.25</v>
      </c>
      <c r="L2977" s="26">
        <f t="shared" si="442"/>
        <v>83.75</v>
      </c>
      <c r="M2977" s="27">
        <f t="shared" si="443"/>
        <v>251.25</v>
      </c>
      <c r="N2977" s="28">
        <v>0.16</v>
      </c>
      <c r="O2977" s="29">
        <f t="shared" si="444"/>
        <v>40.200000000000003</v>
      </c>
      <c r="P2977" s="30">
        <f t="shared" si="445"/>
        <v>291.45</v>
      </c>
      <c r="Q2977" s="23"/>
      <c r="R2977" s="52"/>
      <c r="S2977" s="53"/>
      <c r="T2977" s="54">
        <f t="shared" si="446"/>
        <v>0</v>
      </c>
      <c r="U2977" s="26">
        <f t="shared" si="447"/>
        <v>0</v>
      </c>
      <c r="V2977" s="55">
        <f t="shared" si="448"/>
        <v>0</v>
      </c>
      <c r="W2977" s="29">
        <f t="shared" si="449"/>
        <v>0</v>
      </c>
      <c r="X2977" s="30">
        <f t="shared" si="450"/>
        <v>0</v>
      </c>
      <c r="Y2977"/>
      <c r="Z2977"/>
      <c r="AA2977"/>
    </row>
    <row r="2978" spans="1:27" s="51" customFormat="1" ht="18.600000000000001" hidden="1" customHeight="1" x14ac:dyDescent="0.25">
      <c r="A2978" s="81" t="s">
        <v>2653</v>
      </c>
      <c r="B2978" s="31" t="s">
        <v>9355</v>
      </c>
      <c r="C2978" s="32" t="s">
        <v>9385</v>
      </c>
      <c r="D2978" s="31" t="s">
        <v>7559</v>
      </c>
      <c r="E2978" s="33" t="s">
        <v>7560</v>
      </c>
      <c r="F2978" s="33" t="s">
        <v>1937</v>
      </c>
      <c r="G2978" s="33" t="s">
        <v>7538</v>
      </c>
      <c r="H2978" s="84" t="s">
        <v>7561</v>
      </c>
      <c r="I2978" s="23" t="s">
        <v>24</v>
      </c>
      <c r="J2978" s="34">
        <v>335</v>
      </c>
      <c r="K2978" s="35">
        <v>0.25</v>
      </c>
      <c r="L2978" s="36">
        <f t="shared" si="442"/>
        <v>83.75</v>
      </c>
      <c r="M2978" s="37">
        <f t="shared" si="443"/>
        <v>251.25</v>
      </c>
      <c r="N2978" s="38">
        <v>0.16</v>
      </c>
      <c r="O2978" s="39">
        <f t="shared" si="444"/>
        <v>40.200000000000003</v>
      </c>
      <c r="P2978" s="40">
        <f t="shared" si="445"/>
        <v>291.45</v>
      </c>
      <c r="Q2978" s="23"/>
      <c r="R2978" s="56"/>
      <c r="S2978" s="57"/>
      <c r="T2978" s="58">
        <f t="shared" si="446"/>
        <v>0</v>
      </c>
      <c r="U2978" s="36">
        <f t="shared" si="447"/>
        <v>0</v>
      </c>
      <c r="V2978" s="59">
        <f t="shared" si="448"/>
        <v>0</v>
      </c>
      <c r="W2978" s="39">
        <f t="shared" si="449"/>
        <v>0</v>
      </c>
      <c r="X2978" s="40">
        <f t="shared" si="450"/>
        <v>0</v>
      </c>
      <c r="Y2978"/>
      <c r="Z2978"/>
      <c r="AA2978"/>
    </row>
    <row r="2979" spans="1:27" s="51" customFormat="1" ht="18.600000000000001" hidden="1" customHeight="1" x14ac:dyDescent="0.25">
      <c r="A2979" s="82" t="s">
        <v>2653</v>
      </c>
      <c r="B2979" s="41" t="s">
        <v>9355</v>
      </c>
      <c r="C2979" s="42" t="s">
        <v>9385</v>
      </c>
      <c r="D2979" s="41" t="s">
        <v>7562</v>
      </c>
      <c r="E2979" s="43" t="s">
        <v>7563</v>
      </c>
      <c r="F2979" s="43" t="s">
        <v>1937</v>
      </c>
      <c r="G2979" s="43" t="s">
        <v>7538</v>
      </c>
      <c r="H2979" s="85" t="s">
        <v>7564</v>
      </c>
      <c r="I2979" s="23" t="s">
        <v>24</v>
      </c>
      <c r="J2979" s="44">
        <v>335</v>
      </c>
      <c r="K2979" s="45">
        <v>0.25</v>
      </c>
      <c r="L2979" s="46">
        <f t="shared" si="442"/>
        <v>83.75</v>
      </c>
      <c r="M2979" s="47">
        <f t="shared" si="443"/>
        <v>251.25</v>
      </c>
      <c r="N2979" s="48">
        <v>0.16</v>
      </c>
      <c r="O2979" s="49">
        <f t="shared" si="444"/>
        <v>40.200000000000003</v>
      </c>
      <c r="P2979" s="50">
        <f t="shared" si="445"/>
        <v>291.45</v>
      </c>
      <c r="Q2979" s="23"/>
      <c r="R2979" s="60"/>
      <c r="S2979" s="61"/>
      <c r="T2979" s="62">
        <f t="shared" si="446"/>
        <v>0</v>
      </c>
      <c r="U2979" s="46">
        <f t="shared" si="447"/>
        <v>0</v>
      </c>
      <c r="V2979" s="63">
        <f t="shared" si="448"/>
        <v>0</v>
      </c>
      <c r="W2979" s="49">
        <f t="shared" si="449"/>
        <v>0</v>
      </c>
      <c r="X2979" s="50">
        <f t="shared" si="450"/>
        <v>0</v>
      </c>
      <c r="Y2979"/>
      <c r="Z2979"/>
      <c r="AA2979"/>
    </row>
    <row r="2980" spans="1:27" s="51" customFormat="1" ht="18.600000000000001" hidden="1" customHeight="1" x14ac:dyDescent="0.25">
      <c r="A2980" s="80" t="s">
        <v>2653</v>
      </c>
      <c r="B2980" s="20" t="s">
        <v>9355</v>
      </c>
      <c r="C2980" s="21" t="s">
        <v>9385</v>
      </c>
      <c r="D2980" s="20" t="s">
        <v>7565</v>
      </c>
      <c r="E2980" s="22" t="s">
        <v>7566</v>
      </c>
      <c r="F2980" s="22" t="s">
        <v>1937</v>
      </c>
      <c r="G2980" s="22" t="s">
        <v>7538</v>
      </c>
      <c r="H2980" s="83" t="s">
        <v>7567</v>
      </c>
      <c r="I2980" s="23" t="s">
        <v>24</v>
      </c>
      <c r="J2980" s="24">
        <v>335</v>
      </c>
      <c r="K2980" s="25">
        <v>0.25</v>
      </c>
      <c r="L2980" s="26">
        <f t="shared" si="442"/>
        <v>83.75</v>
      </c>
      <c r="M2980" s="27">
        <f t="shared" si="443"/>
        <v>251.25</v>
      </c>
      <c r="N2980" s="28">
        <v>0.16</v>
      </c>
      <c r="O2980" s="29">
        <f t="shared" si="444"/>
        <v>40.200000000000003</v>
      </c>
      <c r="P2980" s="30">
        <f t="shared" si="445"/>
        <v>291.45</v>
      </c>
      <c r="Q2980" s="23"/>
      <c r="R2980" s="52"/>
      <c r="S2980" s="53"/>
      <c r="T2980" s="54">
        <f t="shared" si="446"/>
        <v>0</v>
      </c>
      <c r="U2980" s="26">
        <f t="shared" si="447"/>
        <v>0</v>
      </c>
      <c r="V2980" s="55">
        <f t="shared" si="448"/>
        <v>0</v>
      </c>
      <c r="W2980" s="29">
        <f t="shared" si="449"/>
        <v>0</v>
      </c>
      <c r="X2980" s="30">
        <f t="shared" si="450"/>
        <v>0</v>
      </c>
      <c r="Y2980"/>
      <c r="Z2980"/>
      <c r="AA2980"/>
    </row>
    <row r="2981" spans="1:27" s="51" customFormat="1" ht="18.600000000000001" hidden="1" customHeight="1" x14ac:dyDescent="0.25">
      <c r="A2981" s="81" t="s">
        <v>2653</v>
      </c>
      <c r="B2981" s="31" t="s">
        <v>9355</v>
      </c>
      <c r="C2981" s="32" t="s">
        <v>9385</v>
      </c>
      <c r="D2981" s="31" t="s">
        <v>7568</v>
      </c>
      <c r="E2981" s="33" t="s">
        <v>7569</v>
      </c>
      <c r="F2981" s="33" t="s">
        <v>1937</v>
      </c>
      <c r="G2981" s="33" t="s">
        <v>7538</v>
      </c>
      <c r="H2981" s="84" t="s">
        <v>7570</v>
      </c>
      <c r="I2981" s="23" t="s">
        <v>24</v>
      </c>
      <c r="J2981" s="34">
        <v>335</v>
      </c>
      <c r="K2981" s="35">
        <v>0.25</v>
      </c>
      <c r="L2981" s="36">
        <f t="shared" si="442"/>
        <v>83.75</v>
      </c>
      <c r="M2981" s="37">
        <f t="shared" si="443"/>
        <v>251.25</v>
      </c>
      <c r="N2981" s="38">
        <v>0.16</v>
      </c>
      <c r="O2981" s="39">
        <f t="shared" si="444"/>
        <v>40.200000000000003</v>
      </c>
      <c r="P2981" s="40">
        <f t="shared" si="445"/>
        <v>291.45</v>
      </c>
      <c r="Q2981" s="23"/>
      <c r="R2981" s="56"/>
      <c r="S2981" s="57"/>
      <c r="T2981" s="58">
        <f t="shared" si="446"/>
        <v>0</v>
      </c>
      <c r="U2981" s="36">
        <f t="shared" si="447"/>
        <v>0</v>
      </c>
      <c r="V2981" s="59">
        <f t="shared" si="448"/>
        <v>0</v>
      </c>
      <c r="W2981" s="39">
        <f t="shared" si="449"/>
        <v>0</v>
      </c>
      <c r="X2981" s="40">
        <f t="shared" si="450"/>
        <v>0</v>
      </c>
      <c r="Y2981"/>
      <c r="Z2981"/>
      <c r="AA2981"/>
    </row>
    <row r="2982" spans="1:27" s="51" customFormat="1" ht="18.600000000000001" hidden="1" customHeight="1" x14ac:dyDescent="0.25">
      <c r="A2982" s="82" t="s">
        <v>2653</v>
      </c>
      <c r="B2982" s="41" t="s">
        <v>9355</v>
      </c>
      <c r="C2982" s="42" t="s">
        <v>9385</v>
      </c>
      <c r="D2982" s="41" t="s">
        <v>7571</v>
      </c>
      <c r="E2982" s="43" t="s">
        <v>7572</v>
      </c>
      <c r="F2982" s="43" t="s">
        <v>1937</v>
      </c>
      <c r="G2982" s="43" t="s">
        <v>7538</v>
      </c>
      <c r="H2982" s="85" t="s">
        <v>7573</v>
      </c>
      <c r="I2982" s="23" t="s">
        <v>24</v>
      </c>
      <c r="J2982" s="44">
        <v>335</v>
      </c>
      <c r="K2982" s="45">
        <v>0.25</v>
      </c>
      <c r="L2982" s="46">
        <f t="shared" ref="L2982:L3045" si="451">+J2982*K2982</f>
        <v>83.75</v>
      </c>
      <c r="M2982" s="47">
        <f t="shared" ref="M2982:M3045" si="452">+J2982-L2982</f>
        <v>251.25</v>
      </c>
      <c r="N2982" s="48">
        <v>0.16</v>
      </c>
      <c r="O2982" s="49">
        <f t="shared" ref="O2982:O3045" si="453">+M2982*N2982</f>
        <v>40.200000000000003</v>
      </c>
      <c r="P2982" s="50">
        <f t="shared" ref="P2982:P3045" si="454">+M2982+O2982</f>
        <v>291.45</v>
      </c>
      <c r="Q2982" s="23"/>
      <c r="R2982" s="60"/>
      <c r="S2982" s="61"/>
      <c r="T2982" s="62">
        <f t="shared" ref="T2982:T3045" si="455">+S2982*J2982</f>
        <v>0</v>
      </c>
      <c r="U2982" s="46">
        <f t="shared" ref="U2982:U3045" si="456">+T2982*K2982</f>
        <v>0</v>
      </c>
      <c r="V2982" s="63">
        <f t="shared" ref="V2982:V3045" si="457">+T2982-U2982</f>
        <v>0</v>
      </c>
      <c r="W2982" s="49">
        <f t="shared" ref="W2982:W3045" si="458">+V2982*N2982</f>
        <v>0</v>
      </c>
      <c r="X2982" s="50">
        <f t="shared" ref="X2982:X3045" si="459">+V2982+W2982</f>
        <v>0</v>
      </c>
      <c r="Y2982"/>
      <c r="Z2982"/>
      <c r="AA2982"/>
    </row>
    <row r="2983" spans="1:27" s="51" customFormat="1" ht="18.600000000000001" hidden="1" customHeight="1" x14ac:dyDescent="0.25">
      <c r="A2983" s="80" t="s">
        <v>2653</v>
      </c>
      <c r="B2983" s="20" t="s">
        <v>9355</v>
      </c>
      <c r="C2983" s="21" t="s">
        <v>9385</v>
      </c>
      <c r="D2983" s="20" t="s">
        <v>7574</v>
      </c>
      <c r="E2983" s="22" t="s">
        <v>7575</v>
      </c>
      <c r="F2983" s="22" t="s">
        <v>1937</v>
      </c>
      <c r="G2983" s="22" t="s">
        <v>7538</v>
      </c>
      <c r="H2983" s="83" t="s">
        <v>7576</v>
      </c>
      <c r="I2983" s="23" t="s">
        <v>24</v>
      </c>
      <c r="J2983" s="24">
        <v>335</v>
      </c>
      <c r="K2983" s="25">
        <v>0.25</v>
      </c>
      <c r="L2983" s="26">
        <f t="shared" si="451"/>
        <v>83.75</v>
      </c>
      <c r="M2983" s="27">
        <f t="shared" si="452"/>
        <v>251.25</v>
      </c>
      <c r="N2983" s="28">
        <v>0.16</v>
      </c>
      <c r="O2983" s="29">
        <f t="shared" si="453"/>
        <v>40.200000000000003</v>
      </c>
      <c r="P2983" s="30">
        <f t="shared" si="454"/>
        <v>291.45</v>
      </c>
      <c r="Q2983" s="23"/>
      <c r="R2983" s="52"/>
      <c r="S2983" s="53"/>
      <c r="T2983" s="54">
        <f t="shared" si="455"/>
        <v>0</v>
      </c>
      <c r="U2983" s="26">
        <f t="shared" si="456"/>
        <v>0</v>
      </c>
      <c r="V2983" s="55">
        <f t="shared" si="457"/>
        <v>0</v>
      </c>
      <c r="W2983" s="29">
        <f t="shared" si="458"/>
        <v>0</v>
      </c>
      <c r="X2983" s="30">
        <f t="shared" si="459"/>
        <v>0</v>
      </c>
      <c r="Y2983"/>
      <c r="Z2983"/>
      <c r="AA2983"/>
    </row>
    <row r="2984" spans="1:27" s="51" customFormat="1" ht="18.600000000000001" hidden="1" customHeight="1" x14ac:dyDescent="0.25">
      <c r="A2984" s="81" t="s">
        <v>2653</v>
      </c>
      <c r="B2984" s="31" t="s">
        <v>9355</v>
      </c>
      <c r="C2984" s="32" t="s">
        <v>9385</v>
      </c>
      <c r="D2984" s="31" t="s">
        <v>7577</v>
      </c>
      <c r="E2984" s="33" t="s">
        <v>7578</v>
      </c>
      <c r="F2984" s="33" t="s">
        <v>1937</v>
      </c>
      <c r="G2984" s="33" t="s">
        <v>7538</v>
      </c>
      <c r="H2984" s="84" t="s">
        <v>7579</v>
      </c>
      <c r="I2984" s="23" t="s">
        <v>24</v>
      </c>
      <c r="J2984" s="34">
        <v>335</v>
      </c>
      <c r="K2984" s="35">
        <v>0.25</v>
      </c>
      <c r="L2984" s="36">
        <f t="shared" si="451"/>
        <v>83.75</v>
      </c>
      <c r="M2984" s="37">
        <f t="shared" si="452"/>
        <v>251.25</v>
      </c>
      <c r="N2984" s="38">
        <v>0.16</v>
      </c>
      <c r="O2984" s="39">
        <f t="shared" si="453"/>
        <v>40.200000000000003</v>
      </c>
      <c r="P2984" s="40">
        <f t="shared" si="454"/>
        <v>291.45</v>
      </c>
      <c r="Q2984" s="23"/>
      <c r="R2984" s="56"/>
      <c r="S2984" s="57"/>
      <c r="T2984" s="58">
        <f t="shared" si="455"/>
        <v>0</v>
      </c>
      <c r="U2984" s="36">
        <f t="shared" si="456"/>
        <v>0</v>
      </c>
      <c r="V2984" s="59">
        <f t="shared" si="457"/>
        <v>0</v>
      </c>
      <c r="W2984" s="39">
        <f t="shared" si="458"/>
        <v>0</v>
      </c>
      <c r="X2984" s="40">
        <f t="shared" si="459"/>
        <v>0</v>
      </c>
      <c r="Y2984"/>
      <c r="Z2984"/>
      <c r="AA2984"/>
    </row>
    <row r="2985" spans="1:27" s="51" customFormat="1" ht="18.600000000000001" hidden="1" customHeight="1" x14ac:dyDescent="0.25">
      <c r="A2985" s="82" t="s">
        <v>2653</v>
      </c>
      <c r="B2985" s="41" t="s">
        <v>9355</v>
      </c>
      <c r="C2985" s="42" t="s">
        <v>9385</v>
      </c>
      <c r="D2985" s="41" t="s">
        <v>7580</v>
      </c>
      <c r="E2985" s="43" t="s">
        <v>7581</v>
      </c>
      <c r="F2985" s="43" t="s">
        <v>1937</v>
      </c>
      <c r="G2985" s="43" t="s">
        <v>7538</v>
      </c>
      <c r="H2985" s="85" t="s">
        <v>7582</v>
      </c>
      <c r="I2985" s="23" t="s">
        <v>24</v>
      </c>
      <c r="J2985" s="44">
        <v>335</v>
      </c>
      <c r="K2985" s="45">
        <v>0.25</v>
      </c>
      <c r="L2985" s="46">
        <f t="shared" si="451"/>
        <v>83.75</v>
      </c>
      <c r="M2985" s="47">
        <f t="shared" si="452"/>
        <v>251.25</v>
      </c>
      <c r="N2985" s="48">
        <v>0.16</v>
      </c>
      <c r="O2985" s="49">
        <f t="shared" si="453"/>
        <v>40.200000000000003</v>
      </c>
      <c r="P2985" s="50">
        <f t="shared" si="454"/>
        <v>291.45</v>
      </c>
      <c r="Q2985" s="23"/>
      <c r="R2985" s="60"/>
      <c r="S2985" s="61"/>
      <c r="T2985" s="62">
        <f t="shared" si="455"/>
        <v>0</v>
      </c>
      <c r="U2985" s="46">
        <f t="shared" si="456"/>
        <v>0</v>
      </c>
      <c r="V2985" s="63">
        <f t="shared" si="457"/>
        <v>0</v>
      </c>
      <c r="W2985" s="49">
        <f t="shared" si="458"/>
        <v>0</v>
      </c>
      <c r="X2985" s="50">
        <f t="shared" si="459"/>
        <v>0</v>
      </c>
      <c r="Y2985"/>
      <c r="Z2985"/>
      <c r="AA2985"/>
    </row>
    <row r="2986" spans="1:27" s="51" customFormat="1" ht="18.600000000000001" hidden="1" customHeight="1" x14ac:dyDescent="0.25">
      <c r="A2986" s="80" t="s">
        <v>2653</v>
      </c>
      <c r="B2986" s="20" t="s">
        <v>9355</v>
      </c>
      <c r="C2986" s="21" t="s">
        <v>9385</v>
      </c>
      <c r="D2986" s="20" t="s">
        <v>7583</v>
      </c>
      <c r="E2986" s="22" t="s">
        <v>7584</v>
      </c>
      <c r="F2986" s="22" t="s">
        <v>1937</v>
      </c>
      <c r="G2986" s="22" t="s">
        <v>7538</v>
      </c>
      <c r="H2986" s="83" t="s">
        <v>7585</v>
      </c>
      <c r="I2986" s="23" t="s">
        <v>24</v>
      </c>
      <c r="J2986" s="24">
        <v>335</v>
      </c>
      <c r="K2986" s="25">
        <v>0.25</v>
      </c>
      <c r="L2986" s="26">
        <f t="shared" si="451"/>
        <v>83.75</v>
      </c>
      <c r="M2986" s="27">
        <f t="shared" si="452"/>
        <v>251.25</v>
      </c>
      <c r="N2986" s="28">
        <v>0.16</v>
      </c>
      <c r="O2986" s="29">
        <f t="shared" si="453"/>
        <v>40.200000000000003</v>
      </c>
      <c r="P2986" s="30">
        <f t="shared" si="454"/>
        <v>291.45</v>
      </c>
      <c r="Q2986" s="23"/>
      <c r="R2986" s="52"/>
      <c r="S2986" s="53"/>
      <c r="T2986" s="54">
        <f t="shared" si="455"/>
        <v>0</v>
      </c>
      <c r="U2986" s="26">
        <f t="shared" si="456"/>
        <v>0</v>
      </c>
      <c r="V2986" s="55">
        <f t="shared" si="457"/>
        <v>0</v>
      </c>
      <c r="W2986" s="29">
        <f t="shared" si="458"/>
        <v>0</v>
      </c>
      <c r="X2986" s="30">
        <f t="shared" si="459"/>
        <v>0</v>
      </c>
      <c r="Y2986"/>
      <c r="Z2986"/>
      <c r="AA2986"/>
    </row>
    <row r="2987" spans="1:27" s="51" customFormat="1" ht="18.600000000000001" hidden="1" customHeight="1" x14ac:dyDescent="0.25">
      <c r="A2987" s="81" t="s">
        <v>2653</v>
      </c>
      <c r="B2987" s="31" t="s">
        <v>9355</v>
      </c>
      <c r="C2987" s="32" t="s">
        <v>9385</v>
      </c>
      <c r="D2987" s="31" t="s">
        <v>7586</v>
      </c>
      <c r="E2987" s="33" t="s">
        <v>7587</v>
      </c>
      <c r="F2987" s="33" t="s">
        <v>1937</v>
      </c>
      <c r="G2987" s="33" t="s">
        <v>7538</v>
      </c>
      <c r="H2987" s="84" t="s">
        <v>7588</v>
      </c>
      <c r="I2987" s="23" t="s">
        <v>24</v>
      </c>
      <c r="J2987" s="34">
        <v>335</v>
      </c>
      <c r="K2987" s="35">
        <v>0.25</v>
      </c>
      <c r="L2987" s="36">
        <f t="shared" si="451"/>
        <v>83.75</v>
      </c>
      <c r="M2987" s="37">
        <f t="shared" si="452"/>
        <v>251.25</v>
      </c>
      <c r="N2987" s="38">
        <v>0.16</v>
      </c>
      <c r="O2987" s="39">
        <f t="shared" si="453"/>
        <v>40.200000000000003</v>
      </c>
      <c r="P2987" s="40">
        <f t="shared" si="454"/>
        <v>291.45</v>
      </c>
      <c r="Q2987" s="23"/>
      <c r="R2987" s="56"/>
      <c r="S2987" s="57"/>
      <c r="T2987" s="58">
        <f t="shared" si="455"/>
        <v>0</v>
      </c>
      <c r="U2987" s="36">
        <f t="shared" si="456"/>
        <v>0</v>
      </c>
      <c r="V2987" s="59">
        <f t="shared" si="457"/>
        <v>0</v>
      </c>
      <c r="W2987" s="39">
        <f t="shared" si="458"/>
        <v>0</v>
      </c>
      <c r="X2987" s="40">
        <f t="shared" si="459"/>
        <v>0</v>
      </c>
      <c r="Y2987"/>
      <c r="Z2987"/>
      <c r="AA2987"/>
    </row>
    <row r="2988" spans="1:27" s="51" customFormat="1" ht="18.600000000000001" hidden="1" customHeight="1" x14ac:dyDescent="0.25">
      <c r="A2988" s="82" t="s">
        <v>2653</v>
      </c>
      <c r="B2988" s="41" t="s">
        <v>9355</v>
      </c>
      <c r="C2988" s="42" t="s">
        <v>9385</v>
      </c>
      <c r="D2988" s="41" t="s">
        <v>7589</v>
      </c>
      <c r="E2988" s="43" t="s">
        <v>7590</v>
      </c>
      <c r="F2988" s="43" t="s">
        <v>1937</v>
      </c>
      <c r="G2988" s="43" t="s">
        <v>7538</v>
      </c>
      <c r="H2988" s="85" t="s">
        <v>7591</v>
      </c>
      <c r="I2988" s="23" t="s">
        <v>24</v>
      </c>
      <c r="J2988" s="44">
        <v>335</v>
      </c>
      <c r="K2988" s="45">
        <v>0.25</v>
      </c>
      <c r="L2988" s="46">
        <f t="shared" si="451"/>
        <v>83.75</v>
      </c>
      <c r="M2988" s="47">
        <f t="shared" si="452"/>
        <v>251.25</v>
      </c>
      <c r="N2988" s="48">
        <v>0.16</v>
      </c>
      <c r="O2988" s="49">
        <f t="shared" si="453"/>
        <v>40.200000000000003</v>
      </c>
      <c r="P2988" s="50">
        <f t="shared" si="454"/>
        <v>291.45</v>
      </c>
      <c r="Q2988" s="23"/>
      <c r="R2988" s="60"/>
      <c r="S2988" s="61"/>
      <c r="T2988" s="62">
        <f t="shared" si="455"/>
        <v>0</v>
      </c>
      <c r="U2988" s="46">
        <f t="shared" si="456"/>
        <v>0</v>
      </c>
      <c r="V2988" s="63">
        <f t="shared" si="457"/>
        <v>0</v>
      </c>
      <c r="W2988" s="49">
        <f t="shared" si="458"/>
        <v>0</v>
      </c>
      <c r="X2988" s="50">
        <f t="shared" si="459"/>
        <v>0</v>
      </c>
      <c r="Y2988"/>
      <c r="Z2988"/>
      <c r="AA2988"/>
    </row>
    <row r="2989" spans="1:27" s="51" customFormat="1" ht="18.600000000000001" hidden="1" customHeight="1" x14ac:dyDescent="0.25">
      <c r="A2989" s="80" t="s">
        <v>2653</v>
      </c>
      <c r="B2989" s="20" t="s">
        <v>9355</v>
      </c>
      <c r="C2989" s="21" t="s">
        <v>9385</v>
      </c>
      <c r="D2989" s="20" t="s">
        <v>7592</v>
      </c>
      <c r="E2989" s="22" t="s">
        <v>7593</v>
      </c>
      <c r="F2989" s="22" t="s">
        <v>1937</v>
      </c>
      <c r="G2989" s="22" t="s">
        <v>5026</v>
      </c>
      <c r="H2989" s="83" t="s">
        <v>7594</v>
      </c>
      <c r="I2989" s="23" t="s">
        <v>24</v>
      </c>
      <c r="J2989" s="24">
        <v>245</v>
      </c>
      <c r="K2989" s="25">
        <v>0.25</v>
      </c>
      <c r="L2989" s="26">
        <f t="shared" si="451"/>
        <v>61.25</v>
      </c>
      <c r="M2989" s="27">
        <f t="shared" si="452"/>
        <v>183.75</v>
      </c>
      <c r="N2989" s="28">
        <v>0.16</v>
      </c>
      <c r="O2989" s="29">
        <f t="shared" si="453"/>
        <v>29.400000000000002</v>
      </c>
      <c r="P2989" s="30">
        <f t="shared" si="454"/>
        <v>213.15</v>
      </c>
      <c r="Q2989" s="23"/>
      <c r="R2989" s="52"/>
      <c r="S2989" s="53"/>
      <c r="T2989" s="54">
        <f t="shared" si="455"/>
        <v>0</v>
      </c>
      <c r="U2989" s="26">
        <f t="shared" si="456"/>
        <v>0</v>
      </c>
      <c r="V2989" s="55">
        <f t="shared" si="457"/>
        <v>0</v>
      </c>
      <c r="W2989" s="29">
        <f t="shared" si="458"/>
        <v>0</v>
      </c>
      <c r="X2989" s="30">
        <f t="shared" si="459"/>
        <v>0</v>
      </c>
      <c r="Y2989"/>
      <c r="Z2989"/>
      <c r="AA2989"/>
    </row>
    <row r="2990" spans="1:27" s="51" customFormat="1" ht="18.600000000000001" hidden="1" customHeight="1" x14ac:dyDescent="0.25">
      <c r="A2990" s="81" t="s">
        <v>2653</v>
      </c>
      <c r="B2990" s="31" t="s">
        <v>9355</v>
      </c>
      <c r="C2990" s="32" t="s">
        <v>9385</v>
      </c>
      <c r="D2990" s="31" t="s">
        <v>7595</v>
      </c>
      <c r="E2990" s="33" t="s">
        <v>7596</v>
      </c>
      <c r="F2990" s="33" t="s">
        <v>1937</v>
      </c>
      <c r="G2990" s="33" t="s">
        <v>5026</v>
      </c>
      <c r="H2990" s="84" t="s">
        <v>7597</v>
      </c>
      <c r="I2990" s="23" t="s">
        <v>24</v>
      </c>
      <c r="J2990" s="34">
        <v>245</v>
      </c>
      <c r="K2990" s="35">
        <v>0.25</v>
      </c>
      <c r="L2990" s="36">
        <f t="shared" si="451"/>
        <v>61.25</v>
      </c>
      <c r="M2990" s="37">
        <f t="shared" si="452"/>
        <v>183.75</v>
      </c>
      <c r="N2990" s="38">
        <v>0.16</v>
      </c>
      <c r="O2990" s="39">
        <f t="shared" si="453"/>
        <v>29.400000000000002</v>
      </c>
      <c r="P2990" s="40">
        <f t="shared" si="454"/>
        <v>213.15</v>
      </c>
      <c r="Q2990" s="23"/>
      <c r="R2990" s="56"/>
      <c r="S2990" s="57"/>
      <c r="T2990" s="58">
        <f t="shared" si="455"/>
        <v>0</v>
      </c>
      <c r="U2990" s="36">
        <f t="shared" si="456"/>
        <v>0</v>
      </c>
      <c r="V2990" s="59">
        <f t="shared" si="457"/>
        <v>0</v>
      </c>
      <c r="W2990" s="39">
        <f t="shared" si="458"/>
        <v>0</v>
      </c>
      <c r="X2990" s="40">
        <f t="shared" si="459"/>
        <v>0</v>
      </c>
      <c r="Y2990"/>
      <c r="Z2990"/>
      <c r="AA2990"/>
    </row>
    <row r="2991" spans="1:27" s="51" customFormat="1" ht="18.600000000000001" hidden="1" customHeight="1" x14ac:dyDescent="0.25">
      <c r="A2991" s="82" t="s">
        <v>2653</v>
      </c>
      <c r="B2991" s="41" t="s">
        <v>9355</v>
      </c>
      <c r="C2991" s="42" t="s">
        <v>9385</v>
      </c>
      <c r="D2991" s="41" t="s">
        <v>7598</v>
      </c>
      <c r="E2991" s="43" t="s">
        <v>7599</v>
      </c>
      <c r="F2991" s="43" t="s">
        <v>1937</v>
      </c>
      <c r="G2991" s="43" t="s">
        <v>5292</v>
      </c>
      <c r="H2991" s="85" t="s">
        <v>7600</v>
      </c>
      <c r="I2991" s="23" t="s">
        <v>24</v>
      </c>
      <c r="J2991" s="44">
        <v>210</v>
      </c>
      <c r="K2991" s="45">
        <v>0.25</v>
      </c>
      <c r="L2991" s="46">
        <f t="shared" si="451"/>
        <v>52.5</v>
      </c>
      <c r="M2991" s="47">
        <f t="shared" si="452"/>
        <v>157.5</v>
      </c>
      <c r="N2991" s="48">
        <v>0.16</v>
      </c>
      <c r="O2991" s="49">
        <f t="shared" si="453"/>
        <v>25.2</v>
      </c>
      <c r="P2991" s="50">
        <f t="shared" si="454"/>
        <v>182.7</v>
      </c>
      <c r="Q2991" s="23"/>
      <c r="R2991" s="60"/>
      <c r="S2991" s="61"/>
      <c r="T2991" s="62">
        <f t="shared" si="455"/>
        <v>0</v>
      </c>
      <c r="U2991" s="46">
        <f t="shared" si="456"/>
        <v>0</v>
      </c>
      <c r="V2991" s="63">
        <f t="shared" si="457"/>
        <v>0</v>
      </c>
      <c r="W2991" s="49">
        <f t="shared" si="458"/>
        <v>0</v>
      </c>
      <c r="X2991" s="50">
        <f t="shared" si="459"/>
        <v>0</v>
      </c>
      <c r="Y2991"/>
      <c r="Z2991"/>
      <c r="AA2991"/>
    </row>
    <row r="2992" spans="1:27" s="51" customFormat="1" ht="18.600000000000001" hidden="1" customHeight="1" x14ac:dyDescent="0.25">
      <c r="A2992" s="80" t="s">
        <v>2653</v>
      </c>
      <c r="B2992" s="20" t="s">
        <v>9355</v>
      </c>
      <c r="C2992" s="21" t="s">
        <v>9385</v>
      </c>
      <c r="D2992" s="20" t="s">
        <v>7601</v>
      </c>
      <c r="E2992" s="22" t="s">
        <v>7602</v>
      </c>
      <c r="F2992" s="22" t="s">
        <v>1937</v>
      </c>
      <c r="G2992" s="22" t="s">
        <v>5026</v>
      </c>
      <c r="H2992" s="83" t="s">
        <v>7603</v>
      </c>
      <c r="I2992" s="23" t="s">
        <v>24</v>
      </c>
      <c r="J2992" s="24">
        <v>245</v>
      </c>
      <c r="K2992" s="25">
        <v>0.25</v>
      </c>
      <c r="L2992" s="26">
        <f t="shared" si="451"/>
        <v>61.25</v>
      </c>
      <c r="M2992" s="27">
        <f t="shared" si="452"/>
        <v>183.75</v>
      </c>
      <c r="N2992" s="28">
        <v>0.16</v>
      </c>
      <c r="O2992" s="29">
        <f t="shared" si="453"/>
        <v>29.400000000000002</v>
      </c>
      <c r="P2992" s="30">
        <f t="shared" si="454"/>
        <v>213.15</v>
      </c>
      <c r="Q2992" s="23"/>
      <c r="R2992" s="52"/>
      <c r="S2992" s="53"/>
      <c r="T2992" s="54">
        <f t="shared" si="455"/>
        <v>0</v>
      </c>
      <c r="U2992" s="26">
        <f t="shared" si="456"/>
        <v>0</v>
      </c>
      <c r="V2992" s="55">
        <f t="shared" si="457"/>
        <v>0</v>
      </c>
      <c r="W2992" s="29">
        <f t="shared" si="458"/>
        <v>0</v>
      </c>
      <c r="X2992" s="30">
        <f t="shared" si="459"/>
        <v>0</v>
      </c>
      <c r="Y2992"/>
      <c r="Z2992"/>
      <c r="AA2992"/>
    </row>
    <row r="2993" spans="1:27" s="51" customFormat="1" ht="18.600000000000001" hidden="1" customHeight="1" x14ac:dyDescent="0.25">
      <c r="A2993" s="81" t="s">
        <v>2653</v>
      </c>
      <c r="B2993" s="31" t="s">
        <v>9355</v>
      </c>
      <c r="C2993" s="32" t="s">
        <v>9385</v>
      </c>
      <c r="D2993" s="31" t="s">
        <v>7604</v>
      </c>
      <c r="E2993" s="33" t="s">
        <v>7605</v>
      </c>
      <c r="F2993" s="33" t="s">
        <v>1937</v>
      </c>
      <c r="G2993" s="33" t="s">
        <v>5026</v>
      </c>
      <c r="H2993" s="84" t="s">
        <v>7606</v>
      </c>
      <c r="I2993" s="23" t="s">
        <v>24</v>
      </c>
      <c r="J2993" s="34">
        <v>245</v>
      </c>
      <c r="K2993" s="35">
        <v>0.25</v>
      </c>
      <c r="L2993" s="36">
        <f t="shared" si="451"/>
        <v>61.25</v>
      </c>
      <c r="M2993" s="37">
        <f t="shared" si="452"/>
        <v>183.75</v>
      </c>
      <c r="N2993" s="38">
        <v>0.16</v>
      </c>
      <c r="O2993" s="39">
        <f t="shared" si="453"/>
        <v>29.400000000000002</v>
      </c>
      <c r="P2993" s="40">
        <f t="shared" si="454"/>
        <v>213.15</v>
      </c>
      <c r="Q2993" s="23"/>
      <c r="R2993" s="56"/>
      <c r="S2993" s="57"/>
      <c r="T2993" s="58">
        <f t="shared" si="455"/>
        <v>0</v>
      </c>
      <c r="U2993" s="36">
        <f t="shared" si="456"/>
        <v>0</v>
      </c>
      <c r="V2993" s="59">
        <f t="shared" si="457"/>
        <v>0</v>
      </c>
      <c r="W2993" s="39">
        <f t="shared" si="458"/>
        <v>0</v>
      </c>
      <c r="X2993" s="40">
        <f t="shared" si="459"/>
        <v>0</v>
      </c>
      <c r="Y2993"/>
      <c r="Z2993"/>
      <c r="AA2993"/>
    </row>
    <row r="2994" spans="1:27" s="51" customFormat="1" ht="18.600000000000001" hidden="1" customHeight="1" x14ac:dyDescent="0.25">
      <c r="A2994" s="82" t="s">
        <v>2653</v>
      </c>
      <c r="B2994" s="41" t="s">
        <v>9355</v>
      </c>
      <c r="C2994" s="42" t="s">
        <v>9385</v>
      </c>
      <c r="D2994" s="41" t="s">
        <v>7607</v>
      </c>
      <c r="E2994" s="43" t="s">
        <v>7608</v>
      </c>
      <c r="F2994" s="43" t="s">
        <v>1937</v>
      </c>
      <c r="G2994" s="43" t="s">
        <v>5026</v>
      </c>
      <c r="H2994" s="85" t="s">
        <v>7609</v>
      </c>
      <c r="I2994" s="23" t="s">
        <v>24</v>
      </c>
      <c r="J2994" s="44">
        <v>245</v>
      </c>
      <c r="K2994" s="45">
        <v>0.25</v>
      </c>
      <c r="L2994" s="46">
        <f t="shared" si="451"/>
        <v>61.25</v>
      </c>
      <c r="M2994" s="47">
        <f t="shared" si="452"/>
        <v>183.75</v>
      </c>
      <c r="N2994" s="48">
        <v>0.16</v>
      </c>
      <c r="O2994" s="49">
        <f t="shared" si="453"/>
        <v>29.400000000000002</v>
      </c>
      <c r="P2994" s="50">
        <f t="shared" si="454"/>
        <v>213.15</v>
      </c>
      <c r="Q2994" s="23"/>
      <c r="R2994" s="60"/>
      <c r="S2994" s="61"/>
      <c r="T2994" s="62">
        <f t="shared" si="455"/>
        <v>0</v>
      </c>
      <c r="U2994" s="46">
        <f t="shared" si="456"/>
        <v>0</v>
      </c>
      <c r="V2994" s="63">
        <f t="shared" si="457"/>
        <v>0</v>
      </c>
      <c r="W2994" s="49">
        <f t="shared" si="458"/>
        <v>0</v>
      </c>
      <c r="X2994" s="50">
        <f t="shared" si="459"/>
        <v>0</v>
      </c>
      <c r="Y2994"/>
      <c r="Z2994"/>
      <c r="AA2994"/>
    </row>
    <row r="2995" spans="1:27" s="51" customFormat="1" ht="18.600000000000001" hidden="1" customHeight="1" x14ac:dyDescent="0.25">
      <c r="A2995" s="80" t="s">
        <v>2653</v>
      </c>
      <c r="B2995" s="20" t="s">
        <v>9355</v>
      </c>
      <c r="C2995" s="21" t="s">
        <v>9385</v>
      </c>
      <c r="D2995" s="20" t="s">
        <v>7610</v>
      </c>
      <c r="E2995" s="22" t="s">
        <v>7611</v>
      </c>
      <c r="F2995" s="22" t="s">
        <v>1937</v>
      </c>
      <c r="G2995" s="22" t="s">
        <v>5026</v>
      </c>
      <c r="H2995" s="83" t="s">
        <v>7612</v>
      </c>
      <c r="I2995" s="23" t="s">
        <v>24</v>
      </c>
      <c r="J2995" s="24">
        <v>315</v>
      </c>
      <c r="K2995" s="25">
        <v>0.25</v>
      </c>
      <c r="L2995" s="26">
        <f t="shared" si="451"/>
        <v>78.75</v>
      </c>
      <c r="M2995" s="27">
        <f t="shared" si="452"/>
        <v>236.25</v>
      </c>
      <c r="N2995" s="28">
        <v>0.16</v>
      </c>
      <c r="O2995" s="29">
        <f t="shared" si="453"/>
        <v>37.800000000000004</v>
      </c>
      <c r="P2995" s="30">
        <f t="shared" si="454"/>
        <v>274.05</v>
      </c>
      <c r="Q2995" s="23"/>
      <c r="R2995" s="52"/>
      <c r="S2995" s="53"/>
      <c r="T2995" s="54">
        <f t="shared" si="455"/>
        <v>0</v>
      </c>
      <c r="U2995" s="26">
        <f t="shared" si="456"/>
        <v>0</v>
      </c>
      <c r="V2995" s="55">
        <f t="shared" si="457"/>
        <v>0</v>
      </c>
      <c r="W2995" s="29">
        <f t="shared" si="458"/>
        <v>0</v>
      </c>
      <c r="X2995" s="30">
        <f t="shared" si="459"/>
        <v>0</v>
      </c>
      <c r="Y2995"/>
      <c r="Z2995"/>
      <c r="AA2995"/>
    </row>
    <row r="2996" spans="1:27" s="51" customFormat="1" ht="18.600000000000001" hidden="1" customHeight="1" x14ac:dyDescent="0.25">
      <c r="A2996" s="81" t="s">
        <v>2653</v>
      </c>
      <c r="B2996" s="31" t="s">
        <v>9355</v>
      </c>
      <c r="C2996" s="32" t="s">
        <v>9385</v>
      </c>
      <c r="D2996" s="31" t="s">
        <v>7613</v>
      </c>
      <c r="E2996" s="33" t="s">
        <v>7614</v>
      </c>
      <c r="F2996" s="33" t="s">
        <v>1937</v>
      </c>
      <c r="G2996" s="33" t="s">
        <v>5026</v>
      </c>
      <c r="H2996" s="84" t="s">
        <v>7615</v>
      </c>
      <c r="I2996" s="23" t="s">
        <v>24</v>
      </c>
      <c r="J2996" s="34">
        <v>315</v>
      </c>
      <c r="K2996" s="35">
        <v>0.25</v>
      </c>
      <c r="L2996" s="36">
        <f t="shared" si="451"/>
        <v>78.75</v>
      </c>
      <c r="M2996" s="37">
        <f t="shared" si="452"/>
        <v>236.25</v>
      </c>
      <c r="N2996" s="38">
        <v>0.16</v>
      </c>
      <c r="O2996" s="39">
        <f t="shared" si="453"/>
        <v>37.800000000000004</v>
      </c>
      <c r="P2996" s="40">
        <f t="shared" si="454"/>
        <v>274.05</v>
      </c>
      <c r="Q2996" s="23"/>
      <c r="R2996" s="56"/>
      <c r="S2996" s="57"/>
      <c r="T2996" s="58">
        <f t="shared" si="455"/>
        <v>0</v>
      </c>
      <c r="U2996" s="36">
        <f t="shared" si="456"/>
        <v>0</v>
      </c>
      <c r="V2996" s="59">
        <f t="shared" si="457"/>
        <v>0</v>
      </c>
      <c r="W2996" s="39">
        <f t="shared" si="458"/>
        <v>0</v>
      </c>
      <c r="X2996" s="40">
        <f t="shared" si="459"/>
        <v>0</v>
      </c>
      <c r="Y2996"/>
      <c r="Z2996"/>
      <c r="AA2996"/>
    </row>
    <row r="2997" spans="1:27" s="51" customFormat="1" ht="18.600000000000001" hidden="1" customHeight="1" x14ac:dyDescent="0.25">
      <c r="A2997" s="82" t="s">
        <v>2653</v>
      </c>
      <c r="B2997" s="41" t="s">
        <v>9355</v>
      </c>
      <c r="C2997" s="42" t="s">
        <v>9385</v>
      </c>
      <c r="D2997" s="41" t="s">
        <v>7616</v>
      </c>
      <c r="E2997" s="43" t="s">
        <v>7617</v>
      </c>
      <c r="F2997" s="43" t="s">
        <v>1937</v>
      </c>
      <c r="G2997" s="43" t="s">
        <v>5026</v>
      </c>
      <c r="H2997" s="85" t="s">
        <v>7618</v>
      </c>
      <c r="I2997" s="23" t="s">
        <v>24</v>
      </c>
      <c r="J2997" s="44">
        <v>315</v>
      </c>
      <c r="K2997" s="45">
        <v>0.25</v>
      </c>
      <c r="L2997" s="46">
        <f t="shared" si="451"/>
        <v>78.75</v>
      </c>
      <c r="M2997" s="47">
        <f t="shared" si="452"/>
        <v>236.25</v>
      </c>
      <c r="N2997" s="48">
        <v>0.16</v>
      </c>
      <c r="O2997" s="49">
        <f t="shared" si="453"/>
        <v>37.800000000000004</v>
      </c>
      <c r="P2997" s="50">
        <f t="shared" si="454"/>
        <v>274.05</v>
      </c>
      <c r="Q2997" s="23"/>
      <c r="R2997" s="60"/>
      <c r="S2997" s="61"/>
      <c r="T2997" s="62">
        <f t="shared" si="455"/>
        <v>0</v>
      </c>
      <c r="U2997" s="46">
        <f t="shared" si="456"/>
        <v>0</v>
      </c>
      <c r="V2997" s="63">
        <f t="shared" si="457"/>
        <v>0</v>
      </c>
      <c r="W2997" s="49">
        <f t="shared" si="458"/>
        <v>0</v>
      </c>
      <c r="X2997" s="50">
        <f t="shared" si="459"/>
        <v>0</v>
      </c>
      <c r="Y2997"/>
      <c r="Z2997"/>
      <c r="AA2997"/>
    </row>
    <row r="2998" spans="1:27" s="51" customFormat="1" ht="18.600000000000001" hidden="1" customHeight="1" x14ac:dyDescent="0.25">
      <c r="A2998" s="80" t="s">
        <v>2653</v>
      </c>
      <c r="B2998" s="20" t="s">
        <v>9355</v>
      </c>
      <c r="C2998" s="21" t="s">
        <v>9385</v>
      </c>
      <c r="D2998" s="20" t="s">
        <v>7619</v>
      </c>
      <c r="E2998" s="22" t="s">
        <v>7620</v>
      </c>
      <c r="F2998" s="22" t="s">
        <v>1937</v>
      </c>
      <c r="G2998" s="22" t="s">
        <v>5026</v>
      </c>
      <c r="H2998" s="83" t="s">
        <v>7621</v>
      </c>
      <c r="I2998" s="23" t="s">
        <v>24</v>
      </c>
      <c r="J2998" s="24">
        <v>245</v>
      </c>
      <c r="K2998" s="25">
        <v>0.25</v>
      </c>
      <c r="L2998" s="26">
        <f t="shared" si="451"/>
        <v>61.25</v>
      </c>
      <c r="M2998" s="27">
        <f t="shared" si="452"/>
        <v>183.75</v>
      </c>
      <c r="N2998" s="28">
        <v>0.16</v>
      </c>
      <c r="O2998" s="29">
        <f t="shared" si="453"/>
        <v>29.400000000000002</v>
      </c>
      <c r="P2998" s="30">
        <f t="shared" si="454"/>
        <v>213.15</v>
      </c>
      <c r="Q2998" s="23"/>
      <c r="R2998" s="52"/>
      <c r="S2998" s="53"/>
      <c r="T2998" s="54">
        <f t="shared" si="455"/>
        <v>0</v>
      </c>
      <c r="U2998" s="26">
        <f t="shared" si="456"/>
        <v>0</v>
      </c>
      <c r="V2998" s="55">
        <f t="shared" si="457"/>
        <v>0</v>
      </c>
      <c r="W2998" s="29">
        <f t="shared" si="458"/>
        <v>0</v>
      </c>
      <c r="X2998" s="30">
        <f t="shared" si="459"/>
        <v>0</v>
      </c>
      <c r="Y2998"/>
      <c r="Z2998"/>
      <c r="AA2998"/>
    </row>
    <row r="2999" spans="1:27" s="51" customFormat="1" ht="18.600000000000001" hidden="1" customHeight="1" x14ac:dyDescent="0.25">
      <c r="A2999" s="81" t="s">
        <v>2653</v>
      </c>
      <c r="B2999" s="31" t="s">
        <v>9355</v>
      </c>
      <c r="C2999" s="32" t="s">
        <v>9385</v>
      </c>
      <c r="D2999" s="31" t="s">
        <v>7622</v>
      </c>
      <c r="E2999" s="33" t="s">
        <v>7623</v>
      </c>
      <c r="F2999" s="33" t="s">
        <v>1937</v>
      </c>
      <c r="G2999" s="33" t="s">
        <v>5026</v>
      </c>
      <c r="H2999" s="84" t="s">
        <v>7624</v>
      </c>
      <c r="I2999" s="23" t="s">
        <v>24</v>
      </c>
      <c r="J2999" s="34">
        <v>245</v>
      </c>
      <c r="K2999" s="35">
        <v>0.25</v>
      </c>
      <c r="L2999" s="36">
        <f t="shared" si="451"/>
        <v>61.25</v>
      </c>
      <c r="M2999" s="37">
        <f t="shared" si="452"/>
        <v>183.75</v>
      </c>
      <c r="N2999" s="38">
        <v>0.16</v>
      </c>
      <c r="O2999" s="39">
        <f t="shared" si="453"/>
        <v>29.400000000000002</v>
      </c>
      <c r="P2999" s="40">
        <f t="shared" si="454"/>
        <v>213.15</v>
      </c>
      <c r="Q2999" s="23"/>
      <c r="R2999" s="56"/>
      <c r="S2999" s="57"/>
      <c r="T2999" s="58">
        <f t="shared" si="455"/>
        <v>0</v>
      </c>
      <c r="U2999" s="36">
        <f t="shared" si="456"/>
        <v>0</v>
      </c>
      <c r="V2999" s="59">
        <f t="shared" si="457"/>
        <v>0</v>
      </c>
      <c r="W2999" s="39">
        <f t="shared" si="458"/>
        <v>0</v>
      </c>
      <c r="X2999" s="40">
        <f t="shared" si="459"/>
        <v>0</v>
      </c>
      <c r="Y2999"/>
      <c r="Z2999"/>
      <c r="AA2999"/>
    </row>
    <row r="3000" spans="1:27" s="51" customFormat="1" ht="18.600000000000001" hidden="1" customHeight="1" x14ac:dyDescent="0.25">
      <c r="A3000" s="82" t="s">
        <v>2653</v>
      </c>
      <c r="B3000" s="41" t="s">
        <v>9355</v>
      </c>
      <c r="C3000" s="42" t="s">
        <v>9385</v>
      </c>
      <c r="D3000" s="41" t="s">
        <v>7625</v>
      </c>
      <c r="E3000" s="43" t="s">
        <v>7626</v>
      </c>
      <c r="F3000" s="43" t="s">
        <v>1937</v>
      </c>
      <c r="G3000" s="43" t="s">
        <v>5026</v>
      </c>
      <c r="H3000" s="85" t="s">
        <v>7627</v>
      </c>
      <c r="I3000" s="23" t="s">
        <v>24</v>
      </c>
      <c r="J3000" s="44">
        <v>245</v>
      </c>
      <c r="K3000" s="45">
        <v>0.25</v>
      </c>
      <c r="L3000" s="46">
        <f t="shared" si="451"/>
        <v>61.25</v>
      </c>
      <c r="M3000" s="47">
        <f t="shared" si="452"/>
        <v>183.75</v>
      </c>
      <c r="N3000" s="48">
        <v>0.16</v>
      </c>
      <c r="O3000" s="49">
        <f t="shared" si="453"/>
        <v>29.400000000000002</v>
      </c>
      <c r="P3000" s="50">
        <f t="shared" si="454"/>
        <v>213.15</v>
      </c>
      <c r="Q3000" s="23"/>
      <c r="R3000" s="60"/>
      <c r="S3000" s="61"/>
      <c r="T3000" s="62">
        <f t="shared" si="455"/>
        <v>0</v>
      </c>
      <c r="U3000" s="46">
        <f t="shared" si="456"/>
        <v>0</v>
      </c>
      <c r="V3000" s="63">
        <f t="shared" si="457"/>
        <v>0</v>
      </c>
      <c r="W3000" s="49">
        <f t="shared" si="458"/>
        <v>0</v>
      </c>
      <c r="X3000" s="50">
        <f t="shared" si="459"/>
        <v>0</v>
      </c>
      <c r="Y3000"/>
      <c r="Z3000"/>
      <c r="AA3000"/>
    </row>
    <row r="3001" spans="1:27" s="51" customFormat="1" ht="18.600000000000001" hidden="1" customHeight="1" x14ac:dyDescent="0.25">
      <c r="A3001" s="80" t="s">
        <v>2653</v>
      </c>
      <c r="B3001" s="20" t="s">
        <v>9355</v>
      </c>
      <c r="C3001" s="21" t="s">
        <v>9385</v>
      </c>
      <c r="D3001" s="20" t="s">
        <v>7628</v>
      </c>
      <c r="E3001" s="22" t="s">
        <v>7629</v>
      </c>
      <c r="F3001" s="22" t="s">
        <v>1937</v>
      </c>
      <c r="G3001" s="22" t="s">
        <v>5026</v>
      </c>
      <c r="H3001" s="83" t="s">
        <v>7630</v>
      </c>
      <c r="I3001" s="23" t="s">
        <v>24</v>
      </c>
      <c r="J3001" s="24">
        <v>245</v>
      </c>
      <c r="K3001" s="25">
        <v>0.25</v>
      </c>
      <c r="L3001" s="26">
        <f t="shared" si="451"/>
        <v>61.25</v>
      </c>
      <c r="M3001" s="27">
        <f t="shared" si="452"/>
        <v>183.75</v>
      </c>
      <c r="N3001" s="28">
        <v>0.16</v>
      </c>
      <c r="O3001" s="29">
        <f t="shared" si="453"/>
        <v>29.400000000000002</v>
      </c>
      <c r="P3001" s="30">
        <f t="shared" si="454"/>
        <v>213.15</v>
      </c>
      <c r="Q3001" s="23"/>
      <c r="R3001" s="52"/>
      <c r="S3001" s="53"/>
      <c r="T3001" s="54">
        <f t="shared" si="455"/>
        <v>0</v>
      </c>
      <c r="U3001" s="26">
        <f t="shared" si="456"/>
        <v>0</v>
      </c>
      <c r="V3001" s="55">
        <f t="shared" si="457"/>
        <v>0</v>
      </c>
      <c r="W3001" s="29">
        <f t="shared" si="458"/>
        <v>0</v>
      </c>
      <c r="X3001" s="30">
        <f t="shared" si="459"/>
        <v>0</v>
      </c>
      <c r="Y3001"/>
      <c r="Z3001"/>
      <c r="AA3001"/>
    </row>
    <row r="3002" spans="1:27" s="51" customFormat="1" ht="18.600000000000001" hidden="1" customHeight="1" x14ac:dyDescent="0.25">
      <c r="A3002" s="81" t="s">
        <v>2653</v>
      </c>
      <c r="B3002" s="31" t="s">
        <v>9355</v>
      </c>
      <c r="C3002" s="32" t="s">
        <v>9385</v>
      </c>
      <c r="D3002" s="31">
        <v>8436564921215</v>
      </c>
      <c r="E3002" s="33" t="s">
        <v>7631</v>
      </c>
      <c r="F3002" s="33" t="s">
        <v>1937</v>
      </c>
      <c r="G3002" s="33"/>
      <c r="H3002" s="84" t="s">
        <v>7632</v>
      </c>
      <c r="I3002" s="23" t="s">
        <v>24</v>
      </c>
      <c r="J3002" s="34">
        <v>335</v>
      </c>
      <c r="K3002" s="35">
        <v>0.25</v>
      </c>
      <c r="L3002" s="36">
        <f t="shared" si="451"/>
        <v>83.75</v>
      </c>
      <c r="M3002" s="37">
        <f t="shared" si="452"/>
        <v>251.25</v>
      </c>
      <c r="N3002" s="38">
        <v>0.16</v>
      </c>
      <c r="O3002" s="39">
        <f t="shared" si="453"/>
        <v>40.200000000000003</v>
      </c>
      <c r="P3002" s="40">
        <f t="shared" si="454"/>
        <v>291.45</v>
      </c>
      <c r="Q3002" s="23"/>
      <c r="R3002" s="56"/>
      <c r="S3002" s="57"/>
      <c r="T3002" s="58">
        <f t="shared" si="455"/>
        <v>0</v>
      </c>
      <c r="U3002" s="36">
        <f t="shared" si="456"/>
        <v>0</v>
      </c>
      <c r="V3002" s="59">
        <f t="shared" si="457"/>
        <v>0</v>
      </c>
      <c r="W3002" s="39">
        <f t="shared" si="458"/>
        <v>0</v>
      </c>
      <c r="X3002" s="40">
        <f t="shared" si="459"/>
        <v>0</v>
      </c>
      <c r="Y3002"/>
      <c r="Z3002"/>
      <c r="AA3002"/>
    </row>
    <row r="3003" spans="1:27" s="51" customFormat="1" ht="18.600000000000001" hidden="1" customHeight="1" x14ac:dyDescent="0.25">
      <c r="A3003" s="82" t="s">
        <v>2653</v>
      </c>
      <c r="B3003" s="41" t="s">
        <v>9355</v>
      </c>
      <c r="C3003" s="42" t="s">
        <v>9385</v>
      </c>
      <c r="D3003" s="41">
        <v>8436564921291</v>
      </c>
      <c r="E3003" s="43" t="s">
        <v>7633</v>
      </c>
      <c r="F3003" s="43" t="s">
        <v>1937</v>
      </c>
      <c r="G3003" s="43" t="s">
        <v>5026</v>
      </c>
      <c r="H3003" s="85" t="s">
        <v>7634</v>
      </c>
      <c r="I3003" s="23" t="s">
        <v>24</v>
      </c>
      <c r="J3003" s="44">
        <v>315</v>
      </c>
      <c r="K3003" s="45">
        <v>0.25</v>
      </c>
      <c r="L3003" s="46">
        <f t="shared" si="451"/>
        <v>78.75</v>
      </c>
      <c r="M3003" s="47">
        <f t="shared" si="452"/>
        <v>236.25</v>
      </c>
      <c r="N3003" s="48">
        <v>0.16</v>
      </c>
      <c r="O3003" s="49">
        <f t="shared" si="453"/>
        <v>37.800000000000004</v>
      </c>
      <c r="P3003" s="50">
        <f t="shared" si="454"/>
        <v>274.05</v>
      </c>
      <c r="Q3003" s="23"/>
      <c r="R3003" s="60"/>
      <c r="S3003" s="61"/>
      <c r="T3003" s="62">
        <f t="shared" si="455"/>
        <v>0</v>
      </c>
      <c r="U3003" s="46">
        <f t="shared" si="456"/>
        <v>0</v>
      </c>
      <c r="V3003" s="63">
        <f t="shared" si="457"/>
        <v>0</v>
      </c>
      <c r="W3003" s="49">
        <f t="shared" si="458"/>
        <v>0</v>
      </c>
      <c r="X3003" s="50">
        <f t="shared" si="459"/>
        <v>0</v>
      </c>
      <c r="Y3003"/>
      <c r="Z3003"/>
      <c r="AA3003"/>
    </row>
    <row r="3004" spans="1:27" s="51" customFormat="1" ht="18.600000000000001" hidden="1" customHeight="1" x14ac:dyDescent="0.25">
      <c r="A3004" s="80" t="s">
        <v>2653</v>
      </c>
      <c r="B3004" s="20" t="s">
        <v>9355</v>
      </c>
      <c r="C3004" s="21" t="s">
        <v>9385</v>
      </c>
      <c r="D3004" s="20" t="s">
        <v>7635</v>
      </c>
      <c r="E3004" s="22" t="s">
        <v>7636</v>
      </c>
      <c r="F3004" s="22" t="s">
        <v>1937</v>
      </c>
      <c r="G3004" s="22" t="s">
        <v>7538</v>
      </c>
      <c r="H3004" s="83" t="s">
        <v>7637</v>
      </c>
      <c r="I3004" s="23" t="s">
        <v>24</v>
      </c>
      <c r="J3004" s="24">
        <v>350</v>
      </c>
      <c r="K3004" s="25">
        <v>0.25</v>
      </c>
      <c r="L3004" s="26">
        <f t="shared" si="451"/>
        <v>87.5</v>
      </c>
      <c r="M3004" s="27">
        <f t="shared" si="452"/>
        <v>262.5</v>
      </c>
      <c r="N3004" s="28">
        <v>0.16</v>
      </c>
      <c r="O3004" s="29">
        <f t="shared" si="453"/>
        <v>42</v>
      </c>
      <c r="P3004" s="30">
        <f t="shared" si="454"/>
        <v>304.5</v>
      </c>
      <c r="Q3004" s="23"/>
      <c r="R3004" s="52"/>
      <c r="S3004" s="53"/>
      <c r="T3004" s="54">
        <f t="shared" si="455"/>
        <v>0</v>
      </c>
      <c r="U3004" s="26">
        <f t="shared" si="456"/>
        <v>0</v>
      </c>
      <c r="V3004" s="55">
        <f t="shared" si="457"/>
        <v>0</v>
      </c>
      <c r="W3004" s="29">
        <f t="shared" si="458"/>
        <v>0</v>
      </c>
      <c r="X3004" s="30">
        <f t="shared" si="459"/>
        <v>0</v>
      </c>
      <c r="Y3004"/>
      <c r="Z3004"/>
      <c r="AA3004"/>
    </row>
    <row r="3005" spans="1:27" s="51" customFormat="1" ht="18.600000000000001" hidden="1" customHeight="1" x14ac:dyDescent="0.25">
      <c r="A3005" s="81" t="s">
        <v>2653</v>
      </c>
      <c r="B3005" s="31" t="s">
        <v>9355</v>
      </c>
      <c r="C3005" s="32" t="s">
        <v>9385</v>
      </c>
      <c r="D3005" s="31" t="s">
        <v>7638</v>
      </c>
      <c r="E3005" s="33" t="s">
        <v>7639</v>
      </c>
      <c r="F3005" s="33" t="s">
        <v>1937</v>
      </c>
      <c r="G3005" s="33" t="s">
        <v>7640</v>
      </c>
      <c r="H3005" s="84" t="s">
        <v>7641</v>
      </c>
      <c r="I3005" s="23" t="s">
        <v>24</v>
      </c>
      <c r="J3005" s="34">
        <v>1050</v>
      </c>
      <c r="K3005" s="35">
        <v>0.25</v>
      </c>
      <c r="L3005" s="36">
        <f t="shared" si="451"/>
        <v>262.5</v>
      </c>
      <c r="M3005" s="37">
        <f t="shared" si="452"/>
        <v>787.5</v>
      </c>
      <c r="N3005" s="38">
        <v>0.16</v>
      </c>
      <c r="O3005" s="39">
        <f t="shared" si="453"/>
        <v>126</v>
      </c>
      <c r="P3005" s="40">
        <f t="shared" si="454"/>
        <v>913.5</v>
      </c>
      <c r="Q3005" s="23"/>
      <c r="R3005" s="56"/>
      <c r="S3005" s="57"/>
      <c r="T3005" s="58">
        <f t="shared" si="455"/>
        <v>0</v>
      </c>
      <c r="U3005" s="36">
        <f t="shared" si="456"/>
        <v>0</v>
      </c>
      <c r="V3005" s="59">
        <f t="shared" si="457"/>
        <v>0</v>
      </c>
      <c r="W3005" s="39">
        <f t="shared" si="458"/>
        <v>0</v>
      </c>
      <c r="X3005" s="40">
        <f t="shared" si="459"/>
        <v>0</v>
      </c>
      <c r="Y3005"/>
      <c r="Z3005"/>
      <c r="AA3005"/>
    </row>
    <row r="3006" spans="1:27" s="51" customFormat="1" ht="18.600000000000001" hidden="1" customHeight="1" x14ac:dyDescent="0.25">
      <c r="A3006" s="82" t="s">
        <v>2653</v>
      </c>
      <c r="B3006" s="41" t="s">
        <v>9355</v>
      </c>
      <c r="C3006" s="42" t="s">
        <v>9385</v>
      </c>
      <c r="D3006" s="41" t="s">
        <v>7642</v>
      </c>
      <c r="E3006" s="43" t="s">
        <v>7643</v>
      </c>
      <c r="F3006" s="43" t="s">
        <v>1937</v>
      </c>
      <c r="G3006" s="43" t="s">
        <v>7644</v>
      </c>
      <c r="H3006" s="85" t="s">
        <v>7645</v>
      </c>
      <c r="I3006" s="23" t="s">
        <v>24</v>
      </c>
      <c r="J3006" s="44">
        <v>780</v>
      </c>
      <c r="K3006" s="45">
        <v>0.25</v>
      </c>
      <c r="L3006" s="46">
        <f t="shared" si="451"/>
        <v>195</v>
      </c>
      <c r="M3006" s="47">
        <f t="shared" si="452"/>
        <v>585</v>
      </c>
      <c r="N3006" s="48">
        <v>0.16</v>
      </c>
      <c r="O3006" s="49">
        <f t="shared" si="453"/>
        <v>93.600000000000009</v>
      </c>
      <c r="P3006" s="50">
        <f t="shared" si="454"/>
        <v>678.6</v>
      </c>
      <c r="Q3006" s="23"/>
      <c r="R3006" s="60"/>
      <c r="S3006" s="61"/>
      <c r="T3006" s="62">
        <f t="shared" si="455"/>
        <v>0</v>
      </c>
      <c r="U3006" s="46">
        <f t="shared" si="456"/>
        <v>0</v>
      </c>
      <c r="V3006" s="63">
        <f t="shared" si="457"/>
        <v>0</v>
      </c>
      <c r="W3006" s="49">
        <f t="shared" si="458"/>
        <v>0</v>
      </c>
      <c r="X3006" s="50">
        <f t="shared" si="459"/>
        <v>0</v>
      </c>
      <c r="Y3006"/>
      <c r="Z3006"/>
      <c r="AA3006"/>
    </row>
    <row r="3007" spans="1:27" s="51" customFormat="1" ht="18.600000000000001" hidden="1" customHeight="1" x14ac:dyDescent="0.25">
      <c r="A3007" s="80" t="s">
        <v>2653</v>
      </c>
      <c r="B3007" s="20" t="s">
        <v>9355</v>
      </c>
      <c r="C3007" s="21" t="s">
        <v>9385</v>
      </c>
      <c r="D3007" s="20" t="s">
        <v>7646</v>
      </c>
      <c r="E3007" s="22" t="s">
        <v>7647</v>
      </c>
      <c r="F3007" s="22" t="s">
        <v>1937</v>
      </c>
      <c r="G3007" s="22"/>
      <c r="H3007" s="83" t="s">
        <v>7648</v>
      </c>
      <c r="I3007" s="23" t="s">
        <v>24</v>
      </c>
      <c r="J3007" s="24">
        <v>190</v>
      </c>
      <c r="K3007" s="25">
        <v>0.25</v>
      </c>
      <c r="L3007" s="26">
        <f t="shared" si="451"/>
        <v>47.5</v>
      </c>
      <c r="M3007" s="27">
        <f t="shared" si="452"/>
        <v>142.5</v>
      </c>
      <c r="N3007" s="28">
        <v>0.16</v>
      </c>
      <c r="O3007" s="29">
        <f t="shared" si="453"/>
        <v>22.8</v>
      </c>
      <c r="P3007" s="30">
        <f t="shared" si="454"/>
        <v>165.3</v>
      </c>
      <c r="Q3007" s="23"/>
      <c r="R3007" s="52"/>
      <c r="S3007" s="53"/>
      <c r="T3007" s="54">
        <f t="shared" si="455"/>
        <v>0</v>
      </c>
      <c r="U3007" s="26">
        <f t="shared" si="456"/>
        <v>0</v>
      </c>
      <c r="V3007" s="55">
        <f t="shared" si="457"/>
        <v>0</v>
      </c>
      <c r="W3007" s="29">
        <f t="shared" si="458"/>
        <v>0</v>
      </c>
      <c r="X3007" s="30">
        <f t="shared" si="459"/>
        <v>0</v>
      </c>
      <c r="Y3007"/>
      <c r="Z3007"/>
      <c r="AA3007"/>
    </row>
    <row r="3008" spans="1:27" s="51" customFormat="1" ht="18.600000000000001" hidden="1" customHeight="1" x14ac:dyDescent="0.25">
      <c r="A3008" s="81" t="s">
        <v>2653</v>
      </c>
      <c r="B3008" s="31" t="s">
        <v>9355</v>
      </c>
      <c r="C3008" s="32" t="s">
        <v>9385</v>
      </c>
      <c r="D3008" s="31">
        <v>8435568330467</v>
      </c>
      <c r="E3008" s="33" t="s">
        <v>7649</v>
      </c>
      <c r="F3008" s="33" t="s">
        <v>1937</v>
      </c>
      <c r="G3008" s="33"/>
      <c r="H3008" s="84" t="s">
        <v>7650</v>
      </c>
      <c r="I3008" s="23" t="s">
        <v>24</v>
      </c>
      <c r="J3008" s="34">
        <v>810</v>
      </c>
      <c r="K3008" s="35">
        <v>0.25</v>
      </c>
      <c r="L3008" s="36">
        <f t="shared" si="451"/>
        <v>202.5</v>
      </c>
      <c r="M3008" s="37">
        <f t="shared" si="452"/>
        <v>607.5</v>
      </c>
      <c r="N3008" s="38">
        <v>0.16</v>
      </c>
      <c r="O3008" s="39">
        <f t="shared" si="453"/>
        <v>97.2</v>
      </c>
      <c r="P3008" s="40">
        <f t="shared" si="454"/>
        <v>704.7</v>
      </c>
      <c r="Q3008" s="23"/>
      <c r="R3008" s="56"/>
      <c r="S3008" s="57"/>
      <c r="T3008" s="58">
        <f t="shared" si="455"/>
        <v>0</v>
      </c>
      <c r="U3008" s="36">
        <f t="shared" si="456"/>
        <v>0</v>
      </c>
      <c r="V3008" s="59">
        <f t="shared" si="457"/>
        <v>0</v>
      </c>
      <c r="W3008" s="39">
        <f t="shared" si="458"/>
        <v>0</v>
      </c>
      <c r="X3008" s="40">
        <f t="shared" si="459"/>
        <v>0</v>
      </c>
      <c r="Y3008"/>
      <c r="Z3008"/>
      <c r="AA3008"/>
    </row>
    <row r="3009" spans="1:27" s="51" customFormat="1" ht="18.600000000000001" hidden="1" customHeight="1" x14ac:dyDescent="0.25">
      <c r="A3009" s="82" t="s">
        <v>2653</v>
      </c>
      <c r="B3009" s="41" t="s">
        <v>9355</v>
      </c>
      <c r="C3009" s="42" t="s">
        <v>9385</v>
      </c>
      <c r="D3009" s="41">
        <v>8435568330474</v>
      </c>
      <c r="E3009" s="43" t="s">
        <v>7651</v>
      </c>
      <c r="F3009" s="43" t="s">
        <v>1937</v>
      </c>
      <c r="G3009" s="43"/>
      <c r="H3009" s="85" t="s">
        <v>7652</v>
      </c>
      <c r="I3009" s="23" t="s">
        <v>24</v>
      </c>
      <c r="J3009" s="44">
        <v>810</v>
      </c>
      <c r="K3009" s="45">
        <v>0.25</v>
      </c>
      <c r="L3009" s="46">
        <f t="shared" si="451"/>
        <v>202.5</v>
      </c>
      <c r="M3009" s="47">
        <f t="shared" si="452"/>
        <v>607.5</v>
      </c>
      <c r="N3009" s="48">
        <v>0.16</v>
      </c>
      <c r="O3009" s="49">
        <f t="shared" si="453"/>
        <v>97.2</v>
      </c>
      <c r="P3009" s="50">
        <f t="shared" si="454"/>
        <v>704.7</v>
      </c>
      <c r="Q3009" s="23"/>
      <c r="R3009" s="60"/>
      <c r="S3009" s="61"/>
      <c r="T3009" s="62">
        <f t="shared" si="455"/>
        <v>0</v>
      </c>
      <c r="U3009" s="46">
        <f t="shared" si="456"/>
        <v>0</v>
      </c>
      <c r="V3009" s="63">
        <f t="shared" si="457"/>
        <v>0</v>
      </c>
      <c r="W3009" s="49">
        <f t="shared" si="458"/>
        <v>0</v>
      </c>
      <c r="X3009" s="50">
        <f t="shared" si="459"/>
        <v>0</v>
      </c>
      <c r="Y3009"/>
      <c r="Z3009"/>
      <c r="AA3009"/>
    </row>
    <row r="3010" spans="1:27" s="51" customFormat="1" ht="18.600000000000001" hidden="1" customHeight="1" x14ac:dyDescent="0.25">
      <c r="A3010" s="80" t="s">
        <v>2653</v>
      </c>
      <c r="B3010" s="20" t="s">
        <v>9355</v>
      </c>
      <c r="C3010" s="21" t="s">
        <v>9385</v>
      </c>
      <c r="D3010" s="20" t="s">
        <v>7653</v>
      </c>
      <c r="E3010" s="22" t="s">
        <v>7654</v>
      </c>
      <c r="F3010" s="22" t="s">
        <v>1937</v>
      </c>
      <c r="G3010" s="22"/>
      <c r="H3010" s="83" t="s">
        <v>7655</v>
      </c>
      <c r="I3010" s="23" t="s">
        <v>24</v>
      </c>
      <c r="J3010" s="24">
        <v>190</v>
      </c>
      <c r="K3010" s="25">
        <v>0.25</v>
      </c>
      <c r="L3010" s="26">
        <f t="shared" si="451"/>
        <v>47.5</v>
      </c>
      <c r="M3010" s="27">
        <f t="shared" si="452"/>
        <v>142.5</v>
      </c>
      <c r="N3010" s="28">
        <v>0.16</v>
      </c>
      <c r="O3010" s="29">
        <f t="shared" si="453"/>
        <v>22.8</v>
      </c>
      <c r="P3010" s="30">
        <f t="shared" si="454"/>
        <v>165.3</v>
      </c>
      <c r="Q3010" s="23"/>
      <c r="R3010" s="52"/>
      <c r="S3010" s="53"/>
      <c r="T3010" s="54">
        <f t="shared" si="455"/>
        <v>0</v>
      </c>
      <c r="U3010" s="26">
        <f t="shared" si="456"/>
        <v>0</v>
      </c>
      <c r="V3010" s="55">
        <f t="shared" si="457"/>
        <v>0</v>
      </c>
      <c r="W3010" s="29">
        <f t="shared" si="458"/>
        <v>0</v>
      </c>
      <c r="X3010" s="30">
        <f t="shared" si="459"/>
        <v>0</v>
      </c>
      <c r="Y3010"/>
      <c r="Z3010"/>
      <c r="AA3010"/>
    </row>
    <row r="3011" spans="1:27" s="51" customFormat="1" ht="18.600000000000001" hidden="1" customHeight="1" x14ac:dyDescent="0.25">
      <c r="A3011" s="81" t="s">
        <v>2653</v>
      </c>
      <c r="B3011" s="31" t="s">
        <v>9355</v>
      </c>
      <c r="C3011" s="32" t="s">
        <v>9385</v>
      </c>
      <c r="D3011" s="31" t="s">
        <v>7656</v>
      </c>
      <c r="E3011" s="33" t="s">
        <v>7657</v>
      </c>
      <c r="F3011" s="33" t="s">
        <v>1937</v>
      </c>
      <c r="G3011" s="33"/>
      <c r="H3011" s="84" t="s">
        <v>7658</v>
      </c>
      <c r="I3011" s="23" t="s">
        <v>24</v>
      </c>
      <c r="J3011" s="34">
        <v>190</v>
      </c>
      <c r="K3011" s="35">
        <v>0.25</v>
      </c>
      <c r="L3011" s="36">
        <f t="shared" si="451"/>
        <v>47.5</v>
      </c>
      <c r="M3011" s="37">
        <f t="shared" si="452"/>
        <v>142.5</v>
      </c>
      <c r="N3011" s="38">
        <v>0.16</v>
      </c>
      <c r="O3011" s="39">
        <f t="shared" si="453"/>
        <v>22.8</v>
      </c>
      <c r="P3011" s="40">
        <f t="shared" si="454"/>
        <v>165.3</v>
      </c>
      <c r="Q3011" s="23"/>
      <c r="R3011" s="56"/>
      <c r="S3011" s="57"/>
      <c r="T3011" s="58">
        <f t="shared" si="455"/>
        <v>0</v>
      </c>
      <c r="U3011" s="36">
        <f t="shared" si="456"/>
        <v>0</v>
      </c>
      <c r="V3011" s="59">
        <f t="shared" si="457"/>
        <v>0</v>
      </c>
      <c r="W3011" s="39">
        <f t="shared" si="458"/>
        <v>0</v>
      </c>
      <c r="X3011" s="40">
        <f t="shared" si="459"/>
        <v>0</v>
      </c>
      <c r="Y3011"/>
      <c r="Z3011"/>
      <c r="AA3011"/>
    </row>
    <row r="3012" spans="1:27" s="51" customFormat="1" ht="18.600000000000001" hidden="1" customHeight="1" x14ac:dyDescent="0.25">
      <c r="A3012" s="82" t="s">
        <v>2653</v>
      </c>
      <c r="B3012" s="41" t="s">
        <v>9355</v>
      </c>
      <c r="C3012" s="42" t="s">
        <v>9385</v>
      </c>
      <c r="D3012" s="41" t="s">
        <v>7659</v>
      </c>
      <c r="E3012" s="43" t="s">
        <v>7660</v>
      </c>
      <c r="F3012" s="43" t="s">
        <v>1937</v>
      </c>
      <c r="G3012" s="43"/>
      <c r="H3012" s="85" t="s">
        <v>7661</v>
      </c>
      <c r="I3012" s="23" t="s">
        <v>24</v>
      </c>
      <c r="J3012" s="44">
        <v>190</v>
      </c>
      <c r="K3012" s="45">
        <v>0.25</v>
      </c>
      <c r="L3012" s="46">
        <f t="shared" si="451"/>
        <v>47.5</v>
      </c>
      <c r="M3012" s="47">
        <f t="shared" si="452"/>
        <v>142.5</v>
      </c>
      <c r="N3012" s="48">
        <v>0.16</v>
      </c>
      <c r="O3012" s="49">
        <f t="shared" si="453"/>
        <v>22.8</v>
      </c>
      <c r="P3012" s="50">
        <f t="shared" si="454"/>
        <v>165.3</v>
      </c>
      <c r="Q3012" s="23"/>
      <c r="R3012" s="60"/>
      <c r="S3012" s="61"/>
      <c r="T3012" s="62">
        <f t="shared" si="455"/>
        <v>0</v>
      </c>
      <c r="U3012" s="46">
        <f t="shared" si="456"/>
        <v>0</v>
      </c>
      <c r="V3012" s="63">
        <f t="shared" si="457"/>
        <v>0</v>
      </c>
      <c r="W3012" s="49">
        <f t="shared" si="458"/>
        <v>0</v>
      </c>
      <c r="X3012" s="50">
        <f t="shared" si="459"/>
        <v>0</v>
      </c>
      <c r="Y3012"/>
      <c r="Z3012"/>
      <c r="AA3012"/>
    </row>
    <row r="3013" spans="1:27" s="51" customFormat="1" ht="18.600000000000001" hidden="1" customHeight="1" x14ac:dyDescent="0.25">
      <c r="A3013" s="80" t="s">
        <v>2653</v>
      </c>
      <c r="B3013" s="20" t="s">
        <v>9355</v>
      </c>
      <c r="C3013" s="21" t="s">
        <v>9386</v>
      </c>
      <c r="D3013" s="20" t="s">
        <v>7662</v>
      </c>
      <c r="E3013" s="22" t="s">
        <v>7663</v>
      </c>
      <c r="F3013" s="22" t="s">
        <v>1937</v>
      </c>
      <c r="G3013" s="22" t="s">
        <v>2655</v>
      </c>
      <c r="H3013" s="83" t="s">
        <v>7664</v>
      </c>
      <c r="I3013" s="23" t="s">
        <v>24</v>
      </c>
      <c r="J3013" s="24">
        <v>135</v>
      </c>
      <c r="K3013" s="25">
        <v>0.25</v>
      </c>
      <c r="L3013" s="26">
        <f t="shared" si="451"/>
        <v>33.75</v>
      </c>
      <c r="M3013" s="27">
        <f t="shared" si="452"/>
        <v>101.25</v>
      </c>
      <c r="N3013" s="28">
        <v>0.16</v>
      </c>
      <c r="O3013" s="29">
        <f t="shared" si="453"/>
        <v>16.2</v>
      </c>
      <c r="P3013" s="30">
        <f t="shared" si="454"/>
        <v>117.45</v>
      </c>
      <c r="Q3013" s="23"/>
      <c r="R3013" s="52"/>
      <c r="S3013" s="53"/>
      <c r="T3013" s="54">
        <f t="shared" si="455"/>
        <v>0</v>
      </c>
      <c r="U3013" s="26">
        <f t="shared" si="456"/>
        <v>0</v>
      </c>
      <c r="V3013" s="55">
        <f t="shared" si="457"/>
        <v>0</v>
      </c>
      <c r="W3013" s="29">
        <f t="shared" si="458"/>
        <v>0</v>
      </c>
      <c r="X3013" s="30">
        <f t="shared" si="459"/>
        <v>0</v>
      </c>
      <c r="Y3013"/>
      <c r="Z3013"/>
      <c r="AA3013"/>
    </row>
    <row r="3014" spans="1:27" s="51" customFormat="1" ht="18.600000000000001" hidden="1" customHeight="1" x14ac:dyDescent="0.25">
      <c r="A3014" s="81" t="s">
        <v>2653</v>
      </c>
      <c r="B3014" s="31" t="s">
        <v>9355</v>
      </c>
      <c r="C3014" s="32" t="s">
        <v>9386</v>
      </c>
      <c r="D3014" s="31" t="s">
        <v>7665</v>
      </c>
      <c r="E3014" s="33" t="s">
        <v>7666</v>
      </c>
      <c r="F3014" s="33" t="s">
        <v>1937</v>
      </c>
      <c r="G3014" s="33" t="s">
        <v>2655</v>
      </c>
      <c r="H3014" s="84" t="s">
        <v>7667</v>
      </c>
      <c r="I3014" s="23" t="s">
        <v>24</v>
      </c>
      <c r="J3014" s="34">
        <v>135</v>
      </c>
      <c r="K3014" s="35">
        <v>0.25</v>
      </c>
      <c r="L3014" s="36">
        <f t="shared" si="451"/>
        <v>33.75</v>
      </c>
      <c r="M3014" s="37">
        <f t="shared" si="452"/>
        <v>101.25</v>
      </c>
      <c r="N3014" s="38">
        <v>0.16</v>
      </c>
      <c r="O3014" s="39">
        <f t="shared" si="453"/>
        <v>16.2</v>
      </c>
      <c r="P3014" s="40">
        <f t="shared" si="454"/>
        <v>117.45</v>
      </c>
      <c r="Q3014" s="23"/>
      <c r="R3014" s="56"/>
      <c r="S3014" s="57"/>
      <c r="T3014" s="58">
        <f t="shared" si="455"/>
        <v>0</v>
      </c>
      <c r="U3014" s="36">
        <f t="shared" si="456"/>
        <v>0</v>
      </c>
      <c r="V3014" s="59">
        <f t="shared" si="457"/>
        <v>0</v>
      </c>
      <c r="W3014" s="39">
        <f t="shared" si="458"/>
        <v>0</v>
      </c>
      <c r="X3014" s="40">
        <f t="shared" si="459"/>
        <v>0</v>
      </c>
      <c r="Y3014"/>
      <c r="Z3014"/>
      <c r="AA3014"/>
    </row>
    <row r="3015" spans="1:27" s="51" customFormat="1" ht="18.600000000000001" hidden="1" customHeight="1" x14ac:dyDescent="0.25">
      <c r="A3015" s="82" t="s">
        <v>2653</v>
      </c>
      <c r="B3015" s="41" t="s">
        <v>9355</v>
      </c>
      <c r="C3015" s="42" t="s">
        <v>9386</v>
      </c>
      <c r="D3015" s="41" t="s">
        <v>7668</v>
      </c>
      <c r="E3015" s="43" t="s">
        <v>7669</v>
      </c>
      <c r="F3015" s="43" t="s">
        <v>1937</v>
      </c>
      <c r="G3015" s="43" t="s">
        <v>2655</v>
      </c>
      <c r="H3015" s="85" t="s">
        <v>7670</v>
      </c>
      <c r="I3015" s="23" t="s">
        <v>24</v>
      </c>
      <c r="J3015" s="44">
        <v>135</v>
      </c>
      <c r="K3015" s="45">
        <v>0.25</v>
      </c>
      <c r="L3015" s="46">
        <f t="shared" si="451"/>
        <v>33.75</v>
      </c>
      <c r="M3015" s="47">
        <f t="shared" si="452"/>
        <v>101.25</v>
      </c>
      <c r="N3015" s="48">
        <v>0.16</v>
      </c>
      <c r="O3015" s="49">
        <f t="shared" si="453"/>
        <v>16.2</v>
      </c>
      <c r="P3015" s="50">
        <f t="shared" si="454"/>
        <v>117.45</v>
      </c>
      <c r="Q3015" s="23"/>
      <c r="R3015" s="60"/>
      <c r="S3015" s="61"/>
      <c r="T3015" s="62">
        <f t="shared" si="455"/>
        <v>0</v>
      </c>
      <c r="U3015" s="46">
        <f t="shared" si="456"/>
        <v>0</v>
      </c>
      <c r="V3015" s="63">
        <f t="shared" si="457"/>
        <v>0</v>
      </c>
      <c r="W3015" s="49">
        <f t="shared" si="458"/>
        <v>0</v>
      </c>
      <c r="X3015" s="50">
        <f t="shared" si="459"/>
        <v>0</v>
      </c>
      <c r="Y3015"/>
      <c r="Z3015"/>
      <c r="AA3015"/>
    </row>
    <row r="3016" spans="1:27" s="51" customFormat="1" ht="18.600000000000001" hidden="1" customHeight="1" x14ac:dyDescent="0.25">
      <c r="A3016" s="80" t="s">
        <v>2653</v>
      </c>
      <c r="B3016" s="20" t="s">
        <v>9355</v>
      </c>
      <c r="C3016" s="21" t="s">
        <v>9386</v>
      </c>
      <c r="D3016" s="20" t="s">
        <v>7671</v>
      </c>
      <c r="E3016" s="22" t="s">
        <v>7672</v>
      </c>
      <c r="F3016" s="22" t="s">
        <v>1937</v>
      </c>
      <c r="G3016" s="22" t="s">
        <v>2655</v>
      </c>
      <c r="H3016" s="83" t="s">
        <v>7673</v>
      </c>
      <c r="I3016" s="23" t="s">
        <v>24</v>
      </c>
      <c r="J3016" s="24">
        <v>135</v>
      </c>
      <c r="K3016" s="25">
        <v>0.25</v>
      </c>
      <c r="L3016" s="26">
        <f t="shared" si="451"/>
        <v>33.75</v>
      </c>
      <c r="M3016" s="27">
        <f t="shared" si="452"/>
        <v>101.25</v>
      </c>
      <c r="N3016" s="28">
        <v>0.16</v>
      </c>
      <c r="O3016" s="29">
        <f t="shared" si="453"/>
        <v>16.2</v>
      </c>
      <c r="P3016" s="30">
        <f t="shared" si="454"/>
        <v>117.45</v>
      </c>
      <c r="Q3016" s="23"/>
      <c r="R3016" s="52"/>
      <c r="S3016" s="53"/>
      <c r="T3016" s="54">
        <f t="shared" si="455"/>
        <v>0</v>
      </c>
      <c r="U3016" s="26">
        <f t="shared" si="456"/>
        <v>0</v>
      </c>
      <c r="V3016" s="55">
        <f t="shared" si="457"/>
        <v>0</v>
      </c>
      <c r="W3016" s="29">
        <f t="shared" si="458"/>
        <v>0</v>
      </c>
      <c r="X3016" s="30">
        <f t="shared" si="459"/>
        <v>0</v>
      </c>
      <c r="Y3016"/>
      <c r="Z3016"/>
      <c r="AA3016"/>
    </row>
    <row r="3017" spans="1:27" s="51" customFormat="1" ht="18.600000000000001" hidden="1" customHeight="1" x14ac:dyDescent="0.25">
      <c r="A3017" s="81" t="s">
        <v>2653</v>
      </c>
      <c r="B3017" s="31" t="s">
        <v>9387</v>
      </c>
      <c r="C3017" s="32" t="s">
        <v>9388</v>
      </c>
      <c r="D3017" s="31" t="s">
        <v>7674</v>
      </c>
      <c r="E3017" s="33" t="s">
        <v>7675</v>
      </c>
      <c r="F3017" s="33" t="s">
        <v>1937</v>
      </c>
      <c r="G3017" s="33"/>
      <c r="H3017" s="84" t="s">
        <v>7676</v>
      </c>
      <c r="I3017" s="23" t="s">
        <v>24</v>
      </c>
      <c r="J3017" s="34">
        <v>200</v>
      </c>
      <c r="K3017" s="35">
        <v>0.25</v>
      </c>
      <c r="L3017" s="36">
        <f t="shared" si="451"/>
        <v>50</v>
      </c>
      <c r="M3017" s="37">
        <f t="shared" si="452"/>
        <v>150</v>
      </c>
      <c r="N3017" s="38">
        <v>0.16</v>
      </c>
      <c r="O3017" s="39">
        <f t="shared" si="453"/>
        <v>24</v>
      </c>
      <c r="P3017" s="40">
        <f t="shared" si="454"/>
        <v>174</v>
      </c>
      <c r="Q3017" s="23"/>
      <c r="R3017" s="56"/>
      <c r="S3017" s="57"/>
      <c r="T3017" s="58">
        <f t="shared" si="455"/>
        <v>0</v>
      </c>
      <c r="U3017" s="36">
        <f t="shared" si="456"/>
        <v>0</v>
      </c>
      <c r="V3017" s="59">
        <f t="shared" si="457"/>
        <v>0</v>
      </c>
      <c r="W3017" s="39">
        <f t="shared" si="458"/>
        <v>0</v>
      </c>
      <c r="X3017" s="40">
        <f t="shared" si="459"/>
        <v>0</v>
      </c>
      <c r="Y3017"/>
      <c r="Z3017"/>
      <c r="AA3017"/>
    </row>
    <row r="3018" spans="1:27" s="51" customFormat="1" ht="18.600000000000001" hidden="1" customHeight="1" x14ac:dyDescent="0.25">
      <c r="A3018" s="82" t="s">
        <v>2653</v>
      </c>
      <c r="B3018" s="41" t="s">
        <v>9387</v>
      </c>
      <c r="C3018" s="42" t="s">
        <v>9388</v>
      </c>
      <c r="D3018" s="41" t="s">
        <v>7677</v>
      </c>
      <c r="E3018" s="43" t="s">
        <v>7678</v>
      </c>
      <c r="F3018" s="43" t="s">
        <v>1937</v>
      </c>
      <c r="G3018" s="43"/>
      <c r="H3018" s="85" t="s">
        <v>7679</v>
      </c>
      <c r="I3018" s="23" t="s">
        <v>24</v>
      </c>
      <c r="J3018" s="44">
        <v>200</v>
      </c>
      <c r="K3018" s="45">
        <v>0.25</v>
      </c>
      <c r="L3018" s="46">
        <f t="shared" si="451"/>
        <v>50</v>
      </c>
      <c r="M3018" s="47">
        <f t="shared" si="452"/>
        <v>150</v>
      </c>
      <c r="N3018" s="48">
        <v>0.16</v>
      </c>
      <c r="O3018" s="49">
        <f t="shared" si="453"/>
        <v>24</v>
      </c>
      <c r="P3018" s="50">
        <f t="shared" si="454"/>
        <v>174</v>
      </c>
      <c r="Q3018" s="23"/>
      <c r="R3018" s="60"/>
      <c r="S3018" s="61"/>
      <c r="T3018" s="62">
        <f t="shared" si="455"/>
        <v>0</v>
      </c>
      <c r="U3018" s="46">
        <f t="shared" si="456"/>
        <v>0</v>
      </c>
      <c r="V3018" s="63">
        <f t="shared" si="457"/>
        <v>0</v>
      </c>
      <c r="W3018" s="49">
        <f t="shared" si="458"/>
        <v>0</v>
      </c>
      <c r="X3018" s="50">
        <f t="shared" si="459"/>
        <v>0</v>
      </c>
      <c r="Y3018"/>
      <c r="Z3018"/>
      <c r="AA3018"/>
    </row>
    <row r="3019" spans="1:27" s="51" customFormat="1" ht="18.600000000000001" hidden="1" customHeight="1" x14ac:dyDescent="0.25">
      <c r="A3019" s="80" t="s">
        <v>2653</v>
      </c>
      <c r="B3019" s="20" t="s">
        <v>9387</v>
      </c>
      <c r="C3019" s="21" t="s">
        <v>9388</v>
      </c>
      <c r="D3019" s="20" t="s">
        <v>7680</v>
      </c>
      <c r="E3019" s="22" t="s">
        <v>7681</v>
      </c>
      <c r="F3019" s="22" t="s">
        <v>1937</v>
      </c>
      <c r="G3019" s="22"/>
      <c r="H3019" s="83" t="s">
        <v>7682</v>
      </c>
      <c r="I3019" s="23" t="s">
        <v>24</v>
      </c>
      <c r="J3019" s="24">
        <v>200</v>
      </c>
      <c r="K3019" s="25">
        <v>0.25</v>
      </c>
      <c r="L3019" s="26">
        <f t="shared" si="451"/>
        <v>50</v>
      </c>
      <c r="M3019" s="27">
        <f t="shared" si="452"/>
        <v>150</v>
      </c>
      <c r="N3019" s="28">
        <v>0.16</v>
      </c>
      <c r="O3019" s="29">
        <f t="shared" si="453"/>
        <v>24</v>
      </c>
      <c r="P3019" s="30">
        <f t="shared" si="454"/>
        <v>174</v>
      </c>
      <c r="Q3019" s="23"/>
      <c r="R3019" s="52"/>
      <c r="S3019" s="53"/>
      <c r="T3019" s="54">
        <f t="shared" si="455"/>
        <v>0</v>
      </c>
      <c r="U3019" s="26">
        <f t="shared" si="456"/>
        <v>0</v>
      </c>
      <c r="V3019" s="55">
        <f t="shared" si="457"/>
        <v>0</v>
      </c>
      <c r="W3019" s="29">
        <f t="shared" si="458"/>
        <v>0</v>
      </c>
      <c r="X3019" s="30">
        <f t="shared" si="459"/>
        <v>0</v>
      </c>
      <c r="Y3019"/>
      <c r="Z3019"/>
      <c r="AA3019"/>
    </row>
    <row r="3020" spans="1:27" s="51" customFormat="1" ht="18.600000000000001" hidden="1" customHeight="1" x14ac:dyDescent="0.25">
      <c r="A3020" s="81" t="s">
        <v>2653</v>
      </c>
      <c r="B3020" s="31" t="s">
        <v>9387</v>
      </c>
      <c r="C3020" s="32" t="s">
        <v>9388</v>
      </c>
      <c r="D3020" s="31" t="s">
        <v>7683</v>
      </c>
      <c r="E3020" s="33" t="s">
        <v>7684</v>
      </c>
      <c r="F3020" s="33" t="s">
        <v>1937</v>
      </c>
      <c r="G3020" s="33"/>
      <c r="H3020" s="84" t="s">
        <v>7685</v>
      </c>
      <c r="I3020" s="23" t="s">
        <v>24</v>
      </c>
      <c r="J3020" s="34">
        <v>200</v>
      </c>
      <c r="K3020" s="35">
        <v>0.25</v>
      </c>
      <c r="L3020" s="36">
        <f t="shared" si="451"/>
        <v>50</v>
      </c>
      <c r="M3020" s="37">
        <f t="shared" si="452"/>
        <v>150</v>
      </c>
      <c r="N3020" s="38">
        <v>0.16</v>
      </c>
      <c r="O3020" s="39">
        <f t="shared" si="453"/>
        <v>24</v>
      </c>
      <c r="P3020" s="40">
        <f t="shared" si="454"/>
        <v>174</v>
      </c>
      <c r="Q3020" s="23"/>
      <c r="R3020" s="56"/>
      <c r="S3020" s="57"/>
      <c r="T3020" s="58">
        <f t="shared" si="455"/>
        <v>0</v>
      </c>
      <c r="U3020" s="36">
        <f t="shared" si="456"/>
        <v>0</v>
      </c>
      <c r="V3020" s="59">
        <f t="shared" si="457"/>
        <v>0</v>
      </c>
      <c r="W3020" s="39">
        <f t="shared" si="458"/>
        <v>0</v>
      </c>
      <c r="X3020" s="40">
        <f t="shared" si="459"/>
        <v>0</v>
      </c>
      <c r="Y3020"/>
      <c r="Z3020"/>
      <c r="AA3020"/>
    </row>
    <row r="3021" spans="1:27" s="51" customFormat="1" ht="18.600000000000001" hidden="1" customHeight="1" x14ac:dyDescent="0.25">
      <c r="A3021" s="82" t="s">
        <v>2653</v>
      </c>
      <c r="B3021" s="41" t="s">
        <v>9387</v>
      </c>
      <c r="C3021" s="42" t="s">
        <v>9388</v>
      </c>
      <c r="D3021" s="41" t="s">
        <v>7686</v>
      </c>
      <c r="E3021" s="43" t="s">
        <v>7687</v>
      </c>
      <c r="F3021" s="43" t="s">
        <v>1937</v>
      </c>
      <c r="G3021" s="43"/>
      <c r="H3021" s="85" t="s">
        <v>7688</v>
      </c>
      <c r="I3021" s="23" t="s">
        <v>24</v>
      </c>
      <c r="J3021" s="44">
        <v>200</v>
      </c>
      <c r="K3021" s="45">
        <v>0.25</v>
      </c>
      <c r="L3021" s="46">
        <f t="shared" si="451"/>
        <v>50</v>
      </c>
      <c r="M3021" s="47">
        <f t="shared" si="452"/>
        <v>150</v>
      </c>
      <c r="N3021" s="48">
        <v>0.16</v>
      </c>
      <c r="O3021" s="49">
        <f t="shared" si="453"/>
        <v>24</v>
      </c>
      <c r="P3021" s="50">
        <f t="shared" si="454"/>
        <v>174</v>
      </c>
      <c r="Q3021" s="23"/>
      <c r="R3021" s="60"/>
      <c r="S3021" s="61"/>
      <c r="T3021" s="62">
        <f t="shared" si="455"/>
        <v>0</v>
      </c>
      <c r="U3021" s="46">
        <f t="shared" si="456"/>
        <v>0</v>
      </c>
      <c r="V3021" s="63">
        <f t="shared" si="457"/>
        <v>0</v>
      </c>
      <c r="W3021" s="49">
        <f t="shared" si="458"/>
        <v>0</v>
      </c>
      <c r="X3021" s="50">
        <f t="shared" si="459"/>
        <v>0</v>
      </c>
      <c r="Y3021"/>
      <c r="Z3021"/>
      <c r="AA3021"/>
    </row>
    <row r="3022" spans="1:27" s="51" customFormat="1" ht="18.600000000000001" hidden="1" customHeight="1" x14ac:dyDescent="0.25">
      <c r="A3022" s="80" t="s">
        <v>2653</v>
      </c>
      <c r="B3022" s="20" t="s">
        <v>9387</v>
      </c>
      <c r="C3022" s="21" t="s">
        <v>9388</v>
      </c>
      <c r="D3022" s="20" t="s">
        <v>7689</v>
      </c>
      <c r="E3022" s="22" t="s">
        <v>7690</v>
      </c>
      <c r="F3022" s="22" t="s">
        <v>1937</v>
      </c>
      <c r="G3022" s="22"/>
      <c r="H3022" s="83" t="s">
        <v>7691</v>
      </c>
      <c r="I3022" s="23" t="s">
        <v>24</v>
      </c>
      <c r="J3022" s="24">
        <v>200</v>
      </c>
      <c r="K3022" s="25">
        <v>0.25</v>
      </c>
      <c r="L3022" s="26">
        <f t="shared" si="451"/>
        <v>50</v>
      </c>
      <c r="M3022" s="27">
        <f t="shared" si="452"/>
        <v>150</v>
      </c>
      <c r="N3022" s="28">
        <v>0.16</v>
      </c>
      <c r="O3022" s="29">
        <f t="shared" si="453"/>
        <v>24</v>
      </c>
      <c r="P3022" s="30">
        <f t="shared" si="454"/>
        <v>174</v>
      </c>
      <c r="Q3022" s="23"/>
      <c r="R3022" s="52"/>
      <c r="S3022" s="53"/>
      <c r="T3022" s="54">
        <f t="shared" si="455"/>
        <v>0</v>
      </c>
      <c r="U3022" s="26">
        <f t="shared" si="456"/>
        <v>0</v>
      </c>
      <c r="V3022" s="55">
        <f t="shared" si="457"/>
        <v>0</v>
      </c>
      <c r="W3022" s="29">
        <f t="shared" si="458"/>
        <v>0</v>
      </c>
      <c r="X3022" s="30">
        <f t="shared" si="459"/>
        <v>0</v>
      </c>
      <c r="Y3022"/>
      <c r="Z3022"/>
      <c r="AA3022"/>
    </row>
    <row r="3023" spans="1:27" s="51" customFormat="1" ht="18.600000000000001" hidden="1" customHeight="1" x14ac:dyDescent="0.25">
      <c r="A3023" s="81" t="s">
        <v>2653</v>
      </c>
      <c r="B3023" s="31" t="s">
        <v>9387</v>
      </c>
      <c r="C3023" s="32" t="s">
        <v>9388</v>
      </c>
      <c r="D3023" s="31" t="s">
        <v>7692</v>
      </c>
      <c r="E3023" s="33" t="s">
        <v>7693</v>
      </c>
      <c r="F3023" s="33" t="s">
        <v>1937</v>
      </c>
      <c r="G3023" s="33"/>
      <c r="H3023" s="84" t="s">
        <v>7694</v>
      </c>
      <c r="I3023" s="23" t="s">
        <v>24</v>
      </c>
      <c r="J3023" s="34">
        <v>200</v>
      </c>
      <c r="K3023" s="35">
        <v>0.25</v>
      </c>
      <c r="L3023" s="36">
        <f t="shared" si="451"/>
        <v>50</v>
      </c>
      <c r="M3023" s="37">
        <f t="shared" si="452"/>
        <v>150</v>
      </c>
      <c r="N3023" s="38">
        <v>0.16</v>
      </c>
      <c r="O3023" s="39">
        <f t="shared" si="453"/>
        <v>24</v>
      </c>
      <c r="P3023" s="40">
        <f t="shared" si="454"/>
        <v>174</v>
      </c>
      <c r="Q3023" s="23"/>
      <c r="R3023" s="56"/>
      <c r="S3023" s="57"/>
      <c r="T3023" s="58">
        <f t="shared" si="455"/>
        <v>0</v>
      </c>
      <c r="U3023" s="36">
        <f t="shared" si="456"/>
        <v>0</v>
      </c>
      <c r="V3023" s="59">
        <f t="shared" si="457"/>
        <v>0</v>
      </c>
      <c r="W3023" s="39">
        <f t="shared" si="458"/>
        <v>0</v>
      </c>
      <c r="X3023" s="40">
        <f t="shared" si="459"/>
        <v>0</v>
      </c>
      <c r="Y3023"/>
      <c r="Z3023"/>
      <c r="AA3023"/>
    </row>
    <row r="3024" spans="1:27" s="51" customFormat="1" ht="18.600000000000001" hidden="1" customHeight="1" x14ac:dyDescent="0.25">
      <c r="A3024" s="82" t="s">
        <v>2653</v>
      </c>
      <c r="B3024" s="41" t="s">
        <v>9387</v>
      </c>
      <c r="C3024" s="42" t="s">
        <v>9388</v>
      </c>
      <c r="D3024" s="41" t="s">
        <v>7695</v>
      </c>
      <c r="E3024" s="43" t="s">
        <v>7696</v>
      </c>
      <c r="F3024" s="43" t="s">
        <v>1937</v>
      </c>
      <c r="G3024" s="43"/>
      <c r="H3024" s="85" t="s">
        <v>7697</v>
      </c>
      <c r="I3024" s="23" t="s">
        <v>24</v>
      </c>
      <c r="J3024" s="44">
        <v>200</v>
      </c>
      <c r="K3024" s="45">
        <v>0.25</v>
      </c>
      <c r="L3024" s="46">
        <f t="shared" si="451"/>
        <v>50</v>
      </c>
      <c r="M3024" s="47">
        <f t="shared" si="452"/>
        <v>150</v>
      </c>
      <c r="N3024" s="48">
        <v>0.16</v>
      </c>
      <c r="O3024" s="49">
        <f t="shared" si="453"/>
        <v>24</v>
      </c>
      <c r="P3024" s="50">
        <f t="shared" si="454"/>
        <v>174</v>
      </c>
      <c r="Q3024" s="23"/>
      <c r="R3024" s="60"/>
      <c r="S3024" s="61"/>
      <c r="T3024" s="62">
        <f t="shared" si="455"/>
        <v>0</v>
      </c>
      <c r="U3024" s="46">
        <f t="shared" si="456"/>
        <v>0</v>
      </c>
      <c r="V3024" s="63">
        <f t="shared" si="457"/>
        <v>0</v>
      </c>
      <c r="W3024" s="49">
        <f t="shared" si="458"/>
        <v>0</v>
      </c>
      <c r="X3024" s="50">
        <f t="shared" si="459"/>
        <v>0</v>
      </c>
      <c r="Y3024"/>
      <c r="Z3024"/>
      <c r="AA3024"/>
    </row>
    <row r="3025" spans="1:27" s="51" customFormat="1" ht="18.600000000000001" hidden="1" customHeight="1" x14ac:dyDescent="0.25">
      <c r="A3025" s="80" t="s">
        <v>2653</v>
      </c>
      <c r="B3025" s="20" t="s">
        <v>9387</v>
      </c>
      <c r="C3025" s="21" t="s">
        <v>9388</v>
      </c>
      <c r="D3025" s="20" t="s">
        <v>7698</v>
      </c>
      <c r="E3025" s="22" t="s">
        <v>7699</v>
      </c>
      <c r="F3025" s="22" t="s">
        <v>1937</v>
      </c>
      <c r="G3025" s="22"/>
      <c r="H3025" s="83" t="s">
        <v>7700</v>
      </c>
      <c r="I3025" s="23" t="s">
        <v>24</v>
      </c>
      <c r="J3025" s="24">
        <v>200</v>
      </c>
      <c r="K3025" s="25">
        <v>0.25</v>
      </c>
      <c r="L3025" s="26">
        <f t="shared" si="451"/>
        <v>50</v>
      </c>
      <c r="M3025" s="27">
        <f t="shared" si="452"/>
        <v>150</v>
      </c>
      <c r="N3025" s="28">
        <v>0.16</v>
      </c>
      <c r="O3025" s="29">
        <f t="shared" si="453"/>
        <v>24</v>
      </c>
      <c r="P3025" s="30">
        <f t="shared" si="454"/>
        <v>174</v>
      </c>
      <c r="Q3025" s="23"/>
      <c r="R3025" s="52"/>
      <c r="S3025" s="53"/>
      <c r="T3025" s="54">
        <f t="shared" si="455"/>
        <v>0</v>
      </c>
      <c r="U3025" s="26">
        <f t="shared" si="456"/>
        <v>0</v>
      </c>
      <c r="V3025" s="55">
        <f t="shared" si="457"/>
        <v>0</v>
      </c>
      <c r="W3025" s="29">
        <f t="shared" si="458"/>
        <v>0</v>
      </c>
      <c r="X3025" s="30">
        <f t="shared" si="459"/>
        <v>0</v>
      </c>
      <c r="Y3025"/>
      <c r="Z3025"/>
      <c r="AA3025"/>
    </row>
    <row r="3026" spans="1:27" s="51" customFormat="1" ht="18.600000000000001" hidden="1" customHeight="1" x14ac:dyDescent="0.25">
      <c r="A3026" s="81" t="s">
        <v>2653</v>
      </c>
      <c r="B3026" s="31" t="s">
        <v>9387</v>
      </c>
      <c r="C3026" s="32" t="s">
        <v>9388</v>
      </c>
      <c r="D3026" s="31" t="s">
        <v>7701</v>
      </c>
      <c r="E3026" s="33" t="s">
        <v>7702</v>
      </c>
      <c r="F3026" s="33" t="s">
        <v>1937</v>
      </c>
      <c r="G3026" s="33"/>
      <c r="H3026" s="84" t="s">
        <v>7703</v>
      </c>
      <c r="I3026" s="23" t="s">
        <v>24</v>
      </c>
      <c r="J3026" s="34">
        <v>200</v>
      </c>
      <c r="K3026" s="35">
        <v>0.25</v>
      </c>
      <c r="L3026" s="36">
        <f t="shared" si="451"/>
        <v>50</v>
      </c>
      <c r="M3026" s="37">
        <f t="shared" si="452"/>
        <v>150</v>
      </c>
      <c r="N3026" s="38">
        <v>0.16</v>
      </c>
      <c r="O3026" s="39">
        <f t="shared" si="453"/>
        <v>24</v>
      </c>
      <c r="P3026" s="40">
        <f t="shared" si="454"/>
        <v>174</v>
      </c>
      <c r="Q3026" s="23"/>
      <c r="R3026" s="56"/>
      <c r="S3026" s="57"/>
      <c r="T3026" s="58">
        <f t="shared" si="455"/>
        <v>0</v>
      </c>
      <c r="U3026" s="36">
        <f t="shared" si="456"/>
        <v>0</v>
      </c>
      <c r="V3026" s="59">
        <f t="shared" si="457"/>
        <v>0</v>
      </c>
      <c r="W3026" s="39">
        <f t="shared" si="458"/>
        <v>0</v>
      </c>
      <c r="X3026" s="40">
        <f t="shared" si="459"/>
        <v>0</v>
      </c>
      <c r="Y3026"/>
      <c r="Z3026"/>
      <c r="AA3026"/>
    </row>
    <row r="3027" spans="1:27" s="51" customFormat="1" ht="18.600000000000001" hidden="1" customHeight="1" x14ac:dyDescent="0.25">
      <c r="A3027" s="82" t="s">
        <v>2653</v>
      </c>
      <c r="B3027" s="41" t="s">
        <v>9387</v>
      </c>
      <c r="C3027" s="42" t="s">
        <v>9388</v>
      </c>
      <c r="D3027" s="41" t="s">
        <v>7704</v>
      </c>
      <c r="E3027" s="43" t="s">
        <v>7705</v>
      </c>
      <c r="F3027" s="43" t="s">
        <v>1937</v>
      </c>
      <c r="G3027" s="43"/>
      <c r="H3027" s="85" t="s">
        <v>7706</v>
      </c>
      <c r="I3027" s="23" t="s">
        <v>24</v>
      </c>
      <c r="J3027" s="44">
        <v>195</v>
      </c>
      <c r="K3027" s="45">
        <v>0.25</v>
      </c>
      <c r="L3027" s="46">
        <f t="shared" si="451"/>
        <v>48.75</v>
      </c>
      <c r="M3027" s="47">
        <f t="shared" si="452"/>
        <v>146.25</v>
      </c>
      <c r="N3027" s="48">
        <v>0.16</v>
      </c>
      <c r="O3027" s="49">
        <f t="shared" si="453"/>
        <v>23.400000000000002</v>
      </c>
      <c r="P3027" s="50">
        <f t="shared" si="454"/>
        <v>169.65</v>
      </c>
      <c r="Q3027" s="23"/>
      <c r="R3027" s="60"/>
      <c r="S3027" s="61"/>
      <c r="T3027" s="62">
        <f t="shared" si="455"/>
        <v>0</v>
      </c>
      <c r="U3027" s="46">
        <f t="shared" si="456"/>
        <v>0</v>
      </c>
      <c r="V3027" s="63">
        <f t="shared" si="457"/>
        <v>0</v>
      </c>
      <c r="W3027" s="49">
        <f t="shared" si="458"/>
        <v>0</v>
      </c>
      <c r="X3027" s="50">
        <f t="shared" si="459"/>
        <v>0</v>
      </c>
      <c r="Y3027"/>
      <c r="Z3027"/>
      <c r="AA3027"/>
    </row>
    <row r="3028" spans="1:27" s="51" customFormat="1" ht="18.600000000000001" hidden="1" customHeight="1" x14ac:dyDescent="0.25">
      <c r="A3028" s="80" t="s">
        <v>2653</v>
      </c>
      <c r="B3028" s="20" t="s">
        <v>9387</v>
      </c>
      <c r="C3028" s="21" t="s">
        <v>9388</v>
      </c>
      <c r="D3028" s="20" t="s">
        <v>7707</v>
      </c>
      <c r="E3028" s="22" t="s">
        <v>7708</v>
      </c>
      <c r="F3028" s="22" t="s">
        <v>1937</v>
      </c>
      <c r="G3028" s="22"/>
      <c r="H3028" s="83" t="s">
        <v>7709</v>
      </c>
      <c r="I3028" s="23" t="s">
        <v>24</v>
      </c>
      <c r="J3028" s="24">
        <v>195</v>
      </c>
      <c r="K3028" s="25">
        <v>0.25</v>
      </c>
      <c r="L3028" s="26">
        <f t="shared" si="451"/>
        <v>48.75</v>
      </c>
      <c r="M3028" s="27">
        <f t="shared" si="452"/>
        <v>146.25</v>
      </c>
      <c r="N3028" s="28">
        <v>0.16</v>
      </c>
      <c r="O3028" s="29">
        <f t="shared" si="453"/>
        <v>23.400000000000002</v>
      </c>
      <c r="P3028" s="30">
        <f t="shared" si="454"/>
        <v>169.65</v>
      </c>
      <c r="Q3028" s="23"/>
      <c r="R3028" s="52"/>
      <c r="S3028" s="53"/>
      <c r="T3028" s="54">
        <f t="shared" si="455"/>
        <v>0</v>
      </c>
      <c r="U3028" s="26">
        <f t="shared" si="456"/>
        <v>0</v>
      </c>
      <c r="V3028" s="55">
        <f t="shared" si="457"/>
        <v>0</v>
      </c>
      <c r="W3028" s="29">
        <f t="shared" si="458"/>
        <v>0</v>
      </c>
      <c r="X3028" s="30">
        <f t="shared" si="459"/>
        <v>0</v>
      </c>
      <c r="Y3028"/>
      <c r="Z3028"/>
      <c r="AA3028"/>
    </row>
    <row r="3029" spans="1:27" s="51" customFormat="1" ht="18.600000000000001" hidden="1" customHeight="1" x14ac:dyDescent="0.25">
      <c r="A3029" s="81" t="s">
        <v>2653</v>
      </c>
      <c r="B3029" s="31" t="s">
        <v>9387</v>
      </c>
      <c r="C3029" s="32" t="s">
        <v>9389</v>
      </c>
      <c r="D3029" s="31" t="s">
        <v>7710</v>
      </c>
      <c r="E3029" s="33" t="s">
        <v>7711</v>
      </c>
      <c r="F3029" s="33" t="s">
        <v>1937</v>
      </c>
      <c r="G3029" s="33"/>
      <c r="H3029" s="84" t="s">
        <v>7712</v>
      </c>
      <c r="I3029" s="23" t="s">
        <v>24</v>
      </c>
      <c r="J3029" s="34">
        <v>280</v>
      </c>
      <c r="K3029" s="35">
        <v>0.25</v>
      </c>
      <c r="L3029" s="36">
        <f t="shared" si="451"/>
        <v>70</v>
      </c>
      <c r="M3029" s="37">
        <f t="shared" si="452"/>
        <v>210</v>
      </c>
      <c r="N3029" s="38">
        <v>0.16</v>
      </c>
      <c r="O3029" s="39">
        <f t="shared" si="453"/>
        <v>33.6</v>
      </c>
      <c r="P3029" s="40">
        <f t="shared" si="454"/>
        <v>243.6</v>
      </c>
      <c r="Q3029" s="23"/>
      <c r="R3029" s="56"/>
      <c r="S3029" s="57"/>
      <c r="T3029" s="58">
        <f t="shared" si="455"/>
        <v>0</v>
      </c>
      <c r="U3029" s="36">
        <f t="shared" si="456"/>
        <v>0</v>
      </c>
      <c r="V3029" s="59">
        <f t="shared" si="457"/>
        <v>0</v>
      </c>
      <c r="W3029" s="39">
        <f t="shared" si="458"/>
        <v>0</v>
      </c>
      <c r="X3029" s="40">
        <f t="shared" si="459"/>
        <v>0</v>
      </c>
      <c r="Y3029"/>
      <c r="Z3029"/>
      <c r="AA3029"/>
    </row>
    <row r="3030" spans="1:27" s="51" customFormat="1" ht="18.600000000000001" hidden="1" customHeight="1" x14ac:dyDescent="0.25">
      <c r="A3030" s="82" t="s">
        <v>2653</v>
      </c>
      <c r="B3030" s="41" t="s">
        <v>9387</v>
      </c>
      <c r="C3030" s="42" t="s">
        <v>9389</v>
      </c>
      <c r="D3030" s="41" t="s">
        <v>7713</v>
      </c>
      <c r="E3030" s="43" t="s">
        <v>7714</v>
      </c>
      <c r="F3030" s="43" t="s">
        <v>1937</v>
      </c>
      <c r="G3030" s="43"/>
      <c r="H3030" s="85" t="s">
        <v>7715</v>
      </c>
      <c r="I3030" s="23" t="s">
        <v>24</v>
      </c>
      <c r="J3030" s="44">
        <v>280</v>
      </c>
      <c r="K3030" s="45">
        <v>0.25</v>
      </c>
      <c r="L3030" s="46">
        <f t="shared" si="451"/>
        <v>70</v>
      </c>
      <c r="M3030" s="47">
        <f t="shared" si="452"/>
        <v>210</v>
      </c>
      <c r="N3030" s="48">
        <v>0.16</v>
      </c>
      <c r="O3030" s="49">
        <f t="shared" si="453"/>
        <v>33.6</v>
      </c>
      <c r="P3030" s="50">
        <f t="shared" si="454"/>
        <v>243.6</v>
      </c>
      <c r="Q3030" s="23"/>
      <c r="R3030" s="60"/>
      <c r="S3030" s="61"/>
      <c r="T3030" s="62">
        <f t="shared" si="455"/>
        <v>0</v>
      </c>
      <c r="U3030" s="46">
        <f t="shared" si="456"/>
        <v>0</v>
      </c>
      <c r="V3030" s="63">
        <f t="shared" si="457"/>
        <v>0</v>
      </c>
      <c r="W3030" s="49">
        <f t="shared" si="458"/>
        <v>0</v>
      </c>
      <c r="X3030" s="50">
        <f t="shared" si="459"/>
        <v>0</v>
      </c>
      <c r="Y3030"/>
      <c r="Z3030"/>
      <c r="AA3030"/>
    </row>
    <row r="3031" spans="1:27" s="51" customFormat="1" ht="18.600000000000001" hidden="1" customHeight="1" x14ac:dyDescent="0.25">
      <c r="A3031" s="80" t="s">
        <v>2653</v>
      </c>
      <c r="B3031" s="20" t="s">
        <v>9387</v>
      </c>
      <c r="C3031" s="21" t="s">
        <v>9389</v>
      </c>
      <c r="D3031" s="20" t="s">
        <v>7716</v>
      </c>
      <c r="E3031" s="22" t="s">
        <v>7717</v>
      </c>
      <c r="F3031" s="22" t="s">
        <v>1937</v>
      </c>
      <c r="G3031" s="22"/>
      <c r="H3031" s="83" t="s">
        <v>7718</v>
      </c>
      <c r="I3031" s="23" t="s">
        <v>24</v>
      </c>
      <c r="J3031" s="24">
        <v>280</v>
      </c>
      <c r="K3031" s="25">
        <v>0.25</v>
      </c>
      <c r="L3031" s="26">
        <f t="shared" si="451"/>
        <v>70</v>
      </c>
      <c r="M3031" s="27">
        <f t="shared" si="452"/>
        <v>210</v>
      </c>
      <c r="N3031" s="28">
        <v>0.16</v>
      </c>
      <c r="O3031" s="29">
        <f t="shared" si="453"/>
        <v>33.6</v>
      </c>
      <c r="P3031" s="30">
        <f t="shared" si="454"/>
        <v>243.6</v>
      </c>
      <c r="Q3031" s="23"/>
      <c r="R3031" s="52"/>
      <c r="S3031" s="53"/>
      <c r="T3031" s="54">
        <f t="shared" si="455"/>
        <v>0</v>
      </c>
      <c r="U3031" s="26">
        <f t="shared" si="456"/>
        <v>0</v>
      </c>
      <c r="V3031" s="55">
        <f t="shared" si="457"/>
        <v>0</v>
      </c>
      <c r="W3031" s="29">
        <f t="shared" si="458"/>
        <v>0</v>
      </c>
      <c r="X3031" s="30">
        <f t="shared" si="459"/>
        <v>0</v>
      </c>
      <c r="Y3031"/>
      <c r="Z3031"/>
      <c r="AA3031"/>
    </row>
    <row r="3032" spans="1:27" s="51" customFormat="1" ht="18.600000000000001" hidden="1" customHeight="1" x14ac:dyDescent="0.25">
      <c r="A3032" s="81" t="s">
        <v>2653</v>
      </c>
      <c r="B3032" s="31" t="s">
        <v>9387</v>
      </c>
      <c r="C3032" s="32" t="s">
        <v>9389</v>
      </c>
      <c r="D3032" s="31" t="s">
        <v>7719</v>
      </c>
      <c r="E3032" s="33" t="s">
        <v>7720</v>
      </c>
      <c r="F3032" s="33" t="s">
        <v>1937</v>
      </c>
      <c r="G3032" s="33"/>
      <c r="H3032" s="84" t="s">
        <v>7721</v>
      </c>
      <c r="I3032" s="23" t="s">
        <v>24</v>
      </c>
      <c r="J3032" s="34">
        <v>280</v>
      </c>
      <c r="K3032" s="35">
        <v>0.25</v>
      </c>
      <c r="L3032" s="36">
        <f t="shared" si="451"/>
        <v>70</v>
      </c>
      <c r="M3032" s="37">
        <f t="shared" si="452"/>
        <v>210</v>
      </c>
      <c r="N3032" s="38">
        <v>0.16</v>
      </c>
      <c r="O3032" s="39">
        <f t="shared" si="453"/>
        <v>33.6</v>
      </c>
      <c r="P3032" s="40">
        <f t="shared" si="454"/>
        <v>243.6</v>
      </c>
      <c r="Q3032" s="23"/>
      <c r="R3032" s="56"/>
      <c r="S3032" s="57"/>
      <c r="T3032" s="58">
        <f t="shared" si="455"/>
        <v>0</v>
      </c>
      <c r="U3032" s="36">
        <f t="shared" si="456"/>
        <v>0</v>
      </c>
      <c r="V3032" s="59">
        <f t="shared" si="457"/>
        <v>0</v>
      </c>
      <c r="W3032" s="39">
        <f t="shared" si="458"/>
        <v>0</v>
      </c>
      <c r="X3032" s="40">
        <f t="shared" si="459"/>
        <v>0</v>
      </c>
      <c r="Y3032"/>
      <c r="Z3032"/>
      <c r="AA3032"/>
    </row>
    <row r="3033" spans="1:27" s="51" customFormat="1" ht="18.600000000000001" hidden="1" customHeight="1" x14ac:dyDescent="0.25">
      <c r="A3033" s="82" t="s">
        <v>2653</v>
      </c>
      <c r="B3033" s="41" t="s">
        <v>9387</v>
      </c>
      <c r="C3033" s="42" t="s">
        <v>9389</v>
      </c>
      <c r="D3033" s="41" t="s">
        <v>7722</v>
      </c>
      <c r="E3033" s="43" t="s">
        <v>7723</v>
      </c>
      <c r="F3033" s="43" t="s">
        <v>1937</v>
      </c>
      <c r="G3033" s="43"/>
      <c r="H3033" s="85" t="s">
        <v>7724</v>
      </c>
      <c r="I3033" s="23" t="s">
        <v>24</v>
      </c>
      <c r="J3033" s="44">
        <v>280</v>
      </c>
      <c r="K3033" s="45">
        <v>0.25</v>
      </c>
      <c r="L3033" s="46">
        <f t="shared" si="451"/>
        <v>70</v>
      </c>
      <c r="M3033" s="47">
        <f t="shared" si="452"/>
        <v>210</v>
      </c>
      <c r="N3033" s="48">
        <v>0.16</v>
      </c>
      <c r="O3033" s="49">
        <f t="shared" si="453"/>
        <v>33.6</v>
      </c>
      <c r="P3033" s="50">
        <f t="shared" si="454"/>
        <v>243.6</v>
      </c>
      <c r="Q3033" s="23"/>
      <c r="R3033" s="60"/>
      <c r="S3033" s="61"/>
      <c r="T3033" s="62">
        <f t="shared" si="455"/>
        <v>0</v>
      </c>
      <c r="U3033" s="46">
        <f t="shared" si="456"/>
        <v>0</v>
      </c>
      <c r="V3033" s="63">
        <f t="shared" si="457"/>
        <v>0</v>
      </c>
      <c r="W3033" s="49">
        <f t="shared" si="458"/>
        <v>0</v>
      </c>
      <c r="X3033" s="50">
        <f t="shared" si="459"/>
        <v>0</v>
      </c>
      <c r="Y3033"/>
      <c r="Z3033"/>
      <c r="AA3033"/>
    </row>
    <row r="3034" spans="1:27" s="51" customFormat="1" ht="18.600000000000001" hidden="1" customHeight="1" x14ac:dyDescent="0.25">
      <c r="A3034" s="80" t="s">
        <v>2653</v>
      </c>
      <c r="B3034" s="20" t="s">
        <v>9387</v>
      </c>
      <c r="C3034" s="21" t="s">
        <v>9390</v>
      </c>
      <c r="D3034" s="20" t="s">
        <v>7725</v>
      </c>
      <c r="E3034" s="22" t="s">
        <v>7726</v>
      </c>
      <c r="F3034" s="22" t="s">
        <v>1937</v>
      </c>
      <c r="G3034" s="22"/>
      <c r="H3034" s="83" t="s">
        <v>7727</v>
      </c>
      <c r="I3034" s="23" t="s">
        <v>24</v>
      </c>
      <c r="J3034" s="24">
        <v>210</v>
      </c>
      <c r="K3034" s="25">
        <v>0.25</v>
      </c>
      <c r="L3034" s="26">
        <f t="shared" si="451"/>
        <v>52.5</v>
      </c>
      <c r="M3034" s="27">
        <f t="shared" si="452"/>
        <v>157.5</v>
      </c>
      <c r="N3034" s="28">
        <v>0.16</v>
      </c>
      <c r="O3034" s="29">
        <f t="shared" si="453"/>
        <v>25.2</v>
      </c>
      <c r="P3034" s="30">
        <f t="shared" si="454"/>
        <v>182.7</v>
      </c>
      <c r="Q3034" s="23"/>
      <c r="R3034" s="52"/>
      <c r="S3034" s="53"/>
      <c r="T3034" s="54">
        <f t="shared" si="455"/>
        <v>0</v>
      </c>
      <c r="U3034" s="26">
        <f t="shared" si="456"/>
        <v>0</v>
      </c>
      <c r="V3034" s="55">
        <f t="shared" si="457"/>
        <v>0</v>
      </c>
      <c r="W3034" s="29">
        <f t="shared" si="458"/>
        <v>0</v>
      </c>
      <c r="X3034" s="30">
        <f t="shared" si="459"/>
        <v>0</v>
      </c>
      <c r="Y3034"/>
      <c r="Z3034"/>
      <c r="AA3034"/>
    </row>
    <row r="3035" spans="1:27" s="51" customFormat="1" ht="18.600000000000001" hidden="1" customHeight="1" x14ac:dyDescent="0.25">
      <c r="A3035" s="81" t="s">
        <v>2653</v>
      </c>
      <c r="B3035" s="31" t="s">
        <v>9387</v>
      </c>
      <c r="C3035" s="32" t="s">
        <v>9390</v>
      </c>
      <c r="D3035" s="31" t="s">
        <v>7728</v>
      </c>
      <c r="E3035" s="33" t="s">
        <v>7729</v>
      </c>
      <c r="F3035" s="33" t="s">
        <v>1937</v>
      </c>
      <c r="G3035" s="33"/>
      <c r="H3035" s="84" t="s">
        <v>7730</v>
      </c>
      <c r="I3035" s="23" t="s">
        <v>24</v>
      </c>
      <c r="J3035" s="34">
        <v>245</v>
      </c>
      <c r="K3035" s="35">
        <v>0.25</v>
      </c>
      <c r="L3035" s="36">
        <f t="shared" si="451"/>
        <v>61.25</v>
      </c>
      <c r="M3035" s="37">
        <f t="shared" si="452"/>
        <v>183.75</v>
      </c>
      <c r="N3035" s="38">
        <v>0.16</v>
      </c>
      <c r="O3035" s="39">
        <f t="shared" si="453"/>
        <v>29.400000000000002</v>
      </c>
      <c r="P3035" s="40">
        <f t="shared" si="454"/>
        <v>213.15</v>
      </c>
      <c r="Q3035" s="23"/>
      <c r="R3035" s="56"/>
      <c r="S3035" s="57"/>
      <c r="T3035" s="58">
        <f t="shared" si="455"/>
        <v>0</v>
      </c>
      <c r="U3035" s="36">
        <f t="shared" si="456"/>
        <v>0</v>
      </c>
      <c r="V3035" s="59">
        <f t="shared" si="457"/>
        <v>0</v>
      </c>
      <c r="W3035" s="39">
        <f t="shared" si="458"/>
        <v>0</v>
      </c>
      <c r="X3035" s="40">
        <f t="shared" si="459"/>
        <v>0</v>
      </c>
      <c r="Y3035"/>
      <c r="Z3035"/>
      <c r="AA3035"/>
    </row>
    <row r="3036" spans="1:27" s="51" customFormat="1" ht="18.600000000000001" hidden="1" customHeight="1" x14ac:dyDescent="0.25">
      <c r="A3036" s="82" t="s">
        <v>2653</v>
      </c>
      <c r="B3036" s="41" t="s">
        <v>9387</v>
      </c>
      <c r="C3036" s="42" t="s">
        <v>9390</v>
      </c>
      <c r="D3036" s="41" t="s">
        <v>7731</v>
      </c>
      <c r="E3036" s="43" t="s">
        <v>7732</v>
      </c>
      <c r="F3036" s="43" t="s">
        <v>1937</v>
      </c>
      <c r="G3036" s="43"/>
      <c r="H3036" s="85" t="s">
        <v>7733</v>
      </c>
      <c r="I3036" s="23" t="s">
        <v>24</v>
      </c>
      <c r="J3036" s="44">
        <v>210</v>
      </c>
      <c r="K3036" s="45">
        <v>0.25</v>
      </c>
      <c r="L3036" s="46">
        <f t="shared" si="451"/>
        <v>52.5</v>
      </c>
      <c r="M3036" s="47">
        <f t="shared" si="452"/>
        <v>157.5</v>
      </c>
      <c r="N3036" s="48">
        <v>0.16</v>
      </c>
      <c r="O3036" s="49">
        <f t="shared" si="453"/>
        <v>25.2</v>
      </c>
      <c r="P3036" s="50">
        <f t="shared" si="454"/>
        <v>182.7</v>
      </c>
      <c r="Q3036" s="23"/>
      <c r="R3036" s="60"/>
      <c r="S3036" s="61"/>
      <c r="T3036" s="62">
        <f t="shared" si="455"/>
        <v>0</v>
      </c>
      <c r="U3036" s="46">
        <f t="shared" si="456"/>
        <v>0</v>
      </c>
      <c r="V3036" s="63">
        <f t="shared" si="457"/>
        <v>0</v>
      </c>
      <c r="W3036" s="49">
        <f t="shared" si="458"/>
        <v>0</v>
      </c>
      <c r="X3036" s="50">
        <f t="shared" si="459"/>
        <v>0</v>
      </c>
      <c r="Y3036"/>
      <c r="Z3036"/>
      <c r="AA3036"/>
    </row>
    <row r="3037" spans="1:27" s="51" customFormat="1" ht="18.600000000000001" hidden="1" customHeight="1" x14ac:dyDescent="0.25">
      <c r="A3037" s="80" t="s">
        <v>2653</v>
      </c>
      <c r="B3037" s="20" t="s">
        <v>9387</v>
      </c>
      <c r="C3037" s="21" t="s">
        <v>9390</v>
      </c>
      <c r="D3037" s="20" t="s">
        <v>7734</v>
      </c>
      <c r="E3037" s="22" t="s">
        <v>7735</v>
      </c>
      <c r="F3037" s="22" t="s">
        <v>1937</v>
      </c>
      <c r="G3037" s="22"/>
      <c r="H3037" s="83" t="s">
        <v>7736</v>
      </c>
      <c r="I3037" s="23" t="s">
        <v>24</v>
      </c>
      <c r="J3037" s="24">
        <v>245</v>
      </c>
      <c r="K3037" s="25">
        <v>0.25</v>
      </c>
      <c r="L3037" s="26">
        <f t="shared" si="451"/>
        <v>61.25</v>
      </c>
      <c r="M3037" s="27">
        <f t="shared" si="452"/>
        <v>183.75</v>
      </c>
      <c r="N3037" s="28">
        <v>0.16</v>
      </c>
      <c r="O3037" s="29">
        <f t="shared" si="453"/>
        <v>29.400000000000002</v>
      </c>
      <c r="P3037" s="30">
        <f t="shared" si="454"/>
        <v>213.15</v>
      </c>
      <c r="Q3037" s="23"/>
      <c r="R3037" s="52"/>
      <c r="S3037" s="53"/>
      <c r="T3037" s="54">
        <f t="shared" si="455"/>
        <v>0</v>
      </c>
      <c r="U3037" s="26">
        <f t="shared" si="456"/>
        <v>0</v>
      </c>
      <c r="V3037" s="55">
        <f t="shared" si="457"/>
        <v>0</v>
      </c>
      <c r="W3037" s="29">
        <f t="shared" si="458"/>
        <v>0</v>
      </c>
      <c r="X3037" s="30">
        <f t="shared" si="459"/>
        <v>0</v>
      </c>
      <c r="Y3037"/>
      <c r="Z3037"/>
      <c r="AA3037"/>
    </row>
    <row r="3038" spans="1:27" s="51" customFormat="1" ht="18.600000000000001" hidden="1" customHeight="1" x14ac:dyDescent="0.25">
      <c r="A3038" s="81" t="s">
        <v>2653</v>
      </c>
      <c r="B3038" s="31" t="s">
        <v>9387</v>
      </c>
      <c r="C3038" s="32" t="s">
        <v>9390</v>
      </c>
      <c r="D3038" s="31" t="s">
        <v>7737</v>
      </c>
      <c r="E3038" s="33" t="s">
        <v>7738</v>
      </c>
      <c r="F3038" s="33" t="s">
        <v>1937</v>
      </c>
      <c r="G3038" s="33"/>
      <c r="H3038" s="84" t="s">
        <v>7739</v>
      </c>
      <c r="I3038" s="23" t="s">
        <v>24</v>
      </c>
      <c r="J3038" s="34">
        <v>245</v>
      </c>
      <c r="K3038" s="35">
        <v>0.25</v>
      </c>
      <c r="L3038" s="36">
        <f t="shared" si="451"/>
        <v>61.25</v>
      </c>
      <c r="M3038" s="37">
        <f t="shared" si="452"/>
        <v>183.75</v>
      </c>
      <c r="N3038" s="38">
        <v>0.16</v>
      </c>
      <c r="O3038" s="39">
        <f t="shared" si="453"/>
        <v>29.400000000000002</v>
      </c>
      <c r="P3038" s="40">
        <f t="shared" si="454"/>
        <v>213.15</v>
      </c>
      <c r="Q3038" s="23"/>
      <c r="R3038" s="56"/>
      <c r="S3038" s="57"/>
      <c r="T3038" s="58">
        <f t="shared" si="455"/>
        <v>0</v>
      </c>
      <c r="U3038" s="36">
        <f t="shared" si="456"/>
        <v>0</v>
      </c>
      <c r="V3038" s="59">
        <f t="shared" si="457"/>
        <v>0</v>
      </c>
      <c r="W3038" s="39">
        <f t="shared" si="458"/>
        <v>0</v>
      </c>
      <c r="X3038" s="40">
        <f t="shared" si="459"/>
        <v>0</v>
      </c>
      <c r="Y3038"/>
      <c r="Z3038"/>
      <c r="AA3038"/>
    </row>
    <row r="3039" spans="1:27" s="51" customFormat="1" ht="18.600000000000001" hidden="1" customHeight="1" x14ac:dyDescent="0.25">
      <c r="A3039" s="82" t="s">
        <v>2653</v>
      </c>
      <c r="B3039" s="41" t="s">
        <v>9387</v>
      </c>
      <c r="C3039" s="42" t="s">
        <v>9390</v>
      </c>
      <c r="D3039" s="41" t="s">
        <v>7740</v>
      </c>
      <c r="E3039" s="43" t="s">
        <v>7741</v>
      </c>
      <c r="F3039" s="43" t="s">
        <v>1937</v>
      </c>
      <c r="G3039" s="43"/>
      <c r="H3039" s="85" t="s">
        <v>7742</v>
      </c>
      <c r="I3039" s="23" t="s">
        <v>24</v>
      </c>
      <c r="J3039" s="44">
        <v>245</v>
      </c>
      <c r="K3039" s="45">
        <v>0.25</v>
      </c>
      <c r="L3039" s="46">
        <f t="shared" si="451"/>
        <v>61.25</v>
      </c>
      <c r="M3039" s="47">
        <f t="shared" si="452"/>
        <v>183.75</v>
      </c>
      <c r="N3039" s="48">
        <v>0.16</v>
      </c>
      <c r="O3039" s="49">
        <f t="shared" si="453"/>
        <v>29.400000000000002</v>
      </c>
      <c r="P3039" s="50">
        <f t="shared" si="454"/>
        <v>213.15</v>
      </c>
      <c r="Q3039" s="23"/>
      <c r="R3039" s="60"/>
      <c r="S3039" s="61"/>
      <c r="T3039" s="62">
        <f t="shared" si="455"/>
        <v>0</v>
      </c>
      <c r="U3039" s="46">
        <f t="shared" si="456"/>
        <v>0</v>
      </c>
      <c r="V3039" s="63">
        <f t="shared" si="457"/>
        <v>0</v>
      </c>
      <c r="W3039" s="49">
        <f t="shared" si="458"/>
        <v>0</v>
      </c>
      <c r="X3039" s="50">
        <f t="shared" si="459"/>
        <v>0</v>
      </c>
      <c r="Y3039"/>
      <c r="Z3039"/>
      <c r="AA3039"/>
    </row>
    <row r="3040" spans="1:27" s="51" customFormat="1" ht="18.600000000000001" hidden="1" customHeight="1" x14ac:dyDescent="0.25">
      <c r="A3040" s="80" t="s">
        <v>2653</v>
      </c>
      <c r="B3040" s="20" t="s">
        <v>9387</v>
      </c>
      <c r="C3040" s="21" t="s">
        <v>9391</v>
      </c>
      <c r="D3040" s="20" t="s">
        <v>7743</v>
      </c>
      <c r="E3040" s="22" t="s">
        <v>7744</v>
      </c>
      <c r="F3040" s="22" t="s">
        <v>1937</v>
      </c>
      <c r="G3040" s="22"/>
      <c r="H3040" s="83" t="s">
        <v>7745</v>
      </c>
      <c r="I3040" s="23" t="s">
        <v>24</v>
      </c>
      <c r="J3040" s="24">
        <v>350</v>
      </c>
      <c r="K3040" s="25">
        <v>0.25</v>
      </c>
      <c r="L3040" s="26">
        <f t="shared" si="451"/>
        <v>87.5</v>
      </c>
      <c r="M3040" s="27">
        <f t="shared" si="452"/>
        <v>262.5</v>
      </c>
      <c r="N3040" s="28">
        <v>0.16</v>
      </c>
      <c r="O3040" s="29">
        <f t="shared" si="453"/>
        <v>42</v>
      </c>
      <c r="P3040" s="30">
        <f t="shared" si="454"/>
        <v>304.5</v>
      </c>
      <c r="Q3040" s="23"/>
      <c r="R3040" s="52"/>
      <c r="S3040" s="53"/>
      <c r="T3040" s="54">
        <f t="shared" si="455"/>
        <v>0</v>
      </c>
      <c r="U3040" s="26">
        <f t="shared" si="456"/>
        <v>0</v>
      </c>
      <c r="V3040" s="55">
        <f t="shared" si="457"/>
        <v>0</v>
      </c>
      <c r="W3040" s="29">
        <f t="shared" si="458"/>
        <v>0</v>
      </c>
      <c r="X3040" s="30">
        <f t="shared" si="459"/>
        <v>0</v>
      </c>
      <c r="Y3040"/>
      <c r="Z3040"/>
      <c r="AA3040"/>
    </row>
    <row r="3041" spans="1:27" s="51" customFormat="1" ht="18.600000000000001" hidden="1" customHeight="1" x14ac:dyDescent="0.25">
      <c r="A3041" s="81" t="s">
        <v>2653</v>
      </c>
      <c r="B3041" s="31" t="s">
        <v>9387</v>
      </c>
      <c r="C3041" s="32" t="s">
        <v>9391</v>
      </c>
      <c r="D3041" s="31" t="s">
        <v>7746</v>
      </c>
      <c r="E3041" s="33" t="s">
        <v>7747</v>
      </c>
      <c r="F3041" s="33" t="s">
        <v>1937</v>
      </c>
      <c r="G3041" s="33"/>
      <c r="H3041" s="84" t="s">
        <v>7748</v>
      </c>
      <c r="I3041" s="23" t="s">
        <v>24</v>
      </c>
      <c r="J3041" s="34">
        <v>350</v>
      </c>
      <c r="K3041" s="35">
        <v>0.25</v>
      </c>
      <c r="L3041" s="36">
        <f t="shared" si="451"/>
        <v>87.5</v>
      </c>
      <c r="M3041" s="37">
        <f t="shared" si="452"/>
        <v>262.5</v>
      </c>
      <c r="N3041" s="38">
        <v>0.16</v>
      </c>
      <c r="O3041" s="39">
        <f t="shared" si="453"/>
        <v>42</v>
      </c>
      <c r="P3041" s="40">
        <f t="shared" si="454"/>
        <v>304.5</v>
      </c>
      <c r="Q3041" s="23"/>
      <c r="R3041" s="56"/>
      <c r="S3041" s="57"/>
      <c r="T3041" s="58">
        <f t="shared" si="455"/>
        <v>0</v>
      </c>
      <c r="U3041" s="36">
        <f t="shared" si="456"/>
        <v>0</v>
      </c>
      <c r="V3041" s="59">
        <f t="shared" si="457"/>
        <v>0</v>
      </c>
      <c r="W3041" s="39">
        <f t="shared" si="458"/>
        <v>0</v>
      </c>
      <c r="X3041" s="40">
        <f t="shared" si="459"/>
        <v>0</v>
      </c>
      <c r="Y3041"/>
      <c r="Z3041"/>
      <c r="AA3041"/>
    </row>
    <row r="3042" spans="1:27" s="51" customFormat="1" ht="18.600000000000001" hidden="1" customHeight="1" x14ac:dyDescent="0.25">
      <c r="A3042" s="82" t="s">
        <v>2653</v>
      </c>
      <c r="B3042" s="41" t="s">
        <v>9387</v>
      </c>
      <c r="C3042" s="42" t="s">
        <v>9391</v>
      </c>
      <c r="D3042" s="41" t="s">
        <v>7749</v>
      </c>
      <c r="E3042" s="43" t="s">
        <v>7750</v>
      </c>
      <c r="F3042" s="43" t="s">
        <v>1937</v>
      </c>
      <c r="G3042" s="43"/>
      <c r="H3042" s="85" t="s">
        <v>7751</v>
      </c>
      <c r="I3042" s="23" t="s">
        <v>24</v>
      </c>
      <c r="J3042" s="44">
        <v>350</v>
      </c>
      <c r="K3042" s="45">
        <v>0.25</v>
      </c>
      <c r="L3042" s="46">
        <f t="shared" si="451"/>
        <v>87.5</v>
      </c>
      <c r="M3042" s="47">
        <f t="shared" si="452"/>
        <v>262.5</v>
      </c>
      <c r="N3042" s="48">
        <v>0.16</v>
      </c>
      <c r="O3042" s="49">
        <f t="shared" si="453"/>
        <v>42</v>
      </c>
      <c r="P3042" s="50">
        <f t="shared" si="454"/>
        <v>304.5</v>
      </c>
      <c r="Q3042" s="23"/>
      <c r="R3042" s="60"/>
      <c r="S3042" s="61"/>
      <c r="T3042" s="62">
        <f t="shared" si="455"/>
        <v>0</v>
      </c>
      <c r="U3042" s="46">
        <f t="shared" si="456"/>
        <v>0</v>
      </c>
      <c r="V3042" s="63">
        <f t="shared" si="457"/>
        <v>0</v>
      </c>
      <c r="W3042" s="49">
        <f t="shared" si="458"/>
        <v>0</v>
      </c>
      <c r="X3042" s="50">
        <f t="shared" si="459"/>
        <v>0</v>
      </c>
      <c r="Y3042"/>
      <c r="Z3042"/>
      <c r="AA3042"/>
    </row>
    <row r="3043" spans="1:27" s="51" customFormat="1" ht="18.600000000000001" hidden="1" customHeight="1" x14ac:dyDescent="0.25">
      <c r="A3043" s="80" t="s">
        <v>2653</v>
      </c>
      <c r="B3043" s="20" t="s">
        <v>9387</v>
      </c>
      <c r="C3043" s="21" t="s">
        <v>9391</v>
      </c>
      <c r="D3043" s="20" t="s">
        <v>7752</v>
      </c>
      <c r="E3043" s="22" t="s">
        <v>7753</v>
      </c>
      <c r="F3043" s="22" t="s">
        <v>1937</v>
      </c>
      <c r="G3043" s="22"/>
      <c r="H3043" s="83" t="s">
        <v>7754</v>
      </c>
      <c r="I3043" s="23" t="s">
        <v>24</v>
      </c>
      <c r="J3043" s="24">
        <v>350</v>
      </c>
      <c r="K3043" s="25">
        <v>0.25</v>
      </c>
      <c r="L3043" s="26">
        <f t="shared" si="451"/>
        <v>87.5</v>
      </c>
      <c r="M3043" s="27">
        <f t="shared" si="452"/>
        <v>262.5</v>
      </c>
      <c r="N3043" s="28">
        <v>0.16</v>
      </c>
      <c r="O3043" s="29">
        <f t="shared" si="453"/>
        <v>42</v>
      </c>
      <c r="P3043" s="30">
        <f t="shared" si="454"/>
        <v>304.5</v>
      </c>
      <c r="Q3043" s="23"/>
      <c r="R3043" s="52"/>
      <c r="S3043" s="53"/>
      <c r="T3043" s="54">
        <f t="shared" si="455"/>
        <v>0</v>
      </c>
      <c r="U3043" s="26">
        <f t="shared" si="456"/>
        <v>0</v>
      </c>
      <c r="V3043" s="55">
        <f t="shared" si="457"/>
        <v>0</v>
      </c>
      <c r="W3043" s="29">
        <f t="shared" si="458"/>
        <v>0</v>
      </c>
      <c r="X3043" s="30">
        <f t="shared" si="459"/>
        <v>0</v>
      </c>
      <c r="Y3043"/>
      <c r="Z3043"/>
      <c r="AA3043"/>
    </row>
    <row r="3044" spans="1:27" s="51" customFormat="1" ht="18.600000000000001" hidden="1" customHeight="1" x14ac:dyDescent="0.25">
      <c r="A3044" s="81" t="s">
        <v>2653</v>
      </c>
      <c r="B3044" s="31" t="s">
        <v>9387</v>
      </c>
      <c r="C3044" s="32" t="s">
        <v>9391</v>
      </c>
      <c r="D3044" s="31" t="s">
        <v>7755</v>
      </c>
      <c r="E3044" s="33" t="s">
        <v>7756</v>
      </c>
      <c r="F3044" s="33" t="s">
        <v>1937</v>
      </c>
      <c r="G3044" s="33"/>
      <c r="H3044" s="84" t="s">
        <v>7757</v>
      </c>
      <c r="I3044" s="23" t="s">
        <v>24</v>
      </c>
      <c r="J3044" s="34">
        <v>350</v>
      </c>
      <c r="K3044" s="35">
        <v>0.25</v>
      </c>
      <c r="L3044" s="36">
        <f t="shared" si="451"/>
        <v>87.5</v>
      </c>
      <c r="M3044" s="37">
        <f t="shared" si="452"/>
        <v>262.5</v>
      </c>
      <c r="N3044" s="38">
        <v>0.16</v>
      </c>
      <c r="O3044" s="39">
        <f t="shared" si="453"/>
        <v>42</v>
      </c>
      <c r="P3044" s="40">
        <f t="shared" si="454"/>
        <v>304.5</v>
      </c>
      <c r="Q3044" s="23"/>
      <c r="R3044" s="56"/>
      <c r="S3044" s="57"/>
      <c r="T3044" s="58">
        <f t="shared" si="455"/>
        <v>0</v>
      </c>
      <c r="U3044" s="36">
        <f t="shared" si="456"/>
        <v>0</v>
      </c>
      <c r="V3044" s="59">
        <f t="shared" si="457"/>
        <v>0</v>
      </c>
      <c r="W3044" s="39">
        <f t="shared" si="458"/>
        <v>0</v>
      </c>
      <c r="X3044" s="40">
        <f t="shared" si="459"/>
        <v>0</v>
      </c>
      <c r="Y3044"/>
      <c r="Z3044"/>
      <c r="AA3044"/>
    </row>
    <row r="3045" spans="1:27" s="51" customFormat="1" ht="18.600000000000001" hidden="1" customHeight="1" x14ac:dyDescent="0.25">
      <c r="A3045" s="82" t="s">
        <v>2653</v>
      </c>
      <c r="B3045" s="41" t="s">
        <v>9387</v>
      </c>
      <c r="C3045" s="42" t="s">
        <v>9391</v>
      </c>
      <c r="D3045" s="41" t="s">
        <v>7758</v>
      </c>
      <c r="E3045" s="43" t="s">
        <v>7759</v>
      </c>
      <c r="F3045" s="43" t="s">
        <v>1937</v>
      </c>
      <c r="G3045" s="43"/>
      <c r="H3045" s="85" t="s">
        <v>7760</v>
      </c>
      <c r="I3045" s="23" t="s">
        <v>24</v>
      </c>
      <c r="J3045" s="44">
        <v>350</v>
      </c>
      <c r="K3045" s="45">
        <v>0.25</v>
      </c>
      <c r="L3045" s="46">
        <f t="shared" si="451"/>
        <v>87.5</v>
      </c>
      <c r="M3045" s="47">
        <f t="shared" si="452"/>
        <v>262.5</v>
      </c>
      <c r="N3045" s="48">
        <v>0.16</v>
      </c>
      <c r="O3045" s="49">
        <f t="shared" si="453"/>
        <v>42</v>
      </c>
      <c r="P3045" s="50">
        <f t="shared" si="454"/>
        <v>304.5</v>
      </c>
      <c r="Q3045" s="23"/>
      <c r="R3045" s="60"/>
      <c r="S3045" s="61"/>
      <c r="T3045" s="62">
        <f t="shared" si="455"/>
        <v>0</v>
      </c>
      <c r="U3045" s="46">
        <f t="shared" si="456"/>
        <v>0</v>
      </c>
      <c r="V3045" s="63">
        <f t="shared" si="457"/>
        <v>0</v>
      </c>
      <c r="W3045" s="49">
        <f t="shared" si="458"/>
        <v>0</v>
      </c>
      <c r="X3045" s="50">
        <f t="shared" si="459"/>
        <v>0</v>
      </c>
      <c r="Y3045"/>
      <c r="Z3045"/>
      <c r="AA3045"/>
    </row>
    <row r="3046" spans="1:27" s="51" customFormat="1" ht="18.600000000000001" hidden="1" customHeight="1" x14ac:dyDescent="0.25">
      <c r="A3046" s="80" t="s">
        <v>2653</v>
      </c>
      <c r="B3046" s="20" t="s">
        <v>9387</v>
      </c>
      <c r="C3046" s="21" t="s">
        <v>9391</v>
      </c>
      <c r="D3046" s="20" t="s">
        <v>7761</v>
      </c>
      <c r="E3046" s="22" t="s">
        <v>7762</v>
      </c>
      <c r="F3046" s="22" t="s">
        <v>1937</v>
      </c>
      <c r="G3046" s="22"/>
      <c r="H3046" s="83" t="s">
        <v>7763</v>
      </c>
      <c r="I3046" s="23" t="s">
        <v>24</v>
      </c>
      <c r="J3046" s="24">
        <v>350</v>
      </c>
      <c r="K3046" s="25">
        <v>0.25</v>
      </c>
      <c r="L3046" s="26">
        <f t="shared" ref="L3046:L3109" si="460">+J3046*K3046</f>
        <v>87.5</v>
      </c>
      <c r="M3046" s="27">
        <f t="shared" ref="M3046:M3109" si="461">+J3046-L3046</f>
        <v>262.5</v>
      </c>
      <c r="N3046" s="28">
        <v>0.16</v>
      </c>
      <c r="O3046" s="29">
        <f t="shared" ref="O3046:O3109" si="462">+M3046*N3046</f>
        <v>42</v>
      </c>
      <c r="P3046" s="30">
        <f t="shared" ref="P3046:P3109" si="463">+M3046+O3046</f>
        <v>304.5</v>
      </c>
      <c r="Q3046" s="23"/>
      <c r="R3046" s="52"/>
      <c r="S3046" s="53"/>
      <c r="T3046" s="54">
        <f t="shared" ref="T3046:T3109" si="464">+S3046*J3046</f>
        <v>0</v>
      </c>
      <c r="U3046" s="26">
        <f t="shared" ref="U3046:U3109" si="465">+T3046*K3046</f>
        <v>0</v>
      </c>
      <c r="V3046" s="55">
        <f t="shared" ref="V3046:V3109" si="466">+T3046-U3046</f>
        <v>0</v>
      </c>
      <c r="W3046" s="29">
        <f t="shared" ref="W3046:W3109" si="467">+V3046*N3046</f>
        <v>0</v>
      </c>
      <c r="X3046" s="30">
        <f t="shared" ref="X3046:X3109" si="468">+V3046+W3046</f>
        <v>0</v>
      </c>
      <c r="Y3046"/>
      <c r="Z3046"/>
      <c r="AA3046"/>
    </row>
    <row r="3047" spans="1:27" s="51" customFormat="1" ht="18.600000000000001" hidden="1" customHeight="1" x14ac:dyDescent="0.25">
      <c r="A3047" s="81" t="s">
        <v>2653</v>
      </c>
      <c r="B3047" s="31" t="s">
        <v>9387</v>
      </c>
      <c r="C3047" s="32" t="s">
        <v>9391</v>
      </c>
      <c r="D3047" s="31" t="s">
        <v>7764</v>
      </c>
      <c r="E3047" s="33" t="s">
        <v>7765</v>
      </c>
      <c r="F3047" s="33" t="s">
        <v>1937</v>
      </c>
      <c r="G3047" s="33"/>
      <c r="H3047" s="84" t="s">
        <v>7766</v>
      </c>
      <c r="I3047" s="23" t="s">
        <v>24</v>
      </c>
      <c r="J3047" s="34">
        <v>350</v>
      </c>
      <c r="K3047" s="35">
        <v>0.25</v>
      </c>
      <c r="L3047" s="36">
        <f t="shared" si="460"/>
        <v>87.5</v>
      </c>
      <c r="M3047" s="37">
        <f t="shared" si="461"/>
        <v>262.5</v>
      </c>
      <c r="N3047" s="38">
        <v>0.16</v>
      </c>
      <c r="O3047" s="39">
        <f t="shared" si="462"/>
        <v>42</v>
      </c>
      <c r="P3047" s="40">
        <f t="shared" si="463"/>
        <v>304.5</v>
      </c>
      <c r="Q3047" s="23"/>
      <c r="R3047" s="56"/>
      <c r="S3047" s="57"/>
      <c r="T3047" s="58">
        <f t="shared" si="464"/>
        <v>0</v>
      </c>
      <c r="U3047" s="36">
        <f t="shared" si="465"/>
        <v>0</v>
      </c>
      <c r="V3047" s="59">
        <f t="shared" si="466"/>
        <v>0</v>
      </c>
      <c r="W3047" s="39">
        <f t="shared" si="467"/>
        <v>0</v>
      </c>
      <c r="X3047" s="40">
        <f t="shared" si="468"/>
        <v>0</v>
      </c>
      <c r="Y3047"/>
      <c r="Z3047"/>
      <c r="AA3047"/>
    </row>
    <row r="3048" spans="1:27" s="51" customFormat="1" ht="18.600000000000001" hidden="1" customHeight="1" x14ac:dyDescent="0.25">
      <c r="A3048" s="82" t="s">
        <v>2653</v>
      </c>
      <c r="B3048" s="41" t="s">
        <v>9387</v>
      </c>
      <c r="C3048" s="42" t="s">
        <v>9391</v>
      </c>
      <c r="D3048" s="41" t="s">
        <v>7767</v>
      </c>
      <c r="E3048" s="43" t="s">
        <v>7768</v>
      </c>
      <c r="F3048" s="43" t="s">
        <v>1937</v>
      </c>
      <c r="G3048" s="43"/>
      <c r="H3048" s="85" t="s">
        <v>7769</v>
      </c>
      <c r="I3048" s="23" t="s">
        <v>24</v>
      </c>
      <c r="J3048" s="44">
        <v>350</v>
      </c>
      <c r="K3048" s="45">
        <v>0.25</v>
      </c>
      <c r="L3048" s="46">
        <f t="shared" si="460"/>
        <v>87.5</v>
      </c>
      <c r="M3048" s="47">
        <f t="shared" si="461"/>
        <v>262.5</v>
      </c>
      <c r="N3048" s="48">
        <v>0.16</v>
      </c>
      <c r="O3048" s="49">
        <f t="shared" si="462"/>
        <v>42</v>
      </c>
      <c r="P3048" s="50">
        <f t="shared" si="463"/>
        <v>304.5</v>
      </c>
      <c r="Q3048" s="23"/>
      <c r="R3048" s="60"/>
      <c r="S3048" s="61"/>
      <c r="T3048" s="62">
        <f t="shared" si="464"/>
        <v>0</v>
      </c>
      <c r="U3048" s="46">
        <f t="shared" si="465"/>
        <v>0</v>
      </c>
      <c r="V3048" s="63">
        <f t="shared" si="466"/>
        <v>0</v>
      </c>
      <c r="W3048" s="49">
        <f t="shared" si="467"/>
        <v>0</v>
      </c>
      <c r="X3048" s="50">
        <f t="shared" si="468"/>
        <v>0</v>
      </c>
      <c r="Y3048"/>
      <c r="Z3048"/>
      <c r="AA3048"/>
    </row>
    <row r="3049" spans="1:27" s="51" customFormat="1" ht="18.600000000000001" hidden="1" customHeight="1" x14ac:dyDescent="0.25">
      <c r="A3049" s="80" t="s">
        <v>2653</v>
      </c>
      <c r="B3049" s="20" t="s">
        <v>9387</v>
      </c>
      <c r="C3049" s="21" t="s">
        <v>9391</v>
      </c>
      <c r="D3049" s="20" t="s">
        <v>7770</v>
      </c>
      <c r="E3049" s="22" t="s">
        <v>7771</v>
      </c>
      <c r="F3049" s="22" t="s">
        <v>1937</v>
      </c>
      <c r="G3049" s="22"/>
      <c r="H3049" s="83" t="s">
        <v>7772</v>
      </c>
      <c r="I3049" s="23" t="s">
        <v>24</v>
      </c>
      <c r="J3049" s="24">
        <v>350</v>
      </c>
      <c r="K3049" s="25">
        <v>0.25</v>
      </c>
      <c r="L3049" s="26">
        <f t="shared" si="460"/>
        <v>87.5</v>
      </c>
      <c r="M3049" s="27">
        <f t="shared" si="461"/>
        <v>262.5</v>
      </c>
      <c r="N3049" s="28">
        <v>0.16</v>
      </c>
      <c r="O3049" s="29">
        <f t="shared" si="462"/>
        <v>42</v>
      </c>
      <c r="P3049" s="30">
        <f t="shared" si="463"/>
        <v>304.5</v>
      </c>
      <c r="Q3049" s="23"/>
      <c r="R3049" s="52"/>
      <c r="S3049" s="53"/>
      <c r="T3049" s="54">
        <f t="shared" si="464"/>
        <v>0</v>
      </c>
      <c r="U3049" s="26">
        <f t="shared" si="465"/>
        <v>0</v>
      </c>
      <c r="V3049" s="55">
        <f t="shared" si="466"/>
        <v>0</v>
      </c>
      <c r="W3049" s="29">
        <f t="shared" si="467"/>
        <v>0</v>
      </c>
      <c r="X3049" s="30">
        <f t="shared" si="468"/>
        <v>0</v>
      </c>
      <c r="Y3049"/>
      <c r="Z3049"/>
      <c r="AA3049"/>
    </row>
    <row r="3050" spans="1:27" s="51" customFormat="1" ht="18.600000000000001" hidden="1" customHeight="1" x14ac:dyDescent="0.25">
      <c r="A3050" s="81" t="s">
        <v>2653</v>
      </c>
      <c r="B3050" s="31" t="s">
        <v>9387</v>
      </c>
      <c r="C3050" s="32" t="s">
        <v>9392</v>
      </c>
      <c r="D3050" s="31" t="s">
        <v>7773</v>
      </c>
      <c r="E3050" s="33" t="s">
        <v>7774</v>
      </c>
      <c r="F3050" s="33" t="s">
        <v>1937</v>
      </c>
      <c r="G3050" s="33"/>
      <c r="H3050" s="84" t="s">
        <v>7775</v>
      </c>
      <c r="I3050" s="23" t="s">
        <v>24</v>
      </c>
      <c r="J3050" s="34">
        <v>350</v>
      </c>
      <c r="K3050" s="35">
        <v>0.25</v>
      </c>
      <c r="L3050" s="36">
        <f t="shared" si="460"/>
        <v>87.5</v>
      </c>
      <c r="M3050" s="37">
        <f t="shared" si="461"/>
        <v>262.5</v>
      </c>
      <c r="N3050" s="38">
        <v>0.16</v>
      </c>
      <c r="O3050" s="39">
        <f t="shared" si="462"/>
        <v>42</v>
      </c>
      <c r="P3050" s="40">
        <f t="shared" si="463"/>
        <v>304.5</v>
      </c>
      <c r="Q3050" s="23"/>
      <c r="R3050" s="56"/>
      <c r="S3050" s="57"/>
      <c r="T3050" s="58">
        <f t="shared" si="464"/>
        <v>0</v>
      </c>
      <c r="U3050" s="36">
        <f t="shared" si="465"/>
        <v>0</v>
      </c>
      <c r="V3050" s="59">
        <f t="shared" si="466"/>
        <v>0</v>
      </c>
      <c r="W3050" s="39">
        <f t="shared" si="467"/>
        <v>0</v>
      </c>
      <c r="X3050" s="40">
        <f t="shared" si="468"/>
        <v>0</v>
      </c>
      <c r="Y3050"/>
      <c r="Z3050"/>
      <c r="AA3050"/>
    </row>
    <row r="3051" spans="1:27" s="51" customFormat="1" ht="18.600000000000001" hidden="1" customHeight="1" x14ac:dyDescent="0.25">
      <c r="A3051" s="82" t="s">
        <v>2653</v>
      </c>
      <c r="B3051" s="41" t="s">
        <v>9387</v>
      </c>
      <c r="C3051" s="42" t="s">
        <v>9392</v>
      </c>
      <c r="D3051" s="41" t="s">
        <v>7776</v>
      </c>
      <c r="E3051" s="43" t="s">
        <v>7777</v>
      </c>
      <c r="F3051" s="43" t="s">
        <v>1937</v>
      </c>
      <c r="G3051" s="43"/>
      <c r="H3051" s="85" t="s">
        <v>7778</v>
      </c>
      <c r="I3051" s="23" t="s">
        <v>24</v>
      </c>
      <c r="J3051" s="44">
        <v>350</v>
      </c>
      <c r="K3051" s="45">
        <v>0.25</v>
      </c>
      <c r="L3051" s="46">
        <f t="shared" si="460"/>
        <v>87.5</v>
      </c>
      <c r="M3051" s="47">
        <f t="shared" si="461"/>
        <v>262.5</v>
      </c>
      <c r="N3051" s="48">
        <v>0.16</v>
      </c>
      <c r="O3051" s="49">
        <f t="shared" si="462"/>
        <v>42</v>
      </c>
      <c r="P3051" s="50">
        <f t="shared" si="463"/>
        <v>304.5</v>
      </c>
      <c r="Q3051" s="23"/>
      <c r="R3051" s="60"/>
      <c r="S3051" s="61"/>
      <c r="T3051" s="62">
        <f t="shared" si="464"/>
        <v>0</v>
      </c>
      <c r="U3051" s="46">
        <f t="shared" si="465"/>
        <v>0</v>
      </c>
      <c r="V3051" s="63">
        <f t="shared" si="466"/>
        <v>0</v>
      </c>
      <c r="W3051" s="49">
        <f t="shared" si="467"/>
        <v>0</v>
      </c>
      <c r="X3051" s="50">
        <f t="shared" si="468"/>
        <v>0</v>
      </c>
      <c r="Y3051"/>
      <c r="Z3051"/>
      <c r="AA3051"/>
    </row>
    <row r="3052" spans="1:27" s="51" customFormat="1" ht="18.600000000000001" hidden="1" customHeight="1" x14ac:dyDescent="0.25">
      <c r="A3052" s="80" t="s">
        <v>2653</v>
      </c>
      <c r="B3052" s="20" t="s">
        <v>9387</v>
      </c>
      <c r="C3052" s="21" t="s">
        <v>9392</v>
      </c>
      <c r="D3052" s="20" t="s">
        <v>7779</v>
      </c>
      <c r="E3052" s="22" t="s">
        <v>7780</v>
      </c>
      <c r="F3052" s="22" t="s">
        <v>1937</v>
      </c>
      <c r="G3052" s="22"/>
      <c r="H3052" s="83" t="s">
        <v>7781</v>
      </c>
      <c r="I3052" s="23" t="s">
        <v>24</v>
      </c>
      <c r="J3052" s="24">
        <v>350</v>
      </c>
      <c r="K3052" s="25">
        <v>0.25</v>
      </c>
      <c r="L3052" s="26">
        <f t="shared" si="460"/>
        <v>87.5</v>
      </c>
      <c r="M3052" s="27">
        <f t="shared" si="461"/>
        <v>262.5</v>
      </c>
      <c r="N3052" s="28">
        <v>0.16</v>
      </c>
      <c r="O3052" s="29">
        <f t="shared" si="462"/>
        <v>42</v>
      </c>
      <c r="P3052" s="30">
        <f t="shared" si="463"/>
        <v>304.5</v>
      </c>
      <c r="Q3052" s="23"/>
      <c r="R3052" s="52"/>
      <c r="S3052" s="53"/>
      <c r="T3052" s="54">
        <f t="shared" si="464"/>
        <v>0</v>
      </c>
      <c r="U3052" s="26">
        <f t="shared" si="465"/>
        <v>0</v>
      </c>
      <c r="V3052" s="55">
        <f t="shared" si="466"/>
        <v>0</v>
      </c>
      <c r="W3052" s="29">
        <f t="shared" si="467"/>
        <v>0</v>
      </c>
      <c r="X3052" s="30">
        <f t="shared" si="468"/>
        <v>0</v>
      </c>
      <c r="Y3052"/>
      <c r="Z3052"/>
      <c r="AA3052"/>
    </row>
    <row r="3053" spans="1:27" s="51" customFormat="1" ht="18.600000000000001" hidden="1" customHeight="1" x14ac:dyDescent="0.25">
      <c r="A3053" s="81" t="s">
        <v>2653</v>
      </c>
      <c r="B3053" s="31" t="s">
        <v>9387</v>
      </c>
      <c r="C3053" s="32" t="s">
        <v>9392</v>
      </c>
      <c r="D3053" s="31" t="s">
        <v>7782</v>
      </c>
      <c r="E3053" s="33" t="s">
        <v>7783</v>
      </c>
      <c r="F3053" s="33" t="s">
        <v>1937</v>
      </c>
      <c r="G3053" s="33"/>
      <c r="H3053" s="84" t="s">
        <v>7784</v>
      </c>
      <c r="I3053" s="23" t="s">
        <v>24</v>
      </c>
      <c r="J3053" s="34">
        <v>350</v>
      </c>
      <c r="K3053" s="35">
        <v>0.25</v>
      </c>
      <c r="L3053" s="36">
        <f t="shared" si="460"/>
        <v>87.5</v>
      </c>
      <c r="M3053" s="37">
        <f t="shared" si="461"/>
        <v>262.5</v>
      </c>
      <c r="N3053" s="38">
        <v>0.16</v>
      </c>
      <c r="O3053" s="39">
        <f t="shared" si="462"/>
        <v>42</v>
      </c>
      <c r="P3053" s="40">
        <f t="shared" si="463"/>
        <v>304.5</v>
      </c>
      <c r="Q3053" s="23"/>
      <c r="R3053" s="56"/>
      <c r="S3053" s="57"/>
      <c r="T3053" s="58">
        <f t="shared" si="464"/>
        <v>0</v>
      </c>
      <c r="U3053" s="36">
        <f t="shared" si="465"/>
        <v>0</v>
      </c>
      <c r="V3053" s="59">
        <f t="shared" si="466"/>
        <v>0</v>
      </c>
      <c r="W3053" s="39">
        <f t="shared" si="467"/>
        <v>0</v>
      </c>
      <c r="X3053" s="40">
        <f t="shared" si="468"/>
        <v>0</v>
      </c>
      <c r="Y3053"/>
      <c r="Z3053"/>
      <c r="AA3053"/>
    </row>
    <row r="3054" spans="1:27" s="51" customFormat="1" ht="18.600000000000001" hidden="1" customHeight="1" x14ac:dyDescent="0.25">
      <c r="A3054" s="82" t="s">
        <v>2653</v>
      </c>
      <c r="B3054" s="41" t="s">
        <v>9387</v>
      </c>
      <c r="C3054" s="42" t="s">
        <v>9392</v>
      </c>
      <c r="D3054" s="41" t="s">
        <v>7785</v>
      </c>
      <c r="E3054" s="43" t="s">
        <v>7786</v>
      </c>
      <c r="F3054" s="43" t="s">
        <v>1937</v>
      </c>
      <c r="G3054" s="43"/>
      <c r="H3054" s="85" t="s">
        <v>7787</v>
      </c>
      <c r="I3054" s="23" t="s">
        <v>24</v>
      </c>
      <c r="J3054" s="44">
        <v>350</v>
      </c>
      <c r="K3054" s="45">
        <v>0.25</v>
      </c>
      <c r="L3054" s="46">
        <f t="shared" si="460"/>
        <v>87.5</v>
      </c>
      <c r="M3054" s="47">
        <f t="shared" si="461"/>
        <v>262.5</v>
      </c>
      <c r="N3054" s="48">
        <v>0.16</v>
      </c>
      <c r="O3054" s="49">
        <f t="shared" si="462"/>
        <v>42</v>
      </c>
      <c r="P3054" s="50">
        <f t="shared" si="463"/>
        <v>304.5</v>
      </c>
      <c r="Q3054" s="23"/>
      <c r="R3054" s="60"/>
      <c r="S3054" s="61"/>
      <c r="T3054" s="62">
        <f t="shared" si="464"/>
        <v>0</v>
      </c>
      <c r="U3054" s="46">
        <f t="shared" si="465"/>
        <v>0</v>
      </c>
      <c r="V3054" s="63">
        <f t="shared" si="466"/>
        <v>0</v>
      </c>
      <c r="W3054" s="49">
        <f t="shared" si="467"/>
        <v>0</v>
      </c>
      <c r="X3054" s="50">
        <f t="shared" si="468"/>
        <v>0</v>
      </c>
      <c r="Y3054"/>
      <c r="Z3054"/>
      <c r="AA3054"/>
    </row>
    <row r="3055" spans="1:27" s="51" customFormat="1" ht="18.600000000000001" hidden="1" customHeight="1" x14ac:dyDescent="0.25">
      <c r="A3055" s="80" t="s">
        <v>2653</v>
      </c>
      <c r="B3055" s="20" t="s">
        <v>9387</v>
      </c>
      <c r="C3055" s="21" t="s">
        <v>9392</v>
      </c>
      <c r="D3055" s="20" t="s">
        <v>7788</v>
      </c>
      <c r="E3055" s="22" t="s">
        <v>7789</v>
      </c>
      <c r="F3055" s="22" t="s">
        <v>1937</v>
      </c>
      <c r="G3055" s="22"/>
      <c r="H3055" s="83" t="s">
        <v>7790</v>
      </c>
      <c r="I3055" s="23" t="s">
        <v>24</v>
      </c>
      <c r="J3055" s="24">
        <v>350</v>
      </c>
      <c r="K3055" s="25">
        <v>0.25</v>
      </c>
      <c r="L3055" s="26">
        <f t="shared" si="460"/>
        <v>87.5</v>
      </c>
      <c r="M3055" s="27">
        <f t="shared" si="461"/>
        <v>262.5</v>
      </c>
      <c r="N3055" s="28">
        <v>0.16</v>
      </c>
      <c r="O3055" s="29">
        <f t="shared" si="462"/>
        <v>42</v>
      </c>
      <c r="P3055" s="30">
        <f t="shared" si="463"/>
        <v>304.5</v>
      </c>
      <c r="Q3055" s="23"/>
      <c r="R3055" s="52"/>
      <c r="S3055" s="53"/>
      <c r="T3055" s="54">
        <f t="shared" si="464"/>
        <v>0</v>
      </c>
      <c r="U3055" s="26">
        <f t="shared" si="465"/>
        <v>0</v>
      </c>
      <c r="V3055" s="55">
        <f t="shared" si="466"/>
        <v>0</v>
      </c>
      <c r="W3055" s="29">
        <f t="shared" si="467"/>
        <v>0</v>
      </c>
      <c r="X3055" s="30">
        <f t="shared" si="468"/>
        <v>0</v>
      </c>
      <c r="Y3055"/>
      <c r="Z3055"/>
      <c r="AA3055"/>
    </row>
    <row r="3056" spans="1:27" s="51" customFormat="1" ht="18.600000000000001" hidden="1" customHeight="1" x14ac:dyDescent="0.25">
      <c r="A3056" s="81" t="s">
        <v>2653</v>
      </c>
      <c r="B3056" s="31" t="s">
        <v>9387</v>
      </c>
      <c r="C3056" s="32" t="s">
        <v>9392</v>
      </c>
      <c r="D3056" s="31" t="s">
        <v>7791</v>
      </c>
      <c r="E3056" s="33" t="s">
        <v>7792</v>
      </c>
      <c r="F3056" s="33" t="s">
        <v>1937</v>
      </c>
      <c r="G3056" s="33"/>
      <c r="H3056" s="84" t="s">
        <v>7793</v>
      </c>
      <c r="I3056" s="23" t="s">
        <v>24</v>
      </c>
      <c r="J3056" s="34">
        <v>350</v>
      </c>
      <c r="K3056" s="35">
        <v>0.25</v>
      </c>
      <c r="L3056" s="36">
        <f t="shared" si="460"/>
        <v>87.5</v>
      </c>
      <c r="M3056" s="37">
        <f t="shared" si="461"/>
        <v>262.5</v>
      </c>
      <c r="N3056" s="38">
        <v>0.16</v>
      </c>
      <c r="O3056" s="39">
        <f t="shared" si="462"/>
        <v>42</v>
      </c>
      <c r="P3056" s="40">
        <f t="shared" si="463"/>
        <v>304.5</v>
      </c>
      <c r="Q3056" s="23"/>
      <c r="R3056" s="56"/>
      <c r="S3056" s="57"/>
      <c r="T3056" s="58">
        <f t="shared" si="464"/>
        <v>0</v>
      </c>
      <c r="U3056" s="36">
        <f t="shared" si="465"/>
        <v>0</v>
      </c>
      <c r="V3056" s="59">
        <f t="shared" si="466"/>
        <v>0</v>
      </c>
      <c r="W3056" s="39">
        <f t="shared" si="467"/>
        <v>0</v>
      </c>
      <c r="X3056" s="40">
        <f t="shared" si="468"/>
        <v>0</v>
      </c>
      <c r="Y3056"/>
      <c r="Z3056"/>
      <c r="AA3056"/>
    </row>
    <row r="3057" spans="1:27" s="51" customFormat="1" ht="18.600000000000001" hidden="1" customHeight="1" x14ac:dyDescent="0.25">
      <c r="A3057" s="82" t="s">
        <v>2653</v>
      </c>
      <c r="B3057" s="41" t="s">
        <v>9387</v>
      </c>
      <c r="C3057" s="42" t="s">
        <v>9392</v>
      </c>
      <c r="D3057" s="41" t="s">
        <v>7794</v>
      </c>
      <c r="E3057" s="43" t="s">
        <v>7795</v>
      </c>
      <c r="F3057" s="43" t="s">
        <v>1937</v>
      </c>
      <c r="G3057" s="43"/>
      <c r="H3057" s="85" t="s">
        <v>7796</v>
      </c>
      <c r="I3057" s="23" t="s">
        <v>24</v>
      </c>
      <c r="J3057" s="44">
        <v>350</v>
      </c>
      <c r="K3057" s="45">
        <v>0.25</v>
      </c>
      <c r="L3057" s="46">
        <f t="shared" si="460"/>
        <v>87.5</v>
      </c>
      <c r="M3057" s="47">
        <f t="shared" si="461"/>
        <v>262.5</v>
      </c>
      <c r="N3057" s="48">
        <v>0.16</v>
      </c>
      <c r="O3057" s="49">
        <f t="shared" si="462"/>
        <v>42</v>
      </c>
      <c r="P3057" s="50">
        <f t="shared" si="463"/>
        <v>304.5</v>
      </c>
      <c r="Q3057" s="23"/>
      <c r="R3057" s="60"/>
      <c r="S3057" s="61"/>
      <c r="T3057" s="62">
        <f t="shared" si="464"/>
        <v>0</v>
      </c>
      <c r="U3057" s="46">
        <f t="shared" si="465"/>
        <v>0</v>
      </c>
      <c r="V3057" s="63">
        <f t="shared" si="466"/>
        <v>0</v>
      </c>
      <c r="W3057" s="49">
        <f t="shared" si="467"/>
        <v>0</v>
      </c>
      <c r="X3057" s="50">
        <f t="shared" si="468"/>
        <v>0</v>
      </c>
      <c r="Y3057"/>
      <c r="Z3057"/>
      <c r="AA3057"/>
    </row>
    <row r="3058" spans="1:27" s="51" customFormat="1" ht="18.600000000000001" hidden="1" customHeight="1" x14ac:dyDescent="0.25">
      <c r="A3058" s="80" t="s">
        <v>2653</v>
      </c>
      <c r="B3058" s="20" t="s">
        <v>9387</v>
      </c>
      <c r="C3058" s="21" t="s">
        <v>9392</v>
      </c>
      <c r="D3058" s="20" t="s">
        <v>7797</v>
      </c>
      <c r="E3058" s="22" t="s">
        <v>7798</v>
      </c>
      <c r="F3058" s="22" t="s">
        <v>1937</v>
      </c>
      <c r="G3058" s="22"/>
      <c r="H3058" s="83" t="s">
        <v>7799</v>
      </c>
      <c r="I3058" s="23" t="s">
        <v>24</v>
      </c>
      <c r="J3058" s="24">
        <v>350</v>
      </c>
      <c r="K3058" s="25">
        <v>0.25</v>
      </c>
      <c r="L3058" s="26">
        <f t="shared" si="460"/>
        <v>87.5</v>
      </c>
      <c r="M3058" s="27">
        <f t="shared" si="461"/>
        <v>262.5</v>
      </c>
      <c r="N3058" s="28">
        <v>0.16</v>
      </c>
      <c r="O3058" s="29">
        <f t="shared" si="462"/>
        <v>42</v>
      </c>
      <c r="P3058" s="30">
        <f t="shared" si="463"/>
        <v>304.5</v>
      </c>
      <c r="Q3058" s="23"/>
      <c r="R3058" s="52"/>
      <c r="S3058" s="53"/>
      <c r="T3058" s="54">
        <f t="shared" si="464"/>
        <v>0</v>
      </c>
      <c r="U3058" s="26">
        <f t="shared" si="465"/>
        <v>0</v>
      </c>
      <c r="V3058" s="55">
        <f t="shared" si="466"/>
        <v>0</v>
      </c>
      <c r="W3058" s="29">
        <f t="shared" si="467"/>
        <v>0</v>
      </c>
      <c r="X3058" s="30">
        <f t="shared" si="468"/>
        <v>0</v>
      </c>
      <c r="Y3058"/>
      <c r="Z3058"/>
      <c r="AA3058"/>
    </row>
    <row r="3059" spans="1:27" s="51" customFormat="1" ht="18.600000000000001" hidden="1" customHeight="1" x14ac:dyDescent="0.25">
      <c r="A3059" s="81" t="s">
        <v>2653</v>
      </c>
      <c r="B3059" s="31" t="s">
        <v>9387</v>
      </c>
      <c r="C3059" s="32" t="s">
        <v>9392</v>
      </c>
      <c r="D3059" s="31" t="s">
        <v>7800</v>
      </c>
      <c r="E3059" s="33" t="s">
        <v>7801</v>
      </c>
      <c r="F3059" s="33" t="s">
        <v>1937</v>
      </c>
      <c r="G3059" s="33"/>
      <c r="H3059" s="84" t="s">
        <v>7802</v>
      </c>
      <c r="I3059" s="23" t="s">
        <v>24</v>
      </c>
      <c r="J3059" s="34">
        <v>350</v>
      </c>
      <c r="K3059" s="35">
        <v>0.25</v>
      </c>
      <c r="L3059" s="36">
        <f t="shared" si="460"/>
        <v>87.5</v>
      </c>
      <c r="M3059" s="37">
        <f t="shared" si="461"/>
        <v>262.5</v>
      </c>
      <c r="N3059" s="38">
        <v>0.16</v>
      </c>
      <c r="O3059" s="39">
        <f t="shared" si="462"/>
        <v>42</v>
      </c>
      <c r="P3059" s="40">
        <f t="shared" si="463"/>
        <v>304.5</v>
      </c>
      <c r="Q3059" s="23"/>
      <c r="R3059" s="56"/>
      <c r="S3059" s="57"/>
      <c r="T3059" s="58">
        <f t="shared" si="464"/>
        <v>0</v>
      </c>
      <c r="U3059" s="36">
        <f t="shared" si="465"/>
        <v>0</v>
      </c>
      <c r="V3059" s="59">
        <f t="shared" si="466"/>
        <v>0</v>
      </c>
      <c r="W3059" s="39">
        <f t="shared" si="467"/>
        <v>0</v>
      </c>
      <c r="X3059" s="40">
        <f t="shared" si="468"/>
        <v>0</v>
      </c>
      <c r="Y3059"/>
      <c r="Z3059"/>
      <c r="AA3059"/>
    </row>
    <row r="3060" spans="1:27" s="51" customFormat="1" ht="18.600000000000001" hidden="1" customHeight="1" x14ac:dyDescent="0.25">
      <c r="A3060" s="82" t="s">
        <v>2653</v>
      </c>
      <c r="B3060" s="41" t="s">
        <v>9387</v>
      </c>
      <c r="C3060" s="42" t="s">
        <v>9392</v>
      </c>
      <c r="D3060" s="41" t="s">
        <v>7803</v>
      </c>
      <c r="E3060" s="43" t="s">
        <v>7804</v>
      </c>
      <c r="F3060" s="43" t="s">
        <v>1937</v>
      </c>
      <c r="G3060" s="43"/>
      <c r="H3060" s="85" t="s">
        <v>7805</v>
      </c>
      <c r="I3060" s="23" t="s">
        <v>24</v>
      </c>
      <c r="J3060" s="44">
        <v>440</v>
      </c>
      <c r="K3060" s="45">
        <v>0.25</v>
      </c>
      <c r="L3060" s="46">
        <f t="shared" si="460"/>
        <v>110</v>
      </c>
      <c r="M3060" s="47">
        <f t="shared" si="461"/>
        <v>330</v>
      </c>
      <c r="N3060" s="48">
        <v>0.16</v>
      </c>
      <c r="O3060" s="49">
        <f t="shared" si="462"/>
        <v>52.800000000000004</v>
      </c>
      <c r="P3060" s="50">
        <f t="shared" si="463"/>
        <v>382.8</v>
      </c>
      <c r="Q3060" s="23"/>
      <c r="R3060" s="60"/>
      <c r="S3060" s="61"/>
      <c r="T3060" s="62">
        <f t="shared" si="464"/>
        <v>0</v>
      </c>
      <c r="U3060" s="46">
        <f t="shared" si="465"/>
        <v>0</v>
      </c>
      <c r="V3060" s="63">
        <f t="shared" si="466"/>
        <v>0</v>
      </c>
      <c r="W3060" s="49">
        <f t="shared" si="467"/>
        <v>0</v>
      </c>
      <c r="X3060" s="50">
        <f t="shared" si="468"/>
        <v>0</v>
      </c>
      <c r="Y3060"/>
      <c r="Z3060"/>
      <c r="AA3060"/>
    </row>
    <row r="3061" spans="1:27" s="51" customFormat="1" ht="18.600000000000001" hidden="1" customHeight="1" x14ac:dyDescent="0.25">
      <c r="A3061" s="80" t="s">
        <v>2653</v>
      </c>
      <c r="B3061" s="20" t="s">
        <v>9387</v>
      </c>
      <c r="C3061" s="21" t="s">
        <v>9392</v>
      </c>
      <c r="D3061" s="20" t="s">
        <v>7806</v>
      </c>
      <c r="E3061" s="22" t="s">
        <v>7807</v>
      </c>
      <c r="F3061" s="22" t="s">
        <v>1937</v>
      </c>
      <c r="G3061" s="22"/>
      <c r="H3061" s="83" t="s">
        <v>7808</v>
      </c>
      <c r="I3061" s="23" t="s">
        <v>24</v>
      </c>
      <c r="J3061" s="24">
        <v>440</v>
      </c>
      <c r="K3061" s="25">
        <v>0.25</v>
      </c>
      <c r="L3061" s="26">
        <f t="shared" si="460"/>
        <v>110</v>
      </c>
      <c r="M3061" s="27">
        <f t="shared" si="461"/>
        <v>330</v>
      </c>
      <c r="N3061" s="28">
        <v>0.16</v>
      </c>
      <c r="O3061" s="29">
        <f t="shared" si="462"/>
        <v>52.800000000000004</v>
      </c>
      <c r="P3061" s="30">
        <f t="shared" si="463"/>
        <v>382.8</v>
      </c>
      <c r="Q3061" s="23"/>
      <c r="R3061" s="52"/>
      <c r="S3061" s="53"/>
      <c r="T3061" s="54">
        <f t="shared" si="464"/>
        <v>0</v>
      </c>
      <c r="U3061" s="26">
        <f t="shared" si="465"/>
        <v>0</v>
      </c>
      <c r="V3061" s="55">
        <f t="shared" si="466"/>
        <v>0</v>
      </c>
      <c r="W3061" s="29">
        <f t="shared" si="467"/>
        <v>0</v>
      </c>
      <c r="X3061" s="30">
        <f t="shared" si="468"/>
        <v>0</v>
      </c>
      <c r="Y3061"/>
      <c r="Z3061"/>
      <c r="AA3061"/>
    </row>
    <row r="3062" spans="1:27" s="51" customFormat="1" ht="18.600000000000001" hidden="1" customHeight="1" x14ac:dyDescent="0.25">
      <c r="A3062" s="81" t="s">
        <v>2653</v>
      </c>
      <c r="B3062" s="31" t="s">
        <v>9387</v>
      </c>
      <c r="C3062" s="32" t="s">
        <v>9392</v>
      </c>
      <c r="D3062" s="31" t="s">
        <v>7809</v>
      </c>
      <c r="E3062" s="33" t="s">
        <v>7810</v>
      </c>
      <c r="F3062" s="33" t="s">
        <v>1937</v>
      </c>
      <c r="G3062" s="33"/>
      <c r="H3062" s="84" t="s">
        <v>7811</v>
      </c>
      <c r="I3062" s="23" t="s">
        <v>24</v>
      </c>
      <c r="J3062" s="34">
        <v>440</v>
      </c>
      <c r="K3062" s="35">
        <v>0.25</v>
      </c>
      <c r="L3062" s="36">
        <f t="shared" si="460"/>
        <v>110</v>
      </c>
      <c r="M3062" s="37">
        <f t="shared" si="461"/>
        <v>330</v>
      </c>
      <c r="N3062" s="38">
        <v>0.16</v>
      </c>
      <c r="O3062" s="39">
        <f t="shared" si="462"/>
        <v>52.800000000000004</v>
      </c>
      <c r="P3062" s="40">
        <f t="shared" si="463"/>
        <v>382.8</v>
      </c>
      <c r="Q3062" s="23"/>
      <c r="R3062" s="56"/>
      <c r="S3062" s="57"/>
      <c r="T3062" s="58">
        <f t="shared" si="464"/>
        <v>0</v>
      </c>
      <c r="U3062" s="36">
        <f t="shared" si="465"/>
        <v>0</v>
      </c>
      <c r="V3062" s="59">
        <f t="shared" si="466"/>
        <v>0</v>
      </c>
      <c r="W3062" s="39">
        <f t="shared" si="467"/>
        <v>0</v>
      </c>
      <c r="X3062" s="40">
        <f t="shared" si="468"/>
        <v>0</v>
      </c>
      <c r="Y3062"/>
      <c r="Z3062"/>
      <c r="AA3062"/>
    </row>
    <row r="3063" spans="1:27" s="51" customFormat="1" ht="18.600000000000001" hidden="1" customHeight="1" x14ac:dyDescent="0.25">
      <c r="A3063" s="82" t="s">
        <v>2653</v>
      </c>
      <c r="B3063" s="41" t="s">
        <v>9387</v>
      </c>
      <c r="C3063" s="42" t="s">
        <v>9392</v>
      </c>
      <c r="D3063" s="41" t="s">
        <v>7812</v>
      </c>
      <c r="E3063" s="43" t="s">
        <v>7813</v>
      </c>
      <c r="F3063" s="43" t="s">
        <v>1937</v>
      </c>
      <c r="G3063" s="43"/>
      <c r="H3063" s="85" t="s">
        <v>7814</v>
      </c>
      <c r="I3063" s="23" t="s">
        <v>24</v>
      </c>
      <c r="J3063" s="44">
        <v>440</v>
      </c>
      <c r="K3063" s="45">
        <v>0.25</v>
      </c>
      <c r="L3063" s="46">
        <f t="shared" si="460"/>
        <v>110</v>
      </c>
      <c r="M3063" s="47">
        <f t="shared" si="461"/>
        <v>330</v>
      </c>
      <c r="N3063" s="48">
        <v>0.16</v>
      </c>
      <c r="O3063" s="49">
        <f t="shared" si="462"/>
        <v>52.800000000000004</v>
      </c>
      <c r="P3063" s="50">
        <f t="shared" si="463"/>
        <v>382.8</v>
      </c>
      <c r="Q3063" s="23"/>
      <c r="R3063" s="60"/>
      <c r="S3063" s="61"/>
      <c r="T3063" s="62">
        <f t="shared" si="464"/>
        <v>0</v>
      </c>
      <c r="U3063" s="46">
        <f t="shared" si="465"/>
        <v>0</v>
      </c>
      <c r="V3063" s="63">
        <f t="shared" si="466"/>
        <v>0</v>
      </c>
      <c r="W3063" s="49">
        <f t="shared" si="467"/>
        <v>0</v>
      </c>
      <c r="X3063" s="50">
        <f t="shared" si="468"/>
        <v>0</v>
      </c>
      <c r="Y3063"/>
      <c r="Z3063"/>
      <c r="AA3063"/>
    </row>
    <row r="3064" spans="1:27" s="51" customFormat="1" ht="18.600000000000001" hidden="1" customHeight="1" x14ac:dyDescent="0.25">
      <c r="A3064" s="80" t="s">
        <v>2653</v>
      </c>
      <c r="B3064" s="20" t="s">
        <v>9387</v>
      </c>
      <c r="C3064" s="21" t="s">
        <v>9393</v>
      </c>
      <c r="D3064" s="20" t="s">
        <v>7815</v>
      </c>
      <c r="E3064" s="22" t="s">
        <v>7816</v>
      </c>
      <c r="F3064" s="22" t="s">
        <v>1937</v>
      </c>
      <c r="G3064" s="22"/>
      <c r="H3064" s="83" t="s">
        <v>7817</v>
      </c>
      <c r="I3064" s="23" t="s">
        <v>24</v>
      </c>
      <c r="J3064" s="24">
        <v>210</v>
      </c>
      <c r="K3064" s="25">
        <v>0.25</v>
      </c>
      <c r="L3064" s="26">
        <f t="shared" si="460"/>
        <v>52.5</v>
      </c>
      <c r="M3064" s="27">
        <f t="shared" si="461"/>
        <v>157.5</v>
      </c>
      <c r="N3064" s="28">
        <v>0.16</v>
      </c>
      <c r="O3064" s="29">
        <f t="shared" si="462"/>
        <v>25.2</v>
      </c>
      <c r="P3064" s="30">
        <f t="shared" si="463"/>
        <v>182.7</v>
      </c>
      <c r="Q3064" s="23"/>
      <c r="R3064" s="52"/>
      <c r="S3064" s="53"/>
      <c r="T3064" s="54">
        <f t="shared" si="464"/>
        <v>0</v>
      </c>
      <c r="U3064" s="26">
        <f t="shared" si="465"/>
        <v>0</v>
      </c>
      <c r="V3064" s="55">
        <f t="shared" si="466"/>
        <v>0</v>
      </c>
      <c r="W3064" s="29">
        <f t="shared" si="467"/>
        <v>0</v>
      </c>
      <c r="X3064" s="30">
        <f t="shared" si="468"/>
        <v>0</v>
      </c>
      <c r="Y3064"/>
      <c r="Z3064"/>
      <c r="AA3064"/>
    </row>
    <row r="3065" spans="1:27" s="51" customFormat="1" ht="18.600000000000001" hidden="1" customHeight="1" x14ac:dyDescent="0.25">
      <c r="A3065" s="81" t="s">
        <v>2653</v>
      </c>
      <c r="B3065" s="31" t="s">
        <v>9387</v>
      </c>
      <c r="C3065" s="32" t="s">
        <v>9393</v>
      </c>
      <c r="D3065" s="31" t="s">
        <v>7818</v>
      </c>
      <c r="E3065" s="33" t="s">
        <v>7819</v>
      </c>
      <c r="F3065" s="33" t="s">
        <v>1937</v>
      </c>
      <c r="G3065" s="33"/>
      <c r="H3065" s="84" t="s">
        <v>7820</v>
      </c>
      <c r="I3065" s="23" t="s">
        <v>24</v>
      </c>
      <c r="J3065" s="34">
        <v>210</v>
      </c>
      <c r="K3065" s="35">
        <v>0.25</v>
      </c>
      <c r="L3065" s="36">
        <f t="shared" si="460"/>
        <v>52.5</v>
      </c>
      <c r="M3065" s="37">
        <f t="shared" si="461"/>
        <v>157.5</v>
      </c>
      <c r="N3065" s="38">
        <v>0.16</v>
      </c>
      <c r="O3065" s="39">
        <f t="shared" si="462"/>
        <v>25.2</v>
      </c>
      <c r="P3065" s="40">
        <f t="shared" si="463"/>
        <v>182.7</v>
      </c>
      <c r="Q3065" s="23"/>
      <c r="R3065" s="56"/>
      <c r="S3065" s="57"/>
      <c r="T3065" s="58">
        <f t="shared" si="464"/>
        <v>0</v>
      </c>
      <c r="U3065" s="36">
        <f t="shared" si="465"/>
        <v>0</v>
      </c>
      <c r="V3065" s="59">
        <f t="shared" si="466"/>
        <v>0</v>
      </c>
      <c r="W3065" s="39">
        <f t="shared" si="467"/>
        <v>0</v>
      </c>
      <c r="X3065" s="40">
        <f t="shared" si="468"/>
        <v>0</v>
      </c>
      <c r="Y3065"/>
      <c r="Z3065"/>
      <c r="AA3065"/>
    </row>
    <row r="3066" spans="1:27" s="51" customFormat="1" ht="18.600000000000001" hidden="1" customHeight="1" x14ac:dyDescent="0.25">
      <c r="A3066" s="82" t="s">
        <v>2653</v>
      </c>
      <c r="B3066" s="41" t="s">
        <v>9387</v>
      </c>
      <c r="C3066" s="42" t="s">
        <v>9393</v>
      </c>
      <c r="D3066" s="41" t="s">
        <v>7821</v>
      </c>
      <c r="E3066" s="43" t="s">
        <v>7822</v>
      </c>
      <c r="F3066" s="43" t="s">
        <v>1937</v>
      </c>
      <c r="G3066" s="43"/>
      <c r="H3066" s="85" t="s">
        <v>7823</v>
      </c>
      <c r="I3066" s="23" t="s">
        <v>24</v>
      </c>
      <c r="J3066" s="44">
        <v>210</v>
      </c>
      <c r="K3066" s="45">
        <v>0.25</v>
      </c>
      <c r="L3066" s="46">
        <f t="shared" si="460"/>
        <v>52.5</v>
      </c>
      <c r="M3066" s="47">
        <f t="shared" si="461"/>
        <v>157.5</v>
      </c>
      <c r="N3066" s="48">
        <v>0.16</v>
      </c>
      <c r="O3066" s="49">
        <f t="shared" si="462"/>
        <v>25.2</v>
      </c>
      <c r="P3066" s="50">
        <f t="shared" si="463"/>
        <v>182.7</v>
      </c>
      <c r="Q3066" s="23"/>
      <c r="R3066" s="60"/>
      <c r="S3066" s="61"/>
      <c r="T3066" s="62">
        <f t="shared" si="464"/>
        <v>0</v>
      </c>
      <c r="U3066" s="46">
        <f t="shared" si="465"/>
        <v>0</v>
      </c>
      <c r="V3066" s="63">
        <f t="shared" si="466"/>
        <v>0</v>
      </c>
      <c r="W3066" s="49">
        <f t="shared" si="467"/>
        <v>0</v>
      </c>
      <c r="X3066" s="50">
        <f t="shared" si="468"/>
        <v>0</v>
      </c>
      <c r="Y3066"/>
      <c r="Z3066"/>
      <c r="AA3066"/>
    </row>
    <row r="3067" spans="1:27" s="51" customFormat="1" ht="18.600000000000001" hidden="1" customHeight="1" x14ac:dyDescent="0.25">
      <c r="A3067" s="80" t="s">
        <v>2653</v>
      </c>
      <c r="B3067" s="20" t="s">
        <v>9387</v>
      </c>
      <c r="C3067" s="21" t="s">
        <v>9393</v>
      </c>
      <c r="D3067" s="20" t="s">
        <v>7824</v>
      </c>
      <c r="E3067" s="22" t="s">
        <v>7825</v>
      </c>
      <c r="F3067" s="22" t="s">
        <v>1937</v>
      </c>
      <c r="G3067" s="22"/>
      <c r="H3067" s="83" t="s">
        <v>7826</v>
      </c>
      <c r="I3067" s="23" t="s">
        <v>24</v>
      </c>
      <c r="J3067" s="24">
        <v>210</v>
      </c>
      <c r="K3067" s="25">
        <v>0.25</v>
      </c>
      <c r="L3067" s="26">
        <f t="shared" si="460"/>
        <v>52.5</v>
      </c>
      <c r="M3067" s="27">
        <f t="shared" si="461"/>
        <v>157.5</v>
      </c>
      <c r="N3067" s="28">
        <v>0.16</v>
      </c>
      <c r="O3067" s="29">
        <f t="shared" si="462"/>
        <v>25.2</v>
      </c>
      <c r="P3067" s="30">
        <f t="shared" si="463"/>
        <v>182.7</v>
      </c>
      <c r="Q3067" s="23"/>
      <c r="R3067" s="52"/>
      <c r="S3067" s="53"/>
      <c r="T3067" s="54">
        <f t="shared" si="464"/>
        <v>0</v>
      </c>
      <c r="U3067" s="26">
        <f t="shared" si="465"/>
        <v>0</v>
      </c>
      <c r="V3067" s="55">
        <f t="shared" si="466"/>
        <v>0</v>
      </c>
      <c r="W3067" s="29">
        <f t="shared" si="467"/>
        <v>0</v>
      </c>
      <c r="X3067" s="30">
        <f t="shared" si="468"/>
        <v>0</v>
      </c>
      <c r="Y3067"/>
      <c r="Z3067"/>
      <c r="AA3067"/>
    </row>
    <row r="3068" spans="1:27" s="51" customFormat="1" ht="18.600000000000001" hidden="1" customHeight="1" x14ac:dyDescent="0.25">
      <c r="A3068" s="81" t="s">
        <v>2653</v>
      </c>
      <c r="B3068" s="31" t="s">
        <v>9387</v>
      </c>
      <c r="C3068" s="32" t="s">
        <v>9393</v>
      </c>
      <c r="D3068" s="31" t="s">
        <v>7827</v>
      </c>
      <c r="E3068" s="33" t="s">
        <v>7828</v>
      </c>
      <c r="F3068" s="33" t="s">
        <v>1937</v>
      </c>
      <c r="G3068" s="33"/>
      <c r="H3068" s="84" t="s">
        <v>7829</v>
      </c>
      <c r="I3068" s="23" t="s">
        <v>24</v>
      </c>
      <c r="J3068" s="34">
        <v>210</v>
      </c>
      <c r="K3068" s="35">
        <v>0.25</v>
      </c>
      <c r="L3068" s="36">
        <f t="shared" si="460"/>
        <v>52.5</v>
      </c>
      <c r="M3068" s="37">
        <f t="shared" si="461"/>
        <v>157.5</v>
      </c>
      <c r="N3068" s="38">
        <v>0.16</v>
      </c>
      <c r="O3068" s="39">
        <f t="shared" si="462"/>
        <v>25.2</v>
      </c>
      <c r="P3068" s="40">
        <f t="shared" si="463"/>
        <v>182.7</v>
      </c>
      <c r="Q3068" s="23"/>
      <c r="R3068" s="56"/>
      <c r="S3068" s="57"/>
      <c r="T3068" s="58">
        <f t="shared" si="464"/>
        <v>0</v>
      </c>
      <c r="U3068" s="36">
        <f t="shared" si="465"/>
        <v>0</v>
      </c>
      <c r="V3068" s="59">
        <f t="shared" si="466"/>
        <v>0</v>
      </c>
      <c r="W3068" s="39">
        <f t="shared" si="467"/>
        <v>0</v>
      </c>
      <c r="X3068" s="40">
        <f t="shared" si="468"/>
        <v>0</v>
      </c>
      <c r="Y3068"/>
      <c r="Z3068"/>
      <c r="AA3068"/>
    </row>
    <row r="3069" spans="1:27" s="51" customFormat="1" ht="18.600000000000001" hidden="1" customHeight="1" x14ac:dyDescent="0.25">
      <c r="A3069" s="82" t="s">
        <v>2653</v>
      </c>
      <c r="B3069" s="41" t="s">
        <v>9387</v>
      </c>
      <c r="C3069" s="42" t="s">
        <v>9390</v>
      </c>
      <c r="D3069" s="41" t="s">
        <v>7830</v>
      </c>
      <c r="E3069" s="43" t="s">
        <v>7831</v>
      </c>
      <c r="F3069" s="43" t="s">
        <v>1937</v>
      </c>
      <c r="G3069" s="43"/>
      <c r="H3069" s="85" t="s">
        <v>7832</v>
      </c>
      <c r="I3069" s="23" t="s">
        <v>24</v>
      </c>
      <c r="J3069" s="44">
        <v>245</v>
      </c>
      <c r="K3069" s="45">
        <v>0.25</v>
      </c>
      <c r="L3069" s="46">
        <f t="shared" si="460"/>
        <v>61.25</v>
      </c>
      <c r="M3069" s="47">
        <f t="shared" si="461"/>
        <v>183.75</v>
      </c>
      <c r="N3069" s="48">
        <v>0.16</v>
      </c>
      <c r="O3069" s="49">
        <f t="shared" si="462"/>
        <v>29.400000000000002</v>
      </c>
      <c r="P3069" s="50">
        <f t="shared" si="463"/>
        <v>213.15</v>
      </c>
      <c r="Q3069" s="23"/>
      <c r="R3069" s="60"/>
      <c r="S3069" s="61"/>
      <c r="T3069" s="62">
        <f t="shared" si="464"/>
        <v>0</v>
      </c>
      <c r="U3069" s="46">
        <f t="shared" si="465"/>
        <v>0</v>
      </c>
      <c r="V3069" s="63">
        <f t="shared" si="466"/>
        <v>0</v>
      </c>
      <c r="W3069" s="49">
        <f t="shared" si="467"/>
        <v>0</v>
      </c>
      <c r="X3069" s="50">
        <f t="shared" si="468"/>
        <v>0</v>
      </c>
      <c r="Y3069"/>
      <c r="Z3069"/>
      <c r="AA3069"/>
    </row>
    <row r="3070" spans="1:27" s="51" customFormat="1" ht="18.600000000000001" hidden="1" customHeight="1" x14ac:dyDescent="0.25">
      <c r="A3070" s="80" t="s">
        <v>2653</v>
      </c>
      <c r="B3070" s="20" t="s">
        <v>9387</v>
      </c>
      <c r="C3070" s="21" t="s">
        <v>9390</v>
      </c>
      <c r="D3070" s="20" t="s">
        <v>7833</v>
      </c>
      <c r="E3070" s="22" t="s">
        <v>7834</v>
      </c>
      <c r="F3070" s="22" t="s">
        <v>1937</v>
      </c>
      <c r="G3070" s="22"/>
      <c r="H3070" s="83" t="s">
        <v>7835</v>
      </c>
      <c r="I3070" s="23" t="s">
        <v>24</v>
      </c>
      <c r="J3070" s="24">
        <v>245</v>
      </c>
      <c r="K3070" s="25">
        <v>0.25</v>
      </c>
      <c r="L3070" s="26">
        <f t="shared" si="460"/>
        <v>61.25</v>
      </c>
      <c r="M3070" s="27">
        <f t="shared" si="461"/>
        <v>183.75</v>
      </c>
      <c r="N3070" s="28">
        <v>0.16</v>
      </c>
      <c r="O3070" s="29">
        <f t="shared" si="462"/>
        <v>29.400000000000002</v>
      </c>
      <c r="P3070" s="30">
        <f t="shared" si="463"/>
        <v>213.15</v>
      </c>
      <c r="Q3070" s="23"/>
      <c r="R3070" s="52"/>
      <c r="S3070" s="53"/>
      <c r="T3070" s="54">
        <f t="shared" si="464"/>
        <v>0</v>
      </c>
      <c r="U3070" s="26">
        <f t="shared" si="465"/>
        <v>0</v>
      </c>
      <c r="V3070" s="55">
        <f t="shared" si="466"/>
        <v>0</v>
      </c>
      <c r="W3070" s="29">
        <f t="shared" si="467"/>
        <v>0</v>
      </c>
      <c r="X3070" s="30">
        <f t="shared" si="468"/>
        <v>0</v>
      </c>
      <c r="Y3070"/>
      <c r="Z3070"/>
      <c r="AA3070"/>
    </row>
    <row r="3071" spans="1:27" s="51" customFormat="1" ht="18.600000000000001" hidden="1" customHeight="1" x14ac:dyDescent="0.25">
      <c r="A3071" s="81" t="s">
        <v>2653</v>
      </c>
      <c r="B3071" s="31" t="s">
        <v>9387</v>
      </c>
      <c r="C3071" s="32" t="s">
        <v>9392</v>
      </c>
      <c r="D3071" s="31" t="s">
        <v>7836</v>
      </c>
      <c r="E3071" s="33" t="s">
        <v>7837</v>
      </c>
      <c r="F3071" s="33" t="s">
        <v>1937</v>
      </c>
      <c r="G3071" s="33"/>
      <c r="H3071" s="84" t="s">
        <v>7838</v>
      </c>
      <c r="I3071" s="23" t="s">
        <v>24</v>
      </c>
      <c r="J3071" s="34">
        <v>430</v>
      </c>
      <c r="K3071" s="35">
        <v>0.25</v>
      </c>
      <c r="L3071" s="36">
        <f t="shared" si="460"/>
        <v>107.5</v>
      </c>
      <c r="M3071" s="37">
        <f t="shared" si="461"/>
        <v>322.5</v>
      </c>
      <c r="N3071" s="38">
        <v>0.16</v>
      </c>
      <c r="O3071" s="39">
        <f t="shared" si="462"/>
        <v>51.6</v>
      </c>
      <c r="P3071" s="40">
        <f t="shared" si="463"/>
        <v>374.1</v>
      </c>
      <c r="Q3071" s="23"/>
      <c r="R3071" s="56"/>
      <c r="S3071" s="57"/>
      <c r="T3071" s="58">
        <f t="shared" si="464"/>
        <v>0</v>
      </c>
      <c r="U3071" s="36">
        <f t="shared" si="465"/>
        <v>0</v>
      </c>
      <c r="V3071" s="59">
        <f t="shared" si="466"/>
        <v>0</v>
      </c>
      <c r="W3071" s="39">
        <f t="shared" si="467"/>
        <v>0</v>
      </c>
      <c r="X3071" s="40">
        <f t="shared" si="468"/>
        <v>0</v>
      </c>
      <c r="Y3071"/>
      <c r="Z3071"/>
      <c r="AA3071"/>
    </row>
    <row r="3072" spans="1:27" s="51" customFormat="1" ht="18.600000000000001" hidden="1" customHeight="1" x14ac:dyDescent="0.25">
      <c r="A3072" s="82" t="s">
        <v>2653</v>
      </c>
      <c r="B3072" s="41" t="s">
        <v>9387</v>
      </c>
      <c r="C3072" s="42" t="s">
        <v>9392</v>
      </c>
      <c r="D3072" s="41" t="s">
        <v>7839</v>
      </c>
      <c r="E3072" s="43" t="s">
        <v>7840</v>
      </c>
      <c r="F3072" s="43" t="s">
        <v>1937</v>
      </c>
      <c r="G3072" s="43"/>
      <c r="H3072" s="85" t="s">
        <v>7841</v>
      </c>
      <c r="I3072" s="23" t="s">
        <v>24</v>
      </c>
      <c r="J3072" s="44">
        <v>430</v>
      </c>
      <c r="K3072" s="45">
        <v>0.25</v>
      </c>
      <c r="L3072" s="46">
        <f t="shared" si="460"/>
        <v>107.5</v>
      </c>
      <c r="M3072" s="47">
        <f t="shared" si="461"/>
        <v>322.5</v>
      </c>
      <c r="N3072" s="48">
        <v>0.16</v>
      </c>
      <c r="O3072" s="49">
        <f t="shared" si="462"/>
        <v>51.6</v>
      </c>
      <c r="P3072" s="50">
        <f t="shared" si="463"/>
        <v>374.1</v>
      </c>
      <c r="Q3072" s="23"/>
      <c r="R3072" s="60"/>
      <c r="S3072" s="61"/>
      <c r="T3072" s="62">
        <f t="shared" si="464"/>
        <v>0</v>
      </c>
      <c r="U3072" s="46">
        <f t="shared" si="465"/>
        <v>0</v>
      </c>
      <c r="V3072" s="63">
        <f t="shared" si="466"/>
        <v>0</v>
      </c>
      <c r="W3072" s="49">
        <f t="shared" si="467"/>
        <v>0</v>
      </c>
      <c r="X3072" s="50">
        <f t="shared" si="468"/>
        <v>0</v>
      </c>
      <c r="Y3072"/>
      <c r="Z3072"/>
      <c r="AA3072"/>
    </row>
    <row r="3073" spans="1:27" s="51" customFormat="1" ht="18.600000000000001" hidden="1" customHeight="1" x14ac:dyDescent="0.25">
      <c r="A3073" s="80" t="s">
        <v>2653</v>
      </c>
      <c r="B3073" s="20" t="s">
        <v>9387</v>
      </c>
      <c r="C3073" s="21" t="s">
        <v>9392</v>
      </c>
      <c r="D3073" s="20" t="s">
        <v>7842</v>
      </c>
      <c r="E3073" s="22" t="s">
        <v>7843</v>
      </c>
      <c r="F3073" s="22" t="s">
        <v>1937</v>
      </c>
      <c r="G3073" s="22"/>
      <c r="H3073" s="83" t="s">
        <v>7844</v>
      </c>
      <c r="I3073" s="23" t="s">
        <v>24</v>
      </c>
      <c r="J3073" s="24">
        <v>430</v>
      </c>
      <c r="K3073" s="25">
        <v>0.25</v>
      </c>
      <c r="L3073" s="26">
        <f t="shared" si="460"/>
        <v>107.5</v>
      </c>
      <c r="M3073" s="27">
        <f t="shared" si="461"/>
        <v>322.5</v>
      </c>
      <c r="N3073" s="28">
        <v>0.16</v>
      </c>
      <c r="O3073" s="29">
        <f t="shared" si="462"/>
        <v>51.6</v>
      </c>
      <c r="P3073" s="30">
        <f t="shared" si="463"/>
        <v>374.1</v>
      </c>
      <c r="Q3073" s="23"/>
      <c r="R3073" s="52"/>
      <c r="S3073" s="53"/>
      <c r="T3073" s="54">
        <f t="shared" si="464"/>
        <v>0</v>
      </c>
      <c r="U3073" s="26">
        <f t="shared" si="465"/>
        <v>0</v>
      </c>
      <c r="V3073" s="55">
        <f t="shared" si="466"/>
        <v>0</v>
      </c>
      <c r="W3073" s="29">
        <f t="shared" si="467"/>
        <v>0</v>
      </c>
      <c r="X3073" s="30">
        <f t="shared" si="468"/>
        <v>0</v>
      </c>
      <c r="Y3073"/>
      <c r="Z3073"/>
      <c r="AA3073"/>
    </row>
    <row r="3074" spans="1:27" s="51" customFormat="1" ht="18.600000000000001" hidden="1" customHeight="1" x14ac:dyDescent="0.25">
      <c r="A3074" s="81" t="s">
        <v>2653</v>
      </c>
      <c r="B3074" s="31" t="s">
        <v>9387</v>
      </c>
      <c r="C3074" s="32" t="s">
        <v>9392</v>
      </c>
      <c r="D3074" s="31" t="s">
        <v>7845</v>
      </c>
      <c r="E3074" s="33" t="s">
        <v>7846</v>
      </c>
      <c r="F3074" s="33" t="s">
        <v>1937</v>
      </c>
      <c r="G3074" s="33"/>
      <c r="H3074" s="84" t="s">
        <v>7847</v>
      </c>
      <c r="I3074" s="23" t="s">
        <v>24</v>
      </c>
      <c r="J3074" s="34">
        <v>430</v>
      </c>
      <c r="K3074" s="35">
        <v>0.25</v>
      </c>
      <c r="L3074" s="36">
        <f t="shared" si="460"/>
        <v>107.5</v>
      </c>
      <c r="M3074" s="37">
        <f t="shared" si="461"/>
        <v>322.5</v>
      </c>
      <c r="N3074" s="38">
        <v>0.16</v>
      </c>
      <c r="O3074" s="39">
        <f t="shared" si="462"/>
        <v>51.6</v>
      </c>
      <c r="P3074" s="40">
        <f t="shared" si="463"/>
        <v>374.1</v>
      </c>
      <c r="Q3074" s="23"/>
      <c r="R3074" s="56"/>
      <c r="S3074" s="57"/>
      <c r="T3074" s="58">
        <f t="shared" si="464"/>
        <v>0</v>
      </c>
      <c r="U3074" s="36">
        <f t="shared" si="465"/>
        <v>0</v>
      </c>
      <c r="V3074" s="59">
        <f t="shared" si="466"/>
        <v>0</v>
      </c>
      <c r="W3074" s="39">
        <f t="shared" si="467"/>
        <v>0</v>
      </c>
      <c r="X3074" s="40">
        <f t="shared" si="468"/>
        <v>0</v>
      </c>
      <c r="Y3074"/>
      <c r="Z3074"/>
      <c r="AA3074"/>
    </row>
    <row r="3075" spans="1:27" s="51" customFormat="1" ht="18.600000000000001" hidden="1" customHeight="1" x14ac:dyDescent="0.25">
      <c r="A3075" s="82" t="s">
        <v>2653</v>
      </c>
      <c r="B3075" s="41" t="s">
        <v>9387</v>
      </c>
      <c r="C3075" s="42" t="s">
        <v>9388</v>
      </c>
      <c r="D3075" s="41" t="s">
        <v>7848</v>
      </c>
      <c r="E3075" s="43" t="s">
        <v>7849</v>
      </c>
      <c r="F3075" s="43" t="s">
        <v>1937</v>
      </c>
      <c r="G3075" s="43"/>
      <c r="H3075" s="85" t="s">
        <v>7850</v>
      </c>
      <c r="I3075" s="23" t="s">
        <v>24</v>
      </c>
      <c r="J3075" s="44">
        <v>200</v>
      </c>
      <c r="K3075" s="45">
        <v>0.25</v>
      </c>
      <c r="L3075" s="46">
        <f t="shared" si="460"/>
        <v>50</v>
      </c>
      <c r="M3075" s="47">
        <f t="shared" si="461"/>
        <v>150</v>
      </c>
      <c r="N3075" s="48">
        <v>0.16</v>
      </c>
      <c r="O3075" s="49">
        <f t="shared" si="462"/>
        <v>24</v>
      </c>
      <c r="P3075" s="50">
        <f t="shared" si="463"/>
        <v>174</v>
      </c>
      <c r="Q3075" s="23"/>
      <c r="R3075" s="60"/>
      <c r="S3075" s="61"/>
      <c r="T3075" s="62">
        <f t="shared" si="464"/>
        <v>0</v>
      </c>
      <c r="U3075" s="46">
        <f t="shared" si="465"/>
        <v>0</v>
      </c>
      <c r="V3075" s="63">
        <f t="shared" si="466"/>
        <v>0</v>
      </c>
      <c r="W3075" s="49">
        <f t="shared" si="467"/>
        <v>0</v>
      </c>
      <c r="X3075" s="50">
        <f t="shared" si="468"/>
        <v>0</v>
      </c>
      <c r="Y3075"/>
      <c r="Z3075"/>
      <c r="AA3075"/>
    </row>
    <row r="3076" spans="1:27" s="51" customFormat="1" ht="18.600000000000001" hidden="1" customHeight="1" x14ac:dyDescent="0.25">
      <c r="A3076" s="80" t="s">
        <v>2653</v>
      </c>
      <c r="B3076" s="20" t="s">
        <v>9387</v>
      </c>
      <c r="C3076" s="21" t="s">
        <v>9388</v>
      </c>
      <c r="D3076" s="20" t="s">
        <v>7851</v>
      </c>
      <c r="E3076" s="22" t="s">
        <v>7852</v>
      </c>
      <c r="F3076" s="22" t="s">
        <v>1937</v>
      </c>
      <c r="G3076" s="22"/>
      <c r="H3076" s="83" t="s">
        <v>7853</v>
      </c>
      <c r="I3076" s="23" t="s">
        <v>24</v>
      </c>
      <c r="J3076" s="24">
        <v>200</v>
      </c>
      <c r="K3076" s="25">
        <v>0.25</v>
      </c>
      <c r="L3076" s="26">
        <f t="shared" si="460"/>
        <v>50</v>
      </c>
      <c r="M3076" s="27">
        <f t="shared" si="461"/>
        <v>150</v>
      </c>
      <c r="N3076" s="28">
        <v>0.16</v>
      </c>
      <c r="O3076" s="29">
        <f t="shared" si="462"/>
        <v>24</v>
      </c>
      <c r="P3076" s="30">
        <f t="shared" si="463"/>
        <v>174</v>
      </c>
      <c r="Q3076" s="23"/>
      <c r="R3076" s="52"/>
      <c r="S3076" s="53"/>
      <c r="T3076" s="54">
        <f t="shared" si="464"/>
        <v>0</v>
      </c>
      <c r="U3076" s="26">
        <f t="shared" si="465"/>
        <v>0</v>
      </c>
      <c r="V3076" s="55">
        <f t="shared" si="466"/>
        <v>0</v>
      </c>
      <c r="W3076" s="29">
        <f t="shared" si="467"/>
        <v>0</v>
      </c>
      <c r="X3076" s="30">
        <f t="shared" si="468"/>
        <v>0</v>
      </c>
      <c r="Y3076"/>
      <c r="Z3076"/>
      <c r="AA3076"/>
    </row>
    <row r="3077" spans="1:27" s="51" customFormat="1" ht="18.600000000000001" hidden="1" customHeight="1" x14ac:dyDescent="0.25">
      <c r="A3077" s="81" t="s">
        <v>2653</v>
      </c>
      <c r="B3077" s="31" t="s">
        <v>9387</v>
      </c>
      <c r="C3077" s="32" t="s">
        <v>9388</v>
      </c>
      <c r="D3077" s="31" t="s">
        <v>7854</v>
      </c>
      <c r="E3077" s="33" t="s">
        <v>7855</v>
      </c>
      <c r="F3077" s="33" t="s">
        <v>1937</v>
      </c>
      <c r="G3077" s="33"/>
      <c r="H3077" s="84" t="s">
        <v>7856</v>
      </c>
      <c r="I3077" s="23" t="s">
        <v>24</v>
      </c>
      <c r="J3077" s="34">
        <v>200</v>
      </c>
      <c r="K3077" s="35">
        <v>0.25</v>
      </c>
      <c r="L3077" s="36">
        <f t="shared" si="460"/>
        <v>50</v>
      </c>
      <c r="M3077" s="37">
        <f t="shared" si="461"/>
        <v>150</v>
      </c>
      <c r="N3077" s="38">
        <v>0.16</v>
      </c>
      <c r="O3077" s="39">
        <f t="shared" si="462"/>
        <v>24</v>
      </c>
      <c r="P3077" s="40">
        <f t="shared" si="463"/>
        <v>174</v>
      </c>
      <c r="Q3077" s="23"/>
      <c r="R3077" s="56"/>
      <c r="S3077" s="57"/>
      <c r="T3077" s="58">
        <f t="shared" si="464"/>
        <v>0</v>
      </c>
      <c r="U3077" s="36">
        <f t="shared" si="465"/>
        <v>0</v>
      </c>
      <c r="V3077" s="59">
        <f t="shared" si="466"/>
        <v>0</v>
      </c>
      <c r="W3077" s="39">
        <f t="shared" si="467"/>
        <v>0</v>
      </c>
      <c r="X3077" s="40">
        <f t="shared" si="468"/>
        <v>0</v>
      </c>
      <c r="Y3077"/>
      <c r="Z3077"/>
      <c r="AA3077"/>
    </row>
    <row r="3078" spans="1:27" s="51" customFormat="1" ht="18.600000000000001" hidden="1" customHeight="1" x14ac:dyDescent="0.25">
      <c r="A3078" s="82" t="s">
        <v>2653</v>
      </c>
      <c r="B3078" s="41" t="s">
        <v>9387</v>
      </c>
      <c r="C3078" s="42" t="s">
        <v>9388</v>
      </c>
      <c r="D3078" s="41" t="s">
        <v>7857</v>
      </c>
      <c r="E3078" s="43" t="s">
        <v>7858</v>
      </c>
      <c r="F3078" s="43" t="s">
        <v>1937</v>
      </c>
      <c r="G3078" s="43"/>
      <c r="H3078" s="85" t="s">
        <v>7859</v>
      </c>
      <c r="I3078" s="23" t="s">
        <v>24</v>
      </c>
      <c r="J3078" s="44">
        <v>200</v>
      </c>
      <c r="K3078" s="45">
        <v>0.25</v>
      </c>
      <c r="L3078" s="46">
        <f t="shared" si="460"/>
        <v>50</v>
      </c>
      <c r="M3078" s="47">
        <f t="shared" si="461"/>
        <v>150</v>
      </c>
      <c r="N3078" s="48">
        <v>0.16</v>
      </c>
      <c r="O3078" s="49">
        <f t="shared" si="462"/>
        <v>24</v>
      </c>
      <c r="P3078" s="50">
        <f t="shared" si="463"/>
        <v>174</v>
      </c>
      <c r="Q3078" s="23"/>
      <c r="R3078" s="60"/>
      <c r="S3078" s="61"/>
      <c r="T3078" s="62">
        <f t="shared" si="464"/>
        <v>0</v>
      </c>
      <c r="U3078" s="46">
        <f t="shared" si="465"/>
        <v>0</v>
      </c>
      <c r="V3078" s="63">
        <f t="shared" si="466"/>
        <v>0</v>
      </c>
      <c r="W3078" s="49">
        <f t="shared" si="467"/>
        <v>0</v>
      </c>
      <c r="X3078" s="50">
        <f t="shared" si="468"/>
        <v>0</v>
      </c>
      <c r="Y3078"/>
      <c r="Z3078"/>
      <c r="AA3078"/>
    </row>
    <row r="3079" spans="1:27" s="51" customFormat="1" ht="18.600000000000001" hidden="1" customHeight="1" x14ac:dyDescent="0.25">
      <c r="A3079" s="80" t="s">
        <v>2653</v>
      </c>
      <c r="B3079" s="20" t="s">
        <v>9387</v>
      </c>
      <c r="C3079" s="21" t="s">
        <v>9388</v>
      </c>
      <c r="D3079" s="20" t="s">
        <v>7860</v>
      </c>
      <c r="E3079" s="22" t="s">
        <v>7861</v>
      </c>
      <c r="F3079" s="22" t="s">
        <v>1937</v>
      </c>
      <c r="G3079" s="22"/>
      <c r="H3079" s="83" t="s">
        <v>7862</v>
      </c>
      <c r="I3079" s="23" t="s">
        <v>24</v>
      </c>
      <c r="J3079" s="24">
        <v>200</v>
      </c>
      <c r="K3079" s="25">
        <v>0.25</v>
      </c>
      <c r="L3079" s="26">
        <f t="shared" si="460"/>
        <v>50</v>
      </c>
      <c r="M3079" s="27">
        <f t="shared" si="461"/>
        <v>150</v>
      </c>
      <c r="N3079" s="28">
        <v>0.16</v>
      </c>
      <c r="O3079" s="29">
        <f t="shared" si="462"/>
        <v>24</v>
      </c>
      <c r="P3079" s="30">
        <f t="shared" si="463"/>
        <v>174</v>
      </c>
      <c r="Q3079" s="23"/>
      <c r="R3079" s="52"/>
      <c r="S3079" s="53"/>
      <c r="T3079" s="54">
        <f t="shared" si="464"/>
        <v>0</v>
      </c>
      <c r="U3079" s="26">
        <f t="shared" si="465"/>
        <v>0</v>
      </c>
      <c r="V3079" s="55">
        <f t="shared" si="466"/>
        <v>0</v>
      </c>
      <c r="W3079" s="29">
        <f t="shared" si="467"/>
        <v>0</v>
      </c>
      <c r="X3079" s="30">
        <f t="shared" si="468"/>
        <v>0</v>
      </c>
      <c r="Y3079"/>
      <c r="Z3079"/>
      <c r="AA3079"/>
    </row>
    <row r="3080" spans="1:27" s="51" customFormat="1" ht="18.600000000000001" hidden="1" customHeight="1" x14ac:dyDescent="0.25">
      <c r="A3080" s="81" t="s">
        <v>2653</v>
      </c>
      <c r="B3080" s="31" t="s">
        <v>9387</v>
      </c>
      <c r="C3080" s="32" t="s">
        <v>9388</v>
      </c>
      <c r="D3080" s="31" t="s">
        <v>7863</v>
      </c>
      <c r="E3080" s="33" t="s">
        <v>7864</v>
      </c>
      <c r="F3080" s="33" t="s">
        <v>1937</v>
      </c>
      <c r="G3080" s="33"/>
      <c r="H3080" s="84" t="s">
        <v>7865</v>
      </c>
      <c r="I3080" s="23" t="s">
        <v>24</v>
      </c>
      <c r="J3080" s="34">
        <v>200</v>
      </c>
      <c r="K3080" s="35">
        <v>0.25</v>
      </c>
      <c r="L3080" s="36">
        <f t="shared" si="460"/>
        <v>50</v>
      </c>
      <c r="M3080" s="37">
        <f t="shared" si="461"/>
        <v>150</v>
      </c>
      <c r="N3080" s="38">
        <v>0.16</v>
      </c>
      <c r="O3080" s="39">
        <f t="shared" si="462"/>
        <v>24</v>
      </c>
      <c r="P3080" s="40">
        <f t="shared" si="463"/>
        <v>174</v>
      </c>
      <c r="Q3080" s="23"/>
      <c r="R3080" s="56"/>
      <c r="S3080" s="57"/>
      <c r="T3080" s="58">
        <f t="shared" si="464"/>
        <v>0</v>
      </c>
      <c r="U3080" s="36">
        <f t="shared" si="465"/>
        <v>0</v>
      </c>
      <c r="V3080" s="59">
        <f t="shared" si="466"/>
        <v>0</v>
      </c>
      <c r="W3080" s="39">
        <f t="shared" si="467"/>
        <v>0</v>
      </c>
      <c r="X3080" s="40">
        <f t="shared" si="468"/>
        <v>0</v>
      </c>
      <c r="Y3080"/>
      <c r="Z3080"/>
      <c r="AA3080"/>
    </row>
    <row r="3081" spans="1:27" s="51" customFormat="1" ht="18.600000000000001" hidden="1" customHeight="1" x14ac:dyDescent="0.25">
      <c r="A3081" s="82" t="s">
        <v>2653</v>
      </c>
      <c r="B3081" s="41" t="s">
        <v>9387</v>
      </c>
      <c r="C3081" s="42" t="s">
        <v>9392</v>
      </c>
      <c r="D3081" s="41" t="s">
        <v>7866</v>
      </c>
      <c r="E3081" s="43" t="s">
        <v>7867</v>
      </c>
      <c r="F3081" s="43" t="s">
        <v>1937</v>
      </c>
      <c r="G3081" s="43"/>
      <c r="H3081" s="85" t="s">
        <v>7868</v>
      </c>
      <c r="I3081" s="23" t="s">
        <v>24</v>
      </c>
      <c r="J3081" s="44">
        <v>280</v>
      </c>
      <c r="K3081" s="45">
        <v>0.25</v>
      </c>
      <c r="L3081" s="46">
        <f t="shared" si="460"/>
        <v>70</v>
      </c>
      <c r="M3081" s="47">
        <f t="shared" si="461"/>
        <v>210</v>
      </c>
      <c r="N3081" s="48">
        <v>0.16</v>
      </c>
      <c r="O3081" s="49">
        <f t="shared" si="462"/>
        <v>33.6</v>
      </c>
      <c r="P3081" s="50">
        <f t="shared" si="463"/>
        <v>243.6</v>
      </c>
      <c r="Q3081" s="23"/>
      <c r="R3081" s="60"/>
      <c r="S3081" s="61"/>
      <c r="T3081" s="62">
        <f t="shared" si="464"/>
        <v>0</v>
      </c>
      <c r="U3081" s="46">
        <f t="shared" si="465"/>
        <v>0</v>
      </c>
      <c r="V3081" s="63">
        <f t="shared" si="466"/>
        <v>0</v>
      </c>
      <c r="W3081" s="49">
        <f t="shared" si="467"/>
        <v>0</v>
      </c>
      <c r="X3081" s="50">
        <f t="shared" si="468"/>
        <v>0</v>
      </c>
      <c r="Y3081"/>
      <c r="Z3081"/>
      <c r="AA3081"/>
    </row>
    <row r="3082" spans="1:27" s="51" customFormat="1" ht="18.600000000000001" hidden="1" customHeight="1" x14ac:dyDescent="0.25">
      <c r="A3082" s="80" t="s">
        <v>2653</v>
      </c>
      <c r="B3082" s="20" t="s">
        <v>9387</v>
      </c>
      <c r="C3082" s="21" t="s">
        <v>9392</v>
      </c>
      <c r="D3082" s="20" t="s">
        <v>7869</v>
      </c>
      <c r="E3082" s="22" t="s">
        <v>7870</v>
      </c>
      <c r="F3082" s="22" t="s">
        <v>1937</v>
      </c>
      <c r="G3082" s="22"/>
      <c r="H3082" s="83" t="s">
        <v>7871</v>
      </c>
      <c r="I3082" s="23" t="s">
        <v>24</v>
      </c>
      <c r="J3082" s="24">
        <v>280</v>
      </c>
      <c r="K3082" s="25">
        <v>0.25</v>
      </c>
      <c r="L3082" s="26">
        <f t="shared" si="460"/>
        <v>70</v>
      </c>
      <c r="M3082" s="27">
        <f t="shared" si="461"/>
        <v>210</v>
      </c>
      <c r="N3082" s="28">
        <v>0.16</v>
      </c>
      <c r="O3082" s="29">
        <f t="shared" si="462"/>
        <v>33.6</v>
      </c>
      <c r="P3082" s="30">
        <f t="shared" si="463"/>
        <v>243.6</v>
      </c>
      <c r="Q3082" s="23"/>
      <c r="R3082" s="52"/>
      <c r="S3082" s="53"/>
      <c r="T3082" s="54">
        <f t="shared" si="464"/>
        <v>0</v>
      </c>
      <c r="U3082" s="26">
        <f t="shared" si="465"/>
        <v>0</v>
      </c>
      <c r="V3082" s="55">
        <f t="shared" si="466"/>
        <v>0</v>
      </c>
      <c r="W3082" s="29">
        <f t="shared" si="467"/>
        <v>0</v>
      </c>
      <c r="X3082" s="30">
        <f t="shared" si="468"/>
        <v>0</v>
      </c>
      <c r="Y3082"/>
      <c r="Z3082"/>
      <c r="AA3082"/>
    </row>
    <row r="3083" spans="1:27" s="51" customFormat="1" ht="18.600000000000001" hidden="1" customHeight="1" x14ac:dyDescent="0.25">
      <c r="A3083" s="81" t="s">
        <v>2653</v>
      </c>
      <c r="B3083" s="31" t="s">
        <v>9387</v>
      </c>
      <c r="C3083" s="32" t="s">
        <v>9392</v>
      </c>
      <c r="D3083" s="31" t="s">
        <v>7872</v>
      </c>
      <c r="E3083" s="33" t="s">
        <v>7873</v>
      </c>
      <c r="F3083" s="33" t="s">
        <v>1937</v>
      </c>
      <c r="G3083" s="33"/>
      <c r="H3083" s="84" t="s">
        <v>7874</v>
      </c>
      <c r="I3083" s="23" t="s">
        <v>24</v>
      </c>
      <c r="J3083" s="34">
        <v>280</v>
      </c>
      <c r="K3083" s="35">
        <v>0.25</v>
      </c>
      <c r="L3083" s="36">
        <f t="shared" si="460"/>
        <v>70</v>
      </c>
      <c r="M3083" s="37">
        <f t="shared" si="461"/>
        <v>210</v>
      </c>
      <c r="N3083" s="38">
        <v>0.16</v>
      </c>
      <c r="O3083" s="39">
        <f t="shared" si="462"/>
        <v>33.6</v>
      </c>
      <c r="P3083" s="40">
        <f t="shared" si="463"/>
        <v>243.6</v>
      </c>
      <c r="Q3083" s="23"/>
      <c r="R3083" s="56"/>
      <c r="S3083" s="57"/>
      <c r="T3083" s="58">
        <f t="shared" si="464"/>
        <v>0</v>
      </c>
      <c r="U3083" s="36">
        <f t="shared" si="465"/>
        <v>0</v>
      </c>
      <c r="V3083" s="59">
        <f t="shared" si="466"/>
        <v>0</v>
      </c>
      <c r="W3083" s="39">
        <f t="shared" si="467"/>
        <v>0</v>
      </c>
      <c r="X3083" s="40">
        <f t="shared" si="468"/>
        <v>0</v>
      </c>
      <c r="Y3083"/>
      <c r="Z3083"/>
      <c r="AA3083"/>
    </row>
    <row r="3084" spans="1:27" s="51" customFormat="1" ht="18.600000000000001" hidden="1" customHeight="1" x14ac:dyDescent="0.25">
      <c r="A3084" s="82" t="s">
        <v>2653</v>
      </c>
      <c r="B3084" s="41" t="s">
        <v>9387</v>
      </c>
      <c r="C3084" s="42" t="s">
        <v>9392</v>
      </c>
      <c r="D3084" s="41" t="s">
        <v>7875</v>
      </c>
      <c r="E3084" s="43" t="s">
        <v>7876</v>
      </c>
      <c r="F3084" s="43" t="s">
        <v>1937</v>
      </c>
      <c r="G3084" s="43"/>
      <c r="H3084" s="85" t="s">
        <v>7877</v>
      </c>
      <c r="I3084" s="23" t="s">
        <v>24</v>
      </c>
      <c r="J3084" s="44">
        <v>280</v>
      </c>
      <c r="K3084" s="45">
        <v>0.25</v>
      </c>
      <c r="L3084" s="46">
        <f t="shared" si="460"/>
        <v>70</v>
      </c>
      <c r="M3084" s="47">
        <f t="shared" si="461"/>
        <v>210</v>
      </c>
      <c r="N3084" s="48">
        <v>0.16</v>
      </c>
      <c r="O3084" s="49">
        <f t="shared" si="462"/>
        <v>33.6</v>
      </c>
      <c r="P3084" s="50">
        <f t="shared" si="463"/>
        <v>243.6</v>
      </c>
      <c r="Q3084" s="23"/>
      <c r="R3084" s="60"/>
      <c r="S3084" s="61"/>
      <c r="T3084" s="62">
        <f t="shared" si="464"/>
        <v>0</v>
      </c>
      <c r="U3084" s="46">
        <f t="shared" si="465"/>
        <v>0</v>
      </c>
      <c r="V3084" s="63">
        <f t="shared" si="466"/>
        <v>0</v>
      </c>
      <c r="W3084" s="49">
        <f t="shared" si="467"/>
        <v>0</v>
      </c>
      <c r="X3084" s="50">
        <f t="shared" si="468"/>
        <v>0</v>
      </c>
      <c r="Y3084"/>
      <c r="Z3084"/>
      <c r="AA3084"/>
    </row>
    <row r="3085" spans="1:27" s="51" customFormat="1" ht="18.600000000000001" hidden="1" customHeight="1" x14ac:dyDescent="0.25">
      <c r="A3085" s="80" t="s">
        <v>2653</v>
      </c>
      <c r="B3085" s="20" t="s">
        <v>9387</v>
      </c>
      <c r="C3085" s="21" t="s">
        <v>9388</v>
      </c>
      <c r="D3085" s="20" t="s">
        <v>7878</v>
      </c>
      <c r="E3085" s="22" t="s">
        <v>7879</v>
      </c>
      <c r="F3085" s="22" t="s">
        <v>1937</v>
      </c>
      <c r="G3085" s="22"/>
      <c r="H3085" s="83" t="s">
        <v>7880</v>
      </c>
      <c r="I3085" s="23" t="s">
        <v>24</v>
      </c>
      <c r="J3085" s="24">
        <v>195</v>
      </c>
      <c r="K3085" s="25">
        <v>0.25</v>
      </c>
      <c r="L3085" s="26">
        <f t="shared" si="460"/>
        <v>48.75</v>
      </c>
      <c r="M3085" s="27">
        <f t="shared" si="461"/>
        <v>146.25</v>
      </c>
      <c r="N3085" s="28">
        <v>0.16</v>
      </c>
      <c r="O3085" s="29">
        <f t="shared" si="462"/>
        <v>23.400000000000002</v>
      </c>
      <c r="P3085" s="30">
        <f t="shared" si="463"/>
        <v>169.65</v>
      </c>
      <c r="Q3085" s="23"/>
      <c r="R3085" s="52"/>
      <c r="S3085" s="53"/>
      <c r="T3085" s="54">
        <f t="shared" si="464"/>
        <v>0</v>
      </c>
      <c r="U3085" s="26">
        <f t="shared" si="465"/>
        <v>0</v>
      </c>
      <c r="V3085" s="55">
        <f t="shared" si="466"/>
        <v>0</v>
      </c>
      <c r="W3085" s="29">
        <f t="shared" si="467"/>
        <v>0</v>
      </c>
      <c r="X3085" s="30">
        <f t="shared" si="468"/>
        <v>0</v>
      </c>
      <c r="Y3085"/>
      <c r="Z3085"/>
      <c r="AA3085"/>
    </row>
    <row r="3086" spans="1:27" s="51" customFormat="1" ht="18.600000000000001" hidden="1" customHeight="1" x14ac:dyDescent="0.25">
      <c r="A3086" s="81" t="s">
        <v>2653</v>
      </c>
      <c r="B3086" s="31" t="s">
        <v>9387</v>
      </c>
      <c r="C3086" s="32" t="s">
        <v>9388</v>
      </c>
      <c r="D3086" s="31" t="s">
        <v>7881</v>
      </c>
      <c r="E3086" s="33" t="s">
        <v>7882</v>
      </c>
      <c r="F3086" s="33" t="s">
        <v>1937</v>
      </c>
      <c r="G3086" s="33"/>
      <c r="H3086" s="84" t="s">
        <v>7883</v>
      </c>
      <c r="I3086" s="23" t="s">
        <v>24</v>
      </c>
      <c r="J3086" s="34">
        <v>195</v>
      </c>
      <c r="K3086" s="35">
        <v>0.25</v>
      </c>
      <c r="L3086" s="36">
        <f t="shared" si="460"/>
        <v>48.75</v>
      </c>
      <c r="M3086" s="37">
        <f t="shared" si="461"/>
        <v>146.25</v>
      </c>
      <c r="N3086" s="38">
        <v>0.16</v>
      </c>
      <c r="O3086" s="39">
        <f t="shared" si="462"/>
        <v>23.400000000000002</v>
      </c>
      <c r="P3086" s="40">
        <f t="shared" si="463"/>
        <v>169.65</v>
      </c>
      <c r="Q3086" s="23"/>
      <c r="R3086" s="56"/>
      <c r="S3086" s="57"/>
      <c r="T3086" s="58">
        <f t="shared" si="464"/>
        <v>0</v>
      </c>
      <c r="U3086" s="36">
        <f t="shared" si="465"/>
        <v>0</v>
      </c>
      <c r="V3086" s="59">
        <f t="shared" si="466"/>
        <v>0</v>
      </c>
      <c r="W3086" s="39">
        <f t="shared" si="467"/>
        <v>0</v>
      </c>
      <c r="X3086" s="40">
        <f t="shared" si="468"/>
        <v>0</v>
      </c>
      <c r="Y3086"/>
      <c r="Z3086"/>
      <c r="AA3086"/>
    </row>
    <row r="3087" spans="1:27" s="51" customFormat="1" ht="18.600000000000001" hidden="1" customHeight="1" x14ac:dyDescent="0.25">
      <c r="A3087" s="82" t="s">
        <v>2653</v>
      </c>
      <c r="B3087" s="41" t="s">
        <v>9387</v>
      </c>
      <c r="C3087" s="42" t="s">
        <v>9388</v>
      </c>
      <c r="D3087" s="41" t="s">
        <v>7884</v>
      </c>
      <c r="E3087" s="43" t="s">
        <v>7885</v>
      </c>
      <c r="F3087" s="43" t="s">
        <v>1937</v>
      </c>
      <c r="G3087" s="43"/>
      <c r="H3087" s="85" t="s">
        <v>7886</v>
      </c>
      <c r="I3087" s="23" t="s">
        <v>24</v>
      </c>
      <c r="J3087" s="44">
        <v>195</v>
      </c>
      <c r="K3087" s="45">
        <v>0.25</v>
      </c>
      <c r="L3087" s="46">
        <f t="shared" si="460"/>
        <v>48.75</v>
      </c>
      <c r="M3087" s="47">
        <f t="shared" si="461"/>
        <v>146.25</v>
      </c>
      <c r="N3087" s="48">
        <v>0.16</v>
      </c>
      <c r="O3087" s="49">
        <f t="shared" si="462"/>
        <v>23.400000000000002</v>
      </c>
      <c r="P3087" s="50">
        <f t="shared" si="463"/>
        <v>169.65</v>
      </c>
      <c r="Q3087" s="23"/>
      <c r="R3087" s="60"/>
      <c r="S3087" s="61"/>
      <c r="T3087" s="62">
        <f t="shared" si="464"/>
        <v>0</v>
      </c>
      <c r="U3087" s="46">
        <f t="shared" si="465"/>
        <v>0</v>
      </c>
      <c r="V3087" s="63">
        <f t="shared" si="466"/>
        <v>0</v>
      </c>
      <c r="W3087" s="49">
        <f t="shared" si="467"/>
        <v>0</v>
      </c>
      <c r="X3087" s="50">
        <f t="shared" si="468"/>
        <v>0</v>
      </c>
      <c r="Y3087"/>
      <c r="Z3087"/>
      <c r="AA3087"/>
    </row>
    <row r="3088" spans="1:27" s="51" customFormat="1" ht="18.600000000000001" hidden="1" customHeight="1" x14ac:dyDescent="0.25">
      <c r="A3088" s="80" t="s">
        <v>2653</v>
      </c>
      <c r="B3088" s="20" t="s">
        <v>9387</v>
      </c>
      <c r="C3088" s="21" t="s">
        <v>9388</v>
      </c>
      <c r="D3088" s="20" t="s">
        <v>7887</v>
      </c>
      <c r="E3088" s="22" t="s">
        <v>7888</v>
      </c>
      <c r="F3088" s="22" t="s">
        <v>1937</v>
      </c>
      <c r="G3088" s="22"/>
      <c r="H3088" s="83" t="s">
        <v>7889</v>
      </c>
      <c r="I3088" s="23" t="s">
        <v>24</v>
      </c>
      <c r="J3088" s="24">
        <v>195</v>
      </c>
      <c r="K3088" s="25">
        <v>0.25</v>
      </c>
      <c r="L3088" s="26">
        <f t="shared" si="460"/>
        <v>48.75</v>
      </c>
      <c r="M3088" s="27">
        <f t="shared" si="461"/>
        <v>146.25</v>
      </c>
      <c r="N3088" s="28">
        <v>0.16</v>
      </c>
      <c r="O3088" s="29">
        <f t="shared" si="462"/>
        <v>23.400000000000002</v>
      </c>
      <c r="P3088" s="30">
        <f t="shared" si="463"/>
        <v>169.65</v>
      </c>
      <c r="Q3088" s="23"/>
      <c r="R3088" s="52"/>
      <c r="S3088" s="53"/>
      <c r="T3088" s="54">
        <f t="shared" si="464"/>
        <v>0</v>
      </c>
      <c r="U3088" s="26">
        <f t="shared" si="465"/>
        <v>0</v>
      </c>
      <c r="V3088" s="55">
        <f t="shared" si="466"/>
        <v>0</v>
      </c>
      <c r="W3088" s="29">
        <f t="shared" si="467"/>
        <v>0</v>
      </c>
      <c r="X3088" s="30">
        <f t="shared" si="468"/>
        <v>0</v>
      </c>
      <c r="Y3088"/>
      <c r="Z3088"/>
      <c r="AA3088"/>
    </row>
    <row r="3089" spans="1:27" s="51" customFormat="1" ht="18.600000000000001" hidden="1" customHeight="1" x14ac:dyDescent="0.25">
      <c r="A3089" s="81" t="s">
        <v>2653</v>
      </c>
      <c r="B3089" s="31" t="s">
        <v>9387</v>
      </c>
      <c r="C3089" s="32" t="s">
        <v>9388</v>
      </c>
      <c r="D3089" s="31" t="s">
        <v>7890</v>
      </c>
      <c r="E3089" s="33" t="s">
        <v>7891</v>
      </c>
      <c r="F3089" s="33" t="s">
        <v>1937</v>
      </c>
      <c r="G3089" s="33"/>
      <c r="H3089" s="84" t="s">
        <v>7892</v>
      </c>
      <c r="I3089" s="23" t="s">
        <v>24</v>
      </c>
      <c r="J3089" s="34">
        <v>195</v>
      </c>
      <c r="K3089" s="35">
        <v>0.25</v>
      </c>
      <c r="L3089" s="36">
        <f t="shared" si="460"/>
        <v>48.75</v>
      </c>
      <c r="M3089" s="37">
        <f t="shared" si="461"/>
        <v>146.25</v>
      </c>
      <c r="N3089" s="38">
        <v>0.16</v>
      </c>
      <c r="O3089" s="39">
        <f t="shared" si="462"/>
        <v>23.400000000000002</v>
      </c>
      <c r="P3089" s="40">
        <f t="shared" si="463"/>
        <v>169.65</v>
      </c>
      <c r="Q3089" s="23"/>
      <c r="R3089" s="56"/>
      <c r="S3089" s="57"/>
      <c r="T3089" s="58">
        <f t="shared" si="464"/>
        <v>0</v>
      </c>
      <c r="U3089" s="36">
        <f t="shared" si="465"/>
        <v>0</v>
      </c>
      <c r="V3089" s="59">
        <f t="shared" si="466"/>
        <v>0</v>
      </c>
      <c r="W3089" s="39">
        <f t="shared" si="467"/>
        <v>0</v>
      </c>
      <c r="X3089" s="40">
        <f t="shared" si="468"/>
        <v>0</v>
      </c>
      <c r="Y3089"/>
      <c r="Z3089"/>
      <c r="AA3089"/>
    </row>
    <row r="3090" spans="1:27" s="51" customFormat="1" ht="18.600000000000001" hidden="1" customHeight="1" x14ac:dyDescent="0.25">
      <c r="A3090" s="82" t="s">
        <v>2653</v>
      </c>
      <c r="B3090" s="41" t="s">
        <v>9387</v>
      </c>
      <c r="C3090" s="42" t="s">
        <v>9388</v>
      </c>
      <c r="D3090" s="41" t="s">
        <v>7893</v>
      </c>
      <c r="E3090" s="43" t="s">
        <v>7894</v>
      </c>
      <c r="F3090" s="43" t="s">
        <v>1937</v>
      </c>
      <c r="G3090" s="43"/>
      <c r="H3090" s="85" t="s">
        <v>7895</v>
      </c>
      <c r="I3090" s="23" t="s">
        <v>24</v>
      </c>
      <c r="J3090" s="44">
        <v>195</v>
      </c>
      <c r="K3090" s="45">
        <v>0.25</v>
      </c>
      <c r="L3090" s="46">
        <f t="shared" si="460"/>
        <v>48.75</v>
      </c>
      <c r="M3090" s="47">
        <f t="shared" si="461"/>
        <v>146.25</v>
      </c>
      <c r="N3090" s="48">
        <v>0.16</v>
      </c>
      <c r="O3090" s="49">
        <f t="shared" si="462"/>
        <v>23.400000000000002</v>
      </c>
      <c r="P3090" s="50">
        <f t="shared" si="463"/>
        <v>169.65</v>
      </c>
      <c r="Q3090" s="23"/>
      <c r="R3090" s="60"/>
      <c r="S3090" s="61"/>
      <c r="T3090" s="62">
        <f t="shared" si="464"/>
        <v>0</v>
      </c>
      <c r="U3090" s="46">
        <f t="shared" si="465"/>
        <v>0</v>
      </c>
      <c r="V3090" s="63">
        <f t="shared" si="466"/>
        <v>0</v>
      </c>
      <c r="W3090" s="49">
        <f t="shared" si="467"/>
        <v>0</v>
      </c>
      <c r="X3090" s="50">
        <f t="shared" si="468"/>
        <v>0</v>
      </c>
      <c r="Y3090"/>
      <c r="Z3090"/>
      <c r="AA3090"/>
    </row>
    <row r="3091" spans="1:27" s="51" customFormat="1" ht="18.600000000000001" hidden="1" customHeight="1" x14ac:dyDescent="0.25">
      <c r="A3091" s="80" t="s">
        <v>2653</v>
      </c>
      <c r="B3091" s="20" t="s">
        <v>9387</v>
      </c>
      <c r="C3091" s="21" t="s">
        <v>9388</v>
      </c>
      <c r="D3091" s="20" t="s">
        <v>9488</v>
      </c>
      <c r="E3091" s="22" t="s">
        <v>9581</v>
      </c>
      <c r="F3091" s="22" t="s">
        <v>1937</v>
      </c>
      <c r="G3091" s="22"/>
      <c r="H3091" s="83" t="s">
        <v>9725</v>
      </c>
      <c r="I3091" s="23" t="s">
        <v>24</v>
      </c>
      <c r="J3091" s="24">
        <v>210</v>
      </c>
      <c r="K3091" s="25">
        <v>0.25</v>
      </c>
      <c r="L3091" s="26">
        <f t="shared" si="460"/>
        <v>52.5</v>
      </c>
      <c r="M3091" s="27">
        <f t="shared" si="461"/>
        <v>157.5</v>
      </c>
      <c r="N3091" s="28">
        <v>0.16</v>
      </c>
      <c r="O3091" s="29">
        <f t="shared" si="462"/>
        <v>25.2</v>
      </c>
      <c r="P3091" s="30">
        <f t="shared" si="463"/>
        <v>182.7</v>
      </c>
      <c r="Q3091" s="23"/>
      <c r="R3091" s="52"/>
      <c r="S3091" s="53"/>
      <c r="T3091" s="54">
        <f t="shared" si="464"/>
        <v>0</v>
      </c>
      <c r="U3091" s="26">
        <f t="shared" si="465"/>
        <v>0</v>
      </c>
      <c r="V3091" s="55">
        <f t="shared" si="466"/>
        <v>0</v>
      </c>
      <c r="W3091" s="29">
        <f t="shared" si="467"/>
        <v>0</v>
      </c>
      <c r="X3091" s="30">
        <f t="shared" si="468"/>
        <v>0</v>
      </c>
      <c r="Y3091"/>
      <c r="Z3091"/>
      <c r="AA3091"/>
    </row>
    <row r="3092" spans="1:27" s="51" customFormat="1" ht="18.600000000000001" hidden="1" customHeight="1" x14ac:dyDescent="0.25">
      <c r="A3092" s="81" t="s">
        <v>2653</v>
      </c>
      <c r="B3092" s="31" t="s">
        <v>9387</v>
      </c>
      <c r="C3092" s="32" t="s">
        <v>9388</v>
      </c>
      <c r="D3092" s="31" t="s">
        <v>9489</v>
      </c>
      <c r="E3092" s="33" t="s">
        <v>9582</v>
      </c>
      <c r="F3092" s="33" t="s">
        <v>1937</v>
      </c>
      <c r="G3092" s="33"/>
      <c r="H3092" s="84" t="s">
        <v>9726</v>
      </c>
      <c r="I3092" s="23" t="s">
        <v>24</v>
      </c>
      <c r="J3092" s="34">
        <v>210</v>
      </c>
      <c r="K3092" s="35">
        <v>0.25</v>
      </c>
      <c r="L3092" s="36">
        <f t="shared" si="460"/>
        <v>52.5</v>
      </c>
      <c r="M3092" s="37">
        <f t="shared" si="461"/>
        <v>157.5</v>
      </c>
      <c r="N3092" s="38">
        <v>0.16</v>
      </c>
      <c r="O3092" s="39">
        <f t="shared" si="462"/>
        <v>25.2</v>
      </c>
      <c r="P3092" s="40">
        <f t="shared" si="463"/>
        <v>182.7</v>
      </c>
      <c r="Q3092" s="23"/>
      <c r="R3092" s="56"/>
      <c r="S3092" s="57"/>
      <c r="T3092" s="58">
        <f t="shared" si="464"/>
        <v>0</v>
      </c>
      <c r="U3092" s="36">
        <f t="shared" si="465"/>
        <v>0</v>
      </c>
      <c r="V3092" s="59">
        <f t="shared" si="466"/>
        <v>0</v>
      </c>
      <c r="W3092" s="39">
        <f t="shared" si="467"/>
        <v>0</v>
      </c>
      <c r="X3092" s="40">
        <f t="shared" si="468"/>
        <v>0</v>
      </c>
      <c r="Y3092"/>
      <c r="Z3092"/>
      <c r="AA3092"/>
    </row>
    <row r="3093" spans="1:27" s="51" customFormat="1" ht="18.600000000000001" hidden="1" customHeight="1" x14ac:dyDescent="0.25">
      <c r="A3093" s="82" t="s">
        <v>2653</v>
      </c>
      <c r="B3093" s="41" t="s">
        <v>9387</v>
      </c>
      <c r="C3093" s="42" t="s">
        <v>9388</v>
      </c>
      <c r="D3093" s="41" t="s">
        <v>9490</v>
      </c>
      <c r="E3093" s="43" t="s">
        <v>9583</v>
      </c>
      <c r="F3093" s="43" t="s">
        <v>1937</v>
      </c>
      <c r="G3093" s="43"/>
      <c r="H3093" s="85" t="s">
        <v>9727</v>
      </c>
      <c r="I3093" s="23" t="s">
        <v>24</v>
      </c>
      <c r="J3093" s="44">
        <v>210</v>
      </c>
      <c r="K3093" s="45">
        <v>0.25</v>
      </c>
      <c r="L3093" s="46">
        <f t="shared" si="460"/>
        <v>52.5</v>
      </c>
      <c r="M3093" s="47">
        <f t="shared" si="461"/>
        <v>157.5</v>
      </c>
      <c r="N3093" s="48">
        <v>0.16</v>
      </c>
      <c r="O3093" s="49">
        <f t="shared" si="462"/>
        <v>25.2</v>
      </c>
      <c r="P3093" s="50">
        <f t="shared" si="463"/>
        <v>182.7</v>
      </c>
      <c r="Q3093" s="23"/>
      <c r="R3093" s="60"/>
      <c r="S3093" s="61"/>
      <c r="T3093" s="62">
        <f t="shared" si="464"/>
        <v>0</v>
      </c>
      <c r="U3093" s="46">
        <f t="shared" si="465"/>
        <v>0</v>
      </c>
      <c r="V3093" s="63">
        <f t="shared" si="466"/>
        <v>0</v>
      </c>
      <c r="W3093" s="49">
        <f t="shared" si="467"/>
        <v>0</v>
      </c>
      <c r="X3093" s="50">
        <f t="shared" si="468"/>
        <v>0</v>
      </c>
      <c r="Y3093"/>
      <c r="Z3093"/>
      <c r="AA3093"/>
    </row>
    <row r="3094" spans="1:27" s="51" customFormat="1" ht="18.600000000000001" hidden="1" customHeight="1" x14ac:dyDescent="0.25">
      <c r="A3094" s="80" t="s">
        <v>2653</v>
      </c>
      <c r="B3094" s="20" t="s">
        <v>9387</v>
      </c>
      <c r="C3094" s="21" t="s">
        <v>9388</v>
      </c>
      <c r="D3094" s="20" t="s">
        <v>9491</v>
      </c>
      <c r="E3094" s="22" t="s">
        <v>9584</v>
      </c>
      <c r="F3094" s="22" t="s">
        <v>1937</v>
      </c>
      <c r="G3094" s="22"/>
      <c r="H3094" s="83" t="s">
        <v>9728</v>
      </c>
      <c r="I3094" s="23" t="s">
        <v>24</v>
      </c>
      <c r="J3094" s="24">
        <v>210</v>
      </c>
      <c r="K3094" s="25">
        <v>0.25</v>
      </c>
      <c r="L3094" s="26">
        <f t="shared" si="460"/>
        <v>52.5</v>
      </c>
      <c r="M3094" s="27">
        <f t="shared" si="461"/>
        <v>157.5</v>
      </c>
      <c r="N3094" s="28">
        <v>0.16</v>
      </c>
      <c r="O3094" s="29">
        <f t="shared" si="462"/>
        <v>25.2</v>
      </c>
      <c r="P3094" s="30">
        <f t="shared" si="463"/>
        <v>182.7</v>
      </c>
      <c r="Q3094" s="23"/>
      <c r="R3094" s="52"/>
      <c r="S3094" s="53"/>
      <c r="T3094" s="54">
        <f t="shared" si="464"/>
        <v>0</v>
      </c>
      <c r="U3094" s="26">
        <f t="shared" si="465"/>
        <v>0</v>
      </c>
      <c r="V3094" s="55">
        <f t="shared" si="466"/>
        <v>0</v>
      </c>
      <c r="W3094" s="29">
        <f t="shared" si="467"/>
        <v>0</v>
      </c>
      <c r="X3094" s="30">
        <f t="shared" si="468"/>
        <v>0</v>
      </c>
      <c r="Y3094"/>
      <c r="Z3094"/>
      <c r="AA3094"/>
    </row>
    <row r="3095" spans="1:27" s="51" customFormat="1" ht="18.600000000000001" hidden="1" customHeight="1" x14ac:dyDescent="0.25">
      <c r="A3095" s="81" t="s">
        <v>2653</v>
      </c>
      <c r="B3095" s="31" t="s">
        <v>9387</v>
      </c>
      <c r="C3095" s="32" t="s">
        <v>9394</v>
      </c>
      <c r="D3095" s="31" t="s">
        <v>9492</v>
      </c>
      <c r="E3095" s="33" t="s">
        <v>9585</v>
      </c>
      <c r="F3095" s="33" t="s">
        <v>1937</v>
      </c>
      <c r="G3095" s="33"/>
      <c r="H3095" s="84" t="s">
        <v>9729</v>
      </c>
      <c r="I3095" s="23" t="s">
        <v>24</v>
      </c>
      <c r="J3095" s="34">
        <v>200</v>
      </c>
      <c r="K3095" s="35">
        <v>0.25</v>
      </c>
      <c r="L3095" s="36">
        <f t="shared" si="460"/>
        <v>50</v>
      </c>
      <c r="M3095" s="37">
        <f t="shared" si="461"/>
        <v>150</v>
      </c>
      <c r="N3095" s="38">
        <v>0.16</v>
      </c>
      <c r="O3095" s="39">
        <f t="shared" si="462"/>
        <v>24</v>
      </c>
      <c r="P3095" s="40">
        <f t="shared" si="463"/>
        <v>174</v>
      </c>
      <c r="Q3095" s="23"/>
      <c r="R3095" s="56"/>
      <c r="S3095" s="57"/>
      <c r="T3095" s="58">
        <f t="shared" si="464"/>
        <v>0</v>
      </c>
      <c r="U3095" s="36">
        <f t="shared" si="465"/>
        <v>0</v>
      </c>
      <c r="V3095" s="59">
        <f t="shared" si="466"/>
        <v>0</v>
      </c>
      <c r="W3095" s="39">
        <f t="shared" si="467"/>
        <v>0</v>
      </c>
      <c r="X3095" s="40">
        <f t="shared" si="468"/>
        <v>0</v>
      </c>
      <c r="Y3095"/>
      <c r="Z3095"/>
      <c r="AA3095"/>
    </row>
    <row r="3096" spans="1:27" s="51" customFormat="1" ht="18.600000000000001" hidden="1" customHeight="1" x14ac:dyDescent="0.25">
      <c r="A3096" s="82" t="s">
        <v>2653</v>
      </c>
      <c r="B3096" s="41" t="s">
        <v>9387</v>
      </c>
      <c r="C3096" s="42" t="s">
        <v>9394</v>
      </c>
      <c r="D3096" s="41" t="s">
        <v>9493</v>
      </c>
      <c r="E3096" s="43" t="s">
        <v>9586</v>
      </c>
      <c r="F3096" s="43" t="s">
        <v>1937</v>
      </c>
      <c r="G3096" s="43"/>
      <c r="H3096" s="85" t="s">
        <v>9730</v>
      </c>
      <c r="I3096" s="23" t="s">
        <v>24</v>
      </c>
      <c r="J3096" s="44">
        <v>200</v>
      </c>
      <c r="K3096" s="45">
        <v>0.25</v>
      </c>
      <c r="L3096" s="46">
        <f t="shared" si="460"/>
        <v>50</v>
      </c>
      <c r="M3096" s="47">
        <f t="shared" si="461"/>
        <v>150</v>
      </c>
      <c r="N3096" s="48">
        <v>0.16</v>
      </c>
      <c r="O3096" s="49">
        <f t="shared" si="462"/>
        <v>24</v>
      </c>
      <c r="P3096" s="50">
        <f t="shared" si="463"/>
        <v>174</v>
      </c>
      <c r="Q3096" s="23"/>
      <c r="R3096" s="60"/>
      <c r="S3096" s="61"/>
      <c r="T3096" s="62">
        <f t="shared" si="464"/>
        <v>0</v>
      </c>
      <c r="U3096" s="46">
        <f t="shared" si="465"/>
        <v>0</v>
      </c>
      <c r="V3096" s="63">
        <f t="shared" si="466"/>
        <v>0</v>
      </c>
      <c r="W3096" s="49">
        <f t="shared" si="467"/>
        <v>0</v>
      </c>
      <c r="X3096" s="50">
        <f t="shared" si="468"/>
        <v>0</v>
      </c>
      <c r="Y3096"/>
      <c r="Z3096"/>
      <c r="AA3096"/>
    </row>
    <row r="3097" spans="1:27" s="51" customFormat="1" ht="18.600000000000001" hidden="1" customHeight="1" x14ac:dyDescent="0.25">
      <c r="A3097" s="80" t="s">
        <v>2653</v>
      </c>
      <c r="B3097" s="20" t="s">
        <v>9387</v>
      </c>
      <c r="C3097" s="21" t="s">
        <v>9394</v>
      </c>
      <c r="D3097" s="20" t="s">
        <v>9494</v>
      </c>
      <c r="E3097" s="22" t="s">
        <v>9587</v>
      </c>
      <c r="F3097" s="22" t="s">
        <v>1937</v>
      </c>
      <c r="G3097" s="22"/>
      <c r="H3097" s="83" t="s">
        <v>9731</v>
      </c>
      <c r="I3097" s="23" t="s">
        <v>24</v>
      </c>
      <c r="J3097" s="24">
        <v>200</v>
      </c>
      <c r="K3097" s="25">
        <v>0.25</v>
      </c>
      <c r="L3097" s="26">
        <f t="shared" si="460"/>
        <v>50</v>
      </c>
      <c r="M3097" s="27">
        <f t="shared" si="461"/>
        <v>150</v>
      </c>
      <c r="N3097" s="28">
        <v>0.16</v>
      </c>
      <c r="O3097" s="29">
        <f t="shared" si="462"/>
        <v>24</v>
      </c>
      <c r="P3097" s="30">
        <f t="shared" si="463"/>
        <v>174</v>
      </c>
      <c r="Q3097" s="23"/>
      <c r="R3097" s="52"/>
      <c r="S3097" s="53"/>
      <c r="T3097" s="54">
        <f t="shared" si="464"/>
        <v>0</v>
      </c>
      <c r="U3097" s="26">
        <f t="shared" si="465"/>
        <v>0</v>
      </c>
      <c r="V3097" s="55">
        <f t="shared" si="466"/>
        <v>0</v>
      </c>
      <c r="W3097" s="29">
        <f t="shared" si="467"/>
        <v>0</v>
      </c>
      <c r="X3097" s="30">
        <f t="shared" si="468"/>
        <v>0</v>
      </c>
      <c r="Y3097"/>
      <c r="Z3097"/>
      <c r="AA3097"/>
    </row>
    <row r="3098" spans="1:27" s="51" customFormat="1" ht="18.600000000000001" hidden="1" customHeight="1" x14ac:dyDescent="0.25">
      <c r="A3098" s="81" t="s">
        <v>2653</v>
      </c>
      <c r="B3098" s="31" t="s">
        <v>9387</v>
      </c>
      <c r="C3098" s="32" t="s">
        <v>9394</v>
      </c>
      <c r="D3098" s="31" t="s">
        <v>9495</v>
      </c>
      <c r="E3098" s="33" t="s">
        <v>9588</v>
      </c>
      <c r="F3098" s="33" t="s">
        <v>1937</v>
      </c>
      <c r="G3098" s="33"/>
      <c r="H3098" s="84" t="s">
        <v>9732</v>
      </c>
      <c r="I3098" s="23" t="s">
        <v>24</v>
      </c>
      <c r="J3098" s="34">
        <v>200</v>
      </c>
      <c r="K3098" s="35">
        <v>0.25</v>
      </c>
      <c r="L3098" s="36">
        <f t="shared" si="460"/>
        <v>50</v>
      </c>
      <c r="M3098" s="37">
        <f t="shared" si="461"/>
        <v>150</v>
      </c>
      <c r="N3098" s="38">
        <v>0.16</v>
      </c>
      <c r="O3098" s="39">
        <f t="shared" si="462"/>
        <v>24</v>
      </c>
      <c r="P3098" s="40">
        <f t="shared" si="463"/>
        <v>174</v>
      </c>
      <c r="Q3098" s="23"/>
      <c r="R3098" s="56"/>
      <c r="S3098" s="57"/>
      <c r="T3098" s="58">
        <f t="shared" si="464"/>
        <v>0</v>
      </c>
      <c r="U3098" s="36">
        <f t="shared" si="465"/>
        <v>0</v>
      </c>
      <c r="V3098" s="59">
        <f t="shared" si="466"/>
        <v>0</v>
      </c>
      <c r="W3098" s="39">
        <f t="shared" si="467"/>
        <v>0</v>
      </c>
      <c r="X3098" s="40">
        <f t="shared" si="468"/>
        <v>0</v>
      </c>
      <c r="Y3098"/>
      <c r="Z3098"/>
      <c r="AA3098"/>
    </row>
    <row r="3099" spans="1:27" s="51" customFormat="1" ht="18.600000000000001" hidden="1" customHeight="1" x14ac:dyDescent="0.25">
      <c r="A3099" s="82" t="s">
        <v>2653</v>
      </c>
      <c r="B3099" s="41" t="s">
        <v>9387</v>
      </c>
      <c r="C3099" s="42" t="s">
        <v>9394</v>
      </c>
      <c r="D3099" s="41" t="s">
        <v>9496</v>
      </c>
      <c r="E3099" s="43" t="s">
        <v>9589</v>
      </c>
      <c r="F3099" s="43" t="s">
        <v>1937</v>
      </c>
      <c r="G3099" s="43"/>
      <c r="H3099" s="85" t="s">
        <v>9733</v>
      </c>
      <c r="I3099" s="23" t="s">
        <v>24</v>
      </c>
      <c r="J3099" s="44">
        <v>200</v>
      </c>
      <c r="K3099" s="45">
        <v>0.25</v>
      </c>
      <c r="L3099" s="46">
        <f t="shared" si="460"/>
        <v>50</v>
      </c>
      <c r="M3099" s="47">
        <f t="shared" si="461"/>
        <v>150</v>
      </c>
      <c r="N3099" s="48">
        <v>0.16</v>
      </c>
      <c r="O3099" s="49">
        <f t="shared" si="462"/>
        <v>24</v>
      </c>
      <c r="P3099" s="50">
        <f t="shared" si="463"/>
        <v>174</v>
      </c>
      <c r="Q3099" s="23"/>
      <c r="R3099" s="60"/>
      <c r="S3099" s="61"/>
      <c r="T3099" s="62">
        <f t="shared" si="464"/>
        <v>0</v>
      </c>
      <c r="U3099" s="46">
        <f t="shared" si="465"/>
        <v>0</v>
      </c>
      <c r="V3099" s="63">
        <f t="shared" si="466"/>
        <v>0</v>
      </c>
      <c r="W3099" s="49">
        <f t="shared" si="467"/>
        <v>0</v>
      </c>
      <c r="X3099" s="50">
        <f t="shared" si="468"/>
        <v>0</v>
      </c>
      <c r="Y3099"/>
      <c r="Z3099"/>
      <c r="AA3099"/>
    </row>
    <row r="3100" spans="1:27" s="51" customFormat="1" ht="18.600000000000001" hidden="1" customHeight="1" x14ac:dyDescent="0.25">
      <c r="A3100" s="80" t="s">
        <v>2653</v>
      </c>
      <c r="B3100" s="20" t="s">
        <v>9387</v>
      </c>
      <c r="C3100" s="21" t="s">
        <v>9394</v>
      </c>
      <c r="D3100" s="20" t="s">
        <v>9497</v>
      </c>
      <c r="E3100" s="22" t="s">
        <v>9590</v>
      </c>
      <c r="F3100" s="22" t="s">
        <v>1937</v>
      </c>
      <c r="G3100" s="22"/>
      <c r="H3100" s="83" t="s">
        <v>9734</v>
      </c>
      <c r="I3100" s="23" t="s">
        <v>24</v>
      </c>
      <c r="J3100" s="24">
        <v>200</v>
      </c>
      <c r="K3100" s="25">
        <v>0.25</v>
      </c>
      <c r="L3100" s="26">
        <f t="shared" si="460"/>
        <v>50</v>
      </c>
      <c r="M3100" s="27">
        <f t="shared" si="461"/>
        <v>150</v>
      </c>
      <c r="N3100" s="28">
        <v>0.16</v>
      </c>
      <c r="O3100" s="29">
        <f t="shared" si="462"/>
        <v>24</v>
      </c>
      <c r="P3100" s="30">
        <f t="shared" si="463"/>
        <v>174</v>
      </c>
      <c r="Q3100" s="23"/>
      <c r="R3100" s="52"/>
      <c r="S3100" s="53"/>
      <c r="T3100" s="54">
        <f t="shared" si="464"/>
        <v>0</v>
      </c>
      <c r="U3100" s="26">
        <f t="shared" si="465"/>
        <v>0</v>
      </c>
      <c r="V3100" s="55">
        <f t="shared" si="466"/>
        <v>0</v>
      </c>
      <c r="W3100" s="29">
        <f t="shared" si="467"/>
        <v>0</v>
      </c>
      <c r="X3100" s="30">
        <f t="shared" si="468"/>
        <v>0</v>
      </c>
      <c r="Y3100"/>
      <c r="Z3100"/>
      <c r="AA3100"/>
    </row>
    <row r="3101" spans="1:27" s="51" customFormat="1" ht="18.600000000000001" hidden="1" customHeight="1" x14ac:dyDescent="0.25">
      <c r="A3101" s="81" t="s">
        <v>2653</v>
      </c>
      <c r="B3101" s="31" t="s">
        <v>9387</v>
      </c>
      <c r="C3101" s="32" t="s">
        <v>9394</v>
      </c>
      <c r="D3101" s="31" t="s">
        <v>9498</v>
      </c>
      <c r="E3101" s="33" t="s">
        <v>9591</v>
      </c>
      <c r="F3101" s="33" t="s">
        <v>1937</v>
      </c>
      <c r="G3101" s="33"/>
      <c r="H3101" s="84" t="s">
        <v>9735</v>
      </c>
      <c r="I3101" s="23" t="s">
        <v>24</v>
      </c>
      <c r="J3101" s="34">
        <v>200</v>
      </c>
      <c r="K3101" s="35">
        <v>0.25</v>
      </c>
      <c r="L3101" s="36">
        <f t="shared" si="460"/>
        <v>50</v>
      </c>
      <c r="M3101" s="37">
        <f t="shared" si="461"/>
        <v>150</v>
      </c>
      <c r="N3101" s="38">
        <v>0.16</v>
      </c>
      <c r="O3101" s="39">
        <f t="shared" si="462"/>
        <v>24</v>
      </c>
      <c r="P3101" s="40">
        <f t="shared" si="463"/>
        <v>174</v>
      </c>
      <c r="Q3101" s="23"/>
      <c r="R3101" s="56"/>
      <c r="S3101" s="57"/>
      <c r="T3101" s="58">
        <f t="shared" si="464"/>
        <v>0</v>
      </c>
      <c r="U3101" s="36">
        <f t="shared" si="465"/>
        <v>0</v>
      </c>
      <c r="V3101" s="59">
        <f t="shared" si="466"/>
        <v>0</v>
      </c>
      <c r="W3101" s="39">
        <f t="shared" si="467"/>
        <v>0</v>
      </c>
      <c r="X3101" s="40">
        <f t="shared" si="468"/>
        <v>0</v>
      </c>
      <c r="Y3101"/>
      <c r="Z3101"/>
      <c r="AA3101"/>
    </row>
    <row r="3102" spans="1:27" s="51" customFormat="1" ht="18.600000000000001" hidden="1" customHeight="1" x14ac:dyDescent="0.25">
      <c r="A3102" s="82" t="s">
        <v>2653</v>
      </c>
      <c r="B3102" s="41" t="s">
        <v>9387</v>
      </c>
      <c r="C3102" s="42" t="s">
        <v>9394</v>
      </c>
      <c r="D3102" s="41" t="s">
        <v>9499</v>
      </c>
      <c r="E3102" s="43" t="s">
        <v>9592</v>
      </c>
      <c r="F3102" s="43" t="s">
        <v>1937</v>
      </c>
      <c r="G3102" s="43"/>
      <c r="H3102" s="85" t="s">
        <v>9736</v>
      </c>
      <c r="I3102" s="23" t="s">
        <v>24</v>
      </c>
      <c r="J3102" s="44">
        <v>200</v>
      </c>
      <c r="K3102" s="45">
        <v>0.25</v>
      </c>
      <c r="L3102" s="46">
        <f t="shared" si="460"/>
        <v>50</v>
      </c>
      <c r="M3102" s="47">
        <f t="shared" si="461"/>
        <v>150</v>
      </c>
      <c r="N3102" s="48">
        <v>0.16</v>
      </c>
      <c r="O3102" s="49">
        <f t="shared" si="462"/>
        <v>24</v>
      </c>
      <c r="P3102" s="50">
        <f t="shared" si="463"/>
        <v>174</v>
      </c>
      <c r="Q3102" s="23"/>
      <c r="R3102" s="60"/>
      <c r="S3102" s="61"/>
      <c r="T3102" s="62">
        <f t="shared" si="464"/>
        <v>0</v>
      </c>
      <c r="U3102" s="46">
        <f t="shared" si="465"/>
        <v>0</v>
      </c>
      <c r="V3102" s="63">
        <f t="shared" si="466"/>
        <v>0</v>
      </c>
      <c r="W3102" s="49">
        <f t="shared" si="467"/>
        <v>0</v>
      </c>
      <c r="X3102" s="50">
        <f t="shared" si="468"/>
        <v>0</v>
      </c>
      <c r="Y3102"/>
      <c r="Z3102"/>
      <c r="AA3102"/>
    </row>
    <row r="3103" spans="1:27" s="51" customFormat="1" ht="18.600000000000001" hidden="1" customHeight="1" x14ac:dyDescent="0.25">
      <c r="A3103" s="80" t="s">
        <v>2653</v>
      </c>
      <c r="B3103" s="20" t="s">
        <v>9387</v>
      </c>
      <c r="C3103" s="21" t="s">
        <v>9394</v>
      </c>
      <c r="D3103" s="20" t="s">
        <v>9500</v>
      </c>
      <c r="E3103" s="22" t="s">
        <v>9593</v>
      </c>
      <c r="F3103" s="22" t="s">
        <v>1937</v>
      </c>
      <c r="G3103" s="22"/>
      <c r="H3103" s="83" t="s">
        <v>9737</v>
      </c>
      <c r="I3103" s="23" t="s">
        <v>24</v>
      </c>
      <c r="J3103" s="24">
        <v>230</v>
      </c>
      <c r="K3103" s="25">
        <v>0.25</v>
      </c>
      <c r="L3103" s="26">
        <f t="shared" si="460"/>
        <v>57.5</v>
      </c>
      <c r="M3103" s="27">
        <f t="shared" si="461"/>
        <v>172.5</v>
      </c>
      <c r="N3103" s="28">
        <v>0.16</v>
      </c>
      <c r="O3103" s="29">
        <f t="shared" si="462"/>
        <v>27.6</v>
      </c>
      <c r="P3103" s="30">
        <f t="shared" si="463"/>
        <v>200.1</v>
      </c>
      <c r="Q3103" s="23"/>
      <c r="R3103" s="52"/>
      <c r="S3103" s="53"/>
      <c r="T3103" s="54">
        <f t="shared" si="464"/>
        <v>0</v>
      </c>
      <c r="U3103" s="26">
        <f t="shared" si="465"/>
        <v>0</v>
      </c>
      <c r="V3103" s="55">
        <f t="shared" si="466"/>
        <v>0</v>
      </c>
      <c r="W3103" s="29">
        <f t="shared" si="467"/>
        <v>0</v>
      </c>
      <c r="X3103" s="30">
        <f t="shared" si="468"/>
        <v>0</v>
      </c>
      <c r="Y3103"/>
      <c r="Z3103"/>
      <c r="AA3103"/>
    </row>
    <row r="3104" spans="1:27" s="51" customFormat="1" ht="18.600000000000001" hidden="1" customHeight="1" x14ac:dyDescent="0.25">
      <c r="A3104" s="81" t="s">
        <v>2653</v>
      </c>
      <c r="B3104" s="31" t="s">
        <v>9387</v>
      </c>
      <c r="C3104" s="32" t="s">
        <v>9394</v>
      </c>
      <c r="D3104" s="31" t="s">
        <v>9501</v>
      </c>
      <c r="E3104" s="33" t="s">
        <v>9594</v>
      </c>
      <c r="F3104" s="33" t="s">
        <v>1937</v>
      </c>
      <c r="G3104" s="33"/>
      <c r="H3104" s="84" t="s">
        <v>9738</v>
      </c>
      <c r="I3104" s="23" t="s">
        <v>24</v>
      </c>
      <c r="J3104" s="34">
        <v>230</v>
      </c>
      <c r="K3104" s="35">
        <v>0.25</v>
      </c>
      <c r="L3104" s="36">
        <f t="shared" si="460"/>
        <v>57.5</v>
      </c>
      <c r="M3104" s="37">
        <f t="shared" si="461"/>
        <v>172.5</v>
      </c>
      <c r="N3104" s="38">
        <v>0.16</v>
      </c>
      <c r="O3104" s="39">
        <f t="shared" si="462"/>
        <v>27.6</v>
      </c>
      <c r="P3104" s="40">
        <f t="shared" si="463"/>
        <v>200.1</v>
      </c>
      <c r="Q3104" s="23"/>
      <c r="R3104" s="56"/>
      <c r="S3104" s="57"/>
      <c r="T3104" s="58">
        <f t="shared" si="464"/>
        <v>0</v>
      </c>
      <c r="U3104" s="36">
        <f t="shared" si="465"/>
        <v>0</v>
      </c>
      <c r="V3104" s="59">
        <f t="shared" si="466"/>
        <v>0</v>
      </c>
      <c r="W3104" s="39">
        <f t="shared" si="467"/>
        <v>0</v>
      </c>
      <c r="X3104" s="40">
        <f t="shared" si="468"/>
        <v>0</v>
      </c>
      <c r="Y3104"/>
      <c r="Z3104"/>
      <c r="AA3104"/>
    </row>
    <row r="3105" spans="1:27" s="51" customFormat="1" ht="18.600000000000001" hidden="1" customHeight="1" x14ac:dyDescent="0.25">
      <c r="A3105" s="82" t="s">
        <v>2653</v>
      </c>
      <c r="B3105" s="41" t="s">
        <v>9387</v>
      </c>
      <c r="C3105" s="42" t="s">
        <v>9394</v>
      </c>
      <c r="D3105" s="41" t="s">
        <v>9502</v>
      </c>
      <c r="E3105" s="43" t="s">
        <v>9595</v>
      </c>
      <c r="F3105" s="43" t="s">
        <v>1937</v>
      </c>
      <c r="G3105" s="43"/>
      <c r="H3105" s="85" t="s">
        <v>9739</v>
      </c>
      <c r="I3105" s="23" t="s">
        <v>24</v>
      </c>
      <c r="J3105" s="44">
        <v>200</v>
      </c>
      <c r="K3105" s="45">
        <v>0.25</v>
      </c>
      <c r="L3105" s="46">
        <f t="shared" si="460"/>
        <v>50</v>
      </c>
      <c r="M3105" s="47">
        <f t="shared" si="461"/>
        <v>150</v>
      </c>
      <c r="N3105" s="48">
        <v>0.16</v>
      </c>
      <c r="O3105" s="49">
        <f t="shared" si="462"/>
        <v>24</v>
      </c>
      <c r="P3105" s="50">
        <f t="shared" si="463"/>
        <v>174</v>
      </c>
      <c r="Q3105" s="23"/>
      <c r="R3105" s="60"/>
      <c r="S3105" s="61"/>
      <c r="T3105" s="62">
        <f t="shared" si="464"/>
        <v>0</v>
      </c>
      <c r="U3105" s="46">
        <f t="shared" si="465"/>
        <v>0</v>
      </c>
      <c r="V3105" s="63">
        <f t="shared" si="466"/>
        <v>0</v>
      </c>
      <c r="W3105" s="49">
        <f t="shared" si="467"/>
        <v>0</v>
      </c>
      <c r="X3105" s="50">
        <f t="shared" si="468"/>
        <v>0</v>
      </c>
      <c r="Y3105"/>
      <c r="Z3105"/>
      <c r="AA3105"/>
    </row>
    <row r="3106" spans="1:27" s="51" customFormat="1" ht="18.600000000000001" hidden="1" customHeight="1" x14ac:dyDescent="0.25">
      <c r="A3106" s="80" t="s">
        <v>2653</v>
      </c>
      <c r="B3106" s="20" t="s">
        <v>9387</v>
      </c>
      <c r="C3106" s="21" t="s">
        <v>9394</v>
      </c>
      <c r="D3106" s="20" t="s">
        <v>9503</v>
      </c>
      <c r="E3106" s="22" t="s">
        <v>9596</v>
      </c>
      <c r="F3106" s="22" t="s">
        <v>1937</v>
      </c>
      <c r="G3106" s="22"/>
      <c r="H3106" s="83" t="s">
        <v>9740</v>
      </c>
      <c r="I3106" s="23" t="s">
        <v>24</v>
      </c>
      <c r="J3106" s="24">
        <v>200</v>
      </c>
      <c r="K3106" s="25">
        <v>0.25</v>
      </c>
      <c r="L3106" s="26">
        <f t="shared" si="460"/>
        <v>50</v>
      </c>
      <c r="M3106" s="27">
        <f t="shared" si="461"/>
        <v>150</v>
      </c>
      <c r="N3106" s="28">
        <v>0.16</v>
      </c>
      <c r="O3106" s="29">
        <f t="shared" si="462"/>
        <v>24</v>
      </c>
      <c r="P3106" s="30">
        <f t="shared" si="463"/>
        <v>174</v>
      </c>
      <c r="Q3106" s="23"/>
      <c r="R3106" s="52"/>
      <c r="S3106" s="53"/>
      <c r="T3106" s="54">
        <f t="shared" si="464"/>
        <v>0</v>
      </c>
      <c r="U3106" s="26">
        <f t="shared" si="465"/>
        <v>0</v>
      </c>
      <c r="V3106" s="55">
        <f t="shared" si="466"/>
        <v>0</v>
      </c>
      <c r="W3106" s="29">
        <f t="shared" si="467"/>
        <v>0</v>
      </c>
      <c r="X3106" s="30">
        <f t="shared" si="468"/>
        <v>0</v>
      </c>
      <c r="Y3106"/>
      <c r="Z3106"/>
      <c r="AA3106"/>
    </row>
    <row r="3107" spans="1:27" s="51" customFormat="1" ht="18.600000000000001" hidden="1" customHeight="1" x14ac:dyDescent="0.25">
      <c r="A3107" s="81" t="s">
        <v>2653</v>
      </c>
      <c r="B3107" s="31" t="s">
        <v>9355</v>
      </c>
      <c r="C3107" s="32" t="s">
        <v>9395</v>
      </c>
      <c r="D3107" s="31">
        <v>8436564926616</v>
      </c>
      <c r="E3107" s="33" t="s">
        <v>7896</v>
      </c>
      <c r="F3107" s="33" t="s">
        <v>1937</v>
      </c>
      <c r="G3107" s="33"/>
      <c r="H3107" s="84" t="s">
        <v>7897</v>
      </c>
      <c r="I3107" s="23" t="s">
        <v>24</v>
      </c>
      <c r="J3107" s="34">
        <v>195</v>
      </c>
      <c r="K3107" s="35">
        <v>0.25</v>
      </c>
      <c r="L3107" s="36">
        <f t="shared" si="460"/>
        <v>48.75</v>
      </c>
      <c r="M3107" s="37">
        <f t="shared" si="461"/>
        <v>146.25</v>
      </c>
      <c r="N3107" s="38">
        <v>0.16</v>
      </c>
      <c r="O3107" s="39">
        <f t="shared" si="462"/>
        <v>23.400000000000002</v>
      </c>
      <c r="P3107" s="40">
        <f t="shared" si="463"/>
        <v>169.65</v>
      </c>
      <c r="Q3107" s="23"/>
      <c r="R3107" s="56"/>
      <c r="S3107" s="57"/>
      <c r="T3107" s="58">
        <f t="shared" si="464"/>
        <v>0</v>
      </c>
      <c r="U3107" s="36">
        <f t="shared" si="465"/>
        <v>0</v>
      </c>
      <c r="V3107" s="59">
        <f t="shared" si="466"/>
        <v>0</v>
      </c>
      <c r="W3107" s="39">
        <f t="shared" si="467"/>
        <v>0</v>
      </c>
      <c r="X3107" s="40">
        <f t="shared" si="468"/>
        <v>0</v>
      </c>
      <c r="Y3107"/>
      <c r="Z3107"/>
      <c r="AA3107"/>
    </row>
    <row r="3108" spans="1:27" s="51" customFormat="1" ht="18.600000000000001" hidden="1" customHeight="1" x14ac:dyDescent="0.25">
      <c r="A3108" s="82" t="s">
        <v>2653</v>
      </c>
      <c r="B3108" s="41" t="s">
        <v>9355</v>
      </c>
      <c r="C3108" s="42" t="s">
        <v>9395</v>
      </c>
      <c r="D3108" s="41" t="s">
        <v>7898</v>
      </c>
      <c r="E3108" s="43" t="s">
        <v>7899</v>
      </c>
      <c r="F3108" s="43" t="s">
        <v>1937</v>
      </c>
      <c r="G3108" s="43"/>
      <c r="H3108" s="85" t="s">
        <v>7900</v>
      </c>
      <c r="I3108" s="23" t="s">
        <v>24</v>
      </c>
      <c r="J3108" s="44">
        <v>160</v>
      </c>
      <c r="K3108" s="45">
        <v>0.25</v>
      </c>
      <c r="L3108" s="46">
        <f t="shared" si="460"/>
        <v>40</v>
      </c>
      <c r="M3108" s="47">
        <f t="shared" si="461"/>
        <v>120</v>
      </c>
      <c r="N3108" s="48">
        <v>0.16</v>
      </c>
      <c r="O3108" s="49">
        <f t="shared" si="462"/>
        <v>19.2</v>
      </c>
      <c r="P3108" s="50">
        <f t="shared" si="463"/>
        <v>139.19999999999999</v>
      </c>
      <c r="Q3108" s="23"/>
      <c r="R3108" s="60"/>
      <c r="S3108" s="61"/>
      <c r="T3108" s="62">
        <f t="shared" si="464"/>
        <v>0</v>
      </c>
      <c r="U3108" s="46">
        <f t="shared" si="465"/>
        <v>0</v>
      </c>
      <c r="V3108" s="63">
        <f t="shared" si="466"/>
        <v>0</v>
      </c>
      <c r="W3108" s="49">
        <f t="shared" si="467"/>
        <v>0</v>
      </c>
      <c r="X3108" s="50">
        <f t="shared" si="468"/>
        <v>0</v>
      </c>
      <c r="Y3108"/>
      <c r="Z3108"/>
      <c r="AA3108"/>
    </row>
    <row r="3109" spans="1:27" s="51" customFormat="1" ht="18.600000000000001" hidden="1" customHeight="1" x14ac:dyDescent="0.25">
      <c r="A3109" s="80" t="s">
        <v>2653</v>
      </c>
      <c r="B3109" s="20" t="s">
        <v>9355</v>
      </c>
      <c r="C3109" s="21" t="s">
        <v>9395</v>
      </c>
      <c r="D3109" s="20" t="s">
        <v>7901</v>
      </c>
      <c r="E3109" s="22" t="s">
        <v>7902</v>
      </c>
      <c r="F3109" s="22" t="s">
        <v>1937</v>
      </c>
      <c r="G3109" s="22"/>
      <c r="H3109" s="83" t="s">
        <v>7903</v>
      </c>
      <c r="I3109" s="23" t="s">
        <v>24</v>
      </c>
      <c r="J3109" s="24">
        <v>195</v>
      </c>
      <c r="K3109" s="25">
        <v>0.25</v>
      </c>
      <c r="L3109" s="26">
        <f t="shared" si="460"/>
        <v>48.75</v>
      </c>
      <c r="M3109" s="27">
        <f t="shared" si="461"/>
        <v>146.25</v>
      </c>
      <c r="N3109" s="28">
        <v>0.16</v>
      </c>
      <c r="O3109" s="29">
        <f t="shared" si="462"/>
        <v>23.400000000000002</v>
      </c>
      <c r="P3109" s="30">
        <f t="shared" si="463"/>
        <v>169.65</v>
      </c>
      <c r="Q3109" s="23"/>
      <c r="R3109" s="52"/>
      <c r="S3109" s="53"/>
      <c r="T3109" s="54">
        <f t="shared" si="464"/>
        <v>0</v>
      </c>
      <c r="U3109" s="26">
        <f t="shared" si="465"/>
        <v>0</v>
      </c>
      <c r="V3109" s="55">
        <f t="shared" si="466"/>
        <v>0</v>
      </c>
      <c r="W3109" s="29">
        <f t="shared" si="467"/>
        <v>0</v>
      </c>
      <c r="X3109" s="30">
        <f t="shared" si="468"/>
        <v>0</v>
      </c>
      <c r="Y3109"/>
      <c r="Z3109"/>
      <c r="AA3109"/>
    </row>
    <row r="3110" spans="1:27" s="51" customFormat="1" ht="18.600000000000001" hidden="1" customHeight="1" x14ac:dyDescent="0.25">
      <c r="A3110" s="81" t="s">
        <v>2653</v>
      </c>
      <c r="B3110" s="31" t="s">
        <v>9355</v>
      </c>
      <c r="C3110" s="32" t="s">
        <v>9395</v>
      </c>
      <c r="D3110" s="31" t="s">
        <v>7904</v>
      </c>
      <c r="E3110" s="33" t="s">
        <v>7905</v>
      </c>
      <c r="F3110" s="33" t="s">
        <v>1937</v>
      </c>
      <c r="G3110" s="33"/>
      <c r="H3110" s="84" t="s">
        <v>7906</v>
      </c>
      <c r="I3110" s="23" t="s">
        <v>24</v>
      </c>
      <c r="J3110" s="34">
        <v>195</v>
      </c>
      <c r="K3110" s="35">
        <v>0.25</v>
      </c>
      <c r="L3110" s="36">
        <f t="shared" ref="L3110:L3150" si="469">+J3110*K3110</f>
        <v>48.75</v>
      </c>
      <c r="M3110" s="37">
        <f t="shared" ref="M3110:M3150" si="470">+J3110-L3110</f>
        <v>146.25</v>
      </c>
      <c r="N3110" s="38">
        <v>0.16</v>
      </c>
      <c r="O3110" s="39">
        <f t="shared" ref="O3110:O3150" si="471">+M3110*N3110</f>
        <v>23.400000000000002</v>
      </c>
      <c r="P3110" s="40">
        <f t="shared" ref="P3110:P3150" si="472">+M3110+O3110</f>
        <v>169.65</v>
      </c>
      <c r="Q3110" s="23"/>
      <c r="R3110" s="56"/>
      <c r="S3110" s="57"/>
      <c r="T3110" s="58">
        <f t="shared" ref="T3110:T3150" si="473">+S3110*J3110</f>
        <v>0</v>
      </c>
      <c r="U3110" s="36">
        <f t="shared" ref="U3110:U3150" si="474">+T3110*K3110</f>
        <v>0</v>
      </c>
      <c r="V3110" s="59">
        <f t="shared" ref="V3110:V3150" si="475">+T3110-U3110</f>
        <v>0</v>
      </c>
      <c r="W3110" s="39">
        <f t="shared" ref="W3110:W3150" si="476">+V3110*N3110</f>
        <v>0</v>
      </c>
      <c r="X3110" s="40">
        <f t="shared" ref="X3110:X3150" si="477">+V3110+W3110</f>
        <v>0</v>
      </c>
      <c r="Y3110"/>
      <c r="Z3110"/>
      <c r="AA3110"/>
    </row>
    <row r="3111" spans="1:27" s="51" customFormat="1" ht="18.600000000000001" hidden="1" customHeight="1" x14ac:dyDescent="0.25">
      <c r="A3111" s="82" t="s">
        <v>2653</v>
      </c>
      <c r="B3111" s="41" t="s">
        <v>9355</v>
      </c>
      <c r="C3111" s="42" t="s">
        <v>9395</v>
      </c>
      <c r="D3111" s="41" t="s">
        <v>7907</v>
      </c>
      <c r="E3111" s="43" t="s">
        <v>7908</v>
      </c>
      <c r="F3111" s="43" t="s">
        <v>1937</v>
      </c>
      <c r="G3111" s="43"/>
      <c r="H3111" s="85" t="s">
        <v>7909</v>
      </c>
      <c r="I3111" s="23" t="s">
        <v>24</v>
      </c>
      <c r="J3111" s="44">
        <v>125</v>
      </c>
      <c r="K3111" s="45">
        <v>0.25</v>
      </c>
      <c r="L3111" s="46">
        <f t="shared" si="469"/>
        <v>31.25</v>
      </c>
      <c r="M3111" s="47">
        <f t="shared" si="470"/>
        <v>93.75</v>
      </c>
      <c r="N3111" s="48">
        <v>0.16</v>
      </c>
      <c r="O3111" s="49">
        <f t="shared" si="471"/>
        <v>15</v>
      </c>
      <c r="P3111" s="50">
        <f t="shared" si="472"/>
        <v>108.75</v>
      </c>
      <c r="Q3111" s="23"/>
      <c r="R3111" s="60"/>
      <c r="S3111" s="61"/>
      <c r="T3111" s="62">
        <f t="shared" si="473"/>
        <v>0</v>
      </c>
      <c r="U3111" s="46">
        <f t="shared" si="474"/>
        <v>0</v>
      </c>
      <c r="V3111" s="63">
        <f t="shared" si="475"/>
        <v>0</v>
      </c>
      <c r="W3111" s="49">
        <f t="shared" si="476"/>
        <v>0</v>
      </c>
      <c r="X3111" s="50">
        <f t="shared" si="477"/>
        <v>0</v>
      </c>
      <c r="Y3111"/>
      <c r="Z3111"/>
      <c r="AA3111"/>
    </row>
    <row r="3112" spans="1:27" s="51" customFormat="1" ht="18.600000000000001" hidden="1" customHeight="1" x14ac:dyDescent="0.25">
      <c r="A3112" s="80" t="s">
        <v>2653</v>
      </c>
      <c r="B3112" s="20" t="s">
        <v>9355</v>
      </c>
      <c r="C3112" s="21" t="s">
        <v>9395</v>
      </c>
      <c r="D3112" s="20" t="s">
        <v>7910</v>
      </c>
      <c r="E3112" s="22" t="s">
        <v>7911</v>
      </c>
      <c r="F3112" s="22" t="s">
        <v>1937</v>
      </c>
      <c r="G3112" s="22"/>
      <c r="H3112" s="83" t="s">
        <v>7912</v>
      </c>
      <c r="I3112" s="23" t="s">
        <v>24</v>
      </c>
      <c r="J3112" s="24">
        <v>110</v>
      </c>
      <c r="K3112" s="25">
        <v>0.25</v>
      </c>
      <c r="L3112" s="26">
        <f t="shared" si="469"/>
        <v>27.5</v>
      </c>
      <c r="M3112" s="27">
        <f t="shared" si="470"/>
        <v>82.5</v>
      </c>
      <c r="N3112" s="28">
        <v>0.16</v>
      </c>
      <c r="O3112" s="29">
        <f t="shared" si="471"/>
        <v>13.200000000000001</v>
      </c>
      <c r="P3112" s="30">
        <f t="shared" si="472"/>
        <v>95.7</v>
      </c>
      <c r="Q3112" s="23"/>
      <c r="R3112" s="52"/>
      <c r="S3112" s="53"/>
      <c r="T3112" s="54">
        <f t="shared" si="473"/>
        <v>0</v>
      </c>
      <c r="U3112" s="26">
        <f t="shared" si="474"/>
        <v>0</v>
      </c>
      <c r="V3112" s="55">
        <f t="shared" si="475"/>
        <v>0</v>
      </c>
      <c r="W3112" s="29">
        <f t="shared" si="476"/>
        <v>0</v>
      </c>
      <c r="X3112" s="30">
        <f t="shared" si="477"/>
        <v>0</v>
      </c>
      <c r="Y3112"/>
      <c r="Z3112"/>
      <c r="AA3112"/>
    </row>
    <row r="3113" spans="1:27" s="51" customFormat="1" ht="18.600000000000001" hidden="1" customHeight="1" x14ac:dyDescent="0.25">
      <c r="A3113" s="81" t="s">
        <v>2653</v>
      </c>
      <c r="B3113" s="31" t="s">
        <v>9355</v>
      </c>
      <c r="C3113" s="32" t="s">
        <v>9395</v>
      </c>
      <c r="D3113" s="31" t="s">
        <v>7913</v>
      </c>
      <c r="E3113" s="33" t="s">
        <v>7914</v>
      </c>
      <c r="F3113" s="33" t="s">
        <v>1937</v>
      </c>
      <c r="G3113" s="33"/>
      <c r="H3113" s="84" t="s">
        <v>7915</v>
      </c>
      <c r="I3113" s="23" t="s">
        <v>24</v>
      </c>
      <c r="J3113" s="34">
        <v>215</v>
      </c>
      <c r="K3113" s="35">
        <v>0.25</v>
      </c>
      <c r="L3113" s="36">
        <f t="shared" si="469"/>
        <v>53.75</v>
      </c>
      <c r="M3113" s="37">
        <f t="shared" si="470"/>
        <v>161.25</v>
      </c>
      <c r="N3113" s="38">
        <v>0.16</v>
      </c>
      <c r="O3113" s="39">
        <f t="shared" si="471"/>
        <v>25.8</v>
      </c>
      <c r="P3113" s="40">
        <f t="shared" si="472"/>
        <v>187.05</v>
      </c>
      <c r="Q3113" s="23"/>
      <c r="R3113" s="56"/>
      <c r="S3113" s="57"/>
      <c r="T3113" s="58">
        <f t="shared" si="473"/>
        <v>0</v>
      </c>
      <c r="U3113" s="36">
        <f t="shared" si="474"/>
        <v>0</v>
      </c>
      <c r="V3113" s="59">
        <f t="shared" si="475"/>
        <v>0</v>
      </c>
      <c r="W3113" s="39">
        <f t="shared" si="476"/>
        <v>0</v>
      </c>
      <c r="X3113" s="40">
        <f t="shared" si="477"/>
        <v>0</v>
      </c>
      <c r="Y3113"/>
      <c r="Z3113"/>
      <c r="AA3113"/>
    </row>
    <row r="3114" spans="1:27" s="51" customFormat="1" ht="18.600000000000001" hidden="1" customHeight="1" x14ac:dyDescent="0.25">
      <c r="A3114" s="82" t="s">
        <v>2653</v>
      </c>
      <c r="B3114" s="41" t="s">
        <v>9355</v>
      </c>
      <c r="C3114" s="42" t="s">
        <v>9395</v>
      </c>
      <c r="D3114" s="41" t="s">
        <v>7916</v>
      </c>
      <c r="E3114" s="43" t="s">
        <v>7917</v>
      </c>
      <c r="F3114" s="43" t="s">
        <v>1937</v>
      </c>
      <c r="G3114" s="43"/>
      <c r="H3114" s="85" t="s">
        <v>7918</v>
      </c>
      <c r="I3114" s="23" t="s">
        <v>24</v>
      </c>
      <c r="J3114" s="44">
        <v>210</v>
      </c>
      <c r="K3114" s="45">
        <v>0.25</v>
      </c>
      <c r="L3114" s="46">
        <f t="shared" si="469"/>
        <v>52.5</v>
      </c>
      <c r="M3114" s="47">
        <f t="shared" si="470"/>
        <v>157.5</v>
      </c>
      <c r="N3114" s="48">
        <v>0.16</v>
      </c>
      <c r="O3114" s="49">
        <f t="shared" si="471"/>
        <v>25.2</v>
      </c>
      <c r="P3114" s="50">
        <f t="shared" si="472"/>
        <v>182.7</v>
      </c>
      <c r="Q3114" s="23"/>
      <c r="R3114" s="60"/>
      <c r="S3114" s="61"/>
      <c r="T3114" s="62">
        <f t="shared" si="473"/>
        <v>0</v>
      </c>
      <c r="U3114" s="46">
        <f t="shared" si="474"/>
        <v>0</v>
      </c>
      <c r="V3114" s="63">
        <f t="shared" si="475"/>
        <v>0</v>
      </c>
      <c r="W3114" s="49">
        <f t="shared" si="476"/>
        <v>0</v>
      </c>
      <c r="X3114" s="50">
        <f t="shared" si="477"/>
        <v>0</v>
      </c>
      <c r="Y3114"/>
      <c r="Z3114"/>
      <c r="AA3114"/>
    </row>
    <row r="3115" spans="1:27" s="51" customFormat="1" ht="18.600000000000001" hidden="1" customHeight="1" x14ac:dyDescent="0.25">
      <c r="A3115" s="80" t="s">
        <v>2653</v>
      </c>
      <c r="B3115" s="20" t="s">
        <v>9355</v>
      </c>
      <c r="C3115" s="21" t="s">
        <v>9395</v>
      </c>
      <c r="D3115" s="20" t="s">
        <v>7919</v>
      </c>
      <c r="E3115" s="22" t="s">
        <v>7920</v>
      </c>
      <c r="F3115" s="22" t="s">
        <v>1937</v>
      </c>
      <c r="G3115" s="22"/>
      <c r="H3115" s="83" t="s">
        <v>7921</v>
      </c>
      <c r="I3115" s="23" t="s">
        <v>24</v>
      </c>
      <c r="J3115" s="24">
        <v>200</v>
      </c>
      <c r="K3115" s="25">
        <v>0.25</v>
      </c>
      <c r="L3115" s="26">
        <f t="shared" si="469"/>
        <v>50</v>
      </c>
      <c r="M3115" s="27">
        <f t="shared" si="470"/>
        <v>150</v>
      </c>
      <c r="N3115" s="28">
        <v>0.16</v>
      </c>
      <c r="O3115" s="29">
        <f t="shared" si="471"/>
        <v>24</v>
      </c>
      <c r="P3115" s="30">
        <f t="shared" si="472"/>
        <v>174</v>
      </c>
      <c r="Q3115" s="23"/>
      <c r="R3115" s="52"/>
      <c r="S3115" s="53"/>
      <c r="T3115" s="54">
        <f t="shared" si="473"/>
        <v>0</v>
      </c>
      <c r="U3115" s="26">
        <f t="shared" si="474"/>
        <v>0</v>
      </c>
      <c r="V3115" s="55">
        <f t="shared" si="475"/>
        <v>0</v>
      </c>
      <c r="W3115" s="29">
        <f t="shared" si="476"/>
        <v>0</v>
      </c>
      <c r="X3115" s="30">
        <f t="shared" si="477"/>
        <v>0</v>
      </c>
      <c r="Y3115"/>
      <c r="Z3115"/>
      <c r="AA3115"/>
    </row>
    <row r="3116" spans="1:27" s="51" customFormat="1" ht="18.600000000000001" hidden="1" customHeight="1" x14ac:dyDescent="0.25">
      <c r="A3116" s="81" t="s">
        <v>2653</v>
      </c>
      <c r="B3116" s="31" t="s">
        <v>9355</v>
      </c>
      <c r="C3116" s="32" t="s">
        <v>9395</v>
      </c>
      <c r="D3116" s="31" t="s">
        <v>7922</v>
      </c>
      <c r="E3116" s="33" t="s">
        <v>7923</v>
      </c>
      <c r="F3116" s="33" t="s">
        <v>1937</v>
      </c>
      <c r="G3116" s="33"/>
      <c r="H3116" s="84" t="s">
        <v>7924</v>
      </c>
      <c r="I3116" s="23" t="s">
        <v>24</v>
      </c>
      <c r="J3116" s="34">
        <v>240</v>
      </c>
      <c r="K3116" s="35">
        <v>0.25</v>
      </c>
      <c r="L3116" s="36">
        <f t="shared" si="469"/>
        <v>60</v>
      </c>
      <c r="M3116" s="37">
        <f t="shared" si="470"/>
        <v>180</v>
      </c>
      <c r="N3116" s="38">
        <v>0.16</v>
      </c>
      <c r="O3116" s="39">
        <f t="shared" si="471"/>
        <v>28.8</v>
      </c>
      <c r="P3116" s="40">
        <f t="shared" si="472"/>
        <v>208.8</v>
      </c>
      <c r="Q3116" s="23"/>
      <c r="R3116" s="56"/>
      <c r="S3116" s="57"/>
      <c r="T3116" s="58">
        <f t="shared" si="473"/>
        <v>0</v>
      </c>
      <c r="U3116" s="36">
        <f t="shared" si="474"/>
        <v>0</v>
      </c>
      <c r="V3116" s="59">
        <f t="shared" si="475"/>
        <v>0</v>
      </c>
      <c r="W3116" s="39">
        <f t="shared" si="476"/>
        <v>0</v>
      </c>
      <c r="X3116" s="40">
        <f t="shared" si="477"/>
        <v>0</v>
      </c>
      <c r="Y3116"/>
      <c r="Z3116"/>
      <c r="AA3116"/>
    </row>
    <row r="3117" spans="1:27" s="51" customFormat="1" ht="18.600000000000001" hidden="1" customHeight="1" x14ac:dyDescent="0.25">
      <c r="A3117" s="82" t="s">
        <v>2653</v>
      </c>
      <c r="B3117" s="41" t="s">
        <v>9355</v>
      </c>
      <c r="C3117" s="42" t="s">
        <v>9395</v>
      </c>
      <c r="D3117" s="41" t="s">
        <v>7925</v>
      </c>
      <c r="E3117" s="43" t="s">
        <v>7926</v>
      </c>
      <c r="F3117" s="43" t="s">
        <v>1937</v>
      </c>
      <c r="G3117" s="43"/>
      <c r="H3117" s="85" t="s">
        <v>7927</v>
      </c>
      <c r="I3117" s="23" t="s">
        <v>24</v>
      </c>
      <c r="J3117" s="44">
        <v>215</v>
      </c>
      <c r="K3117" s="45">
        <v>0.25</v>
      </c>
      <c r="L3117" s="46">
        <f t="shared" si="469"/>
        <v>53.75</v>
      </c>
      <c r="M3117" s="47">
        <f t="shared" si="470"/>
        <v>161.25</v>
      </c>
      <c r="N3117" s="48">
        <v>0.16</v>
      </c>
      <c r="O3117" s="49">
        <f t="shared" si="471"/>
        <v>25.8</v>
      </c>
      <c r="P3117" s="50">
        <f t="shared" si="472"/>
        <v>187.05</v>
      </c>
      <c r="Q3117" s="23"/>
      <c r="R3117" s="60"/>
      <c r="S3117" s="61"/>
      <c r="T3117" s="62">
        <f t="shared" si="473"/>
        <v>0</v>
      </c>
      <c r="U3117" s="46">
        <f t="shared" si="474"/>
        <v>0</v>
      </c>
      <c r="V3117" s="63">
        <f t="shared" si="475"/>
        <v>0</v>
      </c>
      <c r="W3117" s="49">
        <f t="shared" si="476"/>
        <v>0</v>
      </c>
      <c r="X3117" s="50">
        <f t="shared" si="477"/>
        <v>0</v>
      </c>
      <c r="Y3117"/>
      <c r="Z3117"/>
      <c r="AA3117"/>
    </row>
    <row r="3118" spans="1:27" s="51" customFormat="1" ht="18.600000000000001" hidden="1" customHeight="1" x14ac:dyDescent="0.25">
      <c r="A3118" s="80" t="s">
        <v>2653</v>
      </c>
      <c r="B3118" s="20" t="s">
        <v>9355</v>
      </c>
      <c r="C3118" s="21" t="s">
        <v>9395</v>
      </c>
      <c r="D3118" s="20" t="s">
        <v>7928</v>
      </c>
      <c r="E3118" s="22" t="s">
        <v>7929</v>
      </c>
      <c r="F3118" s="22" t="s">
        <v>1937</v>
      </c>
      <c r="G3118" s="22"/>
      <c r="H3118" s="83" t="s">
        <v>7930</v>
      </c>
      <c r="I3118" s="23" t="s">
        <v>24</v>
      </c>
      <c r="J3118" s="24">
        <v>160</v>
      </c>
      <c r="K3118" s="25">
        <v>0.25</v>
      </c>
      <c r="L3118" s="26">
        <f t="shared" si="469"/>
        <v>40</v>
      </c>
      <c r="M3118" s="27">
        <f t="shared" si="470"/>
        <v>120</v>
      </c>
      <c r="N3118" s="28">
        <v>0.16</v>
      </c>
      <c r="O3118" s="29">
        <f t="shared" si="471"/>
        <v>19.2</v>
      </c>
      <c r="P3118" s="30">
        <f t="shared" si="472"/>
        <v>139.19999999999999</v>
      </c>
      <c r="Q3118" s="23"/>
      <c r="R3118" s="52"/>
      <c r="S3118" s="53"/>
      <c r="T3118" s="54">
        <f t="shared" si="473"/>
        <v>0</v>
      </c>
      <c r="U3118" s="26">
        <f t="shared" si="474"/>
        <v>0</v>
      </c>
      <c r="V3118" s="55">
        <f t="shared" si="475"/>
        <v>0</v>
      </c>
      <c r="W3118" s="29">
        <f t="shared" si="476"/>
        <v>0</v>
      </c>
      <c r="X3118" s="30">
        <f t="shared" si="477"/>
        <v>0</v>
      </c>
      <c r="Y3118"/>
      <c r="Z3118"/>
      <c r="AA3118"/>
    </row>
    <row r="3119" spans="1:27" s="51" customFormat="1" ht="18.600000000000001" hidden="1" customHeight="1" x14ac:dyDescent="0.25">
      <c r="A3119" s="81" t="s">
        <v>2653</v>
      </c>
      <c r="B3119" s="31" t="s">
        <v>9355</v>
      </c>
      <c r="C3119" s="32" t="s">
        <v>9395</v>
      </c>
      <c r="D3119" s="31">
        <v>8435568305939</v>
      </c>
      <c r="E3119" s="33" t="s">
        <v>7931</v>
      </c>
      <c r="F3119" s="33" t="s">
        <v>1937</v>
      </c>
      <c r="G3119" s="33"/>
      <c r="H3119" s="84" t="s">
        <v>7932</v>
      </c>
      <c r="I3119" s="23" t="s">
        <v>24</v>
      </c>
      <c r="J3119" s="34">
        <v>170</v>
      </c>
      <c r="K3119" s="35">
        <v>0.25</v>
      </c>
      <c r="L3119" s="36">
        <f t="shared" si="469"/>
        <v>42.5</v>
      </c>
      <c r="M3119" s="37">
        <f t="shared" si="470"/>
        <v>127.5</v>
      </c>
      <c r="N3119" s="38">
        <v>0.16</v>
      </c>
      <c r="O3119" s="39">
        <f t="shared" si="471"/>
        <v>20.400000000000002</v>
      </c>
      <c r="P3119" s="40">
        <f t="shared" si="472"/>
        <v>147.9</v>
      </c>
      <c r="Q3119" s="23"/>
      <c r="R3119" s="56"/>
      <c r="S3119" s="57"/>
      <c r="T3119" s="58">
        <f t="shared" si="473"/>
        <v>0</v>
      </c>
      <c r="U3119" s="36">
        <f t="shared" si="474"/>
        <v>0</v>
      </c>
      <c r="V3119" s="59">
        <f t="shared" si="475"/>
        <v>0</v>
      </c>
      <c r="W3119" s="39">
        <f t="shared" si="476"/>
        <v>0</v>
      </c>
      <c r="X3119" s="40">
        <f t="shared" si="477"/>
        <v>0</v>
      </c>
      <c r="Y3119"/>
      <c r="Z3119"/>
      <c r="AA3119"/>
    </row>
    <row r="3120" spans="1:27" s="51" customFormat="1" ht="18.600000000000001" hidden="1" customHeight="1" x14ac:dyDescent="0.25">
      <c r="A3120" s="82" t="s">
        <v>2653</v>
      </c>
      <c r="B3120" s="41" t="s">
        <v>9396</v>
      </c>
      <c r="C3120" s="42" t="s">
        <v>9397</v>
      </c>
      <c r="D3120" s="41">
        <v>8436535570985</v>
      </c>
      <c r="E3120" s="43" t="s">
        <v>7933</v>
      </c>
      <c r="F3120" s="43" t="s">
        <v>1937</v>
      </c>
      <c r="G3120" s="43"/>
      <c r="H3120" s="85" t="s">
        <v>7934</v>
      </c>
      <c r="I3120" s="23" t="s">
        <v>24</v>
      </c>
      <c r="J3120" s="44">
        <v>650</v>
      </c>
      <c r="K3120" s="45">
        <v>0.25</v>
      </c>
      <c r="L3120" s="46">
        <f t="shared" si="469"/>
        <v>162.5</v>
      </c>
      <c r="M3120" s="47">
        <f t="shared" si="470"/>
        <v>487.5</v>
      </c>
      <c r="N3120" s="48">
        <v>0.16</v>
      </c>
      <c r="O3120" s="49">
        <f t="shared" si="471"/>
        <v>78</v>
      </c>
      <c r="P3120" s="50">
        <f t="shared" si="472"/>
        <v>565.5</v>
      </c>
      <c r="Q3120" s="23"/>
      <c r="R3120" s="60"/>
      <c r="S3120" s="61"/>
      <c r="T3120" s="62">
        <f t="shared" si="473"/>
        <v>0</v>
      </c>
      <c r="U3120" s="46">
        <f t="shared" si="474"/>
        <v>0</v>
      </c>
      <c r="V3120" s="63">
        <f t="shared" si="475"/>
        <v>0</v>
      </c>
      <c r="W3120" s="49">
        <f t="shared" si="476"/>
        <v>0</v>
      </c>
      <c r="X3120" s="50">
        <f t="shared" si="477"/>
        <v>0</v>
      </c>
      <c r="Y3120"/>
      <c r="Z3120"/>
      <c r="AA3120"/>
    </row>
    <row r="3121" spans="1:27" s="51" customFormat="1" ht="18.600000000000001" hidden="1" customHeight="1" x14ac:dyDescent="0.25">
      <c r="A3121" s="80" t="s">
        <v>2653</v>
      </c>
      <c r="B3121" s="20" t="s">
        <v>9396</v>
      </c>
      <c r="C3121" s="21" t="s">
        <v>9397</v>
      </c>
      <c r="D3121" s="20">
        <v>8435568314443</v>
      </c>
      <c r="E3121" s="22" t="s">
        <v>7935</v>
      </c>
      <c r="F3121" s="22" t="s">
        <v>1937</v>
      </c>
      <c r="G3121" s="22"/>
      <c r="H3121" s="83" t="s">
        <v>7936</v>
      </c>
      <c r="I3121" s="23" t="s">
        <v>24</v>
      </c>
      <c r="J3121" s="24">
        <v>1050</v>
      </c>
      <c r="K3121" s="25">
        <v>0.25</v>
      </c>
      <c r="L3121" s="26">
        <f t="shared" si="469"/>
        <v>262.5</v>
      </c>
      <c r="M3121" s="27">
        <f t="shared" si="470"/>
        <v>787.5</v>
      </c>
      <c r="N3121" s="28">
        <v>0.16</v>
      </c>
      <c r="O3121" s="29">
        <f t="shared" si="471"/>
        <v>126</v>
      </c>
      <c r="P3121" s="30">
        <f t="shared" si="472"/>
        <v>913.5</v>
      </c>
      <c r="Q3121" s="23"/>
      <c r="R3121" s="52"/>
      <c r="S3121" s="53"/>
      <c r="T3121" s="54">
        <f t="shared" si="473"/>
        <v>0</v>
      </c>
      <c r="U3121" s="26">
        <f t="shared" si="474"/>
        <v>0</v>
      </c>
      <c r="V3121" s="55">
        <f t="shared" si="475"/>
        <v>0</v>
      </c>
      <c r="W3121" s="29">
        <f t="shared" si="476"/>
        <v>0</v>
      </c>
      <c r="X3121" s="30">
        <f t="shared" si="477"/>
        <v>0</v>
      </c>
      <c r="Y3121"/>
      <c r="Z3121"/>
      <c r="AA3121"/>
    </row>
    <row r="3122" spans="1:27" s="51" customFormat="1" ht="18.600000000000001" hidden="1" customHeight="1" x14ac:dyDescent="0.25">
      <c r="A3122" s="81" t="s">
        <v>2653</v>
      </c>
      <c r="B3122" s="31" t="s">
        <v>9396</v>
      </c>
      <c r="C3122" s="32" t="s">
        <v>9397</v>
      </c>
      <c r="D3122" s="31" t="s">
        <v>7937</v>
      </c>
      <c r="E3122" s="33" t="s">
        <v>7938</v>
      </c>
      <c r="F3122" s="33" t="s">
        <v>1937</v>
      </c>
      <c r="G3122" s="33"/>
      <c r="H3122" s="84" t="s">
        <v>7939</v>
      </c>
      <c r="I3122" s="23" t="s">
        <v>24</v>
      </c>
      <c r="J3122" s="34">
        <v>1200</v>
      </c>
      <c r="K3122" s="35">
        <v>0.25</v>
      </c>
      <c r="L3122" s="36">
        <f t="shared" si="469"/>
        <v>300</v>
      </c>
      <c r="M3122" s="37">
        <f t="shared" si="470"/>
        <v>900</v>
      </c>
      <c r="N3122" s="38">
        <v>0.16</v>
      </c>
      <c r="O3122" s="39">
        <f t="shared" si="471"/>
        <v>144</v>
      </c>
      <c r="P3122" s="40">
        <f t="shared" si="472"/>
        <v>1044</v>
      </c>
      <c r="Q3122" s="23"/>
      <c r="R3122" s="56"/>
      <c r="S3122" s="57"/>
      <c r="T3122" s="58">
        <f t="shared" si="473"/>
        <v>0</v>
      </c>
      <c r="U3122" s="36">
        <f t="shared" si="474"/>
        <v>0</v>
      </c>
      <c r="V3122" s="59">
        <f t="shared" si="475"/>
        <v>0</v>
      </c>
      <c r="W3122" s="39">
        <f t="shared" si="476"/>
        <v>0</v>
      </c>
      <c r="X3122" s="40">
        <f t="shared" si="477"/>
        <v>0</v>
      </c>
      <c r="Y3122"/>
      <c r="Z3122"/>
      <c r="AA3122"/>
    </row>
    <row r="3123" spans="1:27" s="51" customFormat="1" ht="18.600000000000001" hidden="1" customHeight="1" x14ac:dyDescent="0.25">
      <c r="A3123" s="82" t="s">
        <v>2653</v>
      </c>
      <c r="B3123" s="41" t="s">
        <v>9396</v>
      </c>
      <c r="C3123" s="42" t="s">
        <v>9397</v>
      </c>
      <c r="D3123" s="41" t="s">
        <v>7940</v>
      </c>
      <c r="E3123" s="43" t="s">
        <v>7941</v>
      </c>
      <c r="F3123" s="43" t="s">
        <v>1937</v>
      </c>
      <c r="G3123" s="43"/>
      <c r="H3123" s="85" t="s">
        <v>7942</v>
      </c>
      <c r="I3123" s="23" t="s">
        <v>24</v>
      </c>
      <c r="J3123" s="44">
        <v>1080</v>
      </c>
      <c r="K3123" s="45">
        <v>0.25</v>
      </c>
      <c r="L3123" s="46">
        <f t="shared" si="469"/>
        <v>270</v>
      </c>
      <c r="M3123" s="47">
        <f t="shared" si="470"/>
        <v>810</v>
      </c>
      <c r="N3123" s="48">
        <v>0.16</v>
      </c>
      <c r="O3123" s="49">
        <f t="shared" si="471"/>
        <v>129.6</v>
      </c>
      <c r="P3123" s="50">
        <f t="shared" si="472"/>
        <v>939.6</v>
      </c>
      <c r="Q3123" s="23"/>
      <c r="R3123" s="60"/>
      <c r="S3123" s="61"/>
      <c r="T3123" s="62">
        <f t="shared" si="473"/>
        <v>0</v>
      </c>
      <c r="U3123" s="46">
        <f t="shared" si="474"/>
        <v>0</v>
      </c>
      <c r="V3123" s="63">
        <f t="shared" si="475"/>
        <v>0</v>
      </c>
      <c r="W3123" s="49">
        <f t="shared" si="476"/>
        <v>0</v>
      </c>
      <c r="X3123" s="50">
        <f t="shared" si="477"/>
        <v>0</v>
      </c>
      <c r="Y3123"/>
      <c r="Z3123"/>
      <c r="AA3123"/>
    </row>
    <row r="3124" spans="1:27" s="51" customFormat="1" ht="18.600000000000001" hidden="1" customHeight="1" x14ac:dyDescent="0.25">
      <c r="A3124" s="80" t="s">
        <v>2653</v>
      </c>
      <c r="B3124" s="20" t="s">
        <v>9396</v>
      </c>
      <c r="C3124" s="21" t="s">
        <v>9397</v>
      </c>
      <c r="D3124" s="20" t="s">
        <v>7943</v>
      </c>
      <c r="E3124" s="22" t="s">
        <v>7944</v>
      </c>
      <c r="F3124" s="22" t="s">
        <v>1937</v>
      </c>
      <c r="G3124" s="22"/>
      <c r="H3124" s="83" t="s">
        <v>7945</v>
      </c>
      <c r="I3124" s="23" t="s">
        <v>24</v>
      </c>
      <c r="J3124" s="24">
        <v>1450</v>
      </c>
      <c r="K3124" s="25">
        <v>0.25</v>
      </c>
      <c r="L3124" s="26">
        <f t="shared" si="469"/>
        <v>362.5</v>
      </c>
      <c r="M3124" s="27">
        <f t="shared" si="470"/>
        <v>1087.5</v>
      </c>
      <c r="N3124" s="28">
        <v>0.16</v>
      </c>
      <c r="O3124" s="29">
        <f t="shared" si="471"/>
        <v>174</v>
      </c>
      <c r="P3124" s="30">
        <f t="shared" si="472"/>
        <v>1261.5</v>
      </c>
      <c r="Q3124" s="23"/>
      <c r="R3124" s="52"/>
      <c r="S3124" s="53"/>
      <c r="T3124" s="54">
        <f t="shared" si="473"/>
        <v>0</v>
      </c>
      <c r="U3124" s="26">
        <f t="shared" si="474"/>
        <v>0</v>
      </c>
      <c r="V3124" s="55">
        <f t="shared" si="475"/>
        <v>0</v>
      </c>
      <c r="W3124" s="29">
        <f t="shared" si="476"/>
        <v>0</v>
      </c>
      <c r="X3124" s="30">
        <f t="shared" si="477"/>
        <v>0</v>
      </c>
      <c r="Y3124"/>
      <c r="Z3124"/>
      <c r="AA3124"/>
    </row>
    <row r="3125" spans="1:27" s="51" customFormat="1" ht="18.600000000000001" hidden="1" customHeight="1" x14ac:dyDescent="0.25">
      <c r="A3125" s="81" t="s">
        <v>2653</v>
      </c>
      <c r="B3125" s="31" t="s">
        <v>9396</v>
      </c>
      <c r="C3125" s="32" t="s">
        <v>9397</v>
      </c>
      <c r="D3125" s="31">
        <v>8435568334328</v>
      </c>
      <c r="E3125" s="33" t="s">
        <v>7946</v>
      </c>
      <c r="F3125" s="33" t="s">
        <v>1937</v>
      </c>
      <c r="G3125" s="33"/>
      <c r="H3125" s="84" t="s">
        <v>7947</v>
      </c>
      <c r="I3125" s="23" t="s">
        <v>24</v>
      </c>
      <c r="J3125" s="34">
        <v>2080</v>
      </c>
      <c r="K3125" s="35">
        <v>0.25</v>
      </c>
      <c r="L3125" s="36">
        <f t="shared" si="469"/>
        <v>520</v>
      </c>
      <c r="M3125" s="37">
        <f t="shared" si="470"/>
        <v>1560</v>
      </c>
      <c r="N3125" s="38">
        <v>0.16</v>
      </c>
      <c r="O3125" s="39">
        <f t="shared" si="471"/>
        <v>249.6</v>
      </c>
      <c r="P3125" s="40">
        <f t="shared" si="472"/>
        <v>1809.6</v>
      </c>
      <c r="Q3125" s="23"/>
      <c r="R3125" s="56"/>
      <c r="S3125" s="57"/>
      <c r="T3125" s="58">
        <f t="shared" si="473"/>
        <v>0</v>
      </c>
      <c r="U3125" s="36">
        <f t="shared" si="474"/>
        <v>0</v>
      </c>
      <c r="V3125" s="59">
        <f t="shared" si="475"/>
        <v>0</v>
      </c>
      <c r="W3125" s="39">
        <f t="shared" si="476"/>
        <v>0</v>
      </c>
      <c r="X3125" s="40">
        <f t="shared" si="477"/>
        <v>0</v>
      </c>
      <c r="Y3125"/>
      <c r="Z3125"/>
      <c r="AA3125"/>
    </row>
    <row r="3126" spans="1:27" s="51" customFormat="1" ht="18.600000000000001" hidden="1" customHeight="1" x14ac:dyDescent="0.25">
      <c r="A3126" s="82" t="s">
        <v>2653</v>
      </c>
      <c r="B3126" s="41" t="s">
        <v>9396</v>
      </c>
      <c r="C3126" s="42" t="s">
        <v>9397</v>
      </c>
      <c r="D3126" s="41">
        <v>8435568337442</v>
      </c>
      <c r="E3126" s="43" t="s">
        <v>7948</v>
      </c>
      <c r="F3126" s="43" t="s">
        <v>1937</v>
      </c>
      <c r="G3126" s="43"/>
      <c r="H3126" s="85" t="s">
        <v>7949</v>
      </c>
      <c r="I3126" s="23" t="s">
        <v>24</v>
      </c>
      <c r="J3126" s="44">
        <v>3120</v>
      </c>
      <c r="K3126" s="45">
        <v>0.25</v>
      </c>
      <c r="L3126" s="46">
        <f t="shared" si="469"/>
        <v>780</v>
      </c>
      <c r="M3126" s="47">
        <f t="shared" si="470"/>
        <v>2340</v>
      </c>
      <c r="N3126" s="48">
        <v>0.16</v>
      </c>
      <c r="O3126" s="49">
        <f t="shared" si="471"/>
        <v>374.40000000000003</v>
      </c>
      <c r="P3126" s="50">
        <f t="shared" si="472"/>
        <v>2714.4</v>
      </c>
      <c r="Q3126" s="23"/>
      <c r="R3126" s="60"/>
      <c r="S3126" s="61"/>
      <c r="T3126" s="62">
        <f t="shared" si="473"/>
        <v>0</v>
      </c>
      <c r="U3126" s="46">
        <f t="shared" si="474"/>
        <v>0</v>
      </c>
      <c r="V3126" s="63">
        <f t="shared" si="475"/>
        <v>0</v>
      </c>
      <c r="W3126" s="49">
        <f t="shared" si="476"/>
        <v>0</v>
      </c>
      <c r="X3126" s="50">
        <f t="shared" si="477"/>
        <v>0</v>
      </c>
      <c r="Y3126"/>
      <c r="Z3126"/>
      <c r="AA3126"/>
    </row>
    <row r="3127" spans="1:27" s="51" customFormat="1" ht="18.600000000000001" hidden="1" customHeight="1" x14ac:dyDescent="0.25">
      <c r="A3127" s="80" t="s">
        <v>2653</v>
      </c>
      <c r="B3127" s="20" t="s">
        <v>9396</v>
      </c>
      <c r="C3127" s="21" t="s">
        <v>9397</v>
      </c>
      <c r="D3127" s="20" t="s">
        <v>7950</v>
      </c>
      <c r="E3127" s="22" t="s">
        <v>7951</v>
      </c>
      <c r="F3127" s="22" t="s">
        <v>1937</v>
      </c>
      <c r="G3127" s="22"/>
      <c r="H3127" s="83" t="s">
        <v>7952</v>
      </c>
      <c r="I3127" s="23" t="s">
        <v>24</v>
      </c>
      <c r="J3127" s="24">
        <v>2080</v>
      </c>
      <c r="K3127" s="25">
        <v>0.25</v>
      </c>
      <c r="L3127" s="26">
        <f t="shared" si="469"/>
        <v>520</v>
      </c>
      <c r="M3127" s="27">
        <f t="shared" si="470"/>
        <v>1560</v>
      </c>
      <c r="N3127" s="28">
        <v>0.16</v>
      </c>
      <c r="O3127" s="29">
        <f t="shared" si="471"/>
        <v>249.6</v>
      </c>
      <c r="P3127" s="30">
        <f t="shared" si="472"/>
        <v>1809.6</v>
      </c>
      <c r="Q3127" s="23"/>
      <c r="R3127" s="52"/>
      <c r="S3127" s="53"/>
      <c r="T3127" s="54">
        <f t="shared" si="473"/>
        <v>0</v>
      </c>
      <c r="U3127" s="26">
        <f t="shared" si="474"/>
        <v>0</v>
      </c>
      <c r="V3127" s="55">
        <f t="shared" si="475"/>
        <v>0</v>
      </c>
      <c r="W3127" s="29">
        <f t="shared" si="476"/>
        <v>0</v>
      </c>
      <c r="X3127" s="30">
        <f t="shared" si="477"/>
        <v>0</v>
      </c>
      <c r="Y3127"/>
      <c r="Z3127"/>
      <c r="AA3127"/>
    </row>
    <row r="3128" spans="1:27" s="51" customFormat="1" ht="18.600000000000001" hidden="1" customHeight="1" x14ac:dyDescent="0.25">
      <c r="A3128" s="81" t="s">
        <v>2653</v>
      </c>
      <c r="B3128" s="31" t="s">
        <v>9396</v>
      </c>
      <c r="C3128" s="32" t="s">
        <v>9397</v>
      </c>
      <c r="D3128" s="31">
        <v>8435568338166</v>
      </c>
      <c r="E3128" s="33" t="s">
        <v>4252</v>
      </c>
      <c r="F3128" s="33" t="s">
        <v>1937</v>
      </c>
      <c r="G3128" s="33"/>
      <c r="H3128" s="84" t="s">
        <v>7953</v>
      </c>
      <c r="I3128" s="23" t="s">
        <v>24</v>
      </c>
      <c r="J3128" s="34">
        <v>580</v>
      </c>
      <c r="K3128" s="35">
        <v>0.25</v>
      </c>
      <c r="L3128" s="36">
        <f t="shared" si="469"/>
        <v>145</v>
      </c>
      <c r="M3128" s="37">
        <f t="shared" si="470"/>
        <v>435</v>
      </c>
      <c r="N3128" s="38">
        <v>0.16</v>
      </c>
      <c r="O3128" s="39">
        <f t="shared" si="471"/>
        <v>69.600000000000009</v>
      </c>
      <c r="P3128" s="40">
        <f t="shared" si="472"/>
        <v>504.6</v>
      </c>
      <c r="Q3128" s="23"/>
      <c r="R3128" s="56"/>
      <c r="S3128" s="57"/>
      <c r="T3128" s="58">
        <f t="shared" si="473"/>
        <v>0</v>
      </c>
      <c r="U3128" s="36">
        <f t="shared" si="474"/>
        <v>0</v>
      </c>
      <c r="V3128" s="59">
        <f t="shared" si="475"/>
        <v>0</v>
      </c>
      <c r="W3128" s="39">
        <f t="shared" si="476"/>
        <v>0</v>
      </c>
      <c r="X3128" s="40">
        <f t="shared" si="477"/>
        <v>0</v>
      </c>
      <c r="Y3128"/>
      <c r="Z3128"/>
      <c r="AA3128"/>
    </row>
    <row r="3129" spans="1:27" s="51" customFormat="1" ht="18.600000000000001" hidden="1" customHeight="1" x14ac:dyDescent="0.25">
      <c r="A3129" s="82" t="s">
        <v>2653</v>
      </c>
      <c r="B3129" s="41" t="s">
        <v>9396</v>
      </c>
      <c r="C3129" s="42" t="s">
        <v>9397</v>
      </c>
      <c r="D3129" s="41" t="s">
        <v>7954</v>
      </c>
      <c r="E3129" s="43" t="s">
        <v>7955</v>
      </c>
      <c r="F3129" s="43" t="s">
        <v>1937</v>
      </c>
      <c r="G3129" s="43"/>
      <c r="H3129" s="85" t="s">
        <v>7956</v>
      </c>
      <c r="I3129" s="23" t="s">
        <v>24</v>
      </c>
      <c r="J3129" s="44">
        <v>660</v>
      </c>
      <c r="K3129" s="45">
        <v>0.25</v>
      </c>
      <c r="L3129" s="46">
        <f t="shared" si="469"/>
        <v>165</v>
      </c>
      <c r="M3129" s="47">
        <f t="shared" si="470"/>
        <v>495</v>
      </c>
      <c r="N3129" s="48">
        <v>0.16</v>
      </c>
      <c r="O3129" s="49">
        <f t="shared" si="471"/>
        <v>79.2</v>
      </c>
      <c r="P3129" s="50">
        <f t="shared" si="472"/>
        <v>574.20000000000005</v>
      </c>
      <c r="Q3129" s="23"/>
      <c r="R3129" s="60"/>
      <c r="S3129" s="61"/>
      <c r="T3129" s="62">
        <f t="shared" si="473"/>
        <v>0</v>
      </c>
      <c r="U3129" s="46">
        <f t="shared" si="474"/>
        <v>0</v>
      </c>
      <c r="V3129" s="63">
        <f t="shared" si="475"/>
        <v>0</v>
      </c>
      <c r="W3129" s="49">
        <f t="shared" si="476"/>
        <v>0</v>
      </c>
      <c r="X3129" s="50">
        <f t="shared" si="477"/>
        <v>0</v>
      </c>
      <c r="Y3129"/>
      <c r="Z3129"/>
      <c r="AA3129"/>
    </row>
    <row r="3130" spans="1:27" s="51" customFormat="1" ht="18.600000000000001" hidden="1" customHeight="1" x14ac:dyDescent="0.25">
      <c r="A3130" s="80" t="s">
        <v>2653</v>
      </c>
      <c r="B3130" s="20" t="s">
        <v>9396</v>
      </c>
      <c r="C3130" s="21" t="s">
        <v>9397</v>
      </c>
      <c r="D3130" s="20" t="s">
        <v>7957</v>
      </c>
      <c r="E3130" s="22" t="s">
        <v>7958</v>
      </c>
      <c r="F3130" s="22" t="s">
        <v>1937</v>
      </c>
      <c r="G3130" s="22"/>
      <c r="H3130" s="83" t="s">
        <v>7959</v>
      </c>
      <c r="I3130" s="23" t="s">
        <v>24</v>
      </c>
      <c r="J3130" s="24">
        <v>660</v>
      </c>
      <c r="K3130" s="25">
        <v>0.25</v>
      </c>
      <c r="L3130" s="26">
        <f t="shared" si="469"/>
        <v>165</v>
      </c>
      <c r="M3130" s="27">
        <f t="shared" si="470"/>
        <v>495</v>
      </c>
      <c r="N3130" s="28">
        <v>0.16</v>
      </c>
      <c r="O3130" s="29">
        <f t="shared" si="471"/>
        <v>79.2</v>
      </c>
      <c r="P3130" s="30">
        <f t="shared" si="472"/>
        <v>574.20000000000005</v>
      </c>
      <c r="Q3130" s="23"/>
      <c r="R3130" s="52"/>
      <c r="S3130" s="53"/>
      <c r="T3130" s="54">
        <f t="shared" si="473"/>
        <v>0</v>
      </c>
      <c r="U3130" s="26">
        <f t="shared" si="474"/>
        <v>0</v>
      </c>
      <c r="V3130" s="55">
        <f t="shared" si="475"/>
        <v>0</v>
      </c>
      <c r="W3130" s="29">
        <f t="shared" si="476"/>
        <v>0</v>
      </c>
      <c r="X3130" s="30">
        <f t="shared" si="477"/>
        <v>0</v>
      </c>
      <c r="Y3130"/>
      <c r="Z3130"/>
      <c r="AA3130"/>
    </row>
    <row r="3131" spans="1:27" s="51" customFormat="1" ht="18.600000000000001" hidden="1" customHeight="1" x14ac:dyDescent="0.25">
      <c r="A3131" s="81" t="s">
        <v>2653</v>
      </c>
      <c r="B3131" s="31" t="s">
        <v>9396</v>
      </c>
      <c r="C3131" s="32" t="s">
        <v>9397</v>
      </c>
      <c r="D3131" s="31" t="s">
        <v>7960</v>
      </c>
      <c r="E3131" s="33" t="s">
        <v>7961</v>
      </c>
      <c r="F3131" s="33" t="s">
        <v>1937</v>
      </c>
      <c r="G3131" s="33"/>
      <c r="H3131" s="84" t="s">
        <v>7962</v>
      </c>
      <c r="I3131" s="23" t="s">
        <v>24</v>
      </c>
      <c r="J3131" s="34">
        <v>1080</v>
      </c>
      <c r="K3131" s="35">
        <v>0.25</v>
      </c>
      <c r="L3131" s="36">
        <f t="shared" si="469"/>
        <v>270</v>
      </c>
      <c r="M3131" s="37">
        <f t="shared" si="470"/>
        <v>810</v>
      </c>
      <c r="N3131" s="38">
        <v>0.16</v>
      </c>
      <c r="O3131" s="39">
        <f t="shared" si="471"/>
        <v>129.6</v>
      </c>
      <c r="P3131" s="40">
        <f t="shared" si="472"/>
        <v>939.6</v>
      </c>
      <c r="Q3131" s="23"/>
      <c r="R3131" s="56"/>
      <c r="S3131" s="57"/>
      <c r="T3131" s="58">
        <f t="shared" si="473"/>
        <v>0</v>
      </c>
      <c r="U3131" s="36">
        <f t="shared" si="474"/>
        <v>0</v>
      </c>
      <c r="V3131" s="59">
        <f t="shared" si="475"/>
        <v>0</v>
      </c>
      <c r="W3131" s="39">
        <f t="shared" si="476"/>
        <v>0</v>
      </c>
      <c r="X3131" s="40">
        <f t="shared" si="477"/>
        <v>0</v>
      </c>
      <c r="Y3131"/>
      <c r="Z3131"/>
      <c r="AA3131"/>
    </row>
    <row r="3132" spans="1:27" s="51" customFormat="1" ht="18.600000000000001" hidden="1" customHeight="1" x14ac:dyDescent="0.25">
      <c r="A3132" s="82" t="s">
        <v>2653</v>
      </c>
      <c r="B3132" s="41" t="s">
        <v>9396</v>
      </c>
      <c r="C3132" s="42" t="s">
        <v>9397</v>
      </c>
      <c r="D3132" s="41">
        <v>8435568340398</v>
      </c>
      <c r="E3132" s="43" t="s">
        <v>9597</v>
      </c>
      <c r="F3132" s="43" t="s">
        <v>1937</v>
      </c>
      <c r="G3132" s="43"/>
      <c r="H3132" s="85" t="s">
        <v>7963</v>
      </c>
      <c r="I3132" s="23" t="s">
        <v>24</v>
      </c>
      <c r="J3132" s="44">
        <v>2500</v>
      </c>
      <c r="K3132" s="45">
        <v>0.25</v>
      </c>
      <c r="L3132" s="46">
        <f t="shared" si="469"/>
        <v>625</v>
      </c>
      <c r="M3132" s="47">
        <f t="shared" si="470"/>
        <v>1875</v>
      </c>
      <c r="N3132" s="48">
        <v>0.16</v>
      </c>
      <c r="O3132" s="49">
        <f t="shared" si="471"/>
        <v>300</v>
      </c>
      <c r="P3132" s="50">
        <f t="shared" si="472"/>
        <v>2175</v>
      </c>
      <c r="Q3132" s="23"/>
      <c r="R3132" s="60"/>
      <c r="S3132" s="61"/>
      <c r="T3132" s="62">
        <f t="shared" si="473"/>
        <v>0</v>
      </c>
      <c r="U3132" s="46">
        <f t="shared" si="474"/>
        <v>0</v>
      </c>
      <c r="V3132" s="63">
        <f t="shared" si="475"/>
        <v>0</v>
      </c>
      <c r="W3132" s="49">
        <f t="shared" si="476"/>
        <v>0</v>
      </c>
      <c r="X3132" s="50">
        <f t="shared" si="477"/>
        <v>0</v>
      </c>
      <c r="Y3132"/>
      <c r="Z3132"/>
      <c r="AA3132"/>
    </row>
    <row r="3133" spans="1:27" s="51" customFormat="1" ht="18.600000000000001" hidden="1" customHeight="1" x14ac:dyDescent="0.25">
      <c r="A3133" s="80" t="s">
        <v>2653</v>
      </c>
      <c r="B3133" s="20" t="s">
        <v>9396</v>
      </c>
      <c r="C3133" s="21" t="s">
        <v>9397</v>
      </c>
      <c r="D3133" s="20" t="s">
        <v>7964</v>
      </c>
      <c r="E3133" s="22" t="s">
        <v>9598</v>
      </c>
      <c r="F3133" s="22" t="s">
        <v>1937</v>
      </c>
      <c r="G3133" s="22"/>
      <c r="H3133" s="83" t="s">
        <v>7966</v>
      </c>
      <c r="I3133" s="23" t="s">
        <v>24</v>
      </c>
      <c r="J3133" s="24">
        <v>660</v>
      </c>
      <c r="K3133" s="25">
        <v>0.25</v>
      </c>
      <c r="L3133" s="26">
        <f t="shared" si="469"/>
        <v>165</v>
      </c>
      <c r="M3133" s="27">
        <f t="shared" si="470"/>
        <v>495</v>
      </c>
      <c r="N3133" s="28">
        <v>0.16</v>
      </c>
      <c r="O3133" s="29">
        <f t="shared" si="471"/>
        <v>79.2</v>
      </c>
      <c r="P3133" s="30">
        <f t="shared" si="472"/>
        <v>574.20000000000005</v>
      </c>
      <c r="Q3133" s="23"/>
      <c r="R3133" s="52"/>
      <c r="S3133" s="53"/>
      <c r="T3133" s="54">
        <f t="shared" si="473"/>
        <v>0</v>
      </c>
      <c r="U3133" s="26">
        <f t="shared" si="474"/>
        <v>0</v>
      </c>
      <c r="V3133" s="55">
        <f t="shared" si="475"/>
        <v>0</v>
      </c>
      <c r="W3133" s="29">
        <f t="shared" si="476"/>
        <v>0</v>
      </c>
      <c r="X3133" s="30">
        <f t="shared" si="477"/>
        <v>0</v>
      </c>
      <c r="Y3133"/>
      <c r="Z3133"/>
      <c r="AA3133"/>
    </row>
    <row r="3134" spans="1:27" s="51" customFormat="1" ht="18.600000000000001" hidden="1" customHeight="1" x14ac:dyDescent="0.25">
      <c r="A3134" s="81" t="s">
        <v>2653</v>
      </c>
      <c r="B3134" s="31" t="s">
        <v>9396</v>
      </c>
      <c r="C3134" s="32" t="s">
        <v>9397</v>
      </c>
      <c r="D3134" s="31" t="s">
        <v>7967</v>
      </c>
      <c r="E3134" s="33" t="s">
        <v>9599</v>
      </c>
      <c r="F3134" s="33" t="s">
        <v>1937</v>
      </c>
      <c r="G3134" s="33"/>
      <c r="H3134" s="84" t="s">
        <v>7968</v>
      </c>
      <c r="I3134" s="23" t="s">
        <v>24</v>
      </c>
      <c r="J3134" s="34">
        <v>1250</v>
      </c>
      <c r="K3134" s="35">
        <v>0.25</v>
      </c>
      <c r="L3134" s="36">
        <f t="shared" si="469"/>
        <v>312.5</v>
      </c>
      <c r="M3134" s="37">
        <f t="shared" si="470"/>
        <v>937.5</v>
      </c>
      <c r="N3134" s="38">
        <v>0.16</v>
      </c>
      <c r="O3134" s="39">
        <f t="shared" si="471"/>
        <v>150</v>
      </c>
      <c r="P3134" s="40">
        <f t="shared" si="472"/>
        <v>1087.5</v>
      </c>
      <c r="Q3134" s="23"/>
      <c r="R3134" s="56"/>
      <c r="S3134" s="57"/>
      <c r="T3134" s="58">
        <f t="shared" si="473"/>
        <v>0</v>
      </c>
      <c r="U3134" s="36">
        <f t="shared" si="474"/>
        <v>0</v>
      </c>
      <c r="V3134" s="59">
        <f t="shared" si="475"/>
        <v>0</v>
      </c>
      <c r="W3134" s="39">
        <f t="shared" si="476"/>
        <v>0</v>
      </c>
      <c r="X3134" s="40">
        <f t="shared" si="477"/>
        <v>0</v>
      </c>
      <c r="Y3134"/>
      <c r="Z3134"/>
      <c r="AA3134"/>
    </row>
    <row r="3135" spans="1:27" s="51" customFormat="1" ht="18.600000000000001" hidden="1" customHeight="1" x14ac:dyDescent="0.25">
      <c r="A3135" s="82" t="s">
        <v>2653</v>
      </c>
      <c r="B3135" s="41" t="s">
        <v>9396</v>
      </c>
      <c r="C3135" s="42" t="s">
        <v>9397</v>
      </c>
      <c r="D3135" s="41" t="s">
        <v>7969</v>
      </c>
      <c r="E3135" s="43" t="s">
        <v>7971</v>
      </c>
      <c r="F3135" s="43" t="s">
        <v>1937</v>
      </c>
      <c r="G3135" s="43"/>
      <c r="H3135" s="85" t="s">
        <v>7970</v>
      </c>
      <c r="I3135" s="23" t="s">
        <v>24</v>
      </c>
      <c r="J3135" s="44">
        <v>1160</v>
      </c>
      <c r="K3135" s="45">
        <v>0.25</v>
      </c>
      <c r="L3135" s="46">
        <f t="shared" si="469"/>
        <v>290</v>
      </c>
      <c r="M3135" s="47">
        <f t="shared" si="470"/>
        <v>870</v>
      </c>
      <c r="N3135" s="48">
        <v>0.16</v>
      </c>
      <c r="O3135" s="49">
        <f t="shared" si="471"/>
        <v>139.20000000000002</v>
      </c>
      <c r="P3135" s="50">
        <f t="shared" si="472"/>
        <v>1009.2</v>
      </c>
      <c r="Q3135" s="23"/>
      <c r="R3135" s="60"/>
      <c r="S3135" s="61"/>
      <c r="T3135" s="62">
        <f t="shared" si="473"/>
        <v>0</v>
      </c>
      <c r="U3135" s="46">
        <f t="shared" si="474"/>
        <v>0</v>
      </c>
      <c r="V3135" s="63">
        <f t="shared" si="475"/>
        <v>0</v>
      </c>
      <c r="W3135" s="49">
        <f t="shared" si="476"/>
        <v>0</v>
      </c>
      <c r="X3135" s="50">
        <f t="shared" si="477"/>
        <v>0</v>
      </c>
      <c r="Y3135"/>
      <c r="Z3135"/>
      <c r="AA3135"/>
    </row>
    <row r="3136" spans="1:27" s="51" customFormat="1" ht="18.600000000000001" hidden="1" customHeight="1" x14ac:dyDescent="0.25">
      <c r="A3136" s="80" t="s">
        <v>2653</v>
      </c>
      <c r="B3136" s="20" t="s">
        <v>9396</v>
      </c>
      <c r="C3136" s="21" t="s">
        <v>9397</v>
      </c>
      <c r="D3136" s="20">
        <v>8435568344808</v>
      </c>
      <c r="E3136" s="22" t="s">
        <v>9600</v>
      </c>
      <c r="F3136" s="22" t="s">
        <v>1937</v>
      </c>
      <c r="G3136" s="22"/>
      <c r="H3136" s="83" t="s">
        <v>7972</v>
      </c>
      <c r="I3136" s="23" t="s">
        <v>24</v>
      </c>
      <c r="J3136" s="24">
        <v>1050</v>
      </c>
      <c r="K3136" s="25">
        <v>0.25</v>
      </c>
      <c r="L3136" s="26">
        <f t="shared" si="469"/>
        <v>262.5</v>
      </c>
      <c r="M3136" s="27">
        <f t="shared" si="470"/>
        <v>787.5</v>
      </c>
      <c r="N3136" s="28">
        <v>0.16</v>
      </c>
      <c r="O3136" s="29">
        <f t="shared" si="471"/>
        <v>126</v>
      </c>
      <c r="P3136" s="30">
        <f t="shared" si="472"/>
        <v>913.5</v>
      </c>
      <c r="Q3136" s="23"/>
      <c r="R3136" s="52"/>
      <c r="S3136" s="53"/>
      <c r="T3136" s="54">
        <f t="shared" si="473"/>
        <v>0</v>
      </c>
      <c r="U3136" s="26">
        <f t="shared" si="474"/>
        <v>0</v>
      </c>
      <c r="V3136" s="55">
        <f t="shared" si="475"/>
        <v>0</v>
      </c>
      <c r="W3136" s="29">
        <f t="shared" si="476"/>
        <v>0</v>
      </c>
      <c r="X3136" s="30">
        <f t="shared" si="477"/>
        <v>0</v>
      </c>
      <c r="Y3136"/>
      <c r="Z3136"/>
      <c r="AA3136"/>
    </row>
    <row r="3137" spans="1:27" s="51" customFormat="1" ht="18.600000000000001" hidden="1" customHeight="1" x14ac:dyDescent="0.25">
      <c r="A3137" s="81" t="s">
        <v>2653</v>
      </c>
      <c r="B3137" s="31" t="s">
        <v>9396</v>
      </c>
      <c r="C3137" s="32" t="s">
        <v>9397</v>
      </c>
      <c r="D3137" s="31" t="s">
        <v>7973</v>
      </c>
      <c r="E3137" s="33" t="s">
        <v>7974</v>
      </c>
      <c r="F3137" s="33" t="s">
        <v>1937</v>
      </c>
      <c r="G3137" s="33"/>
      <c r="H3137" s="84" t="s">
        <v>7975</v>
      </c>
      <c r="I3137" s="23" t="s">
        <v>24</v>
      </c>
      <c r="J3137" s="34">
        <v>1040</v>
      </c>
      <c r="K3137" s="35">
        <v>0.25</v>
      </c>
      <c r="L3137" s="36">
        <f t="shared" si="469"/>
        <v>260</v>
      </c>
      <c r="M3137" s="37">
        <f t="shared" si="470"/>
        <v>780</v>
      </c>
      <c r="N3137" s="38">
        <v>0.16</v>
      </c>
      <c r="O3137" s="39">
        <f t="shared" si="471"/>
        <v>124.8</v>
      </c>
      <c r="P3137" s="40">
        <f t="shared" si="472"/>
        <v>904.8</v>
      </c>
      <c r="Q3137" s="23"/>
      <c r="R3137" s="56"/>
      <c r="S3137" s="57"/>
      <c r="T3137" s="58">
        <f t="shared" si="473"/>
        <v>0</v>
      </c>
      <c r="U3137" s="36">
        <f t="shared" si="474"/>
        <v>0</v>
      </c>
      <c r="V3137" s="59">
        <f t="shared" si="475"/>
        <v>0</v>
      </c>
      <c r="W3137" s="39">
        <f t="shared" si="476"/>
        <v>0</v>
      </c>
      <c r="X3137" s="40">
        <f t="shared" si="477"/>
        <v>0</v>
      </c>
      <c r="Y3137"/>
      <c r="Z3137"/>
      <c r="AA3137"/>
    </row>
    <row r="3138" spans="1:27" s="51" customFormat="1" ht="18.600000000000001" hidden="1" customHeight="1" x14ac:dyDescent="0.25">
      <c r="A3138" s="82" t="s">
        <v>2653</v>
      </c>
      <c r="B3138" s="41" t="s">
        <v>9396</v>
      </c>
      <c r="C3138" s="42" t="s">
        <v>9397</v>
      </c>
      <c r="D3138" s="41" t="s">
        <v>7976</v>
      </c>
      <c r="E3138" s="43" t="s">
        <v>7977</v>
      </c>
      <c r="F3138" s="43" t="s">
        <v>1937</v>
      </c>
      <c r="G3138" s="43"/>
      <c r="H3138" s="85" t="s">
        <v>7978</v>
      </c>
      <c r="I3138" s="23" t="s">
        <v>24</v>
      </c>
      <c r="J3138" s="44">
        <v>1040</v>
      </c>
      <c r="K3138" s="45">
        <v>0.25</v>
      </c>
      <c r="L3138" s="46">
        <f t="shared" si="469"/>
        <v>260</v>
      </c>
      <c r="M3138" s="47">
        <f t="shared" si="470"/>
        <v>780</v>
      </c>
      <c r="N3138" s="48">
        <v>0.16</v>
      </c>
      <c r="O3138" s="49">
        <f t="shared" si="471"/>
        <v>124.8</v>
      </c>
      <c r="P3138" s="50">
        <f t="shared" si="472"/>
        <v>904.8</v>
      </c>
      <c r="Q3138" s="23"/>
      <c r="R3138" s="60"/>
      <c r="S3138" s="61"/>
      <c r="T3138" s="62">
        <f t="shared" si="473"/>
        <v>0</v>
      </c>
      <c r="U3138" s="46">
        <f t="shared" si="474"/>
        <v>0</v>
      </c>
      <c r="V3138" s="63">
        <f t="shared" si="475"/>
        <v>0</v>
      </c>
      <c r="W3138" s="49">
        <f t="shared" si="476"/>
        <v>0</v>
      </c>
      <c r="X3138" s="50">
        <f t="shared" si="477"/>
        <v>0</v>
      </c>
      <c r="Y3138"/>
      <c r="Z3138"/>
      <c r="AA3138"/>
    </row>
    <row r="3139" spans="1:27" s="51" customFormat="1" ht="18.600000000000001" hidden="1" customHeight="1" x14ac:dyDescent="0.25">
      <c r="A3139" s="80" t="s">
        <v>2653</v>
      </c>
      <c r="B3139" s="20" t="s">
        <v>9396</v>
      </c>
      <c r="C3139" s="21" t="s">
        <v>9397</v>
      </c>
      <c r="D3139" s="20" t="s">
        <v>7979</v>
      </c>
      <c r="E3139" s="22" t="s">
        <v>7980</v>
      </c>
      <c r="F3139" s="22" t="s">
        <v>1937</v>
      </c>
      <c r="G3139" s="22"/>
      <c r="H3139" s="83" t="s">
        <v>7981</v>
      </c>
      <c r="I3139" s="23" t="s">
        <v>24</v>
      </c>
      <c r="J3139" s="24">
        <v>2160</v>
      </c>
      <c r="K3139" s="25">
        <v>0.25</v>
      </c>
      <c r="L3139" s="26">
        <f t="shared" si="469"/>
        <v>540</v>
      </c>
      <c r="M3139" s="27">
        <f t="shared" si="470"/>
        <v>1620</v>
      </c>
      <c r="N3139" s="28">
        <v>0.16</v>
      </c>
      <c r="O3139" s="29">
        <f t="shared" si="471"/>
        <v>259.2</v>
      </c>
      <c r="P3139" s="30">
        <f t="shared" si="472"/>
        <v>1879.2</v>
      </c>
      <c r="Q3139" s="23"/>
      <c r="R3139" s="52"/>
      <c r="S3139" s="53"/>
      <c r="T3139" s="54">
        <f t="shared" si="473"/>
        <v>0</v>
      </c>
      <c r="U3139" s="26">
        <f t="shared" si="474"/>
        <v>0</v>
      </c>
      <c r="V3139" s="55">
        <f t="shared" si="475"/>
        <v>0</v>
      </c>
      <c r="W3139" s="29">
        <f t="shared" si="476"/>
        <v>0</v>
      </c>
      <c r="X3139" s="30">
        <f t="shared" si="477"/>
        <v>0</v>
      </c>
      <c r="Y3139"/>
      <c r="Z3139"/>
      <c r="AA3139"/>
    </row>
    <row r="3140" spans="1:27" s="51" customFormat="1" ht="18.600000000000001" hidden="1" customHeight="1" x14ac:dyDescent="0.25">
      <c r="A3140" s="81" t="s">
        <v>2653</v>
      </c>
      <c r="B3140" s="31" t="s">
        <v>9396</v>
      </c>
      <c r="C3140" s="32" t="s">
        <v>9397</v>
      </c>
      <c r="D3140" s="31">
        <v>8435568347786</v>
      </c>
      <c r="E3140" s="33" t="s">
        <v>7982</v>
      </c>
      <c r="F3140" s="33" t="s">
        <v>1937</v>
      </c>
      <c r="G3140" s="33"/>
      <c r="H3140" s="84" t="s">
        <v>7983</v>
      </c>
      <c r="I3140" s="23" t="s">
        <v>24</v>
      </c>
      <c r="J3140" s="34">
        <v>2160</v>
      </c>
      <c r="K3140" s="35">
        <v>0.25</v>
      </c>
      <c r="L3140" s="36">
        <f t="shared" si="469"/>
        <v>540</v>
      </c>
      <c r="M3140" s="37">
        <f t="shared" si="470"/>
        <v>1620</v>
      </c>
      <c r="N3140" s="38">
        <v>0.16</v>
      </c>
      <c r="O3140" s="39">
        <f t="shared" si="471"/>
        <v>259.2</v>
      </c>
      <c r="P3140" s="40">
        <f t="shared" si="472"/>
        <v>1879.2</v>
      </c>
      <c r="Q3140" s="23"/>
      <c r="R3140" s="56"/>
      <c r="S3140" s="57"/>
      <c r="T3140" s="58">
        <f t="shared" si="473"/>
        <v>0</v>
      </c>
      <c r="U3140" s="36">
        <f t="shared" si="474"/>
        <v>0</v>
      </c>
      <c r="V3140" s="59">
        <f t="shared" si="475"/>
        <v>0</v>
      </c>
      <c r="W3140" s="39">
        <f t="shared" si="476"/>
        <v>0</v>
      </c>
      <c r="X3140" s="40">
        <f t="shared" si="477"/>
        <v>0</v>
      </c>
      <c r="Y3140"/>
      <c r="Z3140"/>
      <c r="AA3140"/>
    </row>
    <row r="3141" spans="1:27" s="51" customFormat="1" ht="18.600000000000001" hidden="1" customHeight="1" x14ac:dyDescent="0.25">
      <c r="A3141" s="82" t="s">
        <v>2653</v>
      </c>
      <c r="B3141" s="41" t="s">
        <v>9396</v>
      </c>
      <c r="C3141" s="42" t="s">
        <v>9397</v>
      </c>
      <c r="D3141" s="41" t="s">
        <v>7984</v>
      </c>
      <c r="E3141" s="43" t="s">
        <v>7985</v>
      </c>
      <c r="F3141" s="43" t="s">
        <v>1937</v>
      </c>
      <c r="G3141" s="43"/>
      <c r="H3141" s="85" t="s">
        <v>7986</v>
      </c>
      <c r="I3141" s="23" t="s">
        <v>24</v>
      </c>
      <c r="J3141" s="44">
        <v>990</v>
      </c>
      <c r="K3141" s="45">
        <v>0.25</v>
      </c>
      <c r="L3141" s="46">
        <f t="shared" si="469"/>
        <v>247.5</v>
      </c>
      <c r="M3141" s="47">
        <f t="shared" si="470"/>
        <v>742.5</v>
      </c>
      <c r="N3141" s="48">
        <v>0.16</v>
      </c>
      <c r="O3141" s="49">
        <f t="shared" si="471"/>
        <v>118.8</v>
      </c>
      <c r="P3141" s="50">
        <f t="shared" si="472"/>
        <v>861.3</v>
      </c>
      <c r="Q3141" s="23"/>
      <c r="R3141" s="60"/>
      <c r="S3141" s="61"/>
      <c r="T3141" s="62">
        <f t="shared" si="473"/>
        <v>0</v>
      </c>
      <c r="U3141" s="46">
        <f t="shared" si="474"/>
        <v>0</v>
      </c>
      <c r="V3141" s="63">
        <f t="shared" si="475"/>
        <v>0</v>
      </c>
      <c r="W3141" s="49">
        <f t="shared" si="476"/>
        <v>0</v>
      </c>
      <c r="X3141" s="50">
        <f t="shared" si="477"/>
        <v>0</v>
      </c>
      <c r="Y3141"/>
      <c r="Z3141"/>
      <c r="AA3141"/>
    </row>
    <row r="3142" spans="1:27" s="51" customFormat="1" ht="18.600000000000001" hidden="1" customHeight="1" x14ac:dyDescent="0.25">
      <c r="A3142" s="80" t="s">
        <v>2653</v>
      </c>
      <c r="B3142" s="20" t="s">
        <v>9396</v>
      </c>
      <c r="C3142" s="21" t="s">
        <v>9397</v>
      </c>
      <c r="D3142" s="20" t="s">
        <v>7987</v>
      </c>
      <c r="E3142" s="22" t="s">
        <v>7988</v>
      </c>
      <c r="F3142" s="22" t="s">
        <v>1937</v>
      </c>
      <c r="G3142" s="22"/>
      <c r="H3142" s="83" t="s">
        <v>7989</v>
      </c>
      <c r="I3142" s="23" t="s">
        <v>24</v>
      </c>
      <c r="J3142" s="24">
        <v>2080</v>
      </c>
      <c r="K3142" s="25">
        <v>0.25</v>
      </c>
      <c r="L3142" s="26">
        <f t="shared" si="469"/>
        <v>520</v>
      </c>
      <c r="M3142" s="27">
        <f t="shared" si="470"/>
        <v>1560</v>
      </c>
      <c r="N3142" s="28">
        <v>0.16</v>
      </c>
      <c r="O3142" s="29">
        <f t="shared" si="471"/>
        <v>249.6</v>
      </c>
      <c r="P3142" s="30">
        <f t="shared" si="472"/>
        <v>1809.6</v>
      </c>
      <c r="Q3142" s="23"/>
      <c r="R3142" s="52"/>
      <c r="S3142" s="53"/>
      <c r="T3142" s="54">
        <f t="shared" si="473"/>
        <v>0</v>
      </c>
      <c r="U3142" s="26">
        <f t="shared" si="474"/>
        <v>0</v>
      </c>
      <c r="V3142" s="55">
        <f t="shared" si="475"/>
        <v>0</v>
      </c>
      <c r="W3142" s="29">
        <f t="shared" si="476"/>
        <v>0</v>
      </c>
      <c r="X3142" s="30">
        <f t="shared" si="477"/>
        <v>0</v>
      </c>
      <c r="Y3142"/>
      <c r="Z3142"/>
      <c r="AA3142"/>
    </row>
    <row r="3143" spans="1:27" s="51" customFormat="1" ht="18.600000000000001" hidden="1" customHeight="1" x14ac:dyDescent="0.25">
      <c r="A3143" s="81" t="s">
        <v>2653</v>
      </c>
      <c r="B3143" s="31" t="s">
        <v>9396</v>
      </c>
      <c r="C3143" s="32" t="s">
        <v>9397</v>
      </c>
      <c r="D3143" s="31" t="s">
        <v>7990</v>
      </c>
      <c r="E3143" s="33" t="s">
        <v>7991</v>
      </c>
      <c r="F3143" s="33" t="s">
        <v>1937</v>
      </c>
      <c r="G3143" s="33"/>
      <c r="H3143" s="84" t="s">
        <v>7992</v>
      </c>
      <c r="I3143" s="23" t="s">
        <v>24</v>
      </c>
      <c r="J3143" s="34">
        <v>2080</v>
      </c>
      <c r="K3143" s="35">
        <v>0.25</v>
      </c>
      <c r="L3143" s="36">
        <f t="shared" si="469"/>
        <v>520</v>
      </c>
      <c r="M3143" s="37">
        <f t="shared" si="470"/>
        <v>1560</v>
      </c>
      <c r="N3143" s="38">
        <v>0.16</v>
      </c>
      <c r="O3143" s="39">
        <f t="shared" si="471"/>
        <v>249.6</v>
      </c>
      <c r="P3143" s="40">
        <f t="shared" si="472"/>
        <v>1809.6</v>
      </c>
      <c r="Q3143" s="23"/>
      <c r="R3143" s="56"/>
      <c r="S3143" s="57"/>
      <c r="T3143" s="58">
        <f t="shared" si="473"/>
        <v>0</v>
      </c>
      <c r="U3143" s="36">
        <f t="shared" si="474"/>
        <v>0</v>
      </c>
      <c r="V3143" s="59">
        <f t="shared" si="475"/>
        <v>0</v>
      </c>
      <c r="W3143" s="39">
        <f t="shared" si="476"/>
        <v>0</v>
      </c>
      <c r="X3143" s="40">
        <f t="shared" si="477"/>
        <v>0</v>
      </c>
      <c r="Y3143"/>
      <c r="Z3143"/>
      <c r="AA3143"/>
    </row>
    <row r="3144" spans="1:27" s="51" customFormat="1" ht="18.600000000000001" hidden="1" customHeight="1" x14ac:dyDescent="0.25">
      <c r="A3144" s="82" t="s">
        <v>2653</v>
      </c>
      <c r="B3144" s="41" t="s">
        <v>9396</v>
      </c>
      <c r="C3144" s="42" t="s">
        <v>9397</v>
      </c>
      <c r="D3144" s="41" t="s">
        <v>7993</v>
      </c>
      <c r="E3144" s="43" t="s">
        <v>7994</v>
      </c>
      <c r="F3144" s="43" t="s">
        <v>1937</v>
      </c>
      <c r="G3144" s="43"/>
      <c r="H3144" s="85" t="s">
        <v>7995</v>
      </c>
      <c r="I3144" s="23" t="s">
        <v>24</v>
      </c>
      <c r="J3144" s="44">
        <v>740</v>
      </c>
      <c r="K3144" s="45">
        <v>0.25</v>
      </c>
      <c r="L3144" s="46">
        <f t="shared" si="469"/>
        <v>185</v>
      </c>
      <c r="M3144" s="47">
        <f t="shared" si="470"/>
        <v>555</v>
      </c>
      <c r="N3144" s="48">
        <v>0.16</v>
      </c>
      <c r="O3144" s="49">
        <f t="shared" si="471"/>
        <v>88.8</v>
      </c>
      <c r="P3144" s="50">
        <f t="shared" si="472"/>
        <v>643.79999999999995</v>
      </c>
      <c r="Q3144" s="23"/>
      <c r="R3144" s="60"/>
      <c r="S3144" s="61"/>
      <c r="T3144" s="62">
        <f t="shared" si="473"/>
        <v>0</v>
      </c>
      <c r="U3144" s="46">
        <f t="shared" si="474"/>
        <v>0</v>
      </c>
      <c r="V3144" s="63">
        <f t="shared" si="475"/>
        <v>0</v>
      </c>
      <c r="W3144" s="49">
        <f t="shared" si="476"/>
        <v>0</v>
      </c>
      <c r="X3144" s="50">
        <f t="shared" si="477"/>
        <v>0</v>
      </c>
      <c r="Y3144"/>
      <c r="Z3144"/>
      <c r="AA3144"/>
    </row>
    <row r="3145" spans="1:27" s="51" customFormat="1" ht="18.600000000000001" hidden="1" customHeight="1" x14ac:dyDescent="0.25">
      <c r="A3145" s="80" t="s">
        <v>2653</v>
      </c>
      <c r="B3145" s="20" t="s">
        <v>9396</v>
      </c>
      <c r="C3145" s="21" t="s">
        <v>9397</v>
      </c>
      <c r="D3145" s="20" t="s">
        <v>7996</v>
      </c>
      <c r="E3145" s="22" t="s">
        <v>7997</v>
      </c>
      <c r="F3145" s="22" t="s">
        <v>1937</v>
      </c>
      <c r="G3145" s="22"/>
      <c r="H3145" s="83" t="s">
        <v>7998</v>
      </c>
      <c r="I3145" s="23" t="s">
        <v>24</v>
      </c>
      <c r="J3145" s="24">
        <v>740</v>
      </c>
      <c r="K3145" s="25">
        <v>0.25</v>
      </c>
      <c r="L3145" s="26">
        <f t="shared" si="469"/>
        <v>185</v>
      </c>
      <c r="M3145" s="27">
        <f t="shared" si="470"/>
        <v>555</v>
      </c>
      <c r="N3145" s="28">
        <v>0.16</v>
      </c>
      <c r="O3145" s="29">
        <f t="shared" si="471"/>
        <v>88.8</v>
      </c>
      <c r="P3145" s="30">
        <f t="shared" si="472"/>
        <v>643.79999999999995</v>
      </c>
      <c r="Q3145" s="23"/>
      <c r="R3145" s="52"/>
      <c r="S3145" s="53"/>
      <c r="T3145" s="54">
        <f t="shared" si="473"/>
        <v>0</v>
      </c>
      <c r="U3145" s="26">
        <f t="shared" si="474"/>
        <v>0</v>
      </c>
      <c r="V3145" s="55">
        <f t="shared" si="475"/>
        <v>0</v>
      </c>
      <c r="W3145" s="29">
        <f t="shared" si="476"/>
        <v>0</v>
      </c>
      <c r="X3145" s="30">
        <f t="shared" si="477"/>
        <v>0</v>
      </c>
      <c r="Y3145"/>
      <c r="Z3145"/>
      <c r="AA3145"/>
    </row>
    <row r="3146" spans="1:27" s="51" customFormat="1" ht="18.600000000000001" hidden="1" customHeight="1" x14ac:dyDescent="0.25">
      <c r="A3146" s="81" t="s">
        <v>2653</v>
      </c>
      <c r="B3146" s="31" t="s">
        <v>9396</v>
      </c>
      <c r="C3146" s="32" t="s">
        <v>9397</v>
      </c>
      <c r="D3146" s="31" t="s">
        <v>9504</v>
      </c>
      <c r="E3146" s="33" t="s">
        <v>9601</v>
      </c>
      <c r="F3146" s="33" t="s">
        <v>1937</v>
      </c>
      <c r="G3146" s="33"/>
      <c r="H3146" s="84" t="s">
        <v>9741</v>
      </c>
      <c r="I3146" s="23" t="s">
        <v>24</v>
      </c>
      <c r="J3146" s="34">
        <v>1250</v>
      </c>
      <c r="K3146" s="35">
        <v>0.25</v>
      </c>
      <c r="L3146" s="36">
        <f t="shared" si="469"/>
        <v>312.5</v>
      </c>
      <c r="M3146" s="37">
        <f t="shared" si="470"/>
        <v>937.5</v>
      </c>
      <c r="N3146" s="38">
        <v>0.16</v>
      </c>
      <c r="O3146" s="39">
        <f t="shared" si="471"/>
        <v>150</v>
      </c>
      <c r="P3146" s="40">
        <f t="shared" si="472"/>
        <v>1087.5</v>
      </c>
      <c r="Q3146" s="23"/>
      <c r="R3146" s="56"/>
      <c r="S3146" s="57"/>
      <c r="T3146" s="58">
        <f t="shared" si="473"/>
        <v>0</v>
      </c>
      <c r="U3146" s="36">
        <f t="shared" si="474"/>
        <v>0</v>
      </c>
      <c r="V3146" s="59">
        <f t="shared" si="475"/>
        <v>0</v>
      </c>
      <c r="W3146" s="39">
        <f t="shared" si="476"/>
        <v>0</v>
      </c>
      <c r="X3146" s="40">
        <f t="shared" si="477"/>
        <v>0</v>
      </c>
      <c r="Y3146"/>
      <c r="Z3146"/>
      <c r="AA3146"/>
    </row>
    <row r="3147" spans="1:27" s="51" customFormat="1" ht="18.600000000000001" hidden="1" customHeight="1" x14ac:dyDescent="0.25">
      <c r="A3147" s="82" t="s">
        <v>2653</v>
      </c>
      <c r="B3147" s="41" t="s">
        <v>9396</v>
      </c>
      <c r="C3147" s="42" t="s">
        <v>9397</v>
      </c>
      <c r="D3147" s="41" t="s">
        <v>9505</v>
      </c>
      <c r="E3147" s="43" t="s">
        <v>9602</v>
      </c>
      <c r="F3147" s="43" t="s">
        <v>1937</v>
      </c>
      <c r="G3147" s="43"/>
      <c r="H3147" s="85" t="s">
        <v>9742</v>
      </c>
      <c r="I3147" s="23" t="s">
        <v>24</v>
      </c>
      <c r="J3147" s="44">
        <v>1250</v>
      </c>
      <c r="K3147" s="45">
        <v>0.25</v>
      </c>
      <c r="L3147" s="46">
        <f t="shared" si="469"/>
        <v>312.5</v>
      </c>
      <c r="M3147" s="47">
        <f t="shared" si="470"/>
        <v>937.5</v>
      </c>
      <c r="N3147" s="48">
        <v>0.16</v>
      </c>
      <c r="O3147" s="49">
        <f t="shared" si="471"/>
        <v>150</v>
      </c>
      <c r="P3147" s="50">
        <f t="shared" si="472"/>
        <v>1087.5</v>
      </c>
      <c r="Q3147" s="23"/>
      <c r="R3147" s="60"/>
      <c r="S3147" s="61"/>
      <c r="T3147" s="62">
        <f t="shared" si="473"/>
        <v>0</v>
      </c>
      <c r="U3147" s="46">
        <f t="shared" si="474"/>
        <v>0</v>
      </c>
      <c r="V3147" s="63">
        <f t="shared" si="475"/>
        <v>0</v>
      </c>
      <c r="W3147" s="49">
        <f t="shared" si="476"/>
        <v>0</v>
      </c>
      <c r="X3147" s="50">
        <f t="shared" si="477"/>
        <v>0</v>
      </c>
      <c r="Y3147"/>
      <c r="Z3147"/>
      <c r="AA3147"/>
    </row>
    <row r="3148" spans="1:27" s="51" customFormat="1" ht="18.600000000000001" hidden="1" customHeight="1" x14ac:dyDescent="0.25">
      <c r="A3148" s="80" t="s">
        <v>2653</v>
      </c>
      <c r="B3148" s="20" t="s">
        <v>9396</v>
      </c>
      <c r="C3148" s="21" t="s">
        <v>9397</v>
      </c>
      <c r="D3148" s="20" t="s">
        <v>9506</v>
      </c>
      <c r="E3148" s="22" t="s">
        <v>9603</v>
      </c>
      <c r="F3148" s="22" t="s">
        <v>1937</v>
      </c>
      <c r="G3148" s="22"/>
      <c r="H3148" s="83" t="s">
        <v>9743</v>
      </c>
      <c r="I3148" s="23" t="s">
        <v>24</v>
      </c>
      <c r="J3148" s="24">
        <v>1250</v>
      </c>
      <c r="K3148" s="25">
        <v>0.25</v>
      </c>
      <c r="L3148" s="26">
        <f t="shared" si="469"/>
        <v>312.5</v>
      </c>
      <c r="M3148" s="27">
        <f t="shared" si="470"/>
        <v>937.5</v>
      </c>
      <c r="N3148" s="28">
        <v>0.16</v>
      </c>
      <c r="O3148" s="29">
        <f t="shared" si="471"/>
        <v>150</v>
      </c>
      <c r="P3148" s="30">
        <f t="shared" si="472"/>
        <v>1087.5</v>
      </c>
      <c r="Q3148" s="23"/>
      <c r="R3148" s="52"/>
      <c r="S3148" s="53"/>
      <c r="T3148" s="54">
        <f t="shared" si="473"/>
        <v>0</v>
      </c>
      <c r="U3148" s="26">
        <f t="shared" si="474"/>
        <v>0</v>
      </c>
      <c r="V3148" s="55">
        <f t="shared" si="475"/>
        <v>0</v>
      </c>
      <c r="W3148" s="29">
        <f t="shared" si="476"/>
        <v>0</v>
      </c>
      <c r="X3148" s="30">
        <f t="shared" si="477"/>
        <v>0</v>
      </c>
      <c r="Y3148"/>
      <c r="Z3148"/>
      <c r="AA3148"/>
    </row>
    <row r="3149" spans="1:27" s="51" customFormat="1" ht="18.600000000000001" hidden="1" customHeight="1" x14ac:dyDescent="0.25">
      <c r="A3149" s="81" t="s">
        <v>2653</v>
      </c>
      <c r="B3149" s="31" t="s">
        <v>9396</v>
      </c>
      <c r="C3149" s="32" t="s">
        <v>9397</v>
      </c>
      <c r="D3149" s="31" t="s">
        <v>9507</v>
      </c>
      <c r="E3149" s="33" t="s">
        <v>9604</v>
      </c>
      <c r="F3149" s="33" t="s">
        <v>1937</v>
      </c>
      <c r="G3149" s="33"/>
      <c r="H3149" s="84" t="s">
        <v>9744</v>
      </c>
      <c r="I3149" s="23" t="s">
        <v>24</v>
      </c>
      <c r="J3149" s="34">
        <v>950</v>
      </c>
      <c r="K3149" s="35">
        <v>0.25</v>
      </c>
      <c r="L3149" s="36">
        <f t="shared" si="469"/>
        <v>237.5</v>
      </c>
      <c r="M3149" s="37">
        <f t="shared" si="470"/>
        <v>712.5</v>
      </c>
      <c r="N3149" s="38">
        <v>0.16</v>
      </c>
      <c r="O3149" s="39">
        <f t="shared" si="471"/>
        <v>114</v>
      </c>
      <c r="P3149" s="40">
        <f t="shared" si="472"/>
        <v>826.5</v>
      </c>
      <c r="Q3149" s="23"/>
      <c r="R3149" s="56"/>
      <c r="S3149" s="57"/>
      <c r="T3149" s="58">
        <f t="shared" si="473"/>
        <v>0</v>
      </c>
      <c r="U3149" s="36">
        <f t="shared" si="474"/>
        <v>0</v>
      </c>
      <c r="V3149" s="59">
        <f t="shared" si="475"/>
        <v>0</v>
      </c>
      <c r="W3149" s="39">
        <f t="shared" si="476"/>
        <v>0</v>
      </c>
      <c r="X3149" s="40">
        <f t="shared" si="477"/>
        <v>0</v>
      </c>
      <c r="Y3149"/>
      <c r="Z3149"/>
      <c r="AA3149"/>
    </row>
    <row r="3150" spans="1:27" s="51" customFormat="1" ht="18.600000000000001" hidden="1" customHeight="1" x14ac:dyDescent="0.25">
      <c r="A3150" s="82" t="s">
        <v>2653</v>
      </c>
      <c r="B3150" s="41" t="s">
        <v>9396</v>
      </c>
      <c r="C3150" s="42" t="s">
        <v>9397</v>
      </c>
      <c r="D3150" s="41" t="s">
        <v>7999</v>
      </c>
      <c r="E3150" s="43" t="s">
        <v>8000</v>
      </c>
      <c r="F3150" s="43" t="s">
        <v>1937</v>
      </c>
      <c r="G3150" s="43"/>
      <c r="H3150" s="85" t="s">
        <v>8001</v>
      </c>
      <c r="I3150" s="23" t="s">
        <v>24</v>
      </c>
      <c r="J3150" s="44">
        <v>1950</v>
      </c>
      <c r="K3150" s="45">
        <v>0.25</v>
      </c>
      <c r="L3150" s="46">
        <f t="shared" si="469"/>
        <v>487.5</v>
      </c>
      <c r="M3150" s="47">
        <f t="shared" si="470"/>
        <v>1462.5</v>
      </c>
      <c r="N3150" s="48">
        <v>0.16</v>
      </c>
      <c r="O3150" s="49">
        <f t="shared" si="471"/>
        <v>234</v>
      </c>
      <c r="P3150" s="50">
        <f t="shared" si="472"/>
        <v>1696.5</v>
      </c>
      <c r="Q3150" s="23"/>
      <c r="R3150" s="60"/>
      <c r="S3150" s="61"/>
      <c r="T3150" s="62">
        <f t="shared" si="473"/>
        <v>0</v>
      </c>
      <c r="U3150" s="46">
        <f t="shared" si="474"/>
        <v>0</v>
      </c>
      <c r="V3150" s="63">
        <f t="shared" si="475"/>
        <v>0</v>
      </c>
      <c r="W3150" s="49">
        <f t="shared" si="476"/>
        <v>0</v>
      </c>
      <c r="X3150" s="50">
        <f t="shared" si="477"/>
        <v>0</v>
      </c>
      <c r="Y3150"/>
      <c r="Z3150"/>
      <c r="AA3150"/>
    </row>
    <row r="3151" spans="1:27" s="51" customFormat="1" ht="18.600000000000001" hidden="1" customHeight="1" x14ac:dyDescent="0.25">
      <c r="A3151" s="80" t="s">
        <v>2653</v>
      </c>
      <c r="B3151" s="20" t="s">
        <v>9396</v>
      </c>
      <c r="C3151" s="21" t="s">
        <v>9397</v>
      </c>
      <c r="D3151" s="20" t="s">
        <v>8002</v>
      </c>
      <c r="E3151" s="22" t="s">
        <v>8003</v>
      </c>
      <c r="F3151" s="22" t="s">
        <v>1937</v>
      </c>
      <c r="G3151" s="22"/>
      <c r="H3151" s="83" t="s">
        <v>8004</v>
      </c>
      <c r="I3151" s="23" t="s">
        <v>24</v>
      </c>
      <c r="J3151" s="24">
        <v>490</v>
      </c>
      <c r="K3151" s="25">
        <v>0.25</v>
      </c>
      <c r="L3151" s="26">
        <f t="shared" ref="L3151:L3214" si="478">+J3151*K3151</f>
        <v>122.5</v>
      </c>
      <c r="M3151" s="27">
        <f t="shared" ref="M3151:M3214" si="479">+J3151-L3151</f>
        <v>367.5</v>
      </c>
      <c r="N3151" s="28">
        <v>0.16</v>
      </c>
      <c r="O3151" s="29">
        <f t="shared" ref="O3151:O3214" si="480">+M3151*N3151</f>
        <v>58.800000000000004</v>
      </c>
      <c r="P3151" s="30">
        <f t="shared" ref="P3151:P3214" si="481">+M3151+O3151</f>
        <v>426.3</v>
      </c>
      <c r="Q3151" s="23"/>
      <c r="R3151" s="52"/>
      <c r="S3151" s="53"/>
      <c r="T3151" s="54">
        <f t="shared" ref="T3151:T3214" si="482">+S3151*J3151</f>
        <v>0</v>
      </c>
      <c r="U3151" s="26">
        <f t="shared" ref="U3151:U3214" si="483">+T3151*K3151</f>
        <v>0</v>
      </c>
      <c r="V3151" s="55">
        <f t="shared" ref="V3151:V3214" si="484">+T3151-U3151</f>
        <v>0</v>
      </c>
      <c r="W3151" s="29">
        <f t="shared" ref="W3151:W3214" si="485">+V3151*N3151</f>
        <v>0</v>
      </c>
      <c r="X3151" s="30">
        <f t="shared" ref="X3151:X3214" si="486">+V3151+W3151</f>
        <v>0</v>
      </c>
      <c r="Y3151"/>
      <c r="Z3151"/>
      <c r="AA3151"/>
    </row>
    <row r="3152" spans="1:27" s="51" customFormat="1" ht="18.600000000000001" hidden="1" customHeight="1" x14ac:dyDescent="0.25">
      <c r="A3152" s="81" t="s">
        <v>2653</v>
      </c>
      <c r="B3152" s="31" t="s">
        <v>9396</v>
      </c>
      <c r="C3152" s="32" t="s">
        <v>9397</v>
      </c>
      <c r="D3152" s="31" t="s">
        <v>8005</v>
      </c>
      <c r="E3152" s="33" t="s">
        <v>8006</v>
      </c>
      <c r="F3152" s="33" t="s">
        <v>1937</v>
      </c>
      <c r="G3152" s="33"/>
      <c r="H3152" s="84" t="s">
        <v>8007</v>
      </c>
      <c r="I3152" s="23" t="s">
        <v>24</v>
      </c>
      <c r="J3152" s="34">
        <v>990</v>
      </c>
      <c r="K3152" s="35">
        <v>0.25</v>
      </c>
      <c r="L3152" s="36">
        <f t="shared" si="478"/>
        <v>247.5</v>
      </c>
      <c r="M3152" s="37">
        <f t="shared" si="479"/>
        <v>742.5</v>
      </c>
      <c r="N3152" s="38">
        <v>0.16</v>
      </c>
      <c r="O3152" s="39">
        <f t="shared" si="480"/>
        <v>118.8</v>
      </c>
      <c r="P3152" s="40">
        <f t="shared" si="481"/>
        <v>861.3</v>
      </c>
      <c r="Q3152" s="23"/>
      <c r="R3152" s="56"/>
      <c r="S3152" s="57"/>
      <c r="T3152" s="58">
        <f t="shared" si="482"/>
        <v>0</v>
      </c>
      <c r="U3152" s="36">
        <f t="shared" si="483"/>
        <v>0</v>
      </c>
      <c r="V3152" s="59">
        <f t="shared" si="484"/>
        <v>0</v>
      </c>
      <c r="W3152" s="39">
        <f t="shared" si="485"/>
        <v>0</v>
      </c>
      <c r="X3152" s="40">
        <f t="shared" si="486"/>
        <v>0</v>
      </c>
      <c r="Y3152"/>
      <c r="Z3152"/>
      <c r="AA3152"/>
    </row>
    <row r="3153" spans="1:27" s="51" customFormat="1" ht="18.600000000000001" hidden="1" customHeight="1" x14ac:dyDescent="0.25">
      <c r="A3153" s="82" t="s">
        <v>2653</v>
      </c>
      <c r="B3153" s="41" t="s">
        <v>9396</v>
      </c>
      <c r="C3153" s="42" t="s">
        <v>9397</v>
      </c>
      <c r="D3153" s="41">
        <v>8436535572712</v>
      </c>
      <c r="E3153" s="43" t="s">
        <v>8008</v>
      </c>
      <c r="F3153" s="43" t="s">
        <v>1937</v>
      </c>
      <c r="G3153" s="43"/>
      <c r="H3153" s="85" t="s">
        <v>8009</v>
      </c>
      <c r="I3153" s="23" t="s">
        <v>24</v>
      </c>
      <c r="J3153" s="44">
        <v>930</v>
      </c>
      <c r="K3153" s="45">
        <v>0.25</v>
      </c>
      <c r="L3153" s="46">
        <f t="shared" si="478"/>
        <v>232.5</v>
      </c>
      <c r="M3153" s="47">
        <f t="shared" si="479"/>
        <v>697.5</v>
      </c>
      <c r="N3153" s="48">
        <v>0.16</v>
      </c>
      <c r="O3153" s="49">
        <f t="shared" si="480"/>
        <v>111.60000000000001</v>
      </c>
      <c r="P3153" s="50">
        <f t="shared" si="481"/>
        <v>809.1</v>
      </c>
      <c r="Q3153" s="23"/>
      <c r="R3153" s="60"/>
      <c r="S3153" s="61"/>
      <c r="T3153" s="62">
        <f t="shared" si="482"/>
        <v>0</v>
      </c>
      <c r="U3153" s="46">
        <f t="shared" si="483"/>
        <v>0</v>
      </c>
      <c r="V3153" s="63">
        <f t="shared" si="484"/>
        <v>0</v>
      </c>
      <c r="W3153" s="49">
        <f t="shared" si="485"/>
        <v>0</v>
      </c>
      <c r="X3153" s="50">
        <f t="shared" si="486"/>
        <v>0</v>
      </c>
      <c r="Y3153"/>
      <c r="Z3153"/>
      <c r="AA3153"/>
    </row>
    <row r="3154" spans="1:27" s="51" customFormat="1" ht="18.600000000000001" hidden="1" customHeight="1" x14ac:dyDescent="0.25">
      <c r="A3154" s="80" t="s">
        <v>2653</v>
      </c>
      <c r="B3154" s="20" t="s">
        <v>9396</v>
      </c>
      <c r="C3154" s="21" t="s">
        <v>9397</v>
      </c>
      <c r="D3154" s="20">
        <v>8436535572736</v>
      </c>
      <c r="E3154" s="22" t="s">
        <v>8010</v>
      </c>
      <c r="F3154" s="22" t="s">
        <v>1937</v>
      </c>
      <c r="G3154" s="22"/>
      <c r="H3154" s="83" t="s">
        <v>8011</v>
      </c>
      <c r="I3154" s="23" t="s">
        <v>24</v>
      </c>
      <c r="J3154" s="24">
        <v>1240</v>
      </c>
      <c r="K3154" s="25">
        <v>0.25</v>
      </c>
      <c r="L3154" s="26">
        <f t="shared" si="478"/>
        <v>310</v>
      </c>
      <c r="M3154" s="27">
        <f t="shared" si="479"/>
        <v>930</v>
      </c>
      <c r="N3154" s="28">
        <v>0.16</v>
      </c>
      <c r="O3154" s="29">
        <f t="shared" si="480"/>
        <v>148.80000000000001</v>
      </c>
      <c r="P3154" s="30">
        <f t="shared" si="481"/>
        <v>1078.8</v>
      </c>
      <c r="Q3154" s="23"/>
      <c r="R3154" s="52"/>
      <c r="S3154" s="53"/>
      <c r="T3154" s="54">
        <f t="shared" si="482"/>
        <v>0</v>
      </c>
      <c r="U3154" s="26">
        <f t="shared" si="483"/>
        <v>0</v>
      </c>
      <c r="V3154" s="55">
        <f t="shared" si="484"/>
        <v>0</v>
      </c>
      <c r="W3154" s="29">
        <f t="shared" si="485"/>
        <v>0</v>
      </c>
      <c r="X3154" s="30">
        <f t="shared" si="486"/>
        <v>0</v>
      </c>
      <c r="Y3154"/>
      <c r="Z3154"/>
      <c r="AA3154"/>
    </row>
    <row r="3155" spans="1:27" s="51" customFormat="1" ht="18.600000000000001" hidden="1" customHeight="1" x14ac:dyDescent="0.25">
      <c r="A3155" s="81" t="s">
        <v>2653</v>
      </c>
      <c r="B3155" s="31" t="s">
        <v>9396</v>
      </c>
      <c r="C3155" s="32" t="s">
        <v>9397</v>
      </c>
      <c r="D3155" s="31" t="s">
        <v>8012</v>
      </c>
      <c r="E3155" s="33" t="s">
        <v>8013</v>
      </c>
      <c r="F3155" s="33" t="s">
        <v>1937</v>
      </c>
      <c r="G3155" s="33"/>
      <c r="H3155" s="84" t="s">
        <v>8014</v>
      </c>
      <c r="I3155" s="23" t="s">
        <v>24</v>
      </c>
      <c r="J3155" s="34">
        <v>1240</v>
      </c>
      <c r="K3155" s="35">
        <v>0.25</v>
      </c>
      <c r="L3155" s="36">
        <f t="shared" si="478"/>
        <v>310</v>
      </c>
      <c r="M3155" s="37">
        <f t="shared" si="479"/>
        <v>930</v>
      </c>
      <c r="N3155" s="38">
        <v>0.16</v>
      </c>
      <c r="O3155" s="39">
        <f t="shared" si="480"/>
        <v>148.80000000000001</v>
      </c>
      <c r="P3155" s="40">
        <f t="shared" si="481"/>
        <v>1078.8</v>
      </c>
      <c r="Q3155" s="23"/>
      <c r="R3155" s="56"/>
      <c r="S3155" s="57"/>
      <c r="T3155" s="58">
        <f t="shared" si="482"/>
        <v>0</v>
      </c>
      <c r="U3155" s="36">
        <f t="shared" si="483"/>
        <v>0</v>
      </c>
      <c r="V3155" s="59">
        <f t="shared" si="484"/>
        <v>0</v>
      </c>
      <c r="W3155" s="39">
        <f t="shared" si="485"/>
        <v>0</v>
      </c>
      <c r="X3155" s="40">
        <f t="shared" si="486"/>
        <v>0</v>
      </c>
      <c r="Y3155"/>
      <c r="Z3155"/>
      <c r="AA3155"/>
    </row>
    <row r="3156" spans="1:27" s="51" customFormat="1" ht="18.600000000000001" hidden="1" customHeight="1" x14ac:dyDescent="0.25">
      <c r="A3156" s="82" t="s">
        <v>2653</v>
      </c>
      <c r="B3156" s="41" t="s">
        <v>9396</v>
      </c>
      <c r="C3156" s="42" t="s">
        <v>9397</v>
      </c>
      <c r="D3156" s="41" t="s">
        <v>8015</v>
      </c>
      <c r="E3156" s="43" t="s">
        <v>8016</v>
      </c>
      <c r="F3156" s="43" t="s">
        <v>1937</v>
      </c>
      <c r="G3156" s="43"/>
      <c r="H3156" s="85" t="s">
        <v>8017</v>
      </c>
      <c r="I3156" s="23" t="s">
        <v>24</v>
      </c>
      <c r="J3156" s="44">
        <v>830</v>
      </c>
      <c r="K3156" s="45">
        <v>0.25</v>
      </c>
      <c r="L3156" s="46">
        <f t="shared" si="478"/>
        <v>207.5</v>
      </c>
      <c r="M3156" s="47">
        <f t="shared" si="479"/>
        <v>622.5</v>
      </c>
      <c r="N3156" s="48">
        <v>0.16</v>
      </c>
      <c r="O3156" s="49">
        <f t="shared" si="480"/>
        <v>99.600000000000009</v>
      </c>
      <c r="P3156" s="50">
        <f t="shared" si="481"/>
        <v>722.1</v>
      </c>
      <c r="Q3156" s="23"/>
      <c r="R3156" s="60"/>
      <c r="S3156" s="61"/>
      <c r="T3156" s="62">
        <f t="shared" si="482"/>
        <v>0</v>
      </c>
      <c r="U3156" s="46">
        <f t="shared" si="483"/>
        <v>0</v>
      </c>
      <c r="V3156" s="63">
        <f t="shared" si="484"/>
        <v>0</v>
      </c>
      <c r="W3156" s="49">
        <f t="shared" si="485"/>
        <v>0</v>
      </c>
      <c r="X3156" s="50">
        <f t="shared" si="486"/>
        <v>0</v>
      </c>
      <c r="Y3156"/>
      <c r="Z3156"/>
      <c r="AA3156"/>
    </row>
    <row r="3157" spans="1:27" s="51" customFormat="1" ht="18.600000000000001" hidden="1" customHeight="1" x14ac:dyDescent="0.25">
      <c r="A3157" s="80" t="s">
        <v>2653</v>
      </c>
      <c r="B3157" s="20" t="s">
        <v>9396</v>
      </c>
      <c r="C3157" s="21" t="s">
        <v>9397</v>
      </c>
      <c r="D3157" s="20" t="s">
        <v>8018</v>
      </c>
      <c r="E3157" s="22" t="s">
        <v>8019</v>
      </c>
      <c r="F3157" s="22" t="s">
        <v>1937</v>
      </c>
      <c r="G3157" s="22"/>
      <c r="H3157" s="83" t="s">
        <v>8020</v>
      </c>
      <c r="I3157" s="23" t="s">
        <v>24</v>
      </c>
      <c r="J3157" s="24">
        <v>830</v>
      </c>
      <c r="K3157" s="25">
        <v>0.25</v>
      </c>
      <c r="L3157" s="26">
        <f t="shared" si="478"/>
        <v>207.5</v>
      </c>
      <c r="M3157" s="27">
        <f t="shared" si="479"/>
        <v>622.5</v>
      </c>
      <c r="N3157" s="28">
        <v>0.16</v>
      </c>
      <c r="O3157" s="29">
        <f t="shared" si="480"/>
        <v>99.600000000000009</v>
      </c>
      <c r="P3157" s="30">
        <f t="shared" si="481"/>
        <v>722.1</v>
      </c>
      <c r="Q3157" s="23"/>
      <c r="R3157" s="52"/>
      <c r="S3157" s="53"/>
      <c r="T3157" s="54">
        <f t="shared" si="482"/>
        <v>0</v>
      </c>
      <c r="U3157" s="26">
        <f t="shared" si="483"/>
        <v>0</v>
      </c>
      <c r="V3157" s="55">
        <f t="shared" si="484"/>
        <v>0</v>
      </c>
      <c r="W3157" s="29">
        <f t="shared" si="485"/>
        <v>0</v>
      </c>
      <c r="X3157" s="30">
        <f t="shared" si="486"/>
        <v>0</v>
      </c>
      <c r="Y3157"/>
      <c r="Z3157"/>
      <c r="AA3157"/>
    </row>
    <row r="3158" spans="1:27" s="51" customFormat="1" ht="18.600000000000001" hidden="1" customHeight="1" x14ac:dyDescent="0.25">
      <c r="A3158" s="81" t="s">
        <v>2653</v>
      </c>
      <c r="B3158" s="31" t="s">
        <v>9396</v>
      </c>
      <c r="C3158" s="32" t="s">
        <v>9397</v>
      </c>
      <c r="D3158" s="31">
        <v>8435568306073</v>
      </c>
      <c r="E3158" s="33" t="s">
        <v>8021</v>
      </c>
      <c r="F3158" s="33" t="s">
        <v>1937</v>
      </c>
      <c r="G3158" s="33"/>
      <c r="H3158" s="84" t="s">
        <v>8022</v>
      </c>
      <c r="I3158" s="23" t="s">
        <v>24</v>
      </c>
      <c r="J3158" s="34">
        <v>1450</v>
      </c>
      <c r="K3158" s="35">
        <v>0.25</v>
      </c>
      <c r="L3158" s="36">
        <f t="shared" si="478"/>
        <v>362.5</v>
      </c>
      <c r="M3158" s="37">
        <f t="shared" si="479"/>
        <v>1087.5</v>
      </c>
      <c r="N3158" s="38">
        <v>0.16</v>
      </c>
      <c r="O3158" s="39">
        <f t="shared" si="480"/>
        <v>174</v>
      </c>
      <c r="P3158" s="40">
        <f t="shared" si="481"/>
        <v>1261.5</v>
      </c>
      <c r="Q3158" s="23"/>
      <c r="R3158" s="56"/>
      <c r="S3158" s="57"/>
      <c r="T3158" s="58">
        <f t="shared" si="482"/>
        <v>0</v>
      </c>
      <c r="U3158" s="36">
        <f t="shared" si="483"/>
        <v>0</v>
      </c>
      <c r="V3158" s="59">
        <f t="shared" si="484"/>
        <v>0</v>
      </c>
      <c r="W3158" s="39">
        <f t="shared" si="485"/>
        <v>0</v>
      </c>
      <c r="X3158" s="40">
        <f t="shared" si="486"/>
        <v>0</v>
      </c>
      <c r="Y3158"/>
      <c r="Z3158"/>
      <c r="AA3158"/>
    </row>
    <row r="3159" spans="1:27" s="51" customFormat="1" ht="18.600000000000001" hidden="1" customHeight="1" x14ac:dyDescent="0.25">
      <c r="A3159" s="82" t="s">
        <v>2653</v>
      </c>
      <c r="B3159" s="41" t="s">
        <v>9396</v>
      </c>
      <c r="C3159" s="42" t="s">
        <v>9397</v>
      </c>
      <c r="D3159" s="41">
        <v>8436535572507</v>
      </c>
      <c r="E3159" s="43" t="s">
        <v>8023</v>
      </c>
      <c r="F3159" s="43" t="s">
        <v>1937</v>
      </c>
      <c r="G3159" s="43"/>
      <c r="H3159" s="85" t="s">
        <v>8024</v>
      </c>
      <c r="I3159" s="23" t="s">
        <v>24</v>
      </c>
      <c r="J3159" s="44">
        <v>1160</v>
      </c>
      <c r="K3159" s="45">
        <v>0.25</v>
      </c>
      <c r="L3159" s="46">
        <f t="shared" si="478"/>
        <v>290</v>
      </c>
      <c r="M3159" s="47">
        <f t="shared" si="479"/>
        <v>870</v>
      </c>
      <c r="N3159" s="48">
        <v>0.16</v>
      </c>
      <c r="O3159" s="49">
        <f t="shared" si="480"/>
        <v>139.20000000000002</v>
      </c>
      <c r="P3159" s="50">
        <f t="shared" si="481"/>
        <v>1009.2</v>
      </c>
      <c r="Q3159" s="23"/>
      <c r="R3159" s="60"/>
      <c r="S3159" s="61"/>
      <c r="T3159" s="62">
        <f t="shared" si="482"/>
        <v>0</v>
      </c>
      <c r="U3159" s="46">
        <f t="shared" si="483"/>
        <v>0</v>
      </c>
      <c r="V3159" s="63">
        <f t="shared" si="484"/>
        <v>0</v>
      </c>
      <c r="W3159" s="49">
        <f t="shared" si="485"/>
        <v>0</v>
      </c>
      <c r="X3159" s="50">
        <f t="shared" si="486"/>
        <v>0</v>
      </c>
      <c r="Y3159"/>
      <c r="Z3159"/>
      <c r="AA3159"/>
    </row>
    <row r="3160" spans="1:27" s="51" customFormat="1" ht="18.600000000000001" hidden="1" customHeight="1" x14ac:dyDescent="0.25">
      <c r="A3160" s="80" t="s">
        <v>2653</v>
      </c>
      <c r="B3160" s="20" t="s">
        <v>9396</v>
      </c>
      <c r="C3160" s="21" t="s">
        <v>9397</v>
      </c>
      <c r="D3160" s="20">
        <v>8435568300675</v>
      </c>
      <c r="E3160" s="22" t="s">
        <v>8025</v>
      </c>
      <c r="F3160" s="22" t="s">
        <v>1937</v>
      </c>
      <c r="G3160" s="22"/>
      <c r="H3160" s="83" t="s">
        <v>8026</v>
      </c>
      <c r="I3160" s="23" t="s">
        <v>24</v>
      </c>
      <c r="J3160" s="24">
        <v>990</v>
      </c>
      <c r="K3160" s="25">
        <v>0.25</v>
      </c>
      <c r="L3160" s="26">
        <f t="shared" si="478"/>
        <v>247.5</v>
      </c>
      <c r="M3160" s="27">
        <f t="shared" si="479"/>
        <v>742.5</v>
      </c>
      <c r="N3160" s="28">
        <v>0.16</v>
      </c>
      <c r="O3160" s="29">
        <f t="shared" si="480"/>
        <v>118.8</v>
      </c>
      <c r="P3160" s="30">
        <f t="shared" si="481"/>
        <v>861.3</v>
      </c>
      <c r="Q3160" s="23"/>
      <c r="R3160" s="52"/>
      <c r="S3160" s="53"/>
      <c r="T3160" s="54">
        <f t="shared" si="482"/>
        <v>0</v>
      </c>
      <c r="U3160" s="26">
        <f t="shared" si="483"/>
        <v>0</v>
      </c>
      <c r="V3160" s="55">
        <f t="shared" si="484"/>
        <v>0</v>
      </c>
      <c r="W3160" s="29">
        <f t="shared" si="485"/>
        <v>0</v>
      </c>
      <c r="X3160" s="30">
        <f t="shared" si="486"/>
        <v>0</v>
      </c>
      <c r="Y3160"/>
      <c r="Z3160"/>
      <c r="AA3160"/>
    </row>
    <row r="3161" spans="1:27" s="51" customFormat="1" ht="18.600000000000001" hidden="1" customHeight="1" x14ac:dyDescent="0.25">
      <c r="A3161" s="81" t="s">
        <v>2653</v>
      </c>
      <c r="B3161" s="31" t="s">
        <v>9396</v>
      </c>
      <c r="C3161" s="32" t="s">
        <v>9397</v>
      </c>
      <c r="D3161" s="31">
        <v>8435568300385</v>
      </c>
      <c r="E3161" s="33" t="s">
        <v>8027</v>
      </c>
      <c r="F3161" s="33" t="s">
        <v>1937</v>
      </c>
      <c r="G3161" s="33"/>
      <c r="H3161" s="84" t="s">
        <v>8028</v>
      </c>
      <c r="I3161" s="23" t="s">
        <v>24</v>
      </c>
      <c r="J3161" s="34">
        <v>2280</v>
      </c>
      <c r="K3161" s="35">
        <v>0.25</v>
      </c>
      <c r="L3161" s="36">
        <f t="shared" si="478"/>
        <v>570</v>
      </c>
      <c r="M3161" s="37">
        <f t="shared" si="479"/>
        <v>1710</v>
      </c>
      <c r="N3161" s="38">
        <v>0.16</v>
      </c>
      <c r="O3161" s="39">
        <f t="shared" si="480"/>
        <v>273.60000000000002</v>
      </c>
      <c r="P3161" s="40">
        <f t="shared" si="481"/>
        <v>1983.6</v>
      </c>
      <c r="Q3161" s="23"/>
      <c r="R3161" s="56"/>
      <c r="S3161" s="57"/>
      <c r="T3161" s="58">
        <f t="shared" si="482"/>
        <v>0</v>
      </c>
      <c r="U3161" s="36">
        <f t="shared" si="483"/>
        <v>0</v>
      </c>
      <c r="V3161" s="59">
        <f t="shared" si="484"/>
        <v>0</v>
      </c>
      <c r="W3161" s="39">
        <f t="shared" si="485"/>
        <v>0</v>
      </c>
      <c r="X3161" s="40">
        <f t="shared" si="486"/>
        <v>0</v>
      </c>
      <c r="Y3161"/>
      <c r="Z3161"/>
      <c r="AA3161"/>
    </row>
    <row r="3162" spans="1:27" s="51" customFormat="1" ht="18.600000000000001" hidden="1" customHeight="1" x14ac:dyDescent="0.25">
      <c r="A3162" s="82" t="s">
        <v>2653</v>
      </c>
      <c r="B3162" s="41" t="s">
        <v>9396</v>
      </c>
      <c r="C3162" s="42" t="s">
        <v>9397</v>
      </c>
      <c r="D3162" s="41" t="s">
        <v>8029</v>
      </c>
      <c r="E3162" s="43" t="s">
        <v>8030</v>
      </c>
      <c r="F3162" s="43" t="s">
        <v>1937</v>
      </c>
      <c r="G3162" s="43"/>
      <c r="H3162" s="85" t="s">
        <v>8031</v>
      </c>
      <c r="I3162" s="23" t="s">
        <v>24</v>
      </c>
      <c r="J3162" s="44">
        <v>1240</v>
      </c>
      <c r="K3162" s="45">
        <v>0.25</v>
      </c>
      <c r="L3162" s="46">
        <f t="shared" si="478"/>
        <v>310</v>
      </c>
      <c r="M3162" s="47">
        <f t="shared" si="479"/>
        <v>930</v>
      </c>
      <c r="N3162" s="48">
        <v>0.16</v>
      </c>
      <c r="O3162" s="49">
        <f t="shared" si="480"/>
        <v>148.80000000000001</v>
      </c>
      <c r="P3162" s="50">
        <f t="shared" si="481"/>
        <v>1078.8</v>
      </c>
      <c r="Q3162" s="23"/>
      <c r="R3162" s="60"/>
      <c r="S3162" s="61"/>
      <c r="T3162" s="62">
        <f t="shared" si="482"/>
        <v>0</v>
      </c>
      <c r="U3162" s="46">
        <f t="shared" si="483"/>
        <v>0</v>
      </c>
      <c r="V3162" s="63">
        <f t="shared" si="484"/>
        <v>0</v>
      </c>
      <c r="W3162" s="49">
        <f t="shared" si="485"/>
        <v>0</v>
      </c>
      <c r="X3162" s="50">
        <f t="shared" si="486"/>
        <v>0</v>
      </c>
      <c r="Y3162"/>
      <c r="Z3162"/>
      <c r="AA3162"/>
    </row>
    <row r="3163" spans="1:27" s="51" customFormat="1" ht="18.600000000000001" hidden="1" customHeight="1" x14ac:dyDescent="0.25">
      <c r="A3163" s="80" t="s">
        <v>2653</v>
      </c>
      <c r="B3163" s="20" t="s">
        <v>9396</v>
      </c>
      <c r="C3163" s="21" t="s">
        <v>9397</v>
      </c>
      <c r="D3163" s="20" t="s">
        <v>8032</v>
      </c>
      <c r="E3163" s="22" t="s">
        <v>8033</v>
      </c>
      <c r="F3163" s="22" t="s">
        <v>1937</v>
      </c>
      <c r="G3163" s="22"/>
      <c r="H3163" s="83" t="s">
        <v>8034</v>
      </c>
      <c r="I3163" s="23" t="s">
        <v>24</v>
      </c>
      <c r="J3163" s="24">
        <v>2080</v>
      </c>
      <c r="K3163" s="25">
        <v>0.25</v>
      </c>
      <c r="L3163" s="26">
        <f t="shared" si="478"/>
        <v>520</v>
      </c>
      <c r="M3163" s="27">
        <f t="shared" si="479"/>
        <v>1560</v>
      </c>
      <c r="N3163" s="28">
        <v>0.16</v>
      </c>
      <c r="O3163" s="29">
        <f t="shared" si="480"/>
        <v>249.6</v>
      </c>
      <c r="P3163" s="30">
        <f t="shared" si="481"/>
        <v>1809.6</v>
      </c>
      <c r="Q3163" s="23"/>
      <c r="R3163" s="52"/>
      <c r="S3163" s="53"/>
      <c r="T3163" s="54">
        <f t="shared" si="482"/>
        <v>0</v>
      </c>
      <c r="U3163" s="26">
        <f t="shared" si="483"/>
        <v>0</v>
      </c>
      <c r="V3163" s="55">
        <f t="shared" si="484"/>
        <v>0</v>
      </c>
      <c r="W3163" s="29">
        <f t="shared" si="485"/>
        <v>0</v>
      </c>
      <c r="X3163" s="30">
        <f t="shared" si="486"/>
        <v>0</v>
      </c>
      <c r="Y3163"/>
      <c r="Z3163"/>
      <c r="AA3163"/>
    </row>
    <row r="3164" spans="1:27" s="51" customFormat="1" ht="18.600000000000001" hidden="1" customHeight="1" x14ac:dyDescent="0.25">
      <c r="A3164" s="81" t="s">
        <v>2653</v>
      </c>
      <c r="B3164" s="31" t="s">
        <v>9396</v>
      </c>
      <c r="C3164" s="32" t="s">
        <v>9397</v>
      </c>
      <c r="D3164" s="31">
        <v>8436535574037</v>
      </c>
      <c r="E3164" s="33" t="s">
        <v>8035</v>
      </c>
      <c r="F3164" s="33" t="s">
        <v>1937</v>
      </c>
      <c r="G3164" s="33"/>
      <c r="H3164" s="84" t="s">
        <v>8036</v>
      </c>
      <c r="I3164" s="23" t="s">
        <v>24</v>
      </c>
      <c r="J3164" s="34">
        <v>830</v>
      </c>
      <c r="K3164" s="35">
        <v>0.25</v>
      </c>
      <c r="L3164" s="36">
        <f t="shared" si="478"/>
        <v>207.5</v>
      </c>
      <c r="M3164" s="37">
        <f t="shared" si="479"/>
        <v>622.5</v>
      </c>
      <c r="N3164" s="38">
        <v>0.16</v>
      </c>
      <c r="O3164" s="39">
        <f t="shared" si="480"/>
        <v>99.600000000000009</v>
      </c>
      <c r="P3164" s="40">
        <f t="shared" si="481"/>
        <v>722.1</v>
      </c>
      <c r="Q3164" s="23"/>
      <c r="R3164" s="56"/>
      <c r="S3164" s="57"/>
      <c r="T3164" s="58">
        <f t="shared" si="482"/>
        <v>0</v>
      </c>
      <c r="U3164" s="36">
        <f t="shared" si="483"/>
        <v>0</v>
      </c>
      <c r="V3164" s="59">
        <f t="shared" si="484"/>
        <v>0</v>
      </c>
      <c r="W3164" s="39">
        <f t="shared" si="485"/>
        <v>0</v>
      </c>
      <c r="X3164" s="40">
        <f t="shared" si="486"/>
        <v>0</v>
      </c>
      <c r="Y3164"/>
      <c r="Z3164"/>
      <c r="AA3164"/>
    </row>
    <row r="3165" spans="1:27" s="51" customFormat="1" ht="18.600000000000001" hidden="1" customHeight="1" x14ac:dyDescent="0.25">
      <c r="A3165" s="82" t="s">
        <v>2653</v>
      </c>
      <c r="B3165" s="41" t="s">
        <v>9396</v>
      </c>
      <c r="C3165" s="42" t="s">
        <v>9397</v>
      </c>
      <c r="D3165" s="41">
        <v>8436535572750</v>
      </c>
      <c r="E3165" s="43" t="s">
        <v>8037</v>
      </c>
      <c r="F3165" s="43" t="s">
        <v>1937</v>
      </c>
      <c r="G3165" s="43"/>
      <c r="H3165" s="85" t="s">
        <v>8038</v>
      </c>
      <c r="I3165" s="23" t="s">
        <v>24</v>
      </c>
      <c r="J3165" s="44">
        <v>990</v>
      </c>
      <c r="K3165" s="45">
        <v>0.25</v>
      </c>
      <c r="L3165" s="46">
        <f t="shared" si="478"/>
        <v>247.5</v>
      </c>
      <c r="M3165" s="47">
        <f t="shared" si="479"/>
        <v>742.5</v>
      </c>
      <c r="N3165" s="48">
        <v>0.16</v>
      </c>
      <c r="O3165" s="49">
        <f t="shared" si="480"/>
        <v>118.8</v>
      </c>
      <c r="P3165" s="50">
        <f t="shared" si="481"/>
        <v>861.3</v>
      </c>
      <c r="Q3165" s="23"/>
      <c r="R3165" s="60"/>
      <c r="S3165" s="61"/>
      <c r="T3165" s="62">
        <f t="shared" si="482"/>
        <v>0</v>
      </c>
      <c r="U3165" s="46">
        <f t="shared" si="483"/>
        <v>0</v>
      </c>
      <c r="V3165" s="63">
        <f t="shared" si="484"/>
        <v>0</v>
      </c>
      <c r="W3165" s="49">
        <f t="shared" si="485"/>
        <v>0</v>
      </c>
      <c r="X3165" s="50">
        <f t="shared" si="486"/>
        <v>0</v>
      </c>
      <c r="Y3165"/>
      <c r="Z3165"/>
      <c r="AA3165"/>
    </row>
    <row r="3166" spans="1:27" s="51" customFormat="1" ht="18.600000000000001" hidden="1" customHeight="1" x14ac:dyDescent="0.25">
      <c r="A3166" s="80" t="s">
        <v>2653</v>
      </c>
      <c r="B3166" s="20" t="s">
        <v>9396</v>
      </c>
      <c r="C3166" s="21" t="s">
        <v>9397</v>
      </c>
      <c r="D3166" s="20">
        <v>8436535572781</v>
      </c>
      <c r="E3166" s="22" t="s">
        <v>8039</v>
      </c>
      <c r="F3166" s="22" t="s">
        <v>1937</v>
      </c>
      <c r="G3166" s="22"/>
      <c r="H3166" s="83" t="s">
        <v>8040</v>
      </c>
      <c r="I3166" s="23" t="s">
        <v>24</v>
      </c>
      <c r="J3166" s="24">
        <v>990</v>
      </c>
      <c r="K3166" s="25">
        <v>0.25</v>
      </c>
      <c r="L3166" s="26">
        <f t="shared" si="478"/>
        <v>247.5</v>
      </c>
      <c r="M3166" s="27">
        <f t="shared" si="479"/>
        <v>742.5</v>
      </c>
      <c r="N3166" s="28">
        <v>0.16</v>
      </c>
      <c r="O3166" s="29">
        <f t="shared" si="480"/>
        <v>118.8</v>
      </c>
      <c r="P3166" s="30">
        <f t="shared" si="481"/>
        <v>861.3</v>
      </c>
      <c r="Q3166" s="23"/>
      <c r="R3166" s="52"/>
      <c r="S3166" s="53"/>
      <c r="T3166" s="54">
        <f t="shared" si="482"/>
        <v>0</v>
      </c>
      <c r="U3166" s="26">
        <f t="shared" si="483"/>
        <v>0</v>
      </c>
      <c r="V3166" s="55">
        <f t="shared" si="484"/>
        <v>0</v>
      </c>
      <c r="W3166" s="29">
        <f t="shared" si="485"/>
        <v>0</v>
      </c>
      <c r="X3166" s="30">
        <f t="shared" si="486"/>
        <v>0</v>
      </c>
      <c r="Y3166"/>
      <c r="Z3166"/>
      <c r="AA3166"/>
    </row>
    <row r="3167" spans="1:27" s="51" customFormat="1" ht="18.600000000000001" hidden="1" customHeight="1" x14ac:dyDescent="0.25">
      <c r="A3167" s="81" t="s">
        <v>2653</v>
      </c>
      <c r="B3167" s="31" t="s">
        <v>9396</v>
      </c>
      <c r="C3167" s="32" t="s">
        <v>9397</v>
      </c>
      <c r="D3167" s="31" t="s">
        <v>8041</v>
      </c>
      <c r="E3167" s="33" t="s">
        <v>8042</v>
      </c>
      <c r="F3167" s="33" t="s">
        <v>1937</v>
      </c>
      <c r="G3167" s="33"/>
      <c r="H3167" s="84" t="s">
        <v>8043</v>
      </c>
      <c r="I3167" s="23" t="s">
        <v>24</v>
      </c>
      <c r="J3167" s="34">
        <v>990</v>
      </c>
      <c r="K3167" s="35">
        <v>0.25</v>
      </c>
      <c r="L3167" s="36">
        <f t="shared" si="478"/>
        <v>247.5</v>
      </c>
      <c r="M3167" s="37">
        <f t="shared" si="479"/>
        <v>742.5</v>
      </c>
      <c r="N3167" s="38">
        <v>0.16</v>
      </c>
      <c r="O3167" s="39">
        <f t="shared" si="480"/>
        <v>118.8</v>
      </c>
      <c r="P3167" s="40">
        <f t="shared" si="481"/>
        <v>861.3</v>
      </c>
      <c r="Q3167" s="23"/>
      <c r="R3167" s="56"/>
      <c r="S3167" s="57"/>
      <c r="T3167" s="58">
        <f t="shared" si="482"/>
        <v>0</v>
      </c>
      <c r="U3167" s="36">
        <f t="shared" si="483"/>
        <v>0</v>
      </c>
      <c r="V3167" s="59">
        <f t="shared" si="484"/>
        <v>0</v>
      </c>
      <c r="W3167" s="39">
        <f t="shared" si="485"/>
        <v>0</v>
      </c>
      <c r="X3167" s="40">
        <f t="shared" si="486"/>
        <v>0</v>
      </c>
      <c r="Y3167"/>
      <c r="Z3167"/>
      <c r="AA3167"/>
    </row>
    <row r="3168" spans="1:27" s="51" customFormat="1" ht="18.600000000000001" hidden="1" customHeight="1" x14ac:dyDescent="0.25">
      <c r="A3168" s="82" t="s">
        <v>2653</v>
      </c>
      <c r="B3168" s="41" t="s">
        <v>9396</v>
      </c>
      <c r="C3168" s="42" t="s">
        <v>9397</v>
      </c>
      <c r="D3168" s="41" t="s">
        <v>8044</v>
      </c>
      <c r="E3168" s="43" t="s">
        <v>8045</v>
      </c>
      <c r="F3168" s="43" t="s">
        <v>1937</v>
      </c>
      <c r="G3168" s="43"/>
      <c r="H3168" s="85" t="s">
        <v>8046</v>
      </c>
      <c r="I3168" s="23" t="s">
        <v>24</v>
      </c>
      <c r="J3168" s="44">
        <v>990</v>
      </c>
      <c r="K3168" s="45">
        <v>0.25</v>
      </c>
      <c r="L3168" s="46">
        <f t="shared" si="478"/>
        <v>247.5</v>
      </c>
      <c r="M3168" s="47">
        <f t="shared" si="479"/>
        <v>742.5</v>
      </c>
      <c r="N3168" s="48">
        <v>0.16</v>
      </c>
      <c r="O3168" s="49">
        <f t="shared" si="480"/>
        <v>118.8</v>
      </c>
      <c r="P3168" s="50">
        <f t="shared" si="481"/>
        <v>861.3</v>
      </c>
      <c r="Q3168" s="23"/>
      <c r="R3168" s="60"/>
      <c r="S3168" s="61"/>
      <c r="T3168" s="62">
        <f t="shared" si="482"/>
        <v>0</v>
      </c>
      <c r="U3168" s="46">
        <f t="shared" si="483"/>
        <v>0</v>
      </c>
      <c r="V3168" s="63">
        <f t="shared" si="484"/>
        <v>0</v>
      </c>
      <c r="W3168" s="49">
        <f t="shared" si="485"/>
        <v>0</v>
      </c>
      <c r="X3168" s="50">
        <f t="shared" si="486"/>
        <v>0</v>
      </c>
      <c r="Y3168"/>
      <c r="Z3168"/>
      <c r="AA3168"/>
    </row>
    <row r="3169" spans="1:27" s="51" customFormat="1" ht="18.600000000000001" hidden="1" customHeight="1" x14ac:dyDescent="0.25">
      <c r="A3169" s="80" t="s">
        <v>2653</v>
      </c>
      <c r="B3169" s="20" t="s">
        <v>9396</v>
      </c>
      <c r="C3169" s="21" t="s">
        <v>9397</v>
      </c>
      <c r="D3169" s="20" t="s">
        <v>8047</v>
      </c>
      <c r="E3169" s="22" t="s">
        <v>8048</v>
      </c>
      <c r="F3169" s="22" t="s">
        <v>1937</v>
      </c>
      <c r="G3169" s="22"/>
      <c r="H3169" s="83" t="s">
        <v>8049</v>
      </c>
      <c r="I3169" s="23" t="s">
        <v>24</v>
      </c>
      <c r="J3169" s="24">
        <v>990</v>
      </c>
      <c r="K3169" s="25">
        <v>0.25</v>
      </c>
      <c r="L3169" s="26">
        <f t="shared" si="478"/>
        <v>247.5</v>
      </c>
      <c r="M3169" s="27">
        <f t="shared" si="479"/>
        <v>742.5</v>
      </c>
      <c r="N3169" s="28">
        <v>0.16</v>
      </c>
      <c r="O3169" s="29">
        <f t="shared" si="480"/>
        <v>118.8</v>
      </c>
      <c r="P3169" s="30">
        <f t="shared" si="481"/>
        <v>861.3</v>
      </c>
      <c r="Q3169" s="23"/>
      <c r="R3169" s="52"/>
      <c r="S3169" s="53"/>
      <c r="T3169" s="54">
        <f t="shared" si="482"/>
        <v>0</v>
      </c>
      <c r="U3169" s="26">
        <f t="shared" si="483"/>
        <v>0</v>
      </c>
      <c r="V3169" s="55">
        <f t="shared" si="484"/>
        <v>0</v>
      </c>
      <c r="W3169" s="29">
        <f t="shared" si="485"/>
        <v>0</v>
      </c>
      <c r="X3169" s="30">
        <f t="shared" si="486"/>
        <v>0</v>
      </c>
      <c r="Y3169"/>
      <c r="Z3169"/>
      <c r="AA3169"/>
    </row>
    <row r="3170" spans="1:27" s="51" customFormat="1" ht="18.600000000000001" hidden="1" customHeight="1" x14ac:dyDescent="0.25">
      <c r="A3170" s="81" t="s">
        <v>2653</v>
      </c>
      <c r="B3170" s="31" t="s">
        <v>9396</v>
      </c>
      <c r="C3170" s="32" t="s">
        <v>9397</v>
      </c>
      <c r="D3170" s="31" t="s">
        <v>8050</v>
      </c>
      <c r="E3170" s="33" t="s">
        <v>8051</v>
      </c>
      <c r="F3170" s="33" t="s">
        <v>1937</v>
      </c>
      <c r="G3170" s="33"/>
      <c r="H3170" s="84" t="s">
        <v>8052</v>
      </c>
      <c r="I3170" s="23" t="s">
        <v>24</v>
      </c>
      <c r="J3170" s="34">
        <v>1030</v>
      </c>
      <c r="K3170" s="35">
        <v>0.25</v>
      </c>
      <c r="L3170" s="36">
        <f t="shared" si="478"/>
        <v>257.5</v>
      </c>
      <c r="M3170" s="37">
        <f t="shared" si="479"/>
        <v>772.5</v>
      </c>
      <c r="N3170" s="38">
        <v>0.16</v>
      </c>
      <c r="O3170" s="39">
        <f t="shared" si="480"/>
        <v>123.60000000000001</v>
      </c>
      <c r="P3170" s="40">
        <f t="shared" si="481"/>
        <v>896.1</v>
      </c>
      <c r="Q3170" s="23"/>
      <c r="R3170" s="56"/>
      <c r="S3170" s="57"/>
      <c r="T3170" s="58">
        <f t="shared" si="482"/>
        <v>0</v>
      </c>
      <c r="U3170" s="36">
        <f t="shared" si="483"/>
        <v>0</v>
      </c>
      <c r="V3170" s="59">
        <f t="shared" si="484"/>
        <v>0</v>
      </c>
      <c r="W3170" s="39">
        <f t="shared" si="485"/>
        <v>0</v>
      </c>
      <c r="X3170" s="40">
        <f t="shared" si="486"/>
        <v>0</v>
      </c>
      <c r="Y3170"/>
      <c r="Z3170"/>
      <c r="AA3170"/>
    </row>
    <row r="3171" spans="1:27" s="51" customFormat="1" ht="18.600000000000001" hidden="1" customHeight="1" x14ac:dyDescent="0.25">
      <c r="A3171" s="82" t="s">
        <v>2653</v>
      </c>
      <c r="B3171" s="41" t="s">
        <v>9396</v>
      </c>
      <c r="C3171" s="42" t="s">
        <v>9397</v>
      </c>
      <c r="D3171" s="41" t="s">
        <v>8053</v>
      </c>
      <c r="E3171" s="43" t="s">
        <v>8054</v>
      </c>
      <c r="F3171" s="43" t="s">
        <v>1937</v>
      </c>
      <c r="G3171" s="43"/>
      <c r="H3171" s="85" t="s">
        <v>8055</v>
      </c>
      <c r="I3171" s="23" t="s">
        <v>24</v>
      </c>
      <c r="J3171" s="44">
        <v>1030</v>
      </c>
      <c r="K3171" s="45">
        <v>0.25</v>
      </c>
      <c r="L3171" s="46">
        <f t="shared" si="478"/>
        <v>257.5</v>
      </c>
      <c r="M3171" s="47">
        <f t="shared" si="479"/>
        <v>772.5</v>
      </c>
      <c r="N3171" s="48">
        <v>0.16</v>
      </c>
      <c r="O3171" s="49">
        <f t="shared" si="480"/>
        <v>123.60000000000001</v>
      </c>
      <c r="P3171" s="50">
        <f t="shared" si="481"/>
        <v>896.1</v>
      </c>
      <c r="Q3171" s="23"/>
      <c r="R3171" s="60"/>
      <c r="S3171" s="61"/>
      <c r="T3171" s="62">
        <f t="shared" si="482"/>
        <v>0</v>
      </c>
      <c r="U3171" s="46">
        <f t="shared" si="483"/>
        <v>0</v>
      </c>
      <c r="V3171" s="63">
        <f t="shared" si="484"/>
        <v>0</v>
      </c>
      <c r="W3171" s="49">
        <f t="shared" si="485"/>
        <v>0</v>
      </c>
      <c r="X3171" s="50">
        <f t="shared" si="486"/>
        <v>0</v>
      </c>
      <c r="Y3171"/>
      <c r="Z3171"/>
      <c r="AA3171"/>
    </row>
    <row r="3172" spans="1:27" s="51" customFormat="1" ht="18.600000000000001" hidden="1" customHeight="1" x14ac:dyDescent="0.25">
      <c r="A3172" s="80" t="s">
        <v>2653</v>
      </c>
      <c r="B3172" s="20" t="s">
        <v>9396</v>
      </c>
      <c r="C3172" s="21" t="s">
        <v>9397</v>
      </c>
      <c r="D3172" s="20">
        <v>8435568309319</v>
      </c>
      <c r="E3172" s="22" t="s">
        <v>8056</v>
      </c>
      <c r="F3172" s="22" t="s">
        <v>1937</v>
      </c>
      <c r="G3172" s="22"/>
      <c r="H3172" s="83" t="s">
        <v>8057</v>
      </c>
      <c r="I3172" s="23" t="s">
        <v>24</v>
      </c>
      <c r="J3172" s="24">
        <v>1030</v>
      </c>
      <c r="K3172" s="25">
        <v>0.25</v>
      </c>
      <c r="L3172" s="26">
        <f t="shared" si="478"/>
        <v>257.5</v>
      </c>
      <c r="M3172" s="27">
        <f t="shared" si="479"/>
        <v>772.5</v>
      </c>
      <c r="N3172" s="28">
        <v>0.16</v>
      </c>
      <c r="O3172" s="29">
        <f t="shared" si="480"/>
        <v>123.60000000000001</v>
      </c>
      <c r="P3172" s="30">
        <f t="shared" si="481"/>
        <v>896.1</v>
      </c>
      <c r="Q3172" s="23"/>
      <c r="R3172" s="52"/>
      <c r="S3172" s="53"/>
      <c r="T3172" s="54">
        <f t="shared" si="482"/>
        <v>0</v>
      </c>
      <c r="U3172" s="26">
        <f t="shared" si="483"/>
        <v>0</v>
      </c>
      <c r="V3172" s="55">
        <f t="shared" si="484"/>
        <v>0</v>
      </c>
      <c r="W3172" s="29">
        <f t="shared" si="485"/>
        <v>0</v>
      </c>
      <c r="X3172" s="30">
        <f t="shared" si="486"/>
        <v>0</v>
      </c>
      <c r="Y3172"/>
      <c r="Z3172"/>
      <c r="AA3172"/>
    </row>
    <row r="3173" spans="1:27" s="51" customFormat="1" ht="18.600000000000001" hidden="1" customHeight="1" x14ac:dyDescent="0.25">
      <c r="A3173" s="81" t="s">
        <v>2653</v>
      </c>
      <c r="B3173" s="31" t="s">
        <v>9396</v>
      </c>
      <c r="C3173" s="32" t="s">
        <v>9397</v>
      </c>
      <c r="D3173" s="31">
        <v>8435568309326</v>
      </c>
      <c r="E3173" s="33" t="s">
        <v>8058</v>
      </c>
      <c r="F3173" s="33" t="s">
        <v>1937</v>
      </c>
      <c r="G3173" s="33"/>
      <c r="H3173" s="84" t="s">
        <v>8059</v>
      </c>
      <c r="I3173" s="23" t="s">
        <v>24</v>
      </c>
      <c r="J3173" s="34">
        <v>1030</v>
      </c>
      <c r="K3173" s="35">
        <v>0.25</v>
      </c>
      <c r="L3173" s="36">
        <f t="shared" si="478"/>
        <v>257.5</v>
      </c>
      <c r="M3173" s="37">
        <f t="shared" si="479"/>
        <v>772.5</v>
      </c>
      <c r="N3173" s="38">
        <v>0.16</v>
      </c>
      <c r="O3173" s="39">
        <f t="shared" si="480"/>
        <v>123.60000000000001</v>
      </c>
      <c r="P3173" s="40">
        <f t="shared" si="481"/>
        <v>896.1</v>
      </c>
      <c r="Q3173" s="23"/>
      <c r="R3173" s="56"/>
      <c r="S3173" s="57"/>
      <c r="T3173" s="58">
        <f t="shared" si="482"/>
        <v>0</v>
      </c>
      <c r="U3173" s="36">
        <f t="shared" si="483"/>
        <v>0</v>
      </c>
      <c r="V3173" s="59">
        <f t="shared" si="484"/>
        <v>0</v>
      </c>
      <c r="W3173" s="39">
        <f t="shared" si="485"/>
        <v>0</v>
      </c>
      <c r="X3173" s="40">
        <f t="shared" si="486"/>
        <v>0</v>
      </c>
      <c r="Y3173"/>
      <c r="Z3173"/>
      <c r="AA3173"/>
    </row>
    <row r="3174" spans="1:27" s="51" customFormat="1" ht="18.600000000000001" hidden="1" customHeight="1" x14ac:dyDescent="0.25">
      <c r="A3174" s="82" t="s">
        <v>2653</v>
      </c>
      <c r="B3174" s="41" t="s">
        <v>9396</v>
      </c>
      <c r="C3174" s="42" t="s">
        <v>9397</v>
      </c>
      <c r="D3174" s="41" t="s">
        <v>8060</v>
      </c>
      <c r="E3174" s="43" t="s">
        <v>8061</v>
      </c>
      <c r="F3174" s="43" t="s">
        <v>1937</v>
      </c>
      <c r="G3174" s="43"/>
      <c r="H3174" s="85" t="s">
        <v>8062</v>
      </c>
      <c r="I3174" s="23" t="s">
        <v>24</v>
      </c>
      <c r="J3174" s="44">
        <v>1240</v>
      </c>
      <c r="K3174" s="45">
        <v>0.25</v>
      </c>
      <c r="L3174" s="46">
        <f t="shared" si="478"/>
        <v>310</v>
      </c>
      <c r="M3174" s="47">
        <f t="shared" si="479"/>
        <v>930</v>
      </c>
      <c r="N3174" s="48">
        <v>0.16</v>
      </c>
      <c r="O3174" s="49">
        <f t="shared" si="480"/>
        <v>148.80000000000001</v>
      </c>
      <c r="P3174" s="50">
        <f t="shared" si="481"/>
        <v>1078.8</v>
      </c>
      <c r="Q3174" s="23"/>
      <c r="R3174" s="60"/>
      <c r="S3174" s="61"/>
      <c r="T3174" s="62">
        <f t="shared" si="482"/>
        <v>0</v>
      </c>
      <c r="U3174" s="46">
        <f t="shared" si="483"/>
        <v>0</v>
      </c>
      <c r="V3174" s="63">
        <f t="shared" si="484"/>
        <v>0</v>
      </c>
      <c r="W3174" s="49">
        <f t="shared" si="485"/>
        <v>0</v>
      </c>
      <c r="X3174" s="50">
        <f t="shared" si="486"/>
        <v>0</v>
      </c>
      <c r="Y3174"/>
      <c r="Z3174"/>
      <c r="AA3174"/>
    </row>
    <row r="3175" spans="1:27" s="51" customFormat="1" ht="18.600000000000001" hidden="1" customHeight="1" x14ac:dyDescent="0.25">
      <c r="A3175" s="80" t="s">
        <v>2653</v>
      </c>
      <c r="B3175" s="20" t="s">
        <v>9396</v>
      </c>
      <c r="C3175" s="21" t="s">
        <v>9397</v>
      </c>
      <c r="D3175" s="20">
        <v>8435568333604</v>
      </c>
      <c r="E3175" s="22" t="s">
        <v>8063</v>
      </c>
      <c r="F3175" s="22" t="s">
        <v>1937</v>
      </c>
      <c r="G3175" s="22"/>
      <c r="H3175" s="83" t="s">
        <v>8064</v>
      </c>
      <c r="I3175" s="23" t="s">
        <v>24</v>
      </c>
      <c r="J3175" s="24">
        <v>1030</v>
      </c>
      <c r="K3175" s="25">
        <v>0.25</v>
      </c>
      <c r="L3175" s="26">
        <f t="shared" si="478"/>
        <v>257.5</v>
      </c>
      <c r="M3175" s="27">
        <f t="shared" si="479"/>
        <v>772.5</v>
      </c>
      <c r="N3175" s="28">
        <v>0.16</v>
      </c>
      <c r="O3175" s="29">
        <f t="shared" si="480"/>
        <v>123.60000000000001</v>
      </c>
      <c r="P3175" s="30">
        <f t="shared" si="481"/>
        <v>896.1</v>
      </c>
      <c r="Q3175" s="23"/>
      <c r="R3175" s="52"/>
      <c r="S3175" s="53"/>
      <c r="T3175" s="54">
        <f t="shared" si="482"/>
        <v>0</v>
      </c>
      <c r="U3175" s="26">
        <f t="shared" si="483"/>
        <v>0</v>
      </c>
      <c r="V3175" s="55">
        <f t="shared" si="484"/>
        <v>0</v>
      </c>
      <c r="W3175" s="29">
        <f t="shared" si="485"/>
        <v>0</v>
      </c>
      <c r="X3175" s="30">
        <f t="shared" si="486"/>
        <v>0</v>
      </c>
      <c r="Y3175"/>
      <c r="Z3175"/>
      <c r="AA3175"/>
    </row>
    <row r="3176" spans="1:27" s="51" customFormat="1" ht="18.600000000000001" hidden="1" customHeight="1" x14ac:dyDescent="0.25">
      <c r="A3176" s="81" t="s">
        <v>2653</v>
      </c>
      <c r="B3176" s="31" t="s">
        <v>9396</v>
      </c>
      <c r="C3176" s="32" t="s">
        <v>9397</v>
      </c>
      <c r="D3176" s="31">
        <v>8435568333505</v>
      </c>
      <c r="E3176" s="33" t="s">
        <v>8065</v>
      </c>
      <c r="F3176" s="33" t="s">
        <v>1937</v>
      </c>
      <c r="G3176" s="33"/>
      <c r="H3176" s="84" t="s">
        <v>8066</v>
      </c>
      <c r="I3176" s="23" t="s">
        <v>24</v>
      </c>
      <c r="J3176" s="34">
        <v>1030</v>
      </c>
      <c r="K3176" s="35">
        <v>0.25</v>
      </c>
      <c r="L3176" s="36">
        <f t="shared" si="478"/>
        <v>257.5</v>
      </c>
      <c r="M3176" s="37">
        <f t="shared" si="479"/>
        <v>772.5</v>
      </c>
      <c r="N3176" s="38">
        <v>0.16</v>
      </c>
      <c r="O3176" s="39">
        <f t="shared" si="480"/>
        <v>123.60000000000001</v>
      </c>
      <c r="P3176" s="40">
        <f t="shared" si="481"/>
        <v>896.1</v>
      </c>
      <c r="Q3176" s="23"/>
      <c r="R3176" s="56"/>
      <c r="S3176" s="57"/>
      <c r="T3176" s="58">
        <f t="shared" si="482"/>
        <v>0</v>
      </c>
      <c r="U3176" s="36">
        <f t="shared" si="483"/>
        <v>0</v>
      </c>
      <c r="V3176" s="59">
        <f t="shared" si="484"/>
        <v>0</v>
      </c>
      <c r="W3176" s="39">
        <f t="shared" si="485"/>
        <v>0</v>
      </c>
      <c r="X3176" s="40">
        <f t="shared" si="486"/>
        <v>0</v>
      </c>
      <c r="Y3176"/>
      <c r="Z3176"/>
      <c r="AA3176"/>
    </row>
    <row r="3177" spans="1:27" s="51" customFormat="1" ht="18.600000000000001" hidden="1" customHeight="1" x14ac:dyDescent="0.25">
      <c r="A3177" s="82" t="s">
        <v>2653</v>
      </c>
      <c r="B3177" s="41" t="s">
        <v>9396</v>
      </c>
      <c r="C3177" s="42" t="s">
        <v>9397</v>
      </c>
      <c r="D3177" s="41" t="s">
        <v>8067</v>
      </c>
      <c r="E3177" s="43" t="s">
        <v>8068</v>
      </c>
      <c r="F3177" s="43" t="s">
        <v>1937</v>
      </c>
      <c r="G3177" s="43"/>
      <c r="H3177" s="85" t="s">
        <v>8069</v>
      </c>
      <c r="I3177" s="23" t="s">
        <v>24</v>
      </c>
      <c r="J3177" s="44">
        <v>1030</v>
      </c>
      <c r="K3177" s="45">
        <v>0.25</v>
      </c>
      <c r="L3177" s="46">
        <f t="shared" si="478"/>
        <v>257.5</v>
      </c>
      <c r="M3177" s="47">
        <f t="shared" si="479"/>
        <v>772.5</v>
      </c>
      <c r="N3177" s="48">
        <v>0.16</v>
      </c>
      <c r="O3177" s="49">
        <f t="shared" si="480"/>
        <v>123.60000000000001</v>
      </c>
      <c r="P3177" s="50">
        <f t="shared" si="481"/>
        <v>896.1</v>
      </c>
      <c r="Q3177" s="23"/>
      <c r="R3177" s="60"/>
      <c r="S3177" s="61"/>
      <c r="T3177" s="62">
        <f t="shared" si="482"/>
        <v>0</v>
      </c>
      <c r="U3177" s="46">
        <f t="shared" si="483"/>
        <v>0</v>
      </c>
      <c r="V3177" s="63">
        <f t="shared" si="484"/>
        <v>0</v>
      </c>
      <c r="W3177" s="49">
        <f t="shared" si="485"/>
        <v>0</v>
      </c>
      <c r="X3177" s="50">
        <f t="shared" si="486"/>
        <v>0</v>
      </c>
      <c r="Y3177"/>
      <c r="Z3177"/>
      <c r="AA3177"/>
    </row>
    <row r="3178" spans="1:27" s="51" customFormat="1" ht="18.600000000000001" hidden="1" customHeight="1" x14ac:dyDescent="0.25">
      <c r="A3178" s="80" t="s">
        <v>2653</v>
      </c>
      <c r="B3178" s="20" t="s">
        <v>9396</v>
      </c>
      <c r="C3178" s="21" t="s">
        <v>9397</v>
      </c>
      <c r="D3178" s="20">
        <v>8435568329089</v>
      </c>
      <c r="E3178" s="22" t="s">
        <v>8070</v>
      </c>
      <c r="F3178" s="22" t="s">
        <v>1937</v>
      </c>
      <c r="G3178" s="22"/>
      <c r="H3178" s="83" t="s">
        <v>8071</v>
      </c>
      <c r="I3178" s="23" t="s">
        <v>24</v>
      </c>
      <c r="J3178" s="24">
        <v>1100</v>
      </c>
      <c r="K3178" s="25">
        <v>0.25</v>
      </c>
      <c r="L3178" s="26">
        <f t="shared" si="478"/>
        <v>275</v>
      </c>
      <c r="M3178" s="27">
        <f t="shared" si="479"/>
        <v>825</v>
      </c>
      <c r="N3178" s="28">
        <v>0.16</v>
      </c>
      <c r="O3178" s="29">
        <f t="shared" si="480"/>
        <v>132</v>
      </c>
      <c r="P3178" s="30">
        <f t="shared" si="481"/>
        <v>957</v>
      </c>
      <c r="Q3178" s="23"/>
      <c r="R3178" s="52"/>
      <c r="S3178" s="53"/>
      <c r="T3178" s="54">
        <f t="shared" si="482"/>
        <v>0</v>
      </c>
      <c r="U3178" s="26">
        <f t="shared" si="483"/>
        <v>0</v>
      </c>
      <c r="V3178" s="55">
        <f t="shared" si="484"/>
        <v>0</v>
      </c>
      <c r="W3178" s="29">
        <f t="shared" si="485"/>
        <v>0</v>
      </c>
      <c r="X3178" s="30">
        <f t="shared" si="486"/>
        <v>0</v>
      </c>
      <c r="Y3178"/>
      <c r="Z3178"/>
      <c r="AA3178"/>
    </row>
    <row r="3179" spans="1:27" s="51" customFormat="1" ht="18.600000000000001" hidden="1" customHeight="1" x14ac:dyDescent="0.25">
      <c r="A3179" s="81" t="s">
        <v>2653</v>
      </c>
      <c r="B3179" s="31" t="s">
        <v>9396</v>
      </c>
      <c r="C3179" s="32" t="s">
        <v>9397</v>
      </c>
      <c r="D3179" s="31">
        <v>8435568329096</v>
      </c>
      <c r="E3179" s="33" t="s">
        <v>8072</v>
      </c>
      <c r="F3179" s="33" t="s">
        <v>1937</v>
      </c>
      <c r="G3179" s="33"/>
      <c r="H3179" s="84" t="s">
        <v>8073</v>
      </c>
      <c r="I3179" s="23" t="s">
        <v>24</v>
      </c>
      <c r="J3179" s="34">
        <v>1100</v>
      </c>
      <c r="K3179" s="35">
        <v>0.25</v>
      </c>
      <c r="L3179" s="36">
        <f t="shared" si="478"/>
        <v>275</v>
      </c>
      <c r="M3179" s="37">
        <f t="shared" si="479"/>
        <v>825</v>
      </c>
      <c r="N3179" s="38">
        <v>0.16</v>
      </c>
      <c r="O3179" s="39">
        <f t="shared" si="480"/>
        <v>132</v>
      </c>
      <c r="P3179" s="40">
        <f t="shared" si="481"/>
        <v>957</v>
      </c>
      <c r="Q3179" s="23"/>
      <c r="R3179" s="56"/>
      <c r="S3179" s="57"/>
      <c r="T3179" s="58">
        <f t="shared" si="482"/>
        <v>0</v>
      </c>
      <c r="U3179" s="36">
        <f t="shared" si="483"/>
        <v>0</v>
      </c>
      <c r="V3179" s="59">
        <f t="shared" si="484"/>
        <v>0</v>
      </c>
      <c r="W3179" s="39">
        <f t="shared" si="485"/>
        <v>0</v>
      </c>
      <c r="X3179" s="40">
        <f t="shared" si="486"/>
        <v>0</v>
      </c>
      <c r="Y3179"/>
      <c r="Z3179"/>
      <c r="AA3179"/>
    </row>
    <row r="3180" spans="1:27" s="51" customFormat="1" ht="18.600000000000001" hidden="1" customHeight="1" x14ac:dyDescent="0.25">
      <c r="A3180" s="82" t="s">
        <v>2653</v>
      </c>
      <c r="B3180" s="41" t="s">
        <v>9396</v>
      </c>
      <c r="C3180" s="42" t="s">
        <v>9397</v>
      </c>
      <c r="D3180" s="41" t="s">
        <v>8074</v>
      </c>
      <c r="E3180" s="43" t="s">
        <v>8075</v>
      </c>
      <c r="F3180" s="43" t="s">
        <v>1937</v>
      </c>
      <c r="G3180" s="43"/>
      <c r="H3180" s="85" t="s">
        <v>8076</v>
      </c>
      <c r="I3180" s="23" t="s">
        <v>24</v>
      </c>
      <c r="J3180" s="44">
        <v>1240</v>
      </c>
      <c r="K3180" s="45">
        <v>0.25</v>
      </c>
      <c r="L3180" s="46">
        <f t="shared" si="478"/>
        <v>310</v>
      </c>
      <c r="M3180" s="47">
        <f t="shared" si="479"/>
        <v>930</v>
      </c>
      <c r="N3180" s="48">
        <v>0.16</v>
      </c>
      <c r="O3180" s="49">
        <f t="shared" si="480"/>
        <v>148.80000000000001</v>
      </c>
      <c r="P3180" s="50">
        <f t="shared" si="481"/>
        <v>1078.8</v>
      </c>
      <c r="Q3180" s="23"/>
      <c r="R3180" s="60"/>
      <c r="S3180" s="61"/>
      <c r="T3180" s="62">
        <f t="shared" si="482"/>
        <v>0</v>
      </c>
      <c r="U3180" s="46">
        <f t="shared" si="483"/>
        <v>0</v>
      </c>
      <c r="V3180" s="63">
        <f t="shared" si="484"/>
        <v>0</v>
      </c>
      <c r="W3180" s="49">
        <f t="shared" si="485"/>
        <v>0</v>
      </c>
      <c r="X3180" s="50">
        <f t="shared" si="486"/>
        <v>0</v>
      </c>
      <c r="Y3180"/>
      <c r="Z3180"/>
      <c r="AA3180"/>
    </row>
    <row r="3181" spans="1:27" s="51" customFormat="1" ht="18.600000000000001" hidden="1" customHeight="1" x14ac:dyDescent="0.25">
      <c r="A3181" s="80" t="s">
        <v>2653</v>
      </c>
      <c r="B3181" s="20" t="s">
        <v>9396</v>
      </c>
      <c r="C3181" s="21" t="s">
        <v>9397</v>
      </c>
      <c r="D3181" s="20" t="s">
        <v>8077</v>
      </c>
      <c r="E3181" s="22" t="s">
        <v>8078</v>
      </c>
      <c r="F3181" s="22" t="s">
        <v>1937</v>
      </c>
      <c r="G3181" s="22"/>
      <c r="H3181" s="83" t="s">
        <v>8079</v>
      </c>
      <c r="I3181" s="23" t="s">
        <v>24</v>
      </c>
      <c r="J3181" s="24">
        <v>1240</v>
      </c>
      <c r="K3181" s="25">
        <v>0.25</v>
      </c>
      <c r="L3181" s="26">
        <f t="shared" si="478"/>
        <v>310</v>
      </c>
      <c r="M3181" s="27">
        <f t="shared" si="479"/>
        <v>930</v>
      </c>
      <c r="N3181" s="28">
        <v>0.16</v>
      </c>
      <c r="O3181" s="29">
        <f t="shared" si="480"/>
        <v>148.80000000000001</v>
      </c>
      <c r="P3181" s="30">
        <f t="shared" si="481"/>
        <v>1078.8</v>
      </c>
      <c r="Q3181" s="23"/>
      <c r="R3181" s="52"/>
      <c r="S3181" s="53"/>
      <c r="T3181" s="54">
        <f t="shared" si="482"/>
        <v>0</v>
      </c>
      <c r="U3181" s="26">
        <f t="shared" si="483"/>
        <v>0</v>
      </c>
      <c r="V3181" s="55">
        <f t="shared" si="484"/>
        <v>0</v>
      </c>
      <c r="W3181" s="29">
        <f t="shared" si="485"/>
        <v>0</v>
      </c>
      <c r="X3181" s="30">
        <f t="shared" si="486"/>
        <v>0</v>
      </c>
      <c r="Y3181"/>
      <c r="Z3181"/>
      <c r="AA3181"/>
    </row>
    <row r="3182" spans="1:27" s="51" customFormat="1" ht="18.600000000000001" hidden="1" customHeight="1" x14ac:dyDescent="0.25">
      <c r="A3182" s="81" t="s">
        <v>2653</v>
      </c>
      <c r="B3182" s="31" t="s">
        <v>9396</v>
      </c>
      <c r="C3182" s="32" t="s">
        <v>9397</v>
      </c>
      <c r="D3182" s="31" t="s">
        <v>8080</v>
      </c>
      <c r="E3182" s="33" t="s">
        <v>8081</v>
      </c>
      <c r="F3182" s="33" t="s">
        <v>1937</v>
      </c>
      <c r="G3182" s="33"/>
      <c r="H3182" s="84" t="s">
        <v>8082</v>
      </c>
      <c r="I3182" s="23" t="s">
        <v>24</v>
      </c>
      <c r="J3182" s="34">
        <v>2080</v>
      </c>
      <c r="K3182" s="35">
        <v>0.25</v>
      </c>
      <c r="L3182" s="36">
        <f t="shared" si="478"/>
        <v>520</v>
      </c>
      <c r="M3182" s="37">
        <f t="shared" si="479"/>
        <v>1560</v>
      </c>
      <c r="N3182" s="38">
        <v>0.16</v>
      </c>
      <c r="O3182" s="39">
        <f t="shared" si="480"/>
        <v>249.6</v>
      </c>
      <c r="P3182" s="40">
        <f t="shared" si="481"/>
        <v>1809.6</v>
      </c>
      <c r="Q3182" s="23"/>
      <c r="R3182" s="56"/>
      <c r="S3182" s="57"/>
      <c r="T3182" s="58">
        <f t="shared" si="482"/>
        <v>0</v>
      </c>
      <c r="U3182" s="36">
        <f t="shared" si="483"/>
        <v>0</v>
      </c>
      <c r="V3182" s="59">
        <f t="shared" si="484"/>
        <v>0</v>
      </c>
      <c r="W3182" s="39">
        <f t="shared" si="485"/>
        <v>0</v>
      </c>
      <c r="X3182" s="40">
        <f t="shared" si="486"/>
        <v>0</v>
      </c>
      <c r="Y3182"/>
      <c r="Z3182"/>
      <c r="AA3182"/>
    </row>
    <row r="3183" spans="1:27" s="51" customFormat="1" ht="18.600000000000001" hidden="1" customHeight="1" x14ac:dyDescent="0.25">
      <c r="A3183" s="82" t="s">
        <v>2653</v>
      </c>
      <c r="B3183" s="41" t="s">
        <v>9396</v>
      </c>
      <c r="C3183" s="42" t="s">
        <v>9397</v>
      </c>
      <c r="D3183" s="41" t="s">
        <v>8083</v>
      </c>
      <c r="E3183" s="43" t="s">
        <v>8084</v>
      </c>
      <c r="F3183" s="43" t="s">
        <v>1937</v>
      </c>
      <c r="G3183" s="43"/>
      <c r="H3183" s="85" t="s">
        <v>8085</v>
      </c>
      <c r="I3183" s="23" t="s">
        <v>24</v>
      </c>
      <c r="J3183" s="44">
        <v>780</v>
      </c>
      <c r="K3183" s="45">
        <v>0.25</v>
      </c>
      <c r="L3183" s="46">
        <f t="shared" si="478"/>
        <v>195</v>
      </c>
      <c r="M3183" s="47">
        <f t="shared" si="479"/>
        <v>585</v>
      </c>
      <c r="N3183" s="48">
        <v>0.16</v>
      </c>
      <c r="O3183" s="49">
        <f t="shared" si="480"/>
        <v>93.600000000000009</v>
      </c>
      <c r="P3183" s="50">
        <f t="shared" si="481"/>
        <v>678.6</v>
      </c>
      <c r="Q3183" s="23"/>
      <c r="R3183" s="60"/>
      <c r="S3183" s="61"/>
      <c r="T3183" s="62">
        <f t="shared" si="482"/>
        <v>0</v>
      </c>
      <c r="U3183" s="46">
        <f t="shared" si="483"/>
        <v>0</v>
      </c>
      <c r="V3183" s="63">
        <f t="shared" si="484"/>
        <v>0</v>
      </c>
      <c r="W3183" s="49">
        <f t="shared" si="485"/>
        <v>0</v>
      </c>
      <c r="X3183" s="50">
        <f t="shared" si="486"/>
        <v>0</v>
      </c>
      <c r="Y3183"/>
      <c r="Z3183"/>
      <c r="AA3183"/>
    </row>
    <row r="3184" spans="1:27" s="51" customFormat="1" ht="18.600000000000001" hidden="1" customHeight="1" x14ac:dyDescent="0.25">
      <c r="A3184" s="80" t="s">
        <v>2653</v>
      </c>
      <c r="B3184" s="20" t="s">
        <v>9396</v>
      </c>
      <c r="C3184" s="21" t="s">
        <v>9397</v>
      </c>
      <c r="D3184" s="20" t="s">
        <v>8086</v>
      </c>
      <c r="E3184" s="22" t="s">
        <v>8087</v>
      </c>
      <c r="F3184" s="22" t="s">
        <v>1937</v>
      </c>
      <c r="G3184" s="22"/>
      <c r="H3184" s="83" t="s">
        <v>8088</v>
      </c>
      <c r="I3184" s="23" t="s">
        <v>24</v>
      </c>
      <c r="J3184" s="24">
        <v>660</v>
      </c>
      <c r="K3184" s="25">
        <v>0.25</v>
      </c>
      <c r="L3184" s="26">
        <f t="shared" si="478"/>
        <v>165</v>
      </c>
      <c r="M3184" s="27">
        <f t="shared" si="479"/>
        <v>495</v>
      </c>
      <c r="N3184" s="28">
        <v>0.16</v>
      </c>
      <c r="O3184" s="29">
        <f t="shared" si="480"/>
        <v>79.2</v>
      </c>
      <c r="P3184" s="30">
        <f t="shared" si="481"/>
        <v>574.20000000000005</v>
      </c>
      <c r="Q3184" s="23"/>
      <c r="R3184" s="52"/>
      <c r="S3184" s="53"/>
      <c r="T3184" s="54">
        <f t="shared" si="482"/>
        <v>0</v>
      </c>
      <c r="U3184" s="26">
        <f t="shared" si="483"/>
        <v>0</v>
      </c>
      <c r="V3184" s="55">
        <f t="shared" si="484"/>
        <v>0</v>
      </c>
      <c r="W3184" s="29">
        <f t="shared" si="485"/>
        <v>0</v>
      </c>
      <c r="X3184" s="30">
        <f t="shared" si="486"/>
        <v>0</v>
      </c>
      <c r="Y3184"/>
      <c r="Z3184"/>
      <c r="AA3184"/>
    </row>
    <row r="3185" spans="1:27" s="51" customFormat="1" ht="18.600000000000001" hidden="1" customHeight="1" x14ac:dyDescent="0.25">
      <c r="A3185" s="81" t="s">
        <v>2653</v>
      </c>
      <c r="B3185" s="31" t="s">
        <v>9396</v>
      </c>
      <c r="C3185" s="32" t="s">
        <v>9397</v>
      </c>
      <c r="D3185" s="31">
        <v>8436535576871</v>
      </c>
      <c r="E3185" s="33" t="s">
        <v>8089</v>
      </c>
      <c r="F3185" s="33" t="s">
        <v>1937</v>
      </c>
      <c r="G3185" s="33"/>
      <c r="H3185" s="84" t="s">
        <v>8090</v>
      </c>
      <c r="I3185" s="23" t="s">
        <v>24</v>
      </c>
      <c r="J3185" s="34">
        <v>1640</v>
      </c>
      <c r="K3185" s="35">
        <v>0.25</v>
      </c>
      <c r="L3185" s="36">
        <f t="shared" si="478"/>
        <v>410</v>
      </c>
      <c r="M3185" s="37">
        <f t="shared" si="479"/>
        <v>1230</v>
      </c>
      <c r="N3185" s="38">
        <v>0.16</v>
      </c>
      <c r="O3185" s="39">
        <f t="shared" si="480"/>
        <v>196.8</v>
      </c>
      <c r="P3185" s="40">
        <f t="shared" si="481"/>
        <v>1426.8</v>
      </c>
      <c r="Q3185" s="23"/>
      <c r="R3185" s="56"/>
      <c r="S3185" s="57"/>
      <c r="T3185" s="58">
        <f t="shared" si="482"/>
        <v>0</v>
      </c>
      <c r="U3185" s="36">
        <f t="shared" si="483"/>
        <v>0</v>
      </c>
      <c r="V3185" s="59">
        <f t="shared" si="484"/>
        <v>0</v>
      </c>
      <c r="W3185" s="39">
        <f t="shared" si="485"/>
        <v>0</v>
      </c>
      <c r="X3185" s="40">
        <f t="shared" si="486"/>
        <v>0</v>
      </c>
      <c r="Y3185"/>
      <c r="Z3185"/>
      <c r="AA3185"/>
    </row>
    <row r="3186" spans="1:27" s="51" customFormat="1" ht="18.600000000000001" hidden="1" customHeight="1" x14ac:dyDescent="0.25">
      <c r="A3186" s="82" t="s">
        <v>2653</v>
      </c>
      <c r="B3186" s="41" t="s">
        <v>9396</v>
      </c>
      <c r="C3186" s="42" t="s">
        <v>9397</v>
      </c>
      <c r="D3186" s="41">
        <v>8436535576963</v>
      </c>
      <c r="E3186" s="43" t="s">
        <v>8091</v>
      </c>
      <c r="F3186" s="43" t="s">
        <v>1937</v>
      </c>
      <c r="G3186" s="43"/>
      <c r="H3186" s="85" t="s">
        <v>8092</v>
      </c>
      <c r="I3186" s="23" t="s">
        <v>24</v>
      </c>
      <c r="J3186" s="44">
        <v>1750</v>
      </c>
      <c r="K3186" s="45">
        <v>0.25</v>
      </c>
      <c r="L3186" s="46">
        <f t="shared" si="478"/>
        <v>437.5</v>
      </c>
      <c r="M3186" s="47">
        <f t="shared" si="479"/>
        <v>1312.5</v>
      </c>
      <c r="N3186" s="48">
        <v>0.16</v>
      </c>
      <c r="O3186" s="49">
        <f t="shared" si="480"/>
        <v>210</v>
      </c>
      <c r="P3186" s="50">
        <f t="shared" si="481"/>
        <v>1522.5</v>
      </c>
      <c r="Q3186" s="23"/>
      <c r="R3186" s="60"/>
      <c r="S3186" s="61"/>
      <c r="T3186" s="62">
        <f t="shared" si="482"/>
        <v>0</v>
      </c>
      <c r="U3186" s="46">
        <f t="shared" si="483"/>
        <v>0</v>
      </c>
      <c r="V3186" s="63">
        <f t="shared" si="484"/>
        <v>0</v>
      </c>
      <c r="W3186" s="49">
        <f t="shared" si="485"/>
        <v>0</v>
      </c>
      <c r="X3186" s="50">
        <f t="shared" si="486"/>
        <v>0</v>
      </c>
      <c r="Y3186"/>
      <c r="Z3186"/>
      <c r="AA3186"/>
    </row>
    <row r="3187" spans="1:27" s="51" customFormat="1" ht="18.600000000000001" hidden="1" customHeight="1" x14ac:dyDescent="0.25">
      <c r="A3187" s="80" t="s">
        <v>2653</v>
      </c>
      <c r="B3187" s="20" t="s">
        <v>9396</v>
      </c>
      <c r="C3187" s="21" t="s">
        <v>9397</v>
      </c>
      <c r="D3187" s="20">
        <v>8436535577458</v>
      </c>
      <c r="E3187" s="22" t="s">
        <v>8093</v>
      </c>
      <c r="F3187" s="22" t="s">
        <v>1937</v>
      </c>
      <c r="G3187" s="22"/>
      <c r="H3187" s="83" t="s">
        <v>8094</v>
      </c>
      <c r="I3187" s="23" t="s">
        <v>24</v>
      </c>
      <c r="J3187" s="24">
        <v>1750</v>
      </c>
      <c r="K3187" s="25">
        <v>0.25</v>
      </c>
      <c r="L3187" s="26">
        <f t="shared" si="478"/>
        <v>437.5</v>
      </c>
      <c r="M3187" s="27">
        <f t="shared" si="479"/>
        <v>1312.5</v>
      </c>
      <c r="N3187" s="28">
        <v>0.16</v>
      </c>
      <c r="O3187" s="29">
        <f t="shared" si="480"/>
        <v>210</v>
      </c>
      <c r="P3187" s="30">
        <f t="shared" si="481"/>
        <v>1522.5</v>
      </c>
      <c r="Q3187" s="23"/>
      <c r="R3187" s="52"/>
      <c r="S3187" s="53"/>
      <c r="T3187" s="54">
        <f t="shared" si="482"/>
        <v>0</v>
      </c>
      <c r="U3187" s="26">
        <f t="shared" si="483"/>
        <v>0</v>
      </c>
      <c r="V3187" s="55">
        <f t="shared" si="484"/>
        <v>0</v>
      </c>
      <c r="W3187" s="29">
        <f t="shared" si="485"/>
        <v>0</v>
      </c>
      <c r="X3187" s="30">
        <f t="shared" si="486"/>
        <v>0</v>
      </c>
      <c r="Y3187"/>
      <c r="Z3187"/>
      <c r="AA3187"/>
    </row>
    <row r="3188" spans="1:27" s="51" customFormat="1" ht="18.600000000000001" hidden="1" customHeight="1" x14ac:dyDescent="0.25">
      <c r="A3188" s="81" t="s">
        <v>2653</v>
      </c>
      <c r="B3188" s="31" t="s">
        <v>9396</v>
      </c>
      <c r="C3188" s="32" t="s">
        <v>9397</v>
      </c>
      <c r="D3188" s="31" t="s">
        <v>8095</v>
      </c>
      <c r="E3188" s="33" t="s">
        <v>8096</v>
      </c>
      <c r="F3188" s="33" t="s">
        <v>1937</v>
      </c>
      <c r="G3188" s="33"/>
      <c r="H3188" s="84" t="s">
        <v>8097</v>
      </c>
      <c r="I3188" s="23" t="s">
        <v>24</v>
      </c>
      <c r="J3188" s="34">
        <v>740</v>
      </c>
      <c r="K3188" s="35">
        <v>0.25</v>
      </c>
      <c r="L3188" s="36">
        <f t="shared" si="478"/>
        <v>185</v>
      </c>
      <c r="M3188" s="37">
        <f t="shared" si="479"/>
        <v>555</v>
      </c>
      <c r="N3188" s="38">
        <v>0.16</v>
      </c>
      <c r="O3188" s="39">
        <f t="shared" si="480"/>
        <v>88.8</v>
      </c>
      <c r="P3188" s="40">
        <f t="shared" si="481"/>
        <v>643.79999999999995</v>
      </c>
      <c r="Q3188" s="23"/>
      <c r="R3188" s="56"/>
      <c r="S3188" s="57"/>
      <c r="T3188" s="58">
        <f t="shared" si="482"/>
        <v>0</v>
      </c>
      <c r="U3188" s="36">
        <f t="shared" si="483"/>
        <v>0</v>
      </c>
      <c r="V3188" s="59">
        <f t="shared" si="484"/>
        <v>0</v>
      </c>
      <c r="W3188" s="39">
        <f t="shared" si="485"/>
        <v>0</v>
      </c>
      <c r="X3188" s="40">
        <f t="shared" si="486"/>
        <v>0</v>
      </c>
      <c r="Y3188"/>
      <c r="Z3188"/>
      <c r="AA3188"/>
    </row>
    <row r="3189" spans="1:27" s="51" customFormat="1" ht="18.600000000000001" hidden="1" customHeight="1" x14ac:dyDescent="0.25">
      <c r="A3189" s="82" t="s">
        <v>2653</v>
      </c>
      <c r="B3189" s="41" t="s">
        <v>9396</v>
      </c>
      <c r="C3189" s="42" t="s">
        <v>9397</v>
      </c>
      <c r="D3189" s="41" t="s">
        <v>8098</v>
      </c>
      <c r="E3189" s="43" t="s">
        <v>8099</v>
      </c>
      <c r="F3189" s="43" t="s">
        <v>1937</v>
      </c>
      <c r="G3189" s="43"/>
      <c r="H3189" s="85" t="s">
        <v>8100</v>
      </c>
      <c r="I3189" s="23" t="s">
        <v>24</v>
      </c>
      <c r="J3189" s="44">
        <v>740</v>
      </c>
      <c r="K3189" s="45">
        <v>0.25</v>
      </c>
      <c r="L3189" s="46">
        <f t="shared" si="478"/>
        <v>185</v>
      </c>
      <c r="M3189" s="47">
        <f t="shared" si="479"/>
        <v>555</v>
      </c>
      <c r="N3189" s="48">
        <v>0.16</v>
      </c>
      <c r="O3189" s="49">
        <f t="shared" si="480"/>
        <v>88.8</v>
      </c>
      <c r="P3189" s="50">
        <f t="shared" si="481"/>
        <v>643.79999999999995</v>
      </c>
      <c r="Q3189" s="23"/>
      <c r="R3189" s="60"/>
      <c r="S3189" s="61"/>
      <c r="T3189" s="62">
        <f t="shared" si="482"/>
        <v>0</v>
      </c>
      <c r="U3189" s="46">
        <f t="shared" si="483"/>
        <v>0</v>
      </c>
      <c r="V3189" s="63">
        <f t="shared" si="484"/>
        <v>0</v>
      </c>
      <c r="W3189" s="49">
        <f t="shared" si="485"/>
        <v>0</v>
      </c>
      <c r="X3189" s="50">
        <f t="shared" si="486"/>
        <v>0</v>
      </c>
      <c r="Y3189"/>
      <c r="Z3189"/>
      <c r="AA3189"/>
    </row>
    <row r="3190" spans="1:27" s="51" customFormat="1" ht="18.600000000000001" hidden="1" customHeight="1" x14ac:dyDescent="0.25">
      <c r="A3190" s="80" t="s">
        <v>2653</v>
      </c>
      <c r="B3190" s="20" t="s">
        <v>9396</v>
      </c>
      <c r="C3190" s="21" t="s">
        <v>9397</v>
      </c>
      <c r="D3190" s="20">
        <v>8436564929013</v>
      </c>
      <c r="E3190" s="22" t="s">
        <v>8101</v>
      </c>
      <c r="F3190" s="22" t="s">
        <v>1937</v>
      </c>
      <c r="G3190" s="22"/>
      <c r="H3190" s="83" t="s">
        <v>8102</v>
      </c>
      <c r="I3190" s="23" t="s">
        <v>24</v>
      </c>
      <c r="J3190" s="24">
        <v>1040</v>
      </c>
      <c r="K3190" s="25">
        <v>0.25</v>
      </c>
      <c r="L3190" s="26">
        <f t="shared" si="478"/>
        <v>260</v>
      </c>
      <c r="M3190" s="27">
        <f t="shared" si="479"/>
        <v>780</v>
      </c>
      <c r="N3190" s="28">
        <v>0.16</v>
      </c>
      <c r="O3190" s="29">
        <f t="shared" si="480"/>
        <v>124.8</v>
      </c>
      <c r="P3190" s="30">
        <f t="shared" si="481"/>
        <v>904.8</v>
      </c>
      <c r="Q3190" s="23"/>
      <c r="R3190" s="52"/>
      <c r="S3190" s="53"/>
      <c r="T3190" s="54">
        <f t="shared" si="482"/>
        <v>0</v>
      </c>
      <c r="U3190" s="26">
        <f t="shared" si="483"/>
        <v>0</v>
      </c>
      <c r="V3190" s="55">
        <f t="shared" si="484"/>
        <v>0</v>
      </c>
      <c r="W3190" s="29">
        <f t="shared" si="485"/>
        <v>0</v>
      </c>
      <c r="X3190" s="30">
        <f t="shared" si="486"/>
        <v>0</v>
      </c>
      <c r="Y3190"/>
      <c r="Z3190"/>
      <c r="AA3190"/>
    </row>
    <row r="3191" spans="1:27" s="51" customFormat="1" ht="18.600000000000001" hidden="1" customHeight="1" x14ac:dyDescent="0.25">
      <c r="A3191" s="81" t="s">
        <v>2653</v>
      </c>
      <c r="B3191" s="31" t="s">
        <v>9396</v>
      </c>
      <c r="C3191" s="32" t="s">
        <v>9397</v>
      </c>
      <c r="D3191" s="31" t="s">
        <v>8103</v>
      </c>
      <c r="E3191" s="33" t="s">
        <v>8104</v>
      </c>
      <c r="F3191" s="33" t="s">
        <v>1937</v>
      </c>
      <c r="G3191" s="33"/>
      <c r="H3191" s="84" t="s">
        <v>8105</v>
      </c>
      <c r="I3191" s="23" t="s">
        <v>24</v>
      </c>
      <c r="J3191" s="34">
        <v>1200</v>
      </c>
      <c r="K3191" s="35">
        <v>0.25</v>
      </c>
      <c r="L3191" s="36">
        <f t="shared" si="478"/>
        <v>300</v>
      </c>
      <c r="M3191" s="37">
        <f t="shared" si="479"/>
        <v>900</v>
      </c>
      <c r="N3191" s="38">
        <v>0.16</v>
      </c>
      <c r="O3191" s="39">
        <f t="shared" si="480"/>
        <v>144</v>
      </c>
      <c r="P3191" s="40">
        <f t="shared" si="481"/>
        <v>1044</v>
      </c>
      <c r="Q3191" s="23"/>
      <c r="R3191" s="56"/>
      <c r="S3191" s="57"/>
      <c r="T3191" s="58">
        <f t="shared" si="482"/>
        <v>0</v>
      </c>
      <c r="U3191" s="36">
        <f t="shared" si="483"/>
        <v>0</v>
      </c>
      <c r="V3191" s="59">
        <f t="shared" si="484"/>
        <v>0</v>
      </c>
      <c r="W3191" s="39">
        <f t="shared" si="485"/>
        <v>0</v>
      </c>
      <c r="X3191" s="40">
        <f t="shared" si="486"/>
        <v>0</v>
      </c>
      <c r="Y3191"/>
      <c r="Z3191"/>
      <c r="AA3191"/>
    </row>
    <row r="3192" spans="1:27" s="51" customFormat="1" ht="18.600000000000001" hidden="1" customHeight="1" x14ac:dyDescent="0.25">
      <c r="A3192" s="82" t="s">
        <v>2653</v>
      </c>
      <c r="B3192" s="41" t="s">
        <v>9396</v>
      </c>
      <c r="C3192" s="42" t="s">
        <v>9397</v>
      </c>
      <c r="D3192" s="41" t="s">
        <v>8106</v>
      </c>
      <c r="E3192" s="43" t="s">
        <v>8107</v>
      </c>
      <c r="F3192" s="43" t="s">
        <v>1937</v>
      </c>
      <c r="G3192" s="43"/>
      <c r="H3192" s="85" t="s">
        <v>8108</v>
      </c>
      <c r="I3192" s="23" t="s">
        <v>24</v>
      </c>
      <c r="J3192" s="44">
        <v>1150</v>
      </c>
      <c r="K3192" s="45">
        <v>0.25</v>
      </c>
      <c r="L3192" s="46">
        <f t="shared" si="478"/>
        <v>287.5</v>
      </c>
      <c r="M3192" s="47">
        <f t="shared" si="479"/>
        <v>862.5</v>
      </c>
      <c r="N3192" s="48">
        <v>0.16</v>
      </c>
      <c r="O3192" s="49">
        <f t="shared" si="480"/>
        <v>138</v>
      </c>
      <c r="P3192" s="50">
        <f t="shared" si="481"/>
        <v>1000.5</v>
      </c>
      <c r="Q3192" s="23"/>
      <c r="R3192" s="60"/>
      <c r="S3192" s="61"/>
      <c r="T3192" s="62">
        <f t="shared" si="482"/>
        <v>0</v>
      </c>
      <c r="U3192" s="46">
        <f t="shared" si="483"/>
        <v>0</v>
      </c>
      <c r="V3192" s="63">
        <f t="shared" si="484"/>
        <v>0</v>
      </c>
      <c r="W3192" s="49">
        <f t="shared" si="485"/>
        <v>0</v>
      </c>
      <c r="X3192" s="50">
        <f t="shared" si="486"/>
        <v>0</v>
      </c>
      <c r="Y3192"/>
      <c r="Z3192"/>
      <c r="AA3192"/>
    </row>
    <row r="3193" spans="1:27" s="51" customFormat="1" ht="18.600000000000001" hidden="1" customHeight="1" x14ac:dyDescent="0.25">
      <c r="A3193" s="80" t="s">
        <v>2653</v>
      </c>
      <c r="B3193" s="20" t="s">
        <v>9396</v>
      </c>
      <c r="C3193" s="21" t="s">
        <v>9397</v>
      </c>
      <c r="D3193" s="20" t="s">
        <v>8109</v>
      </c>
      <c r="E3193" s="22" t="s">
        <v>8110</v>
      </c>
      <c r="F3193" s="22" t="s">
        <v>1937</v>
      </c>
      <c r="G3193" s="22"/>
      <c r="H3193" s="83" t="s">
        <v>8111</v>
      </c>
      <c r="I3193" s="23" t="s">
        <v>24</v>
      </c>
      <c r="J3193" s="24">
        <v>1150</v>
      </c>
      <c r="K3193" s="25">
        <v>0.25</v>
      </c>
      <c r="L3193" s="26">
        <f t="shared" si="478"/>
        <v>287.5</v>
      </c>
      <c r="M3193" s="27">
        <f t="shared" si="479"/>
        <v>862.5</v>
      </c>
      <c r="N3193" s="28">
        <v>0.16</v>
      </c>
      <c r="O3193" s="29">
        <f t="shared" si="480"/>
        <v>138</v>
      </c>
      <c r="P3193" s="30">
        <f t="shared" si="481"/>
        <v>1000.5</v>
      </c>
      <c r="Q3193" s="23"/>
      <c r="R3193" s="52"/>
      <c r="S3193" s="53"/>
      <c r="T3193" s="54">
        <f t="shared" si="482"/>
        <v>0</v>
      </c>
      <c r="U3193" s="26">
        <f t="shared" si="483"/>
        <v>0</v>
      </c>
      <c r="V3193" s="55">
        <f t="shared" si="484"/>
        <v>0</v>
      </c>
      <c r="W3193" s="29">
        <f t="shared" si="485"/>
        <v>0</v>
      </c>
      <c r="X3193" s="30">
        <f t="shared" si="486"/>
        <v>0</v>
      </c>
      <c r="Y3193"/>
      <c r="Z3193"/>
      <c r="AA3193"/>
    </row>
    <row r="3194" spans="1:27" s="51" customFormat="1" ht="18.600000000000001" hidden="1" customHeight="1" x14ac:dyDescent="0.25">
      <c r="A3194" s="81" t="s">
        <v>2653</v>
      </c>
      <c r="B3194" s="31" t="s">
        <v>9396</v>
      </c>
      <c r="C3194" s="32" t="s">
        <v>9397</v>
      </c>
      <c r="D3194" s="31" t="s">
        <v>8112</v>
      </c>
      <c r="E3194" s="33" t="s">
        <v>8113</v>
      </c>
      <c r="F3194" s="33" t="s">
        <v>1937</v>
      </c>
      <c r="G3194" s="33"/>
      <c r="H3194" s="84" t="s">
        <v>8114</v>
      </c>
      <c r="I3194" s="23" t="s">
        <v>24</v>
      </c>
      <c r="J3194" s="34">
        <v>830</v>
      </c>
      <c r="K3194" s="35">
        <v>0.25</v>
      </c>
      <c r="L3194" s="36">
        <f t="shared" si="478"/>
        <v>207.5</v>
      </c>
      <c r="M3194" s="37">
        <f t="shared" si="479"/>
        <v>622.5</v>
      </c>
      <c r="N3194" s="38">
        <v>0.16</v>
      </c>
      <c r="O3194" s="39">
        <f t="shared" si="480"/>
        <v>99.600000000000009</v>
      </c>
      <c r="P3194" s="40">
        <f t="shared" si="481"/>
        <v>722.1</v>
      </c>
      <c r="Q3194" s="23"/>
      <c r="R3194" s="56"/>
      <c r="S3194" s="57"/>
      <c r="T3194" s="58">
        <f t="shared" si="482"/>
        <v>0</v>
      </c>
      <c r="U3194" s="36">
        <f t="shared" si="483"/>
        <v>0</v>
      </c>
      <c r="V3194" s="59">
        <f t="shared" si="484"/>
        <v>0</v>
      </c>
      <c r="W3194" s="39">
        <f t="shared" si="485"/>
        <v>0</v>
      </c>
      <c r="X3194" s="40">
        <f t="shared" si="486"/>
        <v>0</v>
      </c>
      <c r="Y3194"/>
      <c r="Z3194"/>
      <c r="AA3194"/>
    </row>
    <row r="3195" spans="1:27" s="51" customFormat="1" ht="18.600000000000001" hidden="1" customHeight="1" x14ac:dyDescent="0.25">
      <c r="A3195" s="82" t="s">
        <v>2653</v>
      </c>
      <c r="B3195" s="41" t="s">
        <v>9396</v>
      </c>
      <c r="C3195" s="42" t="s">
        <v>9397</v>
      </c>
      <c r="D3195" s="41" t="s">
        <v>8115</v>
      </c>
      <c r="E3195" s="43" t="s">
        <v>8116</v>
      </c>
      <c r="F3195" s="43" t="s">
        <v>1937</v>
      </c>
      <c r="G3195" s="43"/>
      <c r="H3195" s="85" t="s">
        <v>8117</v>
      </c>
      <c r="I3195" s="23" t="s">
        <v>24</v>
      </c>
      <c r="J3195" s="44">
        <v>950</v>
      </c>
      <c r="K3195" s="45">
        <v>0.25</v>
      </c>
      <c r="L3195" s="46">
        <f t="shared" si="478"/>
        <v>237.5</v>
      </c>
      <c r="M3195" s="47">
        <f t="shared" si="479"/>
        <v>712.5</v>
      </c>
      <c r="N3195" s="48">
        <v>0.16</v>
      </c>
      <c r="O3195" s="49">
        <f t="shared" si="480"/>
        <v>114</v>
      </c>
      <c r="P3195" s="50">
        <f t="shared" si="481"/>
        <v>826.5</v>
      </c>
      <c r="Q3195" s="23"/>
      <c r="R3195" s="60"/>
      <c r="S3195" s="61"/>
      <c r="T3195" s="62">
        <f t="shared" si="482"/>
        <v>0</v>
      </c>
      <c r="U3195" s="46">
        <f t="shared" si="483"/>
        <v>0</v>
      </c>
      <c r="V3195" s="63">
        <f t="shared" si="484"/>
        <v>0</v>
      </c>
      <c r="W3195" s="49">
        <f t="shared" si="485"/>
        <v>0</v>
      </c>
      <c r="X3195" s="50">
        <f t="shared" si="486"/>
        <v>0</v>
      </c>
      <c r="Y3195"/>
      <c r="Z3195"/>
      <c r="AA3195"/>
    </row>
    <row r="3196" spans="1:27" s="51" customFormat="1" ht="18.600000000000001" hidden="1" customHeight="1" x14ac:dyDescent="0.25">
      <c r="A3196" s="80" t="s">
        <v>2653</v>
      </c>
      <c r="B3196" s="20" t="s">
        <v>9396</v>
      </c>
      <c r="C3196" s="21" t="s">
        <v>9398</v>
      </c>
      <c r="D3196" s="20" t="s">
        <v>8118</v>
      </c>
      <c r="E3196" s="22" t="s">
        <v>8119</v>
      </c>
      <c r="F3196" s="22" t="s">
        <v>1937</v>
      </c>
      <c r="G3196" s="22"/>
      <c r="H3196" s="83" t="s">
        <v>8120</v>
      </c>
      <c r="I3196" s="23" t="s">
        <v>24</v>
      </c>
      <c r="J3196" s="24">
        <v>660</v>
      </c>
      <c r="K3196" s="25">
        <v>0.25</v>
      </c>
      <c r="L3196" s="26">
        <f t="shared" si="478"/>
        <v>165</v>
      </c>
      <c r="M3196" s="27">
        <f t="shared" si="479"/>
        <v>495</v>
      </c>
      <c r="N3196" s="28">
        <v>0.16</v>
      </c>
      <c r="O3196" s="29">
        <f t="shared" si="480"/>
        <v>79.2</v>
      </c>
      <c r="P3196" s="30">
        <f t="shared" si="481"/>
        <v>574.20000000000005</v>
      </c>
      <c r="Q3196" s="23"/>
      <c r="R3196" s="52"/>
      <c r="S3196" s="53"/>
      <c r="T3196" s="54">
        <f t="shared" si="482"/>
        <v>0</v>
      </c>
      <c r="U3196" s="26">
        <f t="shared" si="483"/>
        <v>0</v>
      </c>
      <c r="V3196" s="55">
        <f t="shared" si="484"/>
        <v>0</v>
      </c>
      <c r="W3196" s="29">
        <f t="shared" si="485"/>
        <v>0</v>
      </c>
      <c r="X3196" s="30">
        <f t="shared" si="486"/>
        <v>0</v>
      </c>
      <c r="Y3196"/>
      <c r="Z3196"/>
      <c r="AA3196"/>
    </row>
    <row r="3197" spans="1:27" s="51" customFormat="1" ht="18.600000000000001" hidden="1" customHeight="1" x14ac:dyDescent="0.25">
      <c r="A3197" s="81" t="s">
        <v>2653</v>
      </c>
      <c r="B3197" s="31" t="s">
        <v>9396</v>
      </c>
      <c r="C3197" s="32" t="s">
        <v>9398</v>
      </c>
      <c r="D3197" s="31" t="s">
        <v>8121</v>
      </c>
      <c r="E3197" s="33" t="s">
        <v>8122</v>
      </c>
      <c r="F3197" s="33" t="s">
        <v>1937</v>
      </c>
      <c r="G3197" s="33"/>
      <c r="H3197" s="84" t="s">
        <v>8123</v>
      </c>
      <c r="I3197" s="23" t="s">
        <v>24</v>
      </c>
      <c r="J3197" s="34">
        <v>660</v>
      </c>
      <c r="K3197" s="35">
        <v>0.25</v>
      </c>
      <c r="L3197" s="36">
        <f t="shared" si="478"/>
        <v>165</v>
      </c>
      <c r="M3197" s="37">
        <f t="shared" si="479"/>
        <v>495</v>
      </c>
      <c r="N3197" s="38">
        <v>0.16</v>
      </c>
      <c r="O3197" s="39">
        <f t="shared" si="480"/>
        <v>79.2</v>
      </c>
      <c r="P3197" s="40">
        <f t="shared" si="481"/>
        <v>574.20000000000005</v>
      </c>
      <c r="Q3197" s="23"/>
      <c r="R3197" s="56"/>
      <c r="S3197" s="57"/>
      <c r="T3197" s="58">
        <f t="shared" si="482"/>
        <v>0</v>
      </c>
      <c r="U3197" s="36">
        <f t="shared" si="483"/>
        <v>0</v>
      </c>
      <c r="V3197" s="59">
        <f t="shared" si="484"/>
        <v>0</v>
      </c>
      <c r="W3197" s="39">
        <f t="shared" si="485"/>
        <v>0</v>
      </c>
      <c r="X3197" s="40">
        <f t="shared" si="486"/>
        <v>0</v>
      </c>
      <c r="Y3197"/>
      <c r="Z3197"/>
      <c r="AA3197"/>
    </row>
    <row r="3198" spans="1:27" s="51" customFormat="1" ht="18.600000000000001" hidden="1" customHeight="1" x14ac:dyDescent="0.25">
      <c r="A3198" s="82" t="s">
        <v>2653</v>
      </c>
      <c r="B3198" s="41" t="s">
        <v>9396</v>
      </c>
      <c r="C3198" s="42" t="s">
        <v>9398</v>
      </c>
      <c r="D3198" s="41">
        <v>8435568328440</v>
      </c>
      <c r="E3198" s="43" t="s">
        <v>8124</v>
      </c>
      <c r="F3198" s="43" t="s">
        <v>1937</v>
      </c>
      <c r="G3198" s="43"/>
      <c r="H3198" s="85" t="s">
        <v>8125</v>
      </c>
      <c r="I3198" s="23" t="s">
        <v>24</v>
      </c>
      <c r="J3198" s="44">
        <v>660</v>
      </c>
      <c r="K3198" s="45">
        <v>0.25</v>
      </c>
      <c r="L3198" s="46">
        <f t="shared" si="478"/>
        <v>165</v>
      </c>
      <c r="M3198" s="47">
        <f t="shared" si="479"/>
        <v>495</v>
      </c>
      <c r="N3198" s="48">
        <v>0.16</v>
      </c>
      <c r="O3198" s="49">
        <f t="shared" si="480"/>
        <v>79.2</v>
      </c>
      <c r="P3198" s="50">
        <f t="shared" si="481"/>
        <v>574.20000000000005</v>
      </c>
      <c r="Q3198" s="23"/>
      <c r="R3198" s="60"/>
      <c r="S3198" s="61"/>
      <c r="T3198" s="62">
        <f t="shared" si="482"/>
        <v>0</v>
      </c>
      <c r="U3198" s="46">
        <f t="shared" si="483"/>
        <v>0</v>
      </c>
      <c r="V3198" s="63">
        <f t="shared" si="484"/>
        <v>0</v>
      </c>
      <c r="W3198" s="49">
        <f t="shared" si="485"/>
        <v>0</v>
      </c>
      <c r="X3198" s="50">
        <f t="shared" si="486"/>
        <v>0</v>
      </c>
      <c r="Y3198"/>
      <c r="Z3198"/>
      <c r="AA3198"/>
    </row>
    <row r="3199" spans="1:27" s="51" customFormat="1" ht="18.600000000000001" hidden="1" customHeight="1" x14ac:dyDescent="0.25">
      <c r="A3199" s="80" t="s">
        <v>2653</v>
      </c>
      <c r="B3199" s="20" t="s">
        <v>9396</v>
      </c>
      <c r="C3199" s="21" t="s">
        <v>9398</v>
      </c>
      <c r="D3199" s="20">
        <v>8435568328457</v>
      </c>
      <c r="E3199" s="22" t="s">
        <v>8126</v>
      </c>
      <c r="F3199" s="22" t="s">
        <v>1937</v>
      </c>
      <c r="G3199" s="22"/>
      <c r="H3199" s="83" t="s">
        <v>8127</v>
      </c>
      <c r="I3199" s="23" t="s">
        <v>24</v>
      </c>
      <c r="J3199" s="24">
        <v>660</v>
      </c>
      <c r="K3199" s="25">
        <v>0.25</v>
      </c>
      <c r="L3199" s="26">
        <f t="shared" si="478"/>
        <v>165</v>
      </c>
      <c r="M3199" s="27">
        <f t="shared" si="479"/>
        <v>495</v>
      </c>
      <c r="N3199" s="28">
        <v>0.16</v>
      </c>
      <c r="O3199" s="29">
        <f t="shared" si="480"/>
        <v>79.2</v>
      </c>
      <c r="P3199" s="30">
        <f t="shared" si="481"/>
        <v>574.20000000000005</v>
      </c>
      <c r="Q3199" s="23"/>
      <c r="R3199" s="52"/>
      <c r="S3199" s="53"/>
      <c r="T3199" s="54">
        <f t="shared" si="482"/>
        <v>0</v>
      </c>
      <c r="U3199" s="26">
        <f t="shared" si="483"/>
        <v>0</v>
      </c>
      <c r="V3199" s="55">
        <f t="shared" si="484"/>
        <v>0</v>
      </c>
      <c r="W3199" s="29">
        <f t="shared" si="485"/>
        <v>0</v>
      </c>
      <c r="X3199" s="30">
        <f t="shared" si="486"/>
        <v>0</v>
      </c>
      <c r="Y3199"/>
      <c r="Z3199"/>
      <c r="AA3199"/>
    </row>
    <row r="3200" spans="1:27" s="51" customFormat="1" ht="18.600000000000001" hidden="1" customHeight="1" x14ac:dyDescent="0.25">
      <c r="A3200" s="81" t="s">
        <v>2653</v>
      </c>
      <c r="B3200" s="31" t="s">
        <v>9396</v>
      </c>
      <c r="C3200" s="32" t="s">
        <v>9398</v>
      </c>
      <c r="D3200" s="31" t="s">
        <v>8128</v>
      </c>
      <c r="E3200" s="33" t="s">
        <v>8129</v>
      </c>
      <c r="F3200" s="33" t="s">
        <v>1937</v>
      </c>
      <c r="G3200" s="33"/>
      <c r="H3200" s="84" t="s">
        <v>8130</v>
      </c>
      <c r="I3200" s="23" t="s">
        <v>24</v>
      </c>
      <c r="J3200" s="34">
        <v>660</v>
      </c>
      <c r="K3200" s="35">
        <v>0.25</v>
      </c>
      <c r="L3200" s="36">
        <f t="shared" si="478"/>
        <v>165</v>
      </c>
      <c r="M3200" s="37">
        <f t="shared" si="479"/>
        <v>495</v>
      </c>
      <c r="N3200" s="38">
        <v>0.16</v>
      </c>
      <c r="O3200" s="39">
        <f t="shared" si="480"/>
        <v>79.2</v>
      </c>
      <c r="P3200" s="40">
        <f t="shared" si="481"/>
        <v>574.20000000000005</v>
      </c>
      <c r="Q3200" s="23"/>
      <c r="R3200" s="56"/>
      <c r="S3200" s="57"/>
      <c r="T3200" s="58">
        <f t="shared" si="482"/>
        <v>0</v>
      </c>
      <c r="U3200" s="36">
        <f t="shared" si="483"/>
        <v>0</v>
      </c>
      <c r="V3200" s="59">
        <f t="shared" si="484"/>
        <v>0</v>
      </c>
      <c r="W3200" s="39">
        <f t="shared" si="485"/>
        <v>0</v>
      </c>
      <c r="X3200" s="40">
        <f t="shared" si="486"/>
        <v>0</v>
      </c>
      <c r="Y3200"/>
      <c r="Z3200"/>
      <c r="AA3200"/>
    </row>
    <row r="3201" spans="1:27" s="51" customFormat="1" ht="18.600000000000001" hidden="1" customHeight="1" x14ac:dyDescent="0.25">
      <c r="A3201" s="82" t="s">
        <v>2653</v>
      </c>
      <c r="B3201" s="41" t="s">
        <v>9396</v>
      </c>
      <c r="C3201" s="42" t="s">
        <v>9398</v>
      </c>
      <c r="D3201" s="41" t="s">
        <v>8131</v>
      </c>
      <c r="E3201" s="43" t="s">
        <v>8132</v>
      </c>
      <c r="F3201" s="43" t="s">
        <v>1937</v>
      </c>
      <c r="G3201" s="43"/>
      <c r="H3201" s="85" t="s">
        <v>8133</v>
      </c>
      <c r="I3201" s="23" t="s">
        <v>24</v>
      </c>
      <c r="J3201" s="44">
        <v>660</v>
      </c>
      <c r="K3201" s="45">
        <v>0.25</v>
      </c>
      <c r="L3201" s="46">
        <f t="shared" si="478"/>
        <v>165</v>
      </c>
      <c r="M3201" s="47">
        <f t="shared" si="479"/>
        <v>495</v>
      </c>
      <c r="N3201" s="48">
        <v>0.16</v>
      </c>
      <c r="O3201" s="49">
        <f t="shared" si="480"/>
        <v>79.2</v>
      </c>
      <c r="P3201" s="50">
        <f t="shared" si="481"/>
        <v>574.20000000000005</v>
      </c>
      <c r="Q3201" s="23"/>
      <c r="R3201" s="60"/>
      <c r="S3201" s="61"/>
      <c r="T3201" s="62">
        <f t="shared" si="482"/>
        <v>0</v>
      </c>
      <c r="U3201" s="46">
        <f t="shared" si="483"/>
        <v>0</v>
      </c>
      <c r="V3201" s="63">
        <f t="shared" si="484"/>
        <v>0</v>
      </c>
      <c r="W3201" s="49">
        <f t="shared" si="485"/>
        <v>0</v>
      </c>
      <c r="X3201" s="50">
        <f t="shared" si="486"/>
        <v>0</v>
      </c>
      <c r="Y3201"/>
      <c r="Z3201"/>
      <c r="AA3201"/>
    </row>
    <row r="3202" spans="1:27" s="51" customFormat="1" ht="18.600000000000001" hidden="1" customHeight="1" x14ac:dyDescent="0.25">
      <c r="A3202" s="80" t="s">
        <v>2653</v>
      </c>
      <c r="B3202" s="20" t="s">
        <v>9396</v>
      </c>
      <c r="C3202" s="21" t="s">
        <v>9398</v>
      </c>
      <c r="D3202" s="20" t="s">
        <v>8134</v>
      </c>
      <c r="E3202" s="22" t="s">
        <v>8135</v>
      </c>
      <c r="F3202" s="22" t="s">
        <v>1937</v>
      </c>
      <c r="G3202" s="22"/>
      <c r="H3202" s="83" t="s">
        <v>8136</v>
      </c>
      <c r="I3202" s="23" t="s">
        <v>24</v>
      </c>
      <c r="J3202" s="24">
        <v>660</v>
      </c>
      <c r="K3202" s="25">
        <v>0.25</v>
      </c>
      <c r="L3202" s="26">
        <f t="shared" si="478"/>
        <v>165</v>
      </c>
      <c r="M3202" s="27">
        <f t="shared" si="479"/>
        <v>495</v>
      </c>
      <c r="N3202" s="28">
        <v>0.16</v>
      </c>
      <c r="O3202" s="29">
        <f t="shared" si="480"/>
        <v>79.2</v>
      </c>
      <c r="P3202" s="30">
        <f t="shared" si="481"/>
        <v>574.20000000000005</v>
      </c>
      <c r="Q3202" s="23"/>
      <c r="R3202" s="52"/>
      <c r="S3202" s="53"/>
      <c r="T3202" s="54">
        <f t="shared" si="482"/>
        <v>0</v>
      </c>
      <c r="U3202" s="26">
        <f t="shared" si="483"/>
        <v>0</v>
      </c>
      <c r="V3202" s="55">
        <f t="shared" si="484"/>
        <v>0</v>
      </c>
      <c r="W3202" s="29">
        <f t="shared" si="485"/>
        <v>0</v>
      </c>
      <c r="X3202" s="30">
        <f t="shared" si="486"/>
        <v>0</v>
      </c>
      <c r="Y3202"/>
      <c r="Z3202"/>
      <c r="AA3202"/>
    </row>
    <row r="3203" spans="1:27" s="51" customFormat="1" ht="18.600000000000001" hidden="1" customHeight="1" x14ac:dyDescent="0.25">
      <c r="A3203" s="81" t="s">
        <v>2653</v>
      </c>
      <c r="B3203" s="31" t="s">
        <v>9396</v>
      </c>
      <c r="C3203" s="32" t="s">
        <v>9398</v>
      </c>
      <c r="D3203" s="31" t="s">
        <v>8137</v>
      </c>
      <c r="E3203" s="33" t="s">
        <v>8138</v>
      </c>
      <c r="F3203" s="33" t="s">
        <v>1937</v>
      </c>
      <c r="G3203" s="33"/>
      <c r="H3203" s="84" t="s">
        <v>8139</v>
      </c>
      <c r="I3203" s="23" t="s">
        <v>24</v>
      </c>
      <c r="J3203" s="34">
        <v>660</v>
      </c>
      <c r="K3203" s="35">
        <v>0.25</v>
      </c>
      <c r="L3203" s="36">
        <f t="shared" si="478"/>
        <v>165</v>
      </c>
      <c r="M3203" s="37">
        <f t="shared" si="479"/>
        <v>495</v>
      </c>
      <c r="N3203" s="38">
        <v>0.16</v>
      </c>
      <c r="O3203" s="39">
        <f t="shared" si="480"/>
        <v>79.2</v>
      </c>
      <c r="P3203" s="40">
        <f t="shared" si="481"/>
        <v>574.20000000000005</v>
      </c>
      <c r="Q3203" s="23"/>
      <c r="R3203" s="56"/>
      <c r="S3203" s="57"/>
      <c r="T3203" s="58">
        <f t="shared" si="482"/>
        <v>0</v>
      </c>
      <c r="U3203" s="36">
        <f t="shared" si="483"/>
        <v>0</v>
      </c>
      <c r="V3203" s="59">
        <f t="shared" si="484"/>
        <v>0</v>
      </c>
      <c r="W3203" s="39">
        <f t="shared" si="485"/>
        <v>0</v>
      </c>
      <c r="X3203" s="40">
        <f t="shared" si="486"/>
        <v>0</v>
      </c>
      <c r="Y3203"/>
      <c r="Z3203"/>
      <c r="AA3203"/>
    </row>
    <row r="3204" spans="1:27" s="51" customFormat="1" ht="18.600000000000001" hidden="1" customHeight="1" x14ac:dyDescent="0.25">
      <c r="A3204" s="82" t="s">
        <v>2653</v>
      </c>
      <c r="B3204" s="41" t="s">
        <v>9396</v>
      </c>
      <c r="C3204" s="42" t="s">
        <v>9398</v>
      </c>
      <c r="D3204" s="41">
        <v>8435568334502</v>
      </c>
      <c r="E3204" s="43" t="s">
        <v>8140</v>
      </c>
      <c r="F3204" s="43" t="s">
        <v>1937</v>
      </c>
      <c r="G3204" s="43"/>
      <c r="H3204" s="85" t="s">
        <v>8141</v>
      </c>
      <c r="I3204" s="23" t="s">
        <v>24</v>
      </c>
      <c r="J3204" s="44">
        <v>660</v>
      </c>
      <c r="K3204" s="45">
        <v>0.25</v>
      </c>
      <c r="L3204" s="46">
        <f t="shared" si="478"/>
        <v>165</v>
      </c>
      <c r="M3204" s="47">
        <f t="shared" si="479"/>
        <v>495</v>
      </c>
      <c r="N3204" s="48">
        <v>0.16</v>
      </c>
      <c r="O3204" s="49">
        <f t="shared" si="480"/>
        <v>79.2</v>
      </c>
      <c r="P3204" s="50">
        <f t="shared" si="481"/>
        <v>574.20000000000005</v>
      </c>
      <c r="Q3204" s="23"/>
      <c r="R3204" s="60"/>
      <c r="S3204" s="61"/>
      <c r="T3204" s="62">
        <f t="shared" si="482"/>
        <v>0</v>
      </c>
      <c r="U3204" s="46">
        <f t="shared" si="483"/>
        <v>0</v>
      </c>
      <c r="V3204" s="63">
        <f t="shared" si="484"/>
        <v>0</v>
      </c>
      <c r="W3204" s="49">
        <f t="shared" si="485"/>
        <v>0</v>
      </c>
      <c r="X3204" s="50">
        <f t="shared" si="486"/>
        <v>0</v>
      </c>
      <c r="Y3204"/>
      <c r="Z3204"/>
      <c r="AA3204"/>
    </row>
    <row r="3205" spans="1:27" s="51" customFormat="1" ht="18.600000000000001" hidden="1" customHeight="1" x14ac:dyDescent="0.25">
      <c r="A3205" s="80" t="s">
        <v>2653</v>
      </c>
      <c r="B3205" s="20" t="s">
        <v>9396</v>
      </c>
      <c r="C3205" s="21" t="s">
        <v>9398</v>
      </c>
      <c r="D3205" s="20">
        <v>8435568334519</v>
      </c>
      <c r="E3205" s="22" t="s">
        <v>8142</v>
      </c>
      <c r="F3205" s="22" t="s">
        <v>1937</v>
      </c>
      <c r="G3205" s="22"/>
      <c r="H3205" s="83" t="s">
        <v>8143</v>
      </c>
      <c r="I3205" s="23" t="s">
        <v>24</v>
      </c>
      <c r="J3205" s="24">
        <v>660</v>
      </c>
      <c r="K3205" s="25">
        <v>0.25</v>
      </c>
      <c r="L3205" s="26">
        <f t="shared" si="478"/>
        <v>165</v>
      </c>
      <c r="M3205" s="27">
        <f t="shared" si="479"/>
        <v>495</v>
      </c>
      <c r="N3205" s="28">
        <v>0.16</v>
      </c>
      <c r="O3205" s="29">
        <f t="shared" si="480"/>
        <v>79.2</v>
      </c>
      <c r="P3205" s="30">
        <f t="shared" si="481"/>
        <v>574.20000000000005</v>
      </c>
      <c r="Q3205" s="23"/>
      <c r="R3205" s="52"/>
      <c r="S3205" s="53"/>
      <c r="T3205" s="54">
        <f t="shared" si="482"/>
        <v>0</v>
      </c>
      <c r="U3205" s="26">
        <f t="shared" si="483"/>
        <v>0</v>
      </c>
      <c r="V3205" s="55">
        <f t="shared" si="484"/>
        <v>0</v>
      </c>
      <c r="W3205" s="29">
        <f t="shared" si="485"/>
        <v>0</v>
      </c>
      <c r="X3205" s="30">
        <f t="shared" si="486"/>
        <v>0</v>
      </c>
      <c r="Y3205"/>
      <c r="Z3205"/>
      <c r="AA3205"/>
    </row>
    <row r="3206" spans="1:27" s="51" customFormat="1" ht="18.600000000000001" hidden="1" customHeight="1" x14ac:dyDescent="0.25">
      <c r="A3206" s="81" t="s">
        <v>2653</v>
      </c>
      <c r="B3206" s="31" t="s">
        <v>9396</v>
      </c>
      <c r="C3206" s="32" t="s">
        <v>9399</v>
      </c>
      <c r="D3206" s="31" t="s">
        <v>8144</v>
      </c>
      <c r="E3206" s="33" t="s">
        <v>8145</v>
      </c>
      <c r="F3206" s="33" t="s">
        <v>1937</v>
      </c>
      <c r="G3206" s="33"/>
      <c r="H3206" s="84" t="s">
        <v>8146</v>
      </c>
      <c r="I3206" s="23" t="s">
        <v>24</v>
      </c>
      <c r="J3206" s="34">
        <v>620</v>
      </c>
      <c r="K3206" s="35">
        <v>0.25</v>
      </c>
      <c r="L3206" s="36">
        <f t="shared" si="478"/>
        <v>155</v>
      </c>
      <c r="M3206" s="37">
        <f t="shared" si="479"/>
        <v>465</v>
      </c>
      <c r="N3206" s="38">
        <v>0.16</v>
      </c>
      <c r="O3206" s="39">
        <f t="shared" si="480"/>
        <v>74.400000000000006</v>
      </c>
      <c r="P3206" s="40">
        <f t="shared" si="481"/>
        <v>539.4</v>
      </c>
      <c r="Q3206" s="23"/>
      <c r="R3206" s="56"/>
      <c r="S3206" s="57"/>
      <c r="T3206" s="58">
        <f t="shared" si="482"/>
        <v>0</v>
      </c>
      <c r="U3206" s="36">
        <f t="shared" si="483"/>
        <v>0</v>
      </c>
      <c r="V3206" s="59">
        <f t="shared" si="484"/>
        <v>0</v>
      </c>
      <c r="W3206" s="39">
        <f t="shared" si="485"/>
        <v>0</v>
      </c>
      <c r="X3206" s="40">
        <f t="shared" si="486"/>
        <v>0</v>
      </c>
      <c r="Y3206"/>
      <c r="Z3206"/>
      <c r="AA3206"/>
    </row>
    <row r="3207" spans="1:27" s="51" customFormat="1" ht="18.600000000000001" hidden="1" customHeight="1" x14ac:dyDescent="0.25">
      <c r="A3207" s="82" t="s">
        <v>2653</v>
      </c>
      <c r="B3207" s="41" t="s">
        <v>9396</v>
      </c>
      <c r="C3207" s="42" t="s">
        <v>9399</v>
      </c>
      <c r="D3207" s="41" t="s">
        <v>8147</v>
      </c>
      <c r="E3207" s="43" t="s">
        <v>8148</v>
      </c>
      <c r="F3207" s="43" t="s">
        <v>1937</v>
      </c>
      <c r="G3207" s="43"/>
      <c r="H3207" s="85" t="s">
        <v>8149</v>
      </c>
      <c r="I3207" s="23" t="s">
        <v>24</v>
      </c>
      <c r="J3207" s="44">
        <v>620</v>
      </c>
      <c r="K3207" s="45">
        <v>0.25</v>
      </c>
      <c r="L3207" s="46">
        <f t="shared" si="478"/>
        <v>155</v>
      </c>
      <c r="M3207" s="47">
        <f t="shared" si="479"/>
        <v>465</v>
      </c>
      <c r="N3207" s="48">
        <v>0.16</v>
      </c>
      <c r="O3207" s="49">
        <f t="shared" si="480"/>
        <v>74.400000000000006</v>
      </c>
      <c r="P3207" s="50">
        <f t="shared" si="481"/>
        <v>539.4</v>
      </c>
      <c r="Q3207" s="23"/>
      <c r="R3207" s="60"/>
      <c r="S3207" s="61"/>
      <c r="T3207" s="62">
        <f t="shared" si="482"/>
        <v>0</v>
      </c>
      <c r="U3207" s="46">
        <f t="shared" si="483"/>
        <v>0</v>
      </c>
      <c r="V3207" s="63">
        <f t="shared" si="484"/>
        <v>0</v>
      </c>
      <c r="W3207" s="49">
        <f t="shared" si="485"/>
        <v>0</v>
      </c>
      <c r="X3207" s="50">
        <f t="shared" si="486"/>
        <v>0</v>
      </c>
      <c r="Y3207"/>
      <c r="Z3207"/>
      <c r="AA3207"/>
    </row>
    <row r="3208" spans="1:27" s="51" customFormat="1" ht="18.600000000000001" hidden="1" customHeight="1" x14ac:dyDescent="0.25">
      <c r="A3208" s="80" t="s">
        <v>2653</v>
      </c>
      <c r="B3208" s="20" t="s">
        <v>9396</v>
      </c>
      <c r="C3208" s="21" t="s">
        <v>9399</v>
      </c>
      <c r="D3208" s="20" t="s">
        <v>8150</v>
      </c>
      <c r="E3208" s="22" t="s">
        <v>8151</v>
      </c>
      <c r="F3208" s="22" t="s">
        <v>1937</v>
      </c>
      <c r="G3208" s="22"/>
      <c r="H3208" s="83" t="s">
        <v>8152</v>
      </c>
      <c r="I3208" s="23" t="s">
        <v>24</v>
      </c>
      <c r="J3208" s="24">
        <v>740</v>
      </c>
      <c r="K3208" s="25">
        <v>0.25</v>
      </c>
      <c r="L3208" s="26">
        <f t="shared" si="478"/>
        <v>185</v>
      </c>
      <c r="M3208" s="27">
        <f t="shared" si="479"/>
        <v>555</v>
      </c>
      <c r="N3208" s="28">
        <v>0.16</v>
      </c>
      <c r="O3208" s="29">
        <f t="shared" si="480"/>
        <v>88.8</v>
      </c>
      <c r="P3208" s="30">
        <f t="shared" si="481"/>
        <v>643.79999999999995</v>
      </c>
      <c r="Q3208" s="23"/>
      <c r="R3208" s="52"/>
      <c r="S3208" s="53"/>
      <c r="T3208" s="54">
        <f t="shared" si="482"/>
        <v>0</v>
      </c>
      <c r="U3208" s="26">
        <f t="shared" si="483"/>
        <v>0</v>
      </c>
      <c r="V3208" s="55">
        <f t="shared" si="484"/>
        <v>0</v>
      </c>
      <c r="W3208" s="29">
        <f t="shared" si="485"/>
        <v>0</v>
      </c>
      <c r="X3208" s="30">
        <f t="shared" si="486"/>
        <v>0</v>
      </c>
      <c r="Y3208"/>
      <c r="Z3208"/>
      <c r="AA3208"/>
    </row>
    <row r="3209" spans="1:27" s="51" customFormat="1" ht="18.600000000000001" hidden="1" customHeight="1" x14ac:dyDescent="0.25">
      <c r="A3209" s="81" t="s">
        <v>2653</v>
      </c>
      <c r="B3209" s="31" t="s">
        <v>9396</v>
      </c>
      <c r="C3209" s="32" t="s">
        <v>9399</v>
      </c>
      <c r="D3209" s="31" t="s">
        <v>8153</v>
      </c>
      <c r="E3209" s="33" t="s">
        <v>8154</v>
      </c>
      <c r="F3209" s="33" t="s">
        <v>1937</v>
      </c>
      <c r="G3209" s="33"/>
      <c r="H3209" s="84" t="s">
        <v>8155</v>
      </c>
      <c r="I3209" s="23" t="s">
        <v>24</v>
      </c>
      <c r="J3209" s="34">
        <v>740</v>
      </c>
      <c r="K3209" s="35">
        <v>0.25</v>
      </c>
      <c r="L3209" s="36">
        <f t="shared" si="478"/>
        <v>185</v>
      </c>
      <c r="M3209" s="37">
        <f t="shared" si="479"/>
        <v>555</v>
      </c>
      <c r="N3209" s="38">
        <v>0.16</v>
      </c>
      <c r="O3209" s="39">
        <f t="shared" si="480"/>
        <v>88.8</v>
      </c>
      <c r="P3209" s="40">
        <f t="shared" si="481"/>
        <v>643.79999999999995</v>
      </c>
      <c r="Q3209" s="23"/>
      <c r="R3209" s="56"/>
      <c r="S3209" s="57"/>
      <c r="T3209" s="58">
        <f t="shared" si="482"/>
        <v>0</v>
      </c>
      <c r="U3209" s="36">
        <f t="shared" si="483"/>
        <v>0</v>
      </c>
      <c r="V3209" s="59">
        <f t="shared" si="484"/>
        <v>0</v>
      </c>
      <c r="W3209" s="39">
        <f t="shared" si="485"/>
        <v>0</v>
      </c>
      <c r="X3209" s="40">
        <f t="shared" si="486"/>
        <v>0</v>
      </c>
      <c r="Y3209"/>
      <c r="Z3209"/>
      <c r="AA3209"/>
    </row>
    <row r="3210" spans="1:27" s="51" customFormat="1" ht="18.600000000000001" hidden="1" customHeight="1" x14ac:dyDescent="0.25">
      <c r="A3210" s="82" t="s">
        <v>2653</v>
      </c>
      <c r="B3210" s="41" t="s">
        <v>9396</v>
      </c>
      <c r="C3210" s="42" t="s">
        <v>9399</v>
      </c>
      <c r="D3210" s="41">
        <v>8435568312821</v>
      </c>
      <c r="E3210" s="43" t="s">
        <v>8156</v>
      </c>
      <c r="F3210" s="43" t="s">
        <v>1937</v>
      </c>
      <c r="G3210" s="43"/>
      <c r="H3210" s="85" t="s">
        <v>8157</v>
      </c>
      <c r="I3210" s="23" t="s">
        <v>24</v>
      </c>
      <c r="J3210" s="44">
        <v>740</v>
      </c>
      <c r="K3210" s="45">
        <v>0.25</v>
      </c>
      <c r="L3210" s="46">
        <f t="shared" si="478"/>
        <v>185</v>
      </c>
      <c r="M3210" s="47">
        <f t="shared" si="479"/>
        <v>555</v>
      </c>
      <c r="N3210" s="48">
        <v>0.16</v>
      </c>
      <c r="O3210" s="49">
        <f t="shared" si="480"/>
        <v>88.8</v>
      </c>
      <c r="P3210" s="50">
        <f t="shared" si="481"/>
        <v>643.79999999999995</v>
      </c>
      <c r="Q3210" s="23"/>
      <c r="R3210" s="60"/>
      <c r="S3210" s="61"/>
      <c r="T3210" s="62">
        <f t="shared" si="482"/>
        <v>0</v>
      </c>
      <c r="U3210" s="46">
        <f t="shared" si="483"/>
        <v>0</v>
      </c>
      <c r="V3210" s="63">
        <f t="shared" si="484"/>
        <v>0</v>
      </c>
      <c r="W3210" s="49">
        <f t="shared" si="485"/>
        <v>0</v>
      </c>
      <c r="X3210" s="50">
        <f t="shared" si="486"/>
        <v>0</v>
      </c>
      <c r="Y3210"/>
      <c r="Z3210"/>
      <c r="AA3210"/>
    </row>
    <row r="3211" spans="1:27" s="51" customFormat="1" ht="18.600000000000001" hidden="1" customHeight="1" x14ac:dyDescent="0.25">
      <c r="A3211" s="80" t="s">
        <v>2653</v>
      </c>
      <c r="B3211" s="20" t="s">
        <v>9396</v>
      </c>
      <c r="C3211" s="21" t="s">
        <v>9399</v>
      </c>
      <c r="D3211" s="20" t="s">
        <v>8158</v>
      </c>
      <c r="E3211" s="22" t="s">
        <v>8159</v>
      </c>
      <c r="F3211" s="22" t="s">
        <v>1937</v>
      </c>
      <c r="G3211" s="22"/>
      <c r="H3211" s="83" t="s">
        <v>8160</v>
      </c>
      <c r="I3211" s="23" t="s">
        <v>24</v>
      </c>
      <c r="J3211" s="24">
        <v>1150</v>
      </c>
      <c r="K3211" s="25">
        <v>0.25</v>
      </c>
      <c r="L3211" s="26">
        <f t="shared" si="478"/>
        <v>287.5</v>
      </c>
      <c r="M3211" s="27">
        <f t="shared" si="479"/>
        <v>862.5</v>
      </c>
      <c r="N3211" s="28">
        <v>0.16</v>
      </c>
      <c r="O3211" s="29">
        <f t="shared" si="480"/>
        <v>138</v>
      </c>
      <c r="P3211" s="30">
        <f t="shared" si="481"/>
        <v>1000.5</v>
      </c>
      <c r="Q3211" s="23"/>
      <c r="R3211" s="52"/>
      <c r="S3211" s="53"/>
      <c r="T3211" s="54">
        <f t="shared" si="482"/>
        <v>0</v>
      </c>
      <c r="U3211" s="26">
        <f t="shared" si="483"/>
        <v>0</v>
      </c>
      <c r="V3211" s="55">
        <f t="shared" si="484"/>
        <v>0</v>
      </c>
      <c r="W3211" s="29">
        <f t="shared" si="485"/>
        <v>0</v>
      </c>
      <c r="X3211" s="30">
        <f t="shared" si="486"/>
        <v>0</v>
      </c>
      <c r="Y3211"/>
      <c r="Z3211"/>
      <c r="AA3211"/>
    </row>
    <row r="3212" spans="1:27" s="51" customFormat="1" ht="18.600000000000001" hidden="1" customHeight="1" x14ac:dyDescent="0.25">
      <c r="A3212" s="81" t="s">
        <v>2653</v>
      </c>
      <c r="B3212" s="31" t="s">
        <v>9396</v>
      </c>
      <c r="C3212" s="32" t="s">
        <v>9399</v>
      </c>
      <c r="D3212" s="31" t="s">
        <v>8161</v>
      </c>
      <c r="E3212" s="33" t="s">
        <v>8162</v>
      </c>
      <c r="F3212" s="33" t="s">
        <v>1937</v>
      </c>
      <c r="G3212" s="33"/>
      <c r="H3212" s="84" t="s">
        <v>8163</v>
      </c>
      <c r="I3212" s="23" t="s">
        <v>24</v>
      </c>
      <c r="J3212" s="34">
        <v>830</v>
      </c>
      <c r="K3212" s="35">
        <v>0.25</v>
      </c>
      <c r="L3212" s="36">
        <f t="shared" si="478"/>
        <v>207.5</v>
      </c>
      <c r="M3212" s="37">
        <f t="shared" si="479"/>
        <v>622.5</v>
      </c>
      <c r="N3212" s="38">
        <v>0.16</v>
      </c>
      <c r="O3212" s="39">
        <f t="shared" si="480"/>
        <v>99.600000000000009</v>
      </c>
      <c r="P3212" s="40">
        <f t="shared" si="481"/>
        <v>722.1</v>
      </c>
      <c r="Q3212" s="23"/>
      <c r="R3212" s="56"/>
      <c r="S3212" s="57"/>
      <c r="T3212" s="58">
        <f t="shared" si="482"/>
        <v>0</v>
      </c>
      <c r="U3212" s="36">
        <f t="shared" si="483"/>
        <v>0</v>
      </c>
      <c r="V3212" s="59">
        <f t="shared" si="484"/>
        <v>0</v>
      </c>
      <c r="W3212" s="39">
        <f t="shared" si="485"/>
        <v>0</v>
      </c>
      <c r="X3212" s="40">
        <f t="shared" si="486"/>
        <v>0</v>
      </c>
      <c r="Y3212"/>
      <c r="Z3212"/>
      <c r="AA3212"/>
    </row>
    <row r="3213" spans="1:27" s="51" customFormat="1" ht="18.600000000000001" hidden="1" customHeight="1" x14ac:dyDescent="0.25">
      <c r="A3213" s="82" t="s">
        <v>2653</v>
      </c>
      <c r="B3213" s="41" t="s">
        <v>9396</v>
      </c>
      <c r="C3213" s="42" t="s">
        <v>9400</v>
      </c>
      <c r="D3213" s="41">
        <v>8436535570381</v>
      </c>
      <c r="E3213" s="43" t="s">
        <v>8164</v>
      </c>
      <c r="F3213" s="43" t="s">
        <v>1937</v>
      </c>
      <c r="G3213" s="43"/>
      <c r="H3213" s="85" t="s">
        <v>8165</v>
      </c>
      <c r="I3213" s="23" t="s">
        <v>24</v>
      </c>
      <c r="J3213" s="44">
        <v>2350</v>
      </c>
      <c r="K3213" s="45">
        <v>0.25</v>
      </c>
      <c r="L3213" s="46">
        <f t="shared" si="478"/>
        <v>587.5</v>
      </c>
      <c r="M3213" s="47">
        <f t="shared" si="479"/>
        <v>1762.5</v>
      </c>
      <c r="N3213" s="48">
        <v>0.16</v>
      </c>
      <c r="O3213" s="49">
        <f t="shared" si="480"/>
        <v>282</v>
      </c>
      <c r="P3213" s="50">
        <f t="shared" si="481"/>
        <v>2044.5</v>
      </c>
      <c r="Q3213" s="23"/>
      <c r="R3213" s="60"/>
      <c r="S3213" s="61"/>
      <c r="T3213" s="62">
        <f t="shared" si="482"/>
        <v>0</v>
      </c>
      <c r="U3213" s="46">
        <f t="shared" si="483"/>
        <v>0</v>
      </c>
      <c r="V3213" s="63">
        <f t="shared" si="484"/>
        <v>0</v>
      </c>
      <c r="W3213" s="49">
        <f t="shared" si="485"/>
        <v>0</v>
      </c>
      <c r="X3213" s="50">
        <f t="shared" si="486"/>
        <v>0</v>
      </c>
      <c r="Y3213"/>
      <c r="Z3213"/>
      <c r="AA3213"/>
    </row>
    <row r="3214" spans="1:27" s="51" customFormat="1" ht="18.600000000000001" hidden="1" customHeight="1" x14ac:dyDescent="0.25">
      <c r="A3214" s="80" t="s">
        <v>2653</v>
      </c>
      <c r="B3214" s="20" t="s">
        <v>9396</v>
      </c>
      <c r="C3214" s="21" t="s">
        <v>9400</v>
      </c>
      <c r="D3214" s="20">
        <v>8436535571500</v>
      </c>
      <c r="E3214" s="22" t="s">
        <v>8166</v>
      </c>
      <c r="F3214" s="22" t="s">
        <v>1937</v>
      </c>
      <c r="G3214" s="22"/>
      <c r="H3214" s="83" t="s">
        <v>8167</v>
      </c>
      <c r="I3214" s="23" t="s">
        <v>24</v>
      </c>
      <c r="J3214" s="24">
        <v>2350</v>
      </c>
      <c r="K3214" s="25">
        <v>0.25</v>
      </c>
      <c r="L3214" s="26">
        <f t="shared" si="478"/>
        <v>587.5</v>
      </c>
      <c r="M3214" s="27">
        <f t="shared" si="479"/>
        <v>1762.5</v>
      </c>
      <c r="N3214" s="28">
        <v>0.16</v>
      </c>
      <c r="O3214" s="29">
        <f t="shared" si="480"/>
        <v>282</v>
      </c>
      <c r="P3214" s="30">
        <f t="shared" si="481"/>
        <v>2044.5</v>
      </c>
      <c r="Q3214" s="23"/>
      <c r="R3214" s="52"/>
      <c r="S3214" s="53"/>
      <c r="T3214" s="54">
        <f t="shared" si="482"/>
        <v>0</v>
      </c>
      <c r="U3214" s="26">
        <f t="shared" si="483"/>
        <v>0</v>
      </c>
      <c r="V3214" s="55">
        <f t="shared" si="484"/>
        <v>0</v>
      </c>
      <c r="W3214" s="29">
        <f t="shared" si="485"/>
        <v>0</v>
      </c>
      <c r="X3214" s="30">
        <f t="shared" si="486"/>
        <v>0</v>
      </c>
      <c r="Y3214"/>
      <c r="Z3214"/>
      <c r="AA3214"/>
    </row>
    <row r="3215" spans="1:27" s="51" customFormat="1" ht="18.600000000000001" hidden="1" customHeight="1" x14ac:dyDescent="0.25">
      <c r="A3215" s="81" t="s">
        <v>2653</v>
      </c>
      <c r="B3215" s="31" t="s">
        <v>9396</v>
      </c>
      <c r="C3215" s="32" t="s">
        <v>9400</v>
      </c>
      <c r="D3215" s="31" t="s">
        <v>8168</v>
      </c>
      <c r="E3215" s="33" t="s">
        <v>8169</v>
      </c>
      <c r="F3215" s="33" t="s">
        <v>1937</v>
      </c>
      <c r="G3215" s="33"/>
      <c r="H3215" s="84" t="s">
        <v>8170</v>
      </c>
      <c r="I3215" s="23" t="s">
        <v>24</v>
      </c>
      <c r="J3215" s="34">
        <v>2350</v>
      </c>
      <c r="K3215" s="35">
        <v>0.25</v>
      </c>
      <c r="L3215" s="36">
        <f t="shared" ref="L3215:L3278" si="487">+J3215*K3215</f>
        <v>587.5</v>
      </c>
      <c r="M3215" s="37">
        <f t="shared" ref="M3215:M3278" si="488">+J3215-L3215</f>
        <v>1762.5</v>
      </c>
      <c r="N3215" s="38">
        <v>0.16</v>
      </c>
      <c r="O3215" s="39">
        <f t="shared" ref="O3215:O3278" si="489">+M3215*N3215</f>
        <v>282</v>
      </c>
      <c r="P3215" s="40">
        <f t="shared" ref="P3215:P3278" si="490">+M3215+O3215</f>
        <v>2044.5</v>
      </c>
      <c r="Q3215" s="23"/>
      <c r="R3215" s="56"/>
      <c r="S3215" s="57"/>
      <c r="T3215" s="58">
        <f t="shared" ref="T3215:T3278" si="491">+S3215*J3215</f>
        <v>0</v>
      </c>
      <c r="U3215" s="36">
        <f t="shared" ref="U3215:U3278" si="492">+T3215*K3215</f>
        <v>0</v>
      </c>
      <c r="V3215" s="59">
        <f t="shared" ref="V3215:V3278" si="493">+T3215-U3215</f>
        <v>0</v>
      </c>
      <c r="W3215" s="39">
        <f t="shared" ref="W3215:W3278" si="494">+V3215*N3215</f>
        <v>0</v>
      </c>
      <c r="X3215" s="40">
        <f t="shared" ref="X3215:X3278" si="495">+V3215+W3215</f>
        <v>0</v>
      </c>
      <c r="Y3215"/>
      <c r="Z3215"/>
      <c r="AA3215"/>
    </row>
    <row r="3216" spans="1:27" s="51" customFormat="1" ht="18.600000000000001" hidden="1" customHeight="1" x14ac:dyDescent="0.25">
      <c r="A3216" s="82" t="s">
        <v>2653</v>
      </c>
      <c r="B3216" s="41" t="s">
        <v>9396</v>
      </c>
      <c r="C3216" s="42" t="s">
        <v>9400</v>
      </c>
      <c r="D3216" s="41" t="s">
        <v>8171</v>
      </c>
      <c r="E3216" s="43" t="s">
        <v>8172</v>
      </c>
      <c r="F3216" s="43" t="s">
        <v>1937</v>
      </c>
      <c r="G3216" s="43"/>
      <c r="H3216" s="85" t="s">
        <v>8173</v>
      </c>
      <c r="I3216" s="23" t="s">
        <v>24</v>
      </c>
      <c r="J3216" s="44">
        <v>2450</v>
      </c>
      <c r="K3216" s="45">
        <v>0.25</v>
      </c>
      <c r="L3216" s="46">
        <f t="shared" si="487"/>
        <v>612.5</v>
      </c>
      <c r="M3216" s="47">
        <f t="shared" si="488"/>
        <v>1837.5</v>
      </c>
      <c r="N3216" s="48">
        <v>0.16</v>
      </c>
      <c r="O3216" s="49">
        <f t="shared" si="489"/>
        <v>294</v>
      </c>
      <c r="P3216" s="50">
        <f t="shared" si="490"/>
        <v>2131.5</v>
      </c>
      <c r="Q3216" s="23"/>
      <c r="R3216" s="60"/>
      <c r="S3216" s="61"/>
      <c r="T3216" s="62">
        <f t="shared" si="491"/>
        <v>0</v>
      </c>
      <c r="U3216" s="46">
        <f t="shared" si="492"/>
        <v>0</v>
      </c>
      <c r="V3216" s="63">
        <f t="shared" si="493"/>
        <v>0</v>
      </c>
      <c r="W3216" s="49">
        <f t="shared" si="494"/>
        <v>0</v>
      </c>
      <c r="X3216" s="50">
        <f t="shared" si="495"/>
        <v>0</v>
      </c>
      <c r="Y3216"/>
      <c r="Z3216"/>
      <c r="AA3216"/>
    </row>
    <row r="3217" spans="1:27" s="51" customFormat="1" ht="18.600000000000001" hidden="1" customHeight="1" x14ac:dyDescent="0.25">
      <c r="A3217" s="80" t="s">
        <v>2653</v>
      </c>
      <c r="B3217" s="20" t="s">
        <v>9396</v>
      </c>
      <c r="C3217" s="21" t="s">
        <v>9400</v>
      </c>
      <c r="D3217" s="20" t="s">
        <v>8174</v>
      </c>
      <c r="E3217" s="22" t="s">
        <v>8175</v>
      </c>
      <c r="F3217" s="22" t="s">
        <v>1937</v>
      </c>
      <c r="G3217" s="22"/>
      <c r="H3217" s="83" t="s">
        <v>8176</v>
      </c>
      <c r="I3217" s="23" t="s">
        <v>24</v>
      </c>
      <c r="J3217" s="24">
        <v>2450</v>
      </c>
      <c r="K3217" s="25">
        <v>0.25</v>
      </c>
      <c r="L3217" s="26">
        <f t="shared" si="487"/>
        <v>612.5</v>
      </c>
      <c r="M3217" s="27">
        <f t="shared" si="488"/>
        <v>1837.5</v>
      </c>
      <c r="N3217" s="28">
        <v>0.16</v>
      </c>
      <c r="O3217" s="29">
        <f t="shared" si="489"/>
        <v>294</v>
      </c>
      <c r="P3217" s="30">
        <f t="shared" si="490"/>
        <v>2131.5</v>
      </c>
      <c r="Q3217" s="23"/>
      <c r="R3217" s="52"/>
      <c r="S3217" s="53"/>
      <c r="T3217" s="54">
        <f t="shared" si="491"/>
        <v>0</v>
      </c>
      <c r="U3217" s="26">
        <f t="shared" si="492"/>
        <v>0</v>
      </c>
      <c r="V3217" s="55">
        <f t="shared" si="493"/>
        <v>0</v>
      </c>
      <c r="W3217" s="29">
        <f t="shared" si="494"/>
        <v>0</v>
      </c>
      <c r="X3217" s="30">
        <f t="shared" si="495"/>
        <v>0</v>
      </c>
      <c r="Y3217"/>
      <c r="Z3217"/>
      <c r="AA3217"/>
    </row>
    <row r="3218" spans="1:27" s="51" customFormat="1" ht="18.600000000000001" hidden="1" customHeight="1" x14ac:dyDescent="0.25">
      <c r="A3218" s="81" t="s">
        <v>2653</v>
      </c>
      <c r="B3218" s="31" t="s">
        <v>9396</v>
      </c>
      <c r="C3218" s="32" t="s">
        <v>9400</v>
      </c>
      <c r="D3218" s="31" t="s">
        <v>8177</v>
      </c>
      <c r="E3218" s="33" t="s">
        <v>8178</v>
      </c>
      <c r="F3218" s="33" t="s">
        <v>1937</v>
      </c>
      <c r="G3218" s="33"/>
      <c r="H3218" s="84" t="s">
        <v>8179</v>
      </c>
      <c r="I3218" s="23" t="s">
        <v>24</v>
      </c>
      <c r="J3218" s="34">
        <v>2800</v>
      </c>
      <c r="K3218" s="35">
        <v>0.25</v>
      </c>
      <c r="L3218" s="36">
        <f t="shared" si="487"/>
        <v>700</v>
      </c>
      <c r="M3218" s="37">
        <f t="shared" si="488"/>
        <v>2100</v>
      </c>
      <c r="N3218" s="38">
        <v>0.16</v>
      </c>
      <c r="O3218" s="39">
        <f t="shared" si="489"/>
        <v>336</v>
      </c>
      <c r="P3218" s="40">
        <f t="shared" si="490"/>
        <v>2436</v>
      </c>
      <c r="Q3218" s="23"/>
      <c r="R3218" s="56"/>
      <c r="S3218" s="57"/>
      <c r="T3218" s="58">
        <f t="shared" si="491"/>
        <v>0</v>
      </c>
      <c r="U3218" s="36">
        <f t="shared" si="492"/>
        <v>0</v>
      </c>
      <c r="V3218" s="59">
        <f t="shared" si="493"/>
        <v>0</v>
      </c>
      <c r="W3218" s="39">
        <f t="shared" si="494"/>
        <v>0</v>
      </c>
      <c r="X3218" s="40">
        <f t="shared" si="495"/>
        <v>0</v>
      </c>
      <c r="Y3218"/>
      <c r="Z3218"/>
      <c r="AA3218"/>
    </row>
    <row r="3219" spans="1:27" s="51" customFormat="1" ht="18.600000000000001" hidden="1" customHeight="1" x14ac:dyDescent="0.25">
      <c r="A3219" s="82" t="s">
        <v>2653</v>
      </c>
      <c r="B3219" s="41" t="s">
        <v>9396</v>
      </c>
      <c r="C3219" s="42" t="s">
        <v>9400</v>
      </c>
      <c r="D3219" s="41" t="s">
        <v>8180</v>
      </c>
      <c r="E3219" s="43" t="s">
        <v>8181</v>
      </c>
      <c r="F3219" s="43" t="s">
        <v>1937</v>
      </c>
      <c r="G3219" s="43"/>
      <c r="H3219" s="85" t="s">
        <v>8182</v>
      </c>
      <c r="I3219" s="23" t="s">
        <v>24</v>
      </c>
      <c r="J3219" s="44">
        <v>2800</v>
      </c>
      <c r="K3219" s="45">
        <v>0.25</v>
      </c>
      <c r="L3219" s="46">
        <f t="shared" si="487"/>
        <v>700</v>
      </c>
      <c r="M3219" s="47">
        <f t="shared" si="488"/>
        <v>2100</v>
      </c>
      <c r="N3219" s="48">
        <v>0.16</v>
      </c>
      <c r="O3219" s="49">
        <f t="shared" si="489"/>
        <v>336</v>
      </c>
      <c r="P3219" s="50">
        <f t="shared" si="490"/>
        <v>2436</v>
      </c>
      <c r="Q3219" s="23"/>
      <c r="R3219" s="60"/>
      <c r="S3219" s="61"/>
      <c r="T3219" s="62">
        <f t="shared" si="491"/>
        <v>0</v>
      </c>
      <c r="U3219" s="46">
        <f t="shared" si="492"/>
        <v>0</v>
      </c>
      <c r="V3219" s="63">
        <f t="shared" si="493"/>
        <v>0</v>
      </c>
      <c r="W3219" s="49">
        <f t="shared" si="494"/>
        <v>0</v>
      </c>
      <c r="X3219" s="50">
        <f t="shared" si="495"/>
        <v>0</v>
      </c>
      <c r="Y3219"/>
      <c r="Z3219"/>
      <c r="AA3219"/>
    </row>
    <row r="3220" spans="1:27" s="51" customFormat="1" ht="18.600000000000001" hidden="1" customHeight="1" x14ac:dyDescent="0.25">
      <c r="A3220" s="80" t="s">
        <v>2653</v>
      </c>
      <c r="B3220" s="20" t="s">
        <v>9396</v>
      </c>
      <c r="C3220" s="21" t="s">
        <v>9400</v>
      </c>
      <c r="D3220" s="20">
        <v>8435568334038</v>
      </c>
      <c r="E3220" s="22" t="s">
        <v>8183</v>
      </c>
      <c r="F3220" s="22" t="s">
        <v>1937</v>
      </c>
      <c r="G3220" s="22"/>
      <c r="H3220" s="83" t="s">
        <v>8184</v>
      </c>
      <c r="I3220" s="23" t="s">
        <v>24</v>
      </c>
      <c r="J3220" s="24">
        <v>2600</v>
      </c>
      <c r="K3220" s="25">
        <v>0.25</v>
      </c>
      <c r="L3220" s="26">
        <f t="shared" si="487"/>
        <v>650</v>
      </c>
      <c r="M3220" s="27">
        <f t="shared" si="488"/>
        <v>1950</v>
      </c>
      <c r="N3220" s="28">
        <v>0.16</v>
      </c>
      <c r="O3220" s="29">
        <f t="shared" si="489"/>
        <v>312</v>
      </c>
      <c r="P3220" s="30">
        <f t="shared" si="490"/>
        <v>2262</v>
      </c>
      <c r="Q3220" s="23"/>
      <c r="R3220" s="52"/>
      <c r="S3220" s="53"/>
      <c r="T3220" s="54">
        <f t="shared" si="491"/>
        <v>0</v>
      </c>
      <c r="U3220" s="26">
        <f t="shared" si="492"/>
        <v>0</v>
      </c>
      <c r="V3220" s="55">
        <f t="shared" si="493"/>
        <v>0</v>
      </c>
      <c r="W3220" s="29">
        <f t="shared" si="494"/>
        <v>0</v>
      </c>
      <c r="X3220" s="30">
        <f t="shared" si="495"/>
        <v>0</v>
      </c>
      <c r="Y3220"/>
      <c r="Z3220"/>
      <c r="AA3220"/>
    </row>
    <row r="3221" spans="1:27" s="51" customFormat="1" ht="18.600000000000001" hidden="1" customHeight="1" x14ac:dyDescent="0.25">
      <c r="A3221" s="81" t="s">
        <v>2653</v>
      </c>
      <c r="B3221" s="31" t="s">
        <v>9396</v>
      </c>
      <c r="C3221" s="32" t="s">
        <v>9400</v>
      </c>
      <c r="D3221" s="31">
        <v>8435568334045</v>
      </c>
      <c r="E3221" s="33" t="s">
        <v>8185</v>
      </c>
      <c r="F3221" s="33" t="s">
        <v>1937</v>
      </c>
      <c r="G3221" s="33"/>
      <c r="H3221" s="84" t="s">
        <v>8186</v>
      </c>
      <c r="I3221" s="23" t="s">
        <v>24</v>
      </c>
      <c r="J3221" s="34">
        <v>2600</v>
      </c>
      <c r="K3221" s="35">
        <v>0.25</v>
      </c>
      <c r="L3221" s="36">
        <f t="shared" si="487"/>
        <v>650</v>
      </c>
      <c r="M3221" s="37">
        <f t="shared" si="488"/>
        <v>1950</v>
      </c>
      <c r="N3221" s="38">
        <v>0.16</v>
      </c>
      <c r="O3221" s="39">
        <f t="shared" si="489"/>
        <v>312</v>
      </c>
      <c r="P3221" s="40">
        <f t="shared" si="490"/>
        <v>2262</v>
      </c>
      <c r="Q3221" s="23"/>
      <c r="R3221" s="56"/>
      <c r="S3221" s="57"/>
      <c r="T3221" s="58">
        <f t="shared" si="491"/>
        <v>0</v>
      </c>
      <c r="U3221" s="36">
        <f t="shared" si="492"/>
        <v>0</v>
      </c>
      <c r="V3221" s="59">
        <f t="shared" si="493"/>
        <v>0</v>
      </c>
      <c r="W3221" s="39">
        <f t="shared" si="494"/>
        <v>0</v>
      </c>
      <c r="X3221" s="40">
        <f t="shared" si="495"/>
        <v>0</v>
      </c>
      <c r="Y3221"/>
      <c r="Z3221"/>
      <c r="AA3221"/>
    </row>
    <row r="3222" spans="1:27" s="51" customFormat="1" ht="18.600000000000001" hidden="1" customHeight="1" x14ac:dyDescent="0.25">
      <c r="A3222" s="82" t="s">
        <v>2653</v>
      </c>
      <c r="B3222" s="41" t="s">
        <v>9396</v>
      </c>
      <c r="C3222" s="42" t="s">
        <v>9400</v>
      </c>
      <c r="D3222" s="41" t="s">
        <v>8187</v>
      </c>
      <c r="E3222" s="43" t="s">
        <v>8188</v>
      </c>
      <c r="F3222" s="43" t="s">
        <v>1937</v>
      </c>
      <c r="G3222" s="43"/>
      <c r="H3222" s="85" t="s">
        <v>8189</v>
      </c>
      <c r="I3222" s="23" t="s">
        <v>24</v>
      </c>
      <c r="J3222" s="44">
        <v>3100</v>
      </c>
      <c r="K3222" s="45">
        <v>0.25</v>
      </c>
      <c r="L3222" s="46">
        <f t="shared" si="487"/>
        <v>775</v>
      </c>
      <c r="M3222" s="47">
        <f t="shared" si="488"/>
        <v>2325</v>
      </c>
      <c r="N3222" s="48">
        <v>0.16</v>
      </c>
      <c r="O3222" s="49">
        <f t="shared" si="489"/>
        <v>372</v>
      </c>
      <c r="P3222" s="50">
        <f t="shared" si="490"/>
        <v>2697</v>
      </c>
      <c r="Q3222" s="23"/>
      <c r="R3222" s="60"/>
      <c r="S3222" s="61"/>
      <c r="T3222" s="62">
        <f t="shared" si="491"/>
        <v>0</v>
      </c>
      <c r="U3222" s="46">
        <f t="shared" si="492"/>
        <v>0</v>
      </c>
      <c r="V3222" s="63">
        <f t="shared" si="493"/>
        <v>0</v>
      </c>
      <c r="W3222" s="49">
        <f t="shared" si="494"/>
        <v>0</v>
      </c>
      <c r="X3222" s="50">
        <f t="shared" si="495"/>
        <v>0</v>
      </c>
      <c r="Y3222"/>
      <c r="Z3222"/>
      <c r="AA3222"/>
    </row>
    <row r="3223" spans="1:27" s="51" customFormat="1" ht="18.600000000000001" hidden="1" customHeight="1" x14ac:dyDescent="0.25">
      <c r="A3223" s="80" t="s">
        <v>2653</v>
      </c>
      <c r="B3223" s="20" t="s">
        <v>9396</v>
      </c>
      <c r="C3223" s="21" t="s">
        <v>9400</v>
      </c>
      <c r="D3223" s="20" t="s">
        <v>8190</v>
      </c>
      <c r="E3223" s="22" t="s">
        <v>8191</v>
      </c>
      <c r="F3223" s="22" t="s">
        <v>1937</v>
      </c>
      <c r="G3223" s="22"/>
      <c r="H3223" s="83" t="s">
        <v>8192</v>
      </c>
      <c r="I3223" s="23" t="s">
        <v>24</v>
      </c>
      <c r="J3223" s="24">
        <v>3100</v>
      </c>
      <c r="K3223" s="25">
        <v>0.25</v>
      </c>
      <c r="L3223" s="26">
        <f t="shared" si="487"/>
        <v>775</v>
      </c>
      <c r="M3223" s="27">
        <f t="shared" si="488"/>
        <v>2325</v>
      </c>
      <c r="N3223" s="28">
        <v>0.16</v>
      </c>
      <c r="O3223" s="29">
        <f t="shared" si="489"/>
        <v>372</v>
      </c>
      <c r="P3223" s="30">
        <f t="shared" si="490"/>
        <v>2697</v>
      </c>
      <c r="Q3223" s="23"/>
      <c r="R3223" s="52"/>
      <c r="S3223" s="53"/>
      <c r="T3223" s="54">
        <f t="shared" si="491"/>
        <v>0</v>
      </c>
      <c r="U3223" s="26">
        <f t="shared" si="492"/>
        <v>0</v>
      </c>
      <c r="V3223" s="55">
        <f t="shared" si="493"/>
        <v>0</v>
      </c>
      <c r="W3223" s="29">
        <f t="shared" si="494"/>
        <v>0</v>
      </c>
      <c r="X3223" s="30">
        <f t="shared" si="495"/>
        <v>0</v>
      </c>
      <c r="Y3223"/>
      <c r="Z3223"/>
      <c r="AA3223"/>
    </row>
    <row r="3224" spans="1:27" s="51" customFormat="1" ht="18.600000000000001" hidden="1" customHeight="1" x14ac:dyDescent="0.25">
      <c r="A3224" s="81" t="s">
        <v>2653</v>
      </c>
      <c r="B3224" s="31" t="s">
        <v>9396</v>
      </c>
      <c r="C3224" s="32" t="s">
        <v>9400</v>
      </c>
      <c r="D3224" s="31" t="s">
        <v>8193</v>
      </c>
      <c r="E3224" s="33" t="s">
        <v>8194</v>
      </c>
      <c r="F3224" s="33" t="s">
        <v>1937</v>
      </c>
      <c r="G3224" s="33"/>
      <c r="H3224" s="84" t="s">
        <v>8195</v>
      </c>
      <c r="I3224" s="23" t="s">
        <v>24</v>
      </c>
      <c r="J3224" s="34">
        <v>3500</v>
      </c>
      <c r="K3224" s="35">
        <v>0.25</v>
      </c>
      <c r="L3224" s="36">
        <f t="shared" si="487"/>
        <v>875</v>
      </c>
      <c r="M3224" s="37">
        <f t="shared" si="488"/>
        <v>2625</v>
      </c>
      <c r="N3224" s="38">
        <v>0.16</v>
      </c>
      <c r="O3224" s="39">
        <f t="shared" si="489"/>
        <v>420</v>
      </c>
      <c r="P3224" s="40">
        <f t="shared" si="490"/>
        <v>3045</v>
      </c>
      <c r="Q3224" s="23"/>
      <c r="R3224" s="56"/>
      <c r="S3224" s="57"/>
      <c r="T3224" s="58">
        <f t="shared" si="491"/>
        <v>0</v>
      </c>
      <c r="U3224" s="36">
        <f t="shared" si="492"/>
        <v>0</v>
      </c>
      <c r="V3224" s="59">
        <f t="shared" si="493"/>
        <v>0</v>
      </c>
      <c r="W3224" s="39">
        <f t="shared" si="494"/>
        <v>0</v>
      </c>
      <c r="X3224" s="40">
        <f t="shared" si="495"/>
        <v>0</v>
      </c>
      <c r="Y3224"/>
      <c r="Z3224"/>
      <c r="AA3224"/>
    </row>
    <row r="3225" spans="1:27" s="51" customFormat="1" ht="18.600000000000001" hidden="1" customHeight="1" x14ac:dyDescent="0.25">
      <c r="A3225" s="82" t="s">
        <v>2653</v>
      </c>
      <c r="B3225" s="41" t="s">
        <v>9396</v>
      </c>
      <c r="C3225" s="42" t="s">
        <v>9400</v>
      </c>
      <c r="D3225" s="41" t="s">
        <v>8196</v>
      </c>
      <c r="E3225" s="43" t="s">
        <v>8197</v>
      </c>
      <c r="F3225" s="43" t="s">
        <v>1937</v>
      </c>
      <c r="G3225" s="43"/>
      <c r="H3225" s="85" t="s">
        <v>8198</v>
      </c>
      <c r="I3225" s="23" t="s">
        <v>24</v>
      </c>
      <c r="J3225" s="44">
        <v>3500</v>
      </c>
      <c r="K3225" s="45">
        <v>0.25</v>
      </c>
      <c r="L3225" s="46">
        <f t="shared" si="487"/>
        <v>875</v>
      </c>
      <c r="M3225" s="47">
        <f t="shared" si="488"/>
        <v>2625</v>
      </c>
      <c r="N3225" s="48">
        <v>0.16</v>
      </c>
      <c r="O3225" s="49">
        <f t="shared" si="489"/>
        <v>420</v>
      </c>
      <c r="P3225" s="50">
        <f t="shared" si="490"/>
        <v>3045</v>
      </c>
      <c r="Q3225" s="23"/>
      <c r="R3225" s="60"/>
      <c r="S3225" s="61"/>
      <c r="T3225" s="62">
        <f t="shared" si="491"/>
        <v>0</v>
      </c>
      <c r="U3225" s="46">
        <f t="shared" si="492"/>
        <v>0</v>
      </c>
      <c r="V3225" s="63">
        <f t="shared" si="493"/>
        <v>0</v>
      </c>
      <c r="W3225" s="49">
        <f t="shared" si="494"/>
        <v>0</v>
      </c>
      <c r="X3225" s="50">
        <f t="shared" si="495"/>
        <v>0</v>
      </c>
      <c r="Y3225"/>
      <c r="Z3225"/>
      <c r="AA3225"/>
    </row>
    <row r="3226" spans="1:27" s="51" customFormat="1" ht="18.600000000000001" hidden="1" customHeight="1" x14ac:dyDescent="0.25">
      <c r="A3226" s="80" t="s">
        <v>2653</v>
      </c>
      <c r="B3226" s="20" t="s">
        <v>9396</v>
      </c>
      <c r="C3226" s="21" t="s">
        <v>9400</v>
      </c>
      <c r="D3226" s="20">
        <v>8436535578004</v>
      </c>
      <c r="E3226" s="22" t="s">
        <v>8199</v>
      </c>
      <c r="F3226" s="22" t="s">
        <v>1937</v>
      </c>
      <c r="G3226" s="22"/>
      <c r="H3226" s="83" t="s">
        <v>8200</v>
      </c>
      <c r="I3226" s="23" t="s">
        <v>24</v>
      </c>
      <c r="J3226" s="24">
        <v>3250</v>
      </c>
      <c r="K3226" s="25">
        <v>0.25</v>
      </c>
      <c r="L3226" s="26">
        <f t="shared" si="487"/>
        <v>812.5</v>
      </c>
      <c r="M3226" s="27">
        <f t="shared" si="488"/>
        <v>2437.5</v>
      </c>
      <c r="N3226" s="28">
        <v>0.16</v>
      </c>
      <c r="O3226" s="29">
        <f t="shared" si="489"/>
        <v>390</v>
      </c>
      <c r="P3226" s="30">
        <f t="shared" si="490"/>
        <v>2827.5</v>
      </c>
      <c r="Q3226" s="23"/>
      <c r="R3226" s="52"/>
      <c r="S3226" s="53"/>
      <c r="T3226" s="54">
        <f t="shared" si="491"/>
        <v>0</v>
      </c>
      <c r="U3226" s="26">
        <f t="shared" si="492"/>
        <v>0</v>
      </c>
      <c r="V3226" s="55">
        <f t="shared" si="493"/>
        <v>0</v>
      </c>
      <c r="W3226" s="29">
        <f t="shared" si="494"/>
        <v>0</v>
      </c>
      <c r="X3226" s="30">
        <f t="shared" si="495"/>
        <v>0</v>
      </c>
      <c r="Y3226"/>
      <c r="Z3226"/>
      <c r="AA3226"/>
    </row>
    <row r="3227" spans="1:27" s="51" customFormat="1" ht="18.600000000000001" hidden="1" customHeight="1" x14ac:dyDescent="0.25">
      <c r="A3227" s="81" t="s">
        <v>2653</v>
      </c>
      <c r="B3227" s="31" t="s">
        <v>9396</v>
      </c>
      <c r="C3227" s="32" t="s">
        <v>9400</v>
      </c>
      <c r="D3227" s="31">
        <v>8436564920836</v>
      </c>
      <c r="E3227" s="33" t="s">
        <v>8201</v>
      </c>
      <c r="F3227" s="33" t="s">
        <v>1937</v>
      </c>
      <c r="G3227" s="33"/>
      <c r="H3227" s="84" t="s">
        <v>8202</v>
      </c>
      <c r="I3227" s="23" t="s">
        <v>24</v>
      </c>
      <c r="J3227" s="34">
        <v>3250</v>
      </c>
      <c r="K3227" s="35">
        <v>0.25</v>
      </c>
      <c r="L3227" s="36">
        <f t="shared" si="487"/>
        <v>812.5</v>
      </c>
      <c r="M3227" s="37">
        <f t="shared" si="488"/>
        <v>2437.5</v>
      </c>
      <c r="N3227" s="38">
        <v>0.16</v>
      </c>
      <c r="O3227" s="39">
        <f t="shared" si="489"/>
        <v>390</v>
      </c>
      <c r="P3227" s="40">
        <f t="shared" si="490"/>
        <v>2827.5</v>
      </c>
      <c r="Q3227" s="23"/>
      <c r="R3227" s="56"/>
      <c r="S3227" s="57"/>
      <c r="T3227" s="58">
        <f t="shared" si="491"/>
        <v>0</v>
      </c>
      <c r="U3227" s="36">
        <f t="shared" si="492"/>
        <v>0</v>
      </c>
      <c r="V3227" s="59">
        <f t="shared" si="493"/>
        <v>0</v>
      </c>
      <c r="W3227" s="39">
        <f t="shared" si="494"/>
        <v>0</v>
      </c>
      <c r="X3227" s="40">
        <f t="shared" si="495"/>
        <v>0</v>
      </c>
      <c r="Y3227"/>
      <c r="Z3227"/>
      <c r="AA3227"/>
    </row>
    <row r="3228" spans="1:27" s="51" customFormat="1" ht="18.600000000000001" hidden="1" customHeight="1" x14ac:dyDescent="0.25">
      <c r="A3228" s="82" t="s">
        <v>2653</v>
      </c>
      <c r="B3228" s="41" t="s">
        <v>9396</v>
      </c>
      <c r="C3228" s="42" t="s">
        <v>9400</v>
      </c>
      <c r="D3228" s="41" t="s">
        <v>8203</v>
      </c>
      <c r="E3228" s="43" t="s">
        <v>8204</v>
      </c>
      <c r="F3228" s="43" t="s">
        <v>1937</v>
      </c>
      <c r="G3228" s="43"/>
      <c r="H3228" s="85" t="s">
        <v>8205</v>
      </c>
      <c r="I3228" s="23" t="s">
        <v>24</v>
      </c>
      <c r="J3228" s="44">
        <v>1040</v>
      </c>
      <c r="K3228" s="45">
        <v>0.25</v>
      </c>
      <c r="L3228" s="46">
        <f t="shared" si="487"/>
        <v>260</v>
      </c>
      <c r="M3228" s="47">
        <f t="shared" si="488"/>
        <v>780</v>
      </c>
      <c r="N3228" s="48">
        <v>0.16</v>
      </c>
      <c r="O3228" s="49">
        <f t="shared" si="489"/>
        <v>124.8</v>
      </c>
      <c r="P3228" s="50">
        <f t="shared" si="490"/>
        <v>904.8</v>
      </c>
      <c r="Q3228" s="23"/>
      <c r="R3228" s="60"/>
      <c r="S3228" s="61"/>
      <c r="T3228" s="62">
        <f t="shared" si="491"/>
        <v>0</v>
      </c>
      <c r="U3228" s="46">
        <f t="shared" si="492"/>
        <v>0</v>
      </c>
      <c r="V3228" s="63">
        <f t="shared" si="493"/>
        <v>0</v>
      </c>
      <c r="W3228" s="49">
        <f t="shared" si="494"/>
        <v>0</v>
      </c>
      <c r="X3228" s="50">
        <f t="shared" si="495"/>
        <v>0</v>
      </c>
      <c r="Y3228"/>
      <c r="Z3228"/>
      <c r="AA3228"/>
    </row>
    <row r="3229" spans="1:27" s="51" customFormat="1" ht="18.600000000000001" hidden="1" customHeight="1" x14ac:dyDescent="0.25">
      <c r="A3229" s="80" t="s">
        <v>2653</v>
      </c>
      <c r="B3229" s="20" t="s">
        <v>9396</v>
      </c>
      <c r="C3229" s="21" t="s">
        <v>9400</v>
      </c>
      <c r="D3229" s="20" t="s">
        <v>8206</v>
      </c>
      <c r="E3229" s="22" t="s">
        <v>8207</v>
      </c>
      <c r="F3229" s="22" t="s">
        <v>1937</v>
      </c>
      <c r="G3229" s="22"/>
      <c r="H3229" s="83" t="s">
        <v>8208</v>
      </c>
      <c r="I3229" s="23" t="s">
        <v>24</v>
      </c>
      <c r="J3229" s="24">
        <v>1040</v>
      </c>
      <c r="K3229" s="25">
        <v>0.25</v>
      </c>
      <c r="L3229" s="26">
        <f t="shared" si="487"/>
        <v>260</v>
      </c>
      <c r="M3229" s="27">
        <f t="shared" si="488"/>
        <v>780</v>
      </c>
      <c r="N3229" s="28">
        <v>0.16</v>
      </c>
      <c r="O3229" s="29">
        <f t="shared" si="489"/>
        <v>124.8</v>
      </c>
      <c r="P3229" s="30">
        <f t="shared" si="490"/>
        <v>904.8</v>
      </c>
      <c r="Q3229" s="23"/>
      <c r="R3229" s="52"/>
      <c r="S3229" s="53"/>
      <c r="T3229" s="54">
        <f t="shared" si="491"/>
        <v>0</v>
      </c>
      <c r="U3229" s="26">
        <f t="shared" si="492"/>
        <v>0</v>
      </c>
      <c r="V3229" s="55">
        <f t="shared" si="493"/>
        <v>0</v>
      </c>
      <c r="W3229" s="29">
        <f t="shared" si="494"/>
        <v>0</v>
      </c>
      <c r="X3229" s="30">
        <f t="shared" si="495"/>
        <v>0</v>
      </c>
      <c r="Y3229"/>
      <c r="Z3229"/>
      <c r="AA3229"/>
    </row>
    <row r="3230" spans="1:27" s="51" customFormat="1" ht="18.600000000000001" hidden="1" customHeight="1" x14ac:dyDescent="0.25">
      <c r="A3230" s="81" t="s">
        <v>2653</v>
      </c>
      <c r="B3230" s="31" t="s">
        <v>9396</v>
      </c>
      <c r="C3230" s="32" t="s">
        <v>9400</v>
      </c>
      <c r="D3230" s="31" t="s">
        <v>8209</v>
      </c>
      <c r="E3230" s="33" t="s">
        <v>8210</v>
      </c>
      <c r="F3230" s="33" t="s">
        <v>1937</v>
      </c>
      <c r="G3230" s="33"/>
      <c r="H3230" s="84" t="s">
        <v>8211</v>
      </c>
      <c r="I3230" s="23" t="s">
        <v>24</v>
      </c>
      <c r="J3230" s="34">
        <v>2000</v>
      </c>
      <c r="K3230" s="35">
        <v>0.25</v>
      </c>
      <c r="L3230" s="36">
        <f t="shared" si="487"/>
        <v>500</v>
      </c>
      <c r="M3230" s="37">
        <f t="shared" si="488"/>
        <v>1500</v>
      </c>
      <c r="N3230" s="38">
        <v>0.16</v>
      </c>
      <c r="O3230" s="39">
        <f t="shared" si="489"/>
        <v>240</v>
      </c>
      <c r="P3230" s="40">
        <f t="shared" si="490"/>
        <v>1740</v>
      </c>
      <c r="Q3230" s="23"/>
      <c r="R3230" s="56"/>
      <c r="S3230" s="57"/>
      <c r="T3230" s="58">
        <f t="shared" si="491"/>
        <v>0</v>
      </c>
      <c r="U3230" s="36">
        <f t="shared" si="492"/>
        <v>0</v>
      </c>
      <c r="V3230" s="59">
        <f t="shared" si="493"/>
        <v>0</v>
      </c>
      <c r="W3230" s="39">
        <f t="shared" si="494"/>
        <v>0</v>
      </c>
      <c r="X3230" s="40">
        <f t="shared" si="495"/>
        <v>0</v>
      </c>
      <c r="Y3230"/>
      <c r="Z3230"/>
      <c r="AA3230"/>
    </row>
    <row r="3231" spans="1:27" s="51" customFormat="1" ht="18.600000000000001" hidden="1" customHeight="1" x14ac:dyDescent="0.25">
      <c r="A3231" s="82" t="s">
        <v>2653</v>
      </c>
      <c r="B3231" s="41" t="s">
        <v>9396</v>
      </c>
      <c r="C3231" s="42" t="s">
        <v>9400</v>
      </c>
      <c r="D3231" s="41" t="s">
        <v>8212</v>
      </c>
      <c r="E3231" s="43" t="s">
        <v>8213</v>
      </c>
      <c r="F3231" s="43" t="s">
        <v>1937</v>
      </c>
      <c r="G3231" s="43"/>
      <c r="H3231" s="85" t="s">
        <v>8214</v>
      </c>
      <c r="I3231" s="23" t="s">
        <v>24</v>
      </c>
      <c r="J3231" s="44">
        <v>2000</v>
      </c>
      <c r="K3231" s="45">
        <v>0.25</v>
      </c>
      <c r="L3231" s="46">
        <f t="shared" si="487"/>
        <v>500</v>
      </c>
      <c r="M3231" s="47">
        <f t="shared" si="488"/>
        <v>1500</v>
      </c>
      <c r="N3231" s="48">
        <v>0.16</v>
      </c>
      <c r="O3231" s="49">
        <f t="shared" si="489"/>
        <v>240</v>
      </c>
      <c r="P3231" s="50">
        <f t="shared" si="490"/>
        <v>1740</v>
      </c>
      <c r="Q3231" s="23"/>
      <c r="R3231" s="60"/>
      <c r="S3231" s="61"/>
      <c r="T3231" s="62">
        <f t="shared" si="491"/>
        <v>0</v>
      </c>
      <c r="U3231" s="46">
        <f t="shared" si="492"/>
        <v>0</v>
      </c>
      <c r="V3231" s="63">
        <f t="shared" si="493"/>
        <v>0</v>
      </c>
      <c r="W3231" s="49">
        <f t="shared" si="494"/>
        <v>0</v>
      </c>
      <c r="X3231" s="50">
        <f t="shared" si="495"/>
        <v>0</v>
      </c>
      <c r="Y3231"/>
      <c r="Z3231"/>
      <c r="AA3231"/>
    </row>
    <row r="3232" spans="1:27" s="51" customFormat="1" ht="18.600000000000001" hidden="1" customHeight="1" x14ac:dyDescent="0.25">
      <c r="A3232" s="80" t="s">
        <v>2653</v>
      </c>
      <c r="B3232" s="20" t="s">
        <v>9396</v>
      </c>
      <c r="C3232" s="21" t="s">
        <v>9400</v>
      </c>
      <c r="D3232" s="20">
        <v>8435568307834</v>
      </c>
      <c r="E3232" s="22" t="s">
        <v>8215</v>
      </c>
      <c r="F3232" s="22" t="s">
        <v>1937</v>
      </c>
      <c r="G3232" s="22"/>
      <c r="H3232" s="83" t="s">
        <v>8216</v>
      </c>
      <c r="I3232" s="23" t="s">
        <v>24</v>
      </c>
      <c r="J3232" s="24">
        <v>3000</v>
      </c>
      <c r="K3232" s="25">
        <v>0.25</v>
      </c>
      <c r="L3232" s="26">
        <f t="shared" si="487"/>
        <v>750</v>
      </c>
      <c r="M3232" s="27">
        <f t="shared" si="488"/>
        <v>2250</v>
      </c>
      <c r="N3232" s="28">
        <v>0.16</v>
      </c>
      <c r="O3232" s="29">
        <f t="shared" si="489"/>
        <v>360</v>
      </c>
      <c r="P3232" s="30">
        <f t="shared" si="490"/>
        <v>2610</v>
      </c>
      <c r="Q3232" s="23"/>
      <c r="R3232" s="52"/>
      <c r="S3232" s="53"/>
      <c r="T3232" s="54">
        <f t="shared" si="491"/>
        <v>0</v>
      </c>
      <c r="U3232" s="26">
        <f t="shared" si="492"/>
        <v>0</v>
      </c>
      <c r="V3232" s="55">
        <f t="shared" si="493"/>
        <v>0</v>
      </c>
      <c r="W3232" s="29">
        <f t="shared" si="494"/>
        <v>0</v>
      </c>
      <c r="X3232" s="30">
        <f t="shared" si="495"/>
        <v>0</v>
      </c>
      <c r="Y3232"/>
      <c r="Z3232"/>
      <c r="AA3232"/>
    </row>
    <row r="3233" spans="1:27" s="51" customFormat="1" ht="18.600000000000001" hidden="1" customHeight="1" x14ac:dyDescent="0.25">
      <c r="A3233" s="81" t="s">
        <v>2653</v>
      </c>
      <c r="B3233" s="31" t="s">
        <v>9396</v>
      </c>
      <c r="C3233" s="32" t="s">
        <v>9400</v>
      </c>
      <c r="D3233" s="31">
        <v>8435568307841</v>
      </c>
      <c r="E3233" s="33" t="s">
        <v>8217</v>
      </c>
      <c r="F3233" s="33" t="s">
        <v>1937</v>
      </c>
      <c r="G3233" s="33"/>
      <c r="H3233" s="84" t="s">
        <v>8218</v>
      </c>
      <c r="I3233" s="23" t="s">
        <v>24</v>
      </c>
      <c r="J3233" s="34">
        <v>3000</v>
      </c>
      <c r="K3233" s="35">
        <v>0.25</v>
      </c>
      <c r="L3233" s="36">
        <f t="shared" si="487"/>
        <v>750</v>
      </c>
      <c r="M3233" s="37">
        <f t="shared" si="488"/>
        <v>2250</v>
      </c>
      <c r="N3233" s="38">
        <v>0.16</v>
      </c>
      <c r="O3233" s="39">
        <f t="shared" si="489"/>
        <v>360</v>
      </c>
      <c r="P3233" s="40">
        <f t="shared" si="490"/>
        <v>2610</v>
      </c>
      <c r="Q3233" s="23"/>
      <c r="R3233" s="56"/>
      <c r="S3233" s="57"/>
      <c r="T3233" s="58">
        <f t="shared" si="491"/>
        <v>0</v>
      </c>
      <c r="U3233" s="36">
        <f t="shared" si="492"/>
        <v>0</v>
      </c>
      <c r="V3233" s="59">
        <f t="shared" si="493"/>
        <v>0</v>
      </c>
      <c r="W3233" s="39">
        <f t="shared" si="494"/>
        <v>0</v>
      </c>
      <c r="X3233" s="40">
        <f t="shared" si="495"/>
        <v>0</v>
      </c>
      <c r="Y3233"/>
      <c r="Z3233"/>
      <c r="AA3233"/>
    </row>
    <row r="3234" spans="1:27" s="51" customFormat="1" ht="18.600000000000001" hidden="1" customHeight="1" x14ac:dyDescent="0.25">
      <c r="A3234" s="82" t="s">
        <v>2653</v>
      </c>
      <c r="B3234" s="41" t="s">
        <v>9396</v>
      </c>
      <c r="C3234" s="42" t="s">
        <v>9401</v>
      </c>
      <c r="D3234" s="41">
        <v>8436564923790</v>
      </c>
      <c r="E3234" s="43" t="s">
        <v>8219</v>
      </c>
      <c r="F3234" s="43" t="s">
        <v>1937</v>
      </c>
      <c r="G3234" s="43"/>
      <c r="H3234" s="85" t="s">
        <v>8220</v>
      </c>
      <c r="I3234" s="23" t="s">
        <v>24</v>
      </c>
      <c r="J3234" s="44">
        <v>450</v>
      </c>
      <c r="K3234" s="45">
        <v>0.25</v>
      </c>
      <c r="L3234" s="46">
        <f t="shared" si="487"/>
        <v>112.5</v>
      </c>
      <c r="M3234" s="47">
        <f t="shared" si="488"/>
        <v>337.5</v>
      </c>
      <c r="N3234" s="48">
        <v>0.16</v>
      </c>
      <c r="O3234" s="49">
        <f t="shared" si="489"/>
        <v>54</v>
      </c>
      <c r="P3234" s="50">
        <f t="shared" si="490"/>
        <v>391.5</v>
      </c>
      <c r="Q3234" s="23"/>
      <c r="R3234" s="60"/>
      <c r="S3234" s="61"/>
      <c r="T3234" s="62">
        <f t="shared" si="491"/>
        <v>0</v>
      </c>
      <c r="U3234" s="46">
        <f t="shared" si="492"/>
        <v>0</v>
      </c>
      <c r="V3234" s="63">
        <f t="shared" si="493"/>
        <v>0</v>
      </c>
      <c r="W3234" s="49">
        <f t="shared" si="494"/>
        <v>0</v>
      </c>
      <c r="X3234" s="50">
        <f t="shared" si="495"/>
        <v>0</v>
      </c>
      <c r="Y3234"/>
      <c r="Z3234"/>
      <c r="AA3234"/>
    </row>
    <row r="3235" spans="1:27" s="51" customFormat="1" ht="18.600000000000001" hidden="1" customHeight="1" x14ac:dyDescent="0.25">
      <c r="A3235" s="80" t="s">
        <v>2653</v>
      </c>
      <c r="B3235" s="20" t="s">
        <v>9396</v>
      </c>
      <c r="C3235" s="21" t="s">
        <v>9401</v>
      </c>
      <c r="D3235" s="20">
        <v>8436564923806</v>
      </c>
      <c r="E3235" s="22" t="s">
        <v>8221</v>
      </c>
      <c r="F3235" s="22" t="s">
        <v>1937</v>
      </c>
      <c r="G3235" s="22"/>
      <c r="H3235" s="83" t="s">
        <v>8222</v>
      </c>
      <c r="I3235" s="23" t="s">
        <v>24</v>
      </c>
      <c r="J3235" s="24">
        <v>450</v>
      </c>
      <c r="K3235" s="25">
        <v>0.25</v>
      </c>
      <c r="L3235" s="26">
        <f t="shared" si="487"/>
        <v>112.5</v>
      </c>
      <c r="M3235" s="27">
        <f t="shared" si="488"/>
        <v>337.5</v>
      </c>
      <c r="N3235" s="28">
        <v>0.16</v>
      </c>
      <c r="O3235" s="29">
        <f t="shared" si="489"/>
        <v>54</v>
      </c>
      <c r="P3235" s="30">
        <f t="shared" si="490"/>
        <v>391.5</v>
      </c>
      <c r="Q3235" s="23"/>
      <c r="R3235" s="52"/>
      <c r="S3235" s="53"/>
      <c r="T3235" s="54">
        <f t="shared" si="491"/>
        <v>0</v>
      </c>
      <c r="U3235" s="26">
        <f t="shared" si="492"/>
        <v>0</v>
      </c>
      <c r="V3235" s="55">
        <f t="shared" si="493"/>
        <v>0</v>
      </c>
      <c r="W3235" s="29">
        <f t="shared" si="494"/>
        <v>0</v>
      </c>
      <c r="X3235" s="30">
        <f t="shared" si="495"/>
        <v>0</v>
      </c>
      <c r="Y3235"/>
      <c r="Z3235"/>
      <c r="AA3235"/>
    </row>
    <row r="3236" spans="1:27" s="51" customFormat="1" ht="18.600000000000001" hidden="1" customHeight="1" x14ac:dyDescent="0.25">
      <c r="A3236" s="81" t="s">
        <v>2653</v>
      </c>
      <c r="B3236" s="31" t="s">
        <v>9396</v>
      </c>
      <c r="C3236" s="32" t="s">
        <v>9401</v>
      </c>
      <c r="D3236" s="31" t="s">
        <v>8223</v>
      </c>
      <c r="E3236" s="33" t="s">
        <v>8224</v>
      </c>
      <c r="F3236" s="33" t="s">
        <v>1937</v>
      </c>
      <c r="G3236" s="33"/>
      <c r="H3236" s="84" t="s">
        <v>8225</v>
      </c>
      <c r="I3236" s="23" t="s">
        <v>24</v>
      </c>
      <c r="J3236" s="34">
        <v>450</v>
      </c>
      <c r="K3236" s="35">
        <v>0.25</v>
      </c>
      <c r="L3236" s="36">
        <f t="shared" si="487"/>
        <v>112.5</v>
      </c>
      <c r="M3236" s="37">
        <f t="shared" si="488"/>
        <v>337.5</v>
      </c>
      <c r="N3236" s="38">
        <v>0.16</v>
      </c>
      <c r="O3236" s="39">
        <f t="shared" si="489"/>
        <v>54</v>
      </c>
      <c r="P3236" s="40">
        <f t="shared" si="490"/>
        <v>391.5</v>
      </c>
      <c r="Q3236" s="23"/>
      <c r="R3236" s="56"/>
      <c r="S3236" s="57"/>
      <c r="T3236" s="58">
        <f t="shared" si="491"/>
        <v>0</v>
      </c>
      <c r="U3236" s="36">
        <f t="shared" si="492"/>
        <v>0</v>
      </c>
      <c r="V3236" s="59">
        <f t="shared" si="493"/>
        <v>0</v>
      </c>
      <c r="W3236" s="39">
        <f t="shared" si="494"/>
        <v>0</v>
      </c>
      <c r="X3236" s="40">
        <f t="shared" si="495"/>
        <v>0</v>
      </c>
      <c r="Y3236"/>
      <c r="Z3236"/>
      <c r="AA3236"/>
    </row>
    <row r="3237" spans="1:27" s="51" customFormat="1" ht="18.600000000000001" hidden="1" customHeight="1" x14ac:dyDescent="0.25">
      <c r="A3237" s="82" t="s">
        <v>2653</v>
      </c>
      <c r="B3237" s="41" t="s">
        <v>9396</v>
      </c>
      <c r="C3237" s="42" t="s">
        <v>9401</v>
      </c>
      <c r="D3237" s="41" t="s">
        <v>8226</v>
      </c>
      <c r="E3237" s="43" t="s">
        <v>8227</v>
      </c>
      <c r="F3237" s="43" t="s">
        <v>1937</v>
      </c>
      <c r="G3237" s="43"/>
      <c r="H3237" s="85" t="s">
        <v>8228</v>
      </c>
      <c r="I3237" s="23" t="s">
        <v>24</v>
      </c>
      <c r="J3237" s="44">
        <v>450</v>
      </c>
      <c r="K3237" s="45">
        <v>0.25</v>
      </c>
      <c r="L3237" s="46">
        <f t="shared" si="487"/>
        <v>112.5</v>
      </c>
      <c r="M3237" s="47">
        <f t="shared" si="488"/>
        <v>337.5</v>
      </c>
      <c r="N3237" s="48">
        <v>0.16</v>
      </c>
      <c r="O3237" s="49">
        <f t="shared" si="489"/>
        <v>54</v>
      </c>
      <c r="P3237" s="50">
        <f t="shared" si="490"/>
        <v>391.5</v>
      </c>
      <c r="Q3237" s="23"/>
      <c r="R3237" s="60"/>
      <c r="S3237" s="61"/>
      <c r="T3237" s="62">
        <f t="shared" si="491"/>
        <v>0</v>
      </c>
      <c r="U3237" s="46">
        <f t="shared" si="492"/>
        <v>0</v>
      </c>
      <c r="V3237" s="63">
        <f t="shared" si="493"/>
        <v>0</v>
      </c>
      <c r="W3237" s="49">
        <f t="shared" si="494"/>
        <v>0</v>
      </c>
      <c r="X3237" s="50">
        <f t="shared" si="495"/>
        <v>0</v>
      </c>
      <c r="Y3237"/>
      <c r="Z3237"/>
      <c r="AA3237"/>
    </row>
    <row r="3238" spans="1:27" s="51" customFormat="1" ht="18.600000000000001" hidden="1" customHeight="1" x14ac:dyDescent="0.25">
      <c r="A3238" s="80" t="s">
        <v>2653</v>
      </c>
      <c r="B3238" s="20" t="s">
        <v>9396</v>
      </c>
      <c r="C3238" s="21" t="s">
        <v>9401</v>
      </c>
      <c r="D3238" s="20" t="s">
        <v>8229</v>
      </c>
      <c r="E3238" s="22" t="s">
        <v>8230</v>
      </c>
      <c r="F3238" s="22" t="s">
        <v>1937</v>
      </c>
      <c r="G3238" s="22"/>
      <c r="H3238" s="83" t="s">
        <v>8231</v>
      </c>
      <c r="I3238" s="23" t="s">
        <v>24</v>
      </c>
      <c r="J3238" s="24">
        <v>450</v>
      </c>
      <c r="K3238" s="25">
        <v>0.25</v>
      </c>
      <c r="L3238" s="26">
        <f t="shared" si="487"/>
        <v>112.5</v>
      </c>
      <c r="M3238" s="27">
        <f t="shared" si="488"/>
        <v>337.5</v>
      </c>
      <c r="N3238" s="28">
        <v>0.16</v>
      </c>
      <c r="O3238" s="29">
        <f t="shared" si="489"/>
        <v>54</v>
      </c>
      <c r="P3238" s="30">
        <f t="shared" si="490"/>
        <v>391.5</v>
      </c>
      <c r="Q3238" s="23"/>
      <c r="R3238" s="52"/>
      <c r="S3238" s="53"/>
      <c r="T3238" s="54">
        <f t="shared" si="491"/>
        <v>0</v>
      </c>
      <c r="U3238" s="26">
        <f t="shared" si="492"/>
        <v>0</v>
      </c>
      <c r="V3238" s="55">
        <f t="shared" si="493"/>
        <v>0</v>
      </c>
      <c r="W3238" s="29">
        <f t="shared" si="494"/>
        <v>0</v>
      </c>
      <c r="X3238" s="30">
        <f t="shared" si="495"/>
        <v>0</v>
      </c>
      <c r="Y3238"/>
      <c r="Z3238"/>
      <c r="AA3238"/>
    </row>
    <row r="3239" spans="1:27" s="51" customFormat="1" ht="18.600000000000001" hidden="1" customHeight="1" x14ac:dyDescent="0.25">
      <c r="A3239" s="81" t="s">
        <v>2653</v>
      </c>
      <c r="B3239" s="31" t="s">
        <v>9396</v>
      </c>
      <c r="C3239" s="32" t="s">
        <v>9401</v>
      </c>
      <c r="D3239" s="31" t="s">
        <v>8232</v>
      </c>
      <c r="E3239" s="33" t="s">
        <v>8233</v>
      </c>
      <c r="F3239" s="33" t="s">
        <v>1937</v>
      </c>
      <c r="G3239" s="33"/>
      <c r="H3239" s="84" t="s">
        <v>8234</v>
      </c>
      <c r="I3239" s="23" t="s">
        <v>24</v>
      </c>
      <c r="J3239" s="34">
        <v>450</v>
      </c>
      <c r="K3239" s="35">
        <v>0.25</v>
      </c>
      <c r="L3239" s="36">
        <f t="shared" si="487"/>
        <v>112.5</v>
      </c>
      <c r="M3239" s="37">
        <f t="shared" si="488"/>
        <v>337.5</v>
      </c>
      <c r="N3239" s="38">
        <v>0.16</v>
      </c>
      <c r="O3239" s="39">
        <f t="shared" si="489"/>
        <v>54</v>
      </c>
      <c r="P3239" s="40">
        <f t="shared" si="490"/>
        <v>391.5</v>
      </c>
      <c r="Q3239" s="23"/>
      <c r="R3239" s="56"/>
      <c r="S3239" s="57"/>
      <c r="T3239" s="58">
        <f t="shared" si="491"/>
        <v>0</v>
      </c>
      <c r="U3239" s="36">
        <f t="shared" si="492"/>
        <v>0</v>
      </c>
      <c r="V3239" s="59">
        <f t="shared" si="493"/>
        <v>0</v>
      </c>
      <c r="W3239" s="39">
        <f t="shared" si="494"/>
        <v>0</v>
      </c>
      <c r="X3239" s="40">
        <f t="shared" si="495"/>
        <v>0</v>
      </c>
      <c r="Y3239"/>
      <c r="Z3239"/>
      <c r="AA3239"/>
    </row>
    <row r="3240" spans="1:27" s="51" customFormat="1" ht="18.600000000000001" hidden="1" customHeight="1" x14ac:dyDescent="0.25">
      <c r="A3240" s="82" t="s">
        <v>2653</v>
      </c>
      <c r="B3240" s="41" t="s">
        <v>9396</v>
      </c>
      <c r="C3240" s="42" t="s">
        <v>9401</v>
      </c>
      <c r="D3240" s="41">
        <v>8435568305687</v>
      </c>
      <c r="E3240" s="43" t="s">
        <v>8235</v>
      </c>
      <c r="F3240" s="43" t="s">
        <v>1937</v>
      </c>
      <c r="G3240" s="43"/>
      <c r="H3240" s="85" t="s">
        <v>8236</v>
      </c>
      <c r="I3240" s="23" t="s">
        <v>24</v>
      </c>
      <c r="J3240" s="44">
        <v>450</v>
      </c>
      <c r="K3240" s="45">
        <v>0.25</v>
      </c>
      <c r="L3240" s="46">
        <f t="shared" si="487"/>
        <v>112.5</v>
      </c>
      <c r="M3240" s="47">
        <f t="shared" si="488"/>
        <v>337.5</v>
      </c>
      <c r="N3240" s="48">
        <v>0.16</v>
      </c>
      <c r="O3240" s="49">
        <f t="shared" si="489"/>
        <v>54</v>
      </c>
      <c r="P3240" s="50">
        <f t="shared" si="490"/>
        <v>391.5</v>
      </c>
      <c r="Q3240" s="23"/>
      <c r="R3240" s="60"/>
      <c r="S3240" s="61"/>
      <c r="T3240" s="62">
        <f t="shared" si="491"/>
        <v>0</v>
      </c>
      <c r="U3240" s="46">
        <f t="shared" si="492"/>
        <v>0</v>
      </c>
      <c r="V3240" s="63">
        <f t="shared" si="493"/>
        <v>0</v>
      </c>
      <c r="W3240" s="49">
        <f t="shared" si="494"/>
        <v>0</v>
      </c>
      <c r="X3240" s="50">
        <f t="shared" si="495"/>
        <v>0</v>
      </c>
      <c r="Y3240"/>
      <c r="Z3240"/>
      <c r="AA3240"/>
    </row>
    <row r="3241" spans="1:27" s="51" customFormat="1" ht="18.600000000000001" hidden="1" customHeight="1" x14ac:dyDescent="0.25">
      <c r="A3241" s="80" t="s">
        <v>2653</v>
      </c>
      <c r="B3241" s="20" t="s">
        <v>9396</v>
      </c>
      <c r="C3241" s="21" t="s">
        <v>9401</v>
      </c>
      <c r="D3241" s="20">
        <v>8435568305694</v>
      </c>
      <c r="E3241" s="22" t="s">
        <v>8237</v>
      </c>
      <c r="F3241" s="22" t="s">
        <v>1937</v>
      </c>
      <c r="G3241" s="22"/>
      <c r="H3241" s="83" t="s">
        <v>8238</v>
      </c>
      <c r="I3241" s="23" t="s">
        <v>24</v>
      </c>
      <c r="J3241" s="24">
        <v>450</v>
      </c>
      <c r="K3241" s="25">
        <v>0.25</v>
      </c>
      <c r="L3241" s="26">
        <f t="shared" si="487"/>
        <v>112.5</v>
      </c>
      <c r="M3241" s="27">
        <f t="shared" si="488"/>
        <v>337.5</v>
      </c>
      <c r="N3241" s="28">
        <v>0.16</v>
      </c>
      <c r="O3241" s="29">
        <f t="shared" si="489"/>
        <v>54</v>
      </c>
      <c r="P3241" s="30">
        <f t="shared" si="490"/>
        <v>391.5</v>
      </c>
      <c r="Q3241" s="23"/>
      <c r="R3241" s="52"/>
      <c r="S3241" s="53"/>
      <c r="T3241" s="54">
        <f t="shared" si="491"/>
        <v>0</v>
      </c>
      <c r="U3241" s="26">
        <f t="shared" si="492"/>
        <v>0</v>
      </c>
      <c r="V3241" s="55">
        <f t="shared" si="493"/>
        <v>0</v>
      </c>
      <c r="W3241" s="29">
        <f t="shared" si="494"/>
        <v>0</v>
      </c>
      <c r="X3241" s="30">
        <f t="shared" si="495"/>
        <v>0</v>
      </c>
      <c r="Y3241"/>
      <c r="Z3241"/>
      <c r="AA3241"/>
    </row>
    <row r="3242" spans="1:27" s="51" customFormat="1" ht="18.600000000000001" hidden="1" customHeight="1" x14ac:dyDescent="0.25">
      <c r="A3242" s="81" t="s">
        <v>2653</v>
      </c>
      <c r="B3242" s="31" t="s">
        <v>9396</v>
      </c>
      <c r="C3242" s="32" t="s">
        <v>9401</v>
      </c>
      <c r="D3242" s="31">
        <v>8436535572590</v>
      </c>
      <c r="E3242" s="33" t="s">
        <v>8239</v>
      </c>
      <c r="F3242" s="33" t="s">
        <v>1937</v>
      </c>
      <c r="G3242" s="33"/>
      <c r="H3242" s="84" t="s">
        <v>8240</v>
      </c>
      <c r="I3242" s="23" t="s">
        <v>24</v>
      </c>
      <c r="J3242" s="34">
        <v>450</v>
      </c>
      <c r="K3242" s="35">
        <v>0.25</v>
      </c>
      <c r="L3242" s="36">
        <f t="shared" si="487"/>
        <v>112.5</v>
      </c>
      <c r="M3242" s="37">
        <f t="shared" si="488"/>
        <v>337.5</v>
      </c>
      <c r="N3242" s="38">
        <v>0.16</v>
      </c>
      <c r="O3242" s="39">
        <f t="shared" si="489"/>
        <v>54</v>
      </c>
      <c r="P3242" s="40">
        <f t="shared" si="490"/>
        <v>391.5</v>
      </c>
      <c r="Q3242" s="23"/>
      <c r="R3242" s="56"/>
      <c r="S3242" s="57"/>
      <c r="T3242" s="58">
        <f t="shared" si="491"/>
        <v>0</v>
      </c>
      <c r="U3242" s="36">
        <f t="shared" si="492"/>
        <v>0</v>
      </c>
      <c r="V3242" s="59">
        <f t="shared" si="493"/>
        <v>0</v>
      </c>
      <c r="W3242" s="39">
        <f t="shared" si="494"/>
        <v>0</v>
      </c>
      <c r="X3242" s="40">
        <f t="shared" si="495"/>
        <v>0</v>
      </c>
      <c r="Y3242"/>
      <c r="Z3242"/>
      <c r="AA3242"/>
    </row>
    <row r="3243" spans="1:27" s="51" customFormat="1" ht="18.600000000000001" hidden="1" customHeight="1" x14ac:dyDescent="0.25">
      <c r="A3243" s="82" t="s">
        <v>2653</v>
      </c>
      <c r="B3243" s="41" t="s">
        <v>9396</v>
      </c>
      <c r="C3243" s="42" t="s">
        <v>9401</v>
      </c>
      <c r="D3243" s="41">
        <v>8436535572729</v>
      </c>
      <c r="E3243" s="43" t="s">
        <v>8241</v>
      </c>
      <c r="F3243" s="43" t="s">
        <v>1937</v>
      </c>
      <c r="G3243" s="43"/>
      <c r="H3243" s="85" t="s">
        <v>8242</v>
      </c>
      <c r="I3243" s="23" t="s">
        <v>24</v>
      </c>
      <c r="J3243" s="44">
        <v>450</v>
      </c>
      <c r="K3243" s="45">
        <v>0.25</v>
      </c>
      <c r="L3243" s="46">
        <f t="shared" si="487"/>
        <v>112.5</v>
      </c>
      <c r="M3243" s="47">
        <f t="shared" si="488"/>
        <v>337.5</v>
      </c>
      <c r="N3243" s="48">
        <v>0.16</v>
      </c>
      <c r="O3243" s="49">
        <f t="shared" si="489"/>
        <v>54</v>
      </c>
      <c r="P3243" s="50">
        <f t="shared" si="490"/>
        <v>391.5</v>
      </c>
      <c r="Q3243" s="23"/>
      <c r="R3243" s="60"/>
      <c r="S3243" s="61"/>
      <c r="T3243" s="62">
        <f t="shared" si="491"/>
        <v>0</v>
      </c>
      <c r="U3243" s="46">
        <f t="shared" si="492"/>
        <v>0</v>
      </c>
      <c r="V3243" s="63">
        <f t="shared" si="493"/>
        <v>0</v>
      </c>
      <c r="W3243" s="49">
        <f t="shared" si="494"/>
        <v>0</v>
      </c>
      <c r="X3243" s="50">
        <f t="shared" si="495"/>
        <v>0</v>
      </c>
      <c r="Y3243"/>
      <c r="Z3243"/>
      <c r="AA3243"/>
    </row>
    <row r="3244" spans="1:27" s="51" customFormat="1" ht="18.600000000000001" hidden="1" customHeight="1" x14ac:dyDescent="0.25">
      <c r="A3244" s="80" t="s">
        <v>2653</v>
      </c>
      <c r="B3244" s="20" t="s">
        <v>9396</v>
      </c>
      <c r="C3244" s="21" t="s">
        <v>9401</v>
      </c>
      <c r="D3244" s="20">
        <v>8436535572743</v>
      </c>
      <c r="E3244" s="22" t="s">
        <v>8243</v>
      </c>
      <c r="F3244" s="22" t="s">
        <v>1937</v>
      </c>
      <c r="G3244" s="22"/>
      <c r="H3244" s="83" t="s">
        <v>8244</v>
      </c>
      <c r="I3244" s="23" t="s">
        <v>24</v>
      </c>
      <c r="J3244" s="24">
        <v>450</v>
      </c>
      <c r="K3244" s="25">
        <v>0.25</v>
      </c>
      <c r="L3244" s="26">
        <f t="shared" si="487"/>
        <v>112.5</v>
      </c>
      <c r="M3244" s="27">
        <f t="shared" si="488"/>
        <v>337.5</v>
      </c>
      <c r="N3244" s="28">
        <v>0.16</v>
      </c>
      <c r="O3244" s="29">
        <f t="shared" si="489"/>
        <v>54</v>
      </c>
      <c r="P3244" s="30">
        <f t="shared" si="490"/>
        <v>391.5</v>
      </c>
      <c r="Q3244" s="23"/>
      <c r="R3244" s="52"/>
      <c r="S3244" s="53"/>
      <c r="T3244" s="54">
        <f t="shared" si="491"/>
        <v>0</v>
      </c>
      <c r="U3244" s="26">
        <f t="shared" si="492"/>
        <v>0</v>
      </c>
      <c r="V3244" s="55">
        <f t="shared" si="493"/>
        <v>0</v>
      </c>
      <c r="W3244" s="29">
        <f t="shared" si="494"/>
        <v>0</v>
      </c>
      <c r="X3244" s="30">
        <f t="shared" si="495"/>
        <v>0</v>
      </c>
      <c r="Y3244"/>
      <c r="Z3244"/>
      <c r="AA3244"/>
    </row>
    <row r="3245" spans="1:27" s="51" customFormat="1" ht="18.600000000000001" hidden="1" customHeight="1" x14ac:dyDescent="0.25">
      <c r="A3245" s="81" t="s">
        <v>2653</v>
      </c>
      <c r="B3245" s="31" t="s">
        <v>9396</v>
      </c>
      <c r="C3245" s="32" t="s">
        <v>9401</v>
      </c>
      <c r="D3245" s="31" t="s">
        <v>8245</v>
      </c>
      <c r="E3245" s="33" t="s">
        <v>8246</v>
      </c>
      <c r="F3245" s="33" t="s">
        <v>1937</v>
      </c>
      <c r="G3245" s="33"/>
      <c r="H3245" s="84" t="s">
        <v>8247</v>
      </c>
      <c r="I3245" s="23" t="s">
        <v>24</v>
      </c>
      <c r="J3245" s="34">
        <v>450</v>
      </c>
      <c r="K3245" s="35">
        <v>0.25</v>
      </c>
      <c r="L3245" s="36">
        <f t="shared" si="487"/>
        <v>112.5</v>
      </c>
      <c r="M3245" s="37">
        <f t="shared" si="488"/>
        <v>337.5</v>
      </c>
      <c r="N3245" s="38">
        <v>0.16</v>
      </c>
      <c r="O3245" s="39">
        <f t="shared" si="489"/>
        <v>54</v>
      </c>
      <c r="P3245" s="40">
        <f t="shared" si="490"/>
        <v>391.5</v>
      </c>
      <c r="Q3245" s="23"/>
      <c r="R3245" s="56"/>
      <c r="S3245" s="57"/>
      <c r="T3245" s="58">
        <f t="shared" si="491"/>
        <v>0</v>
      </c>
      <c r="U3245" s="36">
        <f t="shared" si="492"/>
        <v>0</v>
      </c>
      <c r="V3245" s="59">
        <f t="shared" si="493"/>
        <v>0</v>
      </c>
      <c r="W3245" s="39">
        <f t="shared" si="494"/>
        <v>0</v>
      </c>
      <c r="X3245" s="40">
        <f t="shared" si="495"/>
        <v>0</v>
      </c>
      <c r="Y3245"/>
      <c r="Z3245"/>
      <c r="AA3245"/>
    </row>
    <row r="3246" spans="1:27" s="51" customFormat="1" ht="18.600000000000001" hidden="1" customHeight="1" x14ac:dyDescent="0.25">
      <c r="A3246" s="82" t="s">
        <v>2653</v>
      </c>
      <c r="B3246" s="41" t="s">
        <v>9396</v>
      </c>
      <c r="C3246" s="42" t="s">
        <v>9401</v>
      </c>
      <c r="D3246" s="41" t="s">
        <v>8248</v>
      </c>
      <c r="E3246" s="43" t="s">
        <v>8249</v>
      </c>
      <c r="F3246" s="43" t="s">
        <v>1937</v>
      </c>
      <c r="G3246" s="43"/>
      <c r="H3246" s="85" t="s">
        <v>8250</v>
      </c>
      <c r="I3246" s="23" t="s">
        <v>24</v>
      </c>
      <c r="J3246" s="44">
        <v>450</v>
      </c>
      <c r="K3246" s="45">
        <v>0.25</v>
      </c>
      <c r="L3246" s="46">
        <f t="shared" si="487"/>
        <v>112.5</v>
      </c>
      <c r="M3246" s="47">
        <f t="shared" si="488"/>
        <v>337.5</v>
      </c>
      <c r="N3246" s="48">
        <v>0.16</v>
      </c>
      <c r="O3246" s="49">
        <f t="shared" si="489"/>
        <v>54</v>
      </c>
      <c r="P3246" s="50">
        <f t="shared" si="490"/>
        <v>391.5</v>
      </c>
      <c r="Q3246" s="23"/>
      <c r="R3246" s="60"/>
      <c r="S3246" s="61"/>
      <c r="T3246" s="62">
        <f t="shared" si="491"/>
        <v>0</v>
      </c>
      <c r="U3246" s="46">
        <f t="shared" si="492"/>
        <v>0</v>
      </c>
      <c r="V3246" s="63">
        <f t="shared" si="493"/>
        <v>0</v>
      </c>
      <c r="W3246" s="49">
        <f t="shared" si="494"/>
        <v>0</v>
      </c>
      <c r="X3246" s="50">
        <f t="shared" si="495"/>
        <v>0</v>
      </c>
      <c r="Y3246"/>
      <c r="Z3246"/>
      <c r="AA3246"/>
    </row>
    <row r="3247" spans="1:27" s="51" customFormat="1" ht="18.600000000000001" hidden="1" customHeight="1" x14ac:dyDescent="0.25">
      <c r="A3247" s="80" t="s">
        <v>2653</v>
      </c>
      <c r="B3247" s="20" t="s">
        <v>9396</v>
      </c>
      <c r="C3247" s="21" t="s">
        <v>9401</v>
      </c>
      <c r="D3247" s="20" t="s">
        <v>8251</v>
      </c>
      <c r="E3247" s="22" t="s">
        <v>8252</v>
      </c>
      <c r="F3247" s="22" t="s">
        <v>1937</v>
      </c>
      <c r="G3247" s="22"/>
      <c r="H3247" s="83" t="s">
        <v>8253</v>
      </c>
      <c r="I3247" s="23" t="s">
        <v>24</v>
      </c>
      <c r="J3247" s="24">
        <v>450</v>
      </c>
      <c r="K3247" s="25">
        <v>0.25</v>
      </c>
      <c r="L3247" s="26">
        <f t="shared" si="487"/>
        <v>112.5</v>
      </c>
      <c r="M3247" s="27">
        <f t="shared" si="488"/>
        <v>337.5</v>
      </c>
      <c r="N3247" s="28">
        <v>0.16</v>
      </c>
      <c r="O3247" s="29">
        <f t="shared" si="489"/>
        <v>54</v>
      </c>
      <c r="P3247" s="30">
        <f t="shared" si="490"/>
        <v>391.5</v>
      </c>
      <c r="Q3247" s="23"/>
      <c r="R3247" s="52"/>
      <c r="S3247" s="53"/>
      <c r="T3247" s="54">
        <f t="shared" si="491"/>
        <v>0</v>
      </c>
      <c r="U3247" s="26">
        <f t="shared" si="492"/>
        <v>0</v>
      </c>
      <c r="V3247" s="55">
        <f t="shared" si="493"/>
        <v>0</v>
      </c>
      <c r="W3247" s="29">
        <f t="shared" si="494"/>
        <v>0</v>
      </c>
      <c r="X3247" s="30">
        <f t="shared" si="495"/>
        <v>0</v>
      </c>
      <c r="Y3247"/>
      <c r="Z3247"/>
      <c r="AA3247"/>
    </row>
    <row r="3248" spans="1:27" s="51" customFormat="1" ht="18.600000000000001" hidden="1" customHeight="1" x14ac:dyDescent="0.25">
      <c r="A3248" s="81" t="s">
        <v>2653</v>
      </c>
      <c r="B3248" s="31" t="s">
        <v>9396</v>
      </c>
      <c r="C3248" s="32" t="s">
        <v>9401</v>
      </c>
      <c r="D3248" s="31">
        <v>8435568308299</v>
      </c>
      <c r="E3248" s="33" t="s">
        <v>8254</v>
      </c>
      <c r="F3248" s="33" t="s">
        <v>1937</v>
      </c>
      <c r="G3248" s="33"/>
      <c r="H3248" s="84" t="s">
        <v>8255</v>
      </c>
      <c r="I3248" s="23" t="s">
        <v>24</v>
      </c>
      <c r="J3248" s="34">
        <v>450</v>
      </c>
      <c r="K3248" s="35">
        <v>0.25</v>
      </c>
      <c r="L3248" s="36">
        <f t="shared" si="487"/>
        <v>112.5</v>
      </c>
      <c r="M3248" s="37">
        <f t="shared" si="488"/>
        <v>337.5</v>
      </c>
      <c r="N3248" s="38">
        <v>0.16</v>
      </c>
      <c r="O3248" s="39">
        <f t="shared" si="489"/>
        <v>54</v>
      </c>
      <c r="P3248" s="40">
        <f t="shared" si="490"/>
        <v>391.5</v>
      </c>
      <c r="Q3248" s="23"/>
      <c r="R3248" s="56"/>
      <c r="S3248" s="57"/>
      <c r="T3248" s="58">
        <f t="shared" si="491"/>
        <v>0</v>
      </c>
      <c r="U3248" s="36">
        <f t="shared" si="492"/>
        <v>0</v>
      </c>
      <c r="V3248" s="59">
        <f t="shared" si="493"/>
        <v>0</v>
      </c>
      <c r="W3248" s="39">
        <f t="shared" si="494"/>
        <v>0</v>
      </c>
      <c r="X3248" s="40">
        <f t="shared" si="495"/>
        <v>0</v>
      </c>
      <c r="Y3248"/>
      <c r="Z3248"/>
      <c r="AA3248"/>
    </row>
    <row r="3249" spans="1:27" s="51" customFormat="1" ht="18.600000000000001" hidden="1" customHeight="1" x14ac:dyDescent="0.25">
      <c r="A3249" s="82" t="s">
        <v>2653</v>
      </c>
      <c r="B3249" s="41" t="s">
        <v>9396</v>
      </c>
      <c r="C3249" s="42" t="s">
        <v>9401</v>
      </c>
      <c r="D3249" s="41">
        <v>8435568308305</v>
      </c>
      <c r="E3249" s="43" t="s">
        <v>8256</v>
      </c>
      <c r="F3249" s="43" t="s">
        <v>1937</v>
      </c>
      <c r="G3249" s="43"/>
      <c r="H3249" s="85" t="s">
        <v>8257</v>
      </c>
      <c r="I3249" s="23" t="s">
        <v>24</v>
      </c>
      <c r="J3249" s="44">
        <v>450</v>
      </c>
      <c r="K3249" s="45">
        <v>0.25</v>
      </c>
      <c r="L3249" s="46">
        <f t="shared" si="487"/>
        <v>112.5</v>
      </c>
      <c r="M3249" s="47">
        <f t="shared" si="488"/>
        <v>337.5</v>
      </c>
      <c r="N3249" s="48">
        <v>0.16</v>
      </c>
      <c r="O3249" s="49">
        <f t="shared" si="489"/>
        <v>54</v>
      </c>
      <c r="P3249" s="50">
        <f t="shared" si="490"/>
        <v>391.5</v>
      </c>
      <c r="Q3249" s="23"/>
      <c r="R3249" s="60"/>
      <c r="S3249" s="61"/>
      <c r="T3249" s="62">
        <f t="shared" si="491"/>
        <v>0</v>
      </c>
      <c r="U3249" s="46">
        <f t="shared" si="492"/>
        <v>0</v>
      </c>
      <c r="V3249" s="63">
        <f t="shared" si="493"/>
        <v>0</v>
      </c>
      <c r="W3249" s="49">
        <f t="shared" si="494"/>
        <v>0</v>
      </c>
      <c r="X3249" s="50">
        <f t="shared" si="495"/>
        <v>0</v>
      </c>
      <c r="Y3249"/>
      <c r="Z3249"/>
      <c r="AA3249"/>
    </row>
    <row r="3250" spans="1:27" s="51" customFormat="1" ht="18.600000000000001" hidden="1" customHeight="1" x14ac:dyDescent="0.25">
      <c r="A3250" s="80" t="s">
        <v>2653</v>
      </c>
      <c r="B3250" s="20" t="s">
        <v>9396</v>
      </c>
      <c r="C3250" s="21" t="s">
        <v>9401</v>
      </c>
      <c r="D3250" s="20">
        <v>8435568312692</v>
      </c>
      <c r="E3250" s="22" t="s">
        <v>8258</v>
      </c>
      <c r="F3250" s="22" t="s">
        <v>1937</v>
      </c>
      <c r="G3250" s="22"/>
      <c r="H3250" s="83" t="s">
        <v>8259</v>
      </c>
      <c r="I3250" s="23" t="s">
        <v>24</v>
      </c>
      <c r="J3250" s="24">
        <v>450</v>
      </c>
      <c r="K3250" s="25">
        <v>0.25</v>
      </c>
      <c r="L3250" s="26">
        <f t="shared" si="487"/>
        <v>112.5</v>
      </c>
      <c r="M3250" s="27">
        <f t="shared" si="488"/>
        <v>337.5</v>
      </c>
      <c r="N3250" s="28">
        <v>0.16</v>
      </c>
      <c r="O3250" s="29">
        <f t="shared" si="489"/>
        <v>54</v>
      </c>
      <c r="P3250" s="30">
        <f t="shared" si="490"/>
        <v>391.5</v>
      </c>
      <c r="Q3250" s="23"/>
      <c r="R3250" s="52"/>
      <c r="S3250" s="53"/>
      <c r="T3250" s="54">
        <f t="shared" si="491"/>
        <v>0</v>
      </c>
      <c r="U3250" s="26">
        <f t="shared" si="492"/>
        <v>0</v>
      </c>
      <c r="V3250" s="55">
        <f t="shared" si="493"/>
        <v>0</v>
      </c>
      <c r="W3250" s="29">
        <f t="shared" si="494"/>
        <v>0</v>
      </c>
      <c r="X3250" s="30">
        <f t="shared" si="495"/>
        <v>0</v>
      </c>
      <c r="Y3250"/>
      <c r="Z3250"/>
      <c r="AA3250"/>
    </row>
    <row r="3251" spans="1:27" s="51" customFormat="1" ht="18.600000000000001" hidden="1" customHeight="1" x14ac:dyDescent="0.25">
      <c r="A3251" s="81" t="s">
        <v>2653</v>
      </c>
      <c r="B3251" s="31" t="s">
        <v>9396</v>
      </c>
      <c r="C3251" s="32" t="s">
        <v>9401</v>
      </c>
      <c r="D3251" s="31">
        <v>8435568312708</v>
      </c>
      <c r="E3251" s="33" t="s">
        <v>8260</v>
      </c>
      <c r="F3251" s="33" t="s">
        <v>1937</v>
      </c>
      <c r="G3251" s="33"/>
      <c r="H3251" s="84" t="s">
        <v>8261</v>
      </c>
      <c r="I3251" s="23" t="s">
        <v>24</v>
      </c>
      <c r="J3251" s="34">
        <v>450</v>
      </c>
      <c r="K3251" s="35">
        <v>0.25</v>
      </c>
      <c r="L3251" s="36">
        <f t="shared" si="487"/>
        <v>112.5</v>
      </c>
      <c r="M3251" s="37">
        <f t="shared" si="488"/>
        <v>337.5</v>
      </c>
      <c r="N3251" s="38">
        <v>0.16</v>
      </c>
      <c r="O3251" s="39">
        <f t="shared" si="489"/>
        <v>54</v>
      </c>
      <c r="P3251" s="40">
        <f t="shared" si="490"/>
        <v>391.5</v>
      </c>
      <c r="Q3251" s="23"/>
      <c r="R3251" s="56"/>
      <c r="S3251" s="57"/>
      <c r="T3251" s="58">
        <f t="shared" si="491"/>
        <v>0</v>
      </c>
      <c r="U3251" s="36">
        <f t="shared" si="492"/>
        <v>0</v>
      </c>
      <c r="V3251" s="59">
        <f t="shared" si="493"/>
        <v>0</v>
      </c>
      <c r="W3251" s="39">
        <f t="shared" si="494"/>
        <v>0</v>
      </c>
      <c r="X3251" s="40">
        <f t="shared" si="495"/>
        <v>0</v>
      </c>
      <c r="Y3251"/>
      <c r="Z3251"/>
      <c r="AA3251"/>
    </row>
    <row r="3252" spans="1:27" s="51" customFormat="1" ht="18.600000000000001" hidden="1" customHeight="1" x14ac:dyDescent="0.25">
      <c r="A3252" s="82" t="s">
        <v>2653</v>
      </c>
      <c r="B3252" s="41" t="s">
        <v>9396</v>
      </c>
      <c r="C3252" s="42" t="s">
        <v>9401</v>
      </c>
      <c r="D3252" s="41">
        <v>8435568312807</v>
      </c>
      <c r="E3252" s="43" t="s">
        <v>8262</v>
      </c>
      <c r="F3252" s="43" t="s">
        <v>1937</v>
      </c>
      <c r="G3252" s="43"/>
      <c r="H3252" s="85" t="s">
        <v>8263</v>
      </c>
      <c r="I3252" s="23" t="s">
        <v>24</v>
      </c>
      <c r="J3252" s="44">
        <v>450</v>
      </c>
      <c r="K3252" s="45">
        <v>0.25</v>
      </c>
      <c r="L3252" s="46">
        <f t="shared" si="487"/>
        <v>112.5</v>
      </c>
      <c r="M3252" s="47">
        <f t="shared" si="488"/>
        <v>337.5</v>
      </c>
      <c r="N3252" s="48">
        <v>0.16</v>
      </c>
      <c r="O3252" s="49">
        <f t="shared" si="489"/>
        <v>54</v>
      </c>
      <c r="P3252" s="50">
        <f t="shared" si="490"/>
        <v>391.5</v>
      </c>
      <c r="Q3252" s="23"/>
      <c r="R3252" s="60"/>
      <c r="S3252" s="61"/>
      <c r="T3252" s="62">
        <f t="shared" si="491"/>
        <v>0</v>
      </c>
      <c r="U3252" s="46">
        <f t="shared" si="492"/>
        <v>0</v>
      </c>
      <c r="V3252" s="63">
        <f t="shared" si="493"/>
        <v>0</v>
      </c>
      <c r="W3252" s="49">
        <f t="shared" si="494"/>
        <v>0</v>
      </c>
      <c r="X3252" s="50">
        <f t="shared" si="495"/>
        <v>0</v>
      </c>
      <c r="Y3252"/>
      <c r="Z3252"/>
      <c r="AA3252"/>
    </row>
    <row r="3253" spans="1:27" s="51" customFormat="1" ht="18.600000000000001" hidden="1" customHeight="1" x14ac:dyDescent="0.25">
      <c r="A3253" s="80" t="s">
        <v>2653</v>
      </c>
      <c r="B3253" s="20" t="s">
        <v>9396</v>
      </c>
      <c r="C3253" s="21" t="s">
        <v>9401</v>
      </c>
      <c r="D3253" s="20">
        <v>8435568312814</v>
      </c>
      <c r="E3253" s="22" t="s">
        <v>8264</v>
      </c>
      <c r="F3253" s="22" t="s">
        <v>1937</v>
      </c>
      <c r="G3253" s="22"/>
      <c r="H3253" s="83" t="s">
        <v>8265</v>
      </c>
      <c r="I3253" s="23" t="s">
        <v>24</v>
      </c>
      <c r="J3253" s="24">
        <v>450</v>
      </c>
      <c r="K3253" s="25">
        <v>0.25</v>
      </c>
      <c r="L3253" s="26">
        <f t="shared" si="487"/>
        <v>112.5</v>
      </c>
      <c r="M3253" s="27">
        <f t="shared" si="488"/>
        <v>337.5</v>
      </c>
      <c r="N3253" s="28">
        <v>0.16</v>
      </c>
      <c r="O3253" s="29">
        <f t="shared" si="489"/>
        <v>54</v>
      </c>
      <c r="P3253" s="30">
        <f t="shared" si="490"/>
        <v>391.5</v>
      </c>
      <c r="Q3253" s="23"/>
      <c r="R3253" s="52"/>
      <c r="S3253" s="53"/>
      <c r="T3253" s="54">
        <f t="shared" si="491"/>
        <v>0</v>
      </c>
      <c r="U3253" s="26">
        <f t="shared" si="492"/>
        <v>0</v>
      </c>
      <c r="V3253" s="55">
        <f t="shared" si="493"/>
        <v>0</v>
      </c>
      <c r="W3253" s="29">
        <f t="shared" si="494"/>
        <v>0</v>
      </c>
      <c r="X3253" s="30">
        <f t="shared" si="495"/>
        <v>0</v>
      </c>
      <c r="Y3253"/>
      <c r="Z3253"/>
      <c r="AA3253"/>
    </row>
    <row r="3254" spans="1:27" s="51" customFormat="1" ht="18.600000000000001" hidden="1" customHeight="1" x14ac:dyDescent="0.25">
      <c r="A3254" s="81" t="s">
        <v>2653</v>
      </c>
      <c r="B3254" s="31" t="s">
        <v>9396</v>
      </c>
      <c r="C3254" s="32" t="s">
        <v>9401</v>
      </c>
      <c r="D3254" s="31">
        <v>8435568334663</v>
      </c>
      <c r="E3254" s="33" t="s">
        <v>8266</v>
      </c>
      <c r="F3254" s="33" t="s">
        <v>1937</v>
      </c>
      <c r="G3254" s="33"/>
      <c r="H3254" s="84" t="s">
        <v>8267</v>
      </c>
      <c r="I3254" s="23" t="s">
        <v>24</v>
      </c>
      <c r="J3254" s="34">
        <v>450</v>
      </c>
      <c r="K3254" s="35">
        <v>0.25</v>
      </c>
      <c r="L3254" s="36">
        <f t="shared" si="487"/>
        <v>112.5</v>
      </c>
      <c r="M3254" s="37">
        <f t="shared" si="488"/>
        <v>337.5</v>
      </c>
      <c r="N3254" s="38">
        <v>0.16</v>
      </c>
      <c r="O3254" s="39">
        <f t="shared" si="489"/>
        <v>54</v>
      </c>
      <c r="P3254" s="40">
        <f t="shared" si="490"/>
        <v>391.5</v>
      </c>
      <c r="Q3254" s="23"/>
      <c r="R3254" s="56"/>
      <c r="S3254" s="57"/>
      <c r="T3254" s="58">
        <f t="shared" si="491"/>
        <v>0</v>
      </c>
      <c r="U3254" s="36">
        <f t="shared" si="492"/>
        <v>0</v>
      </c>
      <c r="V3254" s="59">
        <f t="shared" si="493"/>
        <v>0</v>
      </c>
      <c r="W3254" s="39">
        <f t="shared" si="494"/>
        <v>0</v>
      </c>
      <c r="X3254" s="40">
        <f t="shared" si="495"/>
        <v>0</v>
      </c>
      <c r="Y3254"/>
      <c r="Z3254"/>
      <c r="AA3254"/>
    </row>
    <row r="3255" spans="1:27" s="51" customFormat="1" ht="18.600000000000001" hidden="1" customHeight="1" x14ac:dyDescent="0.25">
      <c r="A3255" s="82" t="s">
        <v>2653</v>
      </c>
      <c r="B3255" s="41" t="s">
        <v>9396</v>
      </c>
      <c r="C3255" s="42" t="s">
        <v>9401</v>
      </c>
      <c r="D3255" s="41">
        <v>8435568334670</v>
      </c>
      <c r="E3255" s="43" t="s">
        <v>8268</v>
      </c>
      <c r="F3255" s="43" t="s">
        <v>1937</v>
      </c>
      <c r="G3255" s="43"/>
      <c r="H3255" s="85" t="s">
        <v>8269</v>
      </c>
      <c r="I3255" s="23" t="s">
        <v>24</v>
      </c>
      <c r="J3255" s="44">
        <v>450</v>
      </c>
      <c r="K3255" s="45">
        <v>0.25</v>
      </c>
      <c r="L3255" s="46">
        <f t="shared" si="487"/>
        <v>112.5</v>
      </c>
      <c r="M3255" s="47">
        <f t="shared" si="488"/>
        <v>337.5</v>
      </c>
      <c r="N3255" s="48">
        <v>0.16</v>
      </c>
      <c r="O3255" s="49">
        <f t="shared" si="489"/>
        <v>54</v>
      </c>
      <c r="P3255" s="50">
        <f t="shared" si="490"/>
        <v>391.5</v>
      </c>
      <c r="Q3255" s="23"/>
      <c r="R3255" s="60"/>
      <c r="S3255" s="61"/>
      <c r="T3255" s="62">
        <f t="shared" si="491"/>
        <v>0</v>
      </c>
      <c r="U3255" s="46">
        <f t="shared" si="492"/>
        <v>0</v>
      </c>
      <c r="V3255" s="63">
        <f t="shared" si="493"/>
        <v>0</v>
      </c>
      <c r="W3255" s="49">
        <f t="shared" si="494"/>
        <v>0</v>
      </c>
      <c r="X3255" s="50">
        <f t="shared" si="495"/>
        <v>0</v>
      </c>
      <c r="Y3255"/>
      <c r="Z3255"/>
      <c r="AA3255"/>
    </row>
    <row r="3256" spans="1:27" s="51" customFormat="1" ht="18.600000000000001" hidden="1" customHeight="1" x14ac:dyDescent="0.25">
      <c r="A3256" s="80" t="s">
        <v>2653</v>
      </c>
      <c r="B3256" s="20" t="s">
        <v>9396</v>
      </c>
      <c r="C3256" s="21" t="s">
        <v>9401</v>
      </c>
      <c r="D3256" s="20">
        <v>8435568337602</v>
      </c>
      <c r="E3256" s="22" t="s">
        <v>9605</v>
      </c>
      <c r="F3256" s="22" t="s">
        <v>1937</v>
      </c>
      <c r="G3256" s="22"/>
      <c r="H3256" s="83" t="s">
        <v>8271</v>
      </c>
      <c r="I3256" s="23" t="s">
        <v>24</v>
      </c>
      <c r="J3256" s="24">
        <v>460</v>
      </c>
      <c r="K3256" s="25">
        <v>0.25</v>
      </c>
      <c r="L3256" s="26">
        <f t="shared" si="487"/>
        <v>115</v>
      </c>
      <c r="M3256" s="27">
        <f t="shared" si="488"/>
        <v>345</v>
      </c>
      <c r="N3256" s="28">
        <v>0.16</v>
      </c>
      <c r="O3256" s="29">
        <f t="shared" si="489"/>
        <v>55.2</v>
      </c>
      <c r="P3256" s="30">
        <f t="shared" si="490"/>
        <v>400.2</v>
      </c>
      <c r="Q3256" s="23"/>
      <c r="R3256" s="52"/>
      <c r="S3256" s="53"/>
      <c r="T3256" s="54">
        <f t="shared" si="491"/>
        <v>0</v>
      </c>
      <c r="U3256" s="26">
        <f t="shared" si="492"/>
        <v>0</v>
      </c>
      <c r="V3256" s="55">
        <f t="shared" si="493"/>
        <v>0</v>
      </c>
      <c r="W3256" s="29">
        <f t="shared" si="494"/>
        <v>0</v>
      </c>
      <c r="X3256" s="30">
        <f t="shared" si="495"/>
        <v>0</v>
      </c>
      <c r="Y3256"/>
      <c r="Z3256"/>
      <c r="AA3256"/>
    </row>
    <row r="3257" spans="1:27" s="51" customFormat="1" ht="18.600000000000001" hidden="1" customHeight="1" x14ac:dyDescent="0.25">
      <c r="A3257" s="81" t="s">
        <v>2653</v>
      </c>
      <c r="B3257" s="31" t="s">
        <v>9396</v>
      </c>
      <c r="C3257" s="32" t="s">
        <v>9401</v>
      </c>
      <c r="D3257" s="31">
        <v>8435568337619</v>
      </c>
      <c r="E3257" s="33" t="s">
        <v>9606</v>
      </c>
      <c r="F3257" s="33" t="s">
        <v>1937</v>
      </c>
      <c r="G3257" s="33"/>
      <c r="H3257" s="84" t="s">
        <v>8272</v>
      </c>
      <c r="I3257" s="23" t="s">
        <v>24</v>
      </c>
      <c r="J3257" s="34">
        <v>460</v>
      </c>
      <c r="K3257" s="35">
        <v>0.25</v>
      </c>
      <c r="L3257" s="36">
        <f t="shared" si="487"/>
        <v>115</v>
      </c>
      <c r="M3257" s="37">
        <f t="shared" si="488"/>
        <v>345</v>
      </c>
      <c r="N3257" s="38">
        <v>0.16</v>
      </c>
      <c r="O3257" s="39">
        <f t="shared" si="489"/>
        <v>55.2</v>
      </c>
      <c r="P3257" s="40">
        <f t="shared" si="490"/>
        <v>400.2</v>
      </c>
      <c r="Q3257" s="23"/>
      <c r="R3257" s="56"/>
      <c r="S3257" s="57"/>
      <c r="T3257" s="58">
        <f t="shared" si="491"/>
        <v>0</v>
      </c>
      <c r="U3257" s="36">
        <f t="shared" si="492"/>
        <v>0</v>
      </c>
      <c r="V3257" s="59">
        <f t="shared" si="493"/>
        <v>0</v>
      </c>
      <c r="W3257" s="39">
        <f t="shared" si="494"/>
        <v>0</v>
      </c>
      <c r="X3257" s="40">
        <f t="shared" si="495"/>
        <v>0</v>
      </c>
      <c r="Y3257"/>
      <c r="Z3257"/>
      <c r="AA3257"/>
    </row>
    <row r="3258" spans="1:27" s="51" customFormat="1" ht="18.600000000000001" hidden="1" customHeight="1" x14ac:dyDescent="0.25">
      <c r="A3258" s="82" t="s">
        <v>2653</v>
      </c>
      <c r="B3258" s="41" t="s">
        <v>9396</v>
      </c>
      <c r="C3258" s="42" t="s">
        <v>9401</v>
      </c>
      <c r="D3258" s="41" t="s">
        <v>8273</v>
      </c>
      <c r="E3258" s="43" t="s">
        <v>7965</v>
      </c>
      <c r="F3258" s="43" t="s">
        <v>1937</v>
      </c>
      <c r="G3258" s="43"/>
      <c r="H3258" s="85" t="s">
        <v>8274</v>
      </c>
      <c r="I3258" s="23" t="s">
        <v>24</v>
      </c>
      <c r="J3258" s="44">
        <v>450</v>
      </c>
      <c r="K3258" s="45">
        <v>0.25</v>
      </c>
      <c r="L3258" s="46">
        <f t="shared" si="487"/>
        <v>112.5</v>
      </c>
      <c r="M3258" s="47">
        <f t="shared" si="488"/>
        <v>337.5</v>
      </c>
      <c r="N3258" s="48">
        <v>0.16</v>
      </c>
      <c r="O3258" s="49">
        <f t="shared" si="489"/>
        <v>54</v>
      </c>
      <c r="P3258" s="50">
        <f t="shared" si="490"/>
        <v>391.5</v>
      </c>
      <c r="Q3258" s="23"/>
      <c r="R3258" s="60"/>
      <c r="S3258" s="61"/>
      <c r="T3258" s="62">
        <f t="shared" si="491"/>
        <v>0</v>
      </c>
      <c r="U3258" s="46">
        <f t="shared" si="492"/>
        <v>0</v>
      </c>
      <c r="V3258" s="63">
        <f t="shared" si="493"/>
        <v>0</v>
      </c>
      <c r="W3258" s="49">
        <f t="shared" si="494"/>
        <v>0</v>
      </c>
      <c r="X3258" s="50">
        <f t="shared" si="495"/>
        <v>0</v>
      </c>
      <c r="Y3258"/>
      <c r="Z3258"/>
      <c r="AA3258"/>
    </row>
    <row r="3259" spans="1:27" s="51" customFormat="1" ht="18.600000000000001" hidden="1" customHeight="1" x14ac:dyDescent="0.25">
      <c r="A3259" s="80" t="s">
        <v>2653</v>
      </c>
      <c r="B3259" s="20" t="s">
        <v>9396</v>
      </c>
      <c r="C3259" s="21" t="s">
        <v>9401</v>
      </c>
      <c r="D3259" s="20" t="s">
        <v>8275</v>
      </c>
      <c r="E3259" s="22" t="s">
        <v>8276</v>
      </c>
      <c r="F3259" s="22" t="s">
        <v>1937</v>
      </c>
      <c r="G3259" s="22"/>
      <c r="H3259" s="83" t="s">
        <v>8277</v>
      </c>
      <c r="I3259" s="23" t="s">
        <v>24</v>
      </c>
      <c r="J3259" s="24">
        <v>450</v>
      </c>
      <c r="K3259" s="25">
        <v>0.25</v>
      </c>
      <c r="L3259" s="26">
        <f t="shared" si="487"/>
        <v>112.5</v>
      </c>
      <c r="M3259" s="27">
        <f t="shared" si="488"/>
        <v>337.5</v>
      </c>
      <c r="N3259" s="28">
        <v>0.16</v>
      </c>
      <c r="O3259" s="29">
        <f t="shared" si="489"/>
        <v>54</v>
      </c>
      <c r="P3259" s="30">
        <f t="shared" si="490"/>
        <v>391.5</v>
      </c>
      <c r="Q3259" s="23"/>
      <c r="R3259" s="52"/>
      <c r="S3259" s="53"/>
      <c r="T3259" s="54">
        <f t="shared" si="491"/>
        <v>0</v>
      </c>
      <c r="U3259" s="26">
        <f t="shared" si="492"/>
        <v>0</v>
      </c>
      <c r="V3259" s="55">
        <f t="shared" si="493"/>
        <v>0</v>
      </c>
      <c r="W3259" s="29">
        <f t="shared" si="494"/>
        <v>0</v>
      </c>
      <c r="X3259" s="30">
        <f t="shared" si="495"/>
        <v>0</v>
      </c>
      <c r="Y3259"/>
      <c r="Z3259"/>
      <c r="AA3259"/>
    </row>
    <row r="3260" spans="1:27" s="51" customFormat="1" ht="18.600000000000001" hidden="1" customHeight="1" x14ac:dyDescent="0.25">
      <c r="A3260" s="81" t="s">
        <v>2653</v>
      </c>
      <c r="B3260" s="31" t="s">
        <v>9396</v>
      </c>
      <c r="C3260" s="32" t="s">
        <v>9401</v>
      </c>
      <c r="D3260" s="31" t="s">
        <v>9508</v>
      </c>
      <c r="E3260" s="33" t="s">
        <v>9607</v>
      </c>
      <c r="F3260" s="33" t="s">
        <v>1937</v>
      </c>
      <c r="G3260" s="33"/>
      <c r="H3260" s="84" t="s">
        <v>9745</v>
      </c>
      <c r="I3260" s="23" t="s">
        <v>24</v>
      </c>
      <c r="J3260" s="34">
        <v>450</v>
      </c>
      <c r="K3260" s="35">
        <v>0.25</v>
      </c>
      <c r="L3260" s="36">
        <f t="shared" si="487"/>
        <v>112.5</v>
      </c>
      <c r="M3260" s="37">
        <f t="shared" si="488"/>
        <v>337.5</v>
      </c>
      <c r="N3260" s="38">
        <v>0.16</v>
      </c>
      <c r="O3260" s="39">
        <f t="shared" si="489"/>
        <v>54</v>
      </c>
      <c r="P3260" s="40">
        <f t="shared" si="490"/>
        <v>391.5</v>
      </c>
      <c r="Q3260" s="23"/>
      <c r="R3260" s="56"/>
      <c r="S3260" s="57"/>
      <c r="T3260" s="58">
        <f t="shared" si="491"/>
        <v>0</v>
      </c>
      <c r="U3260" s="36">
        <f t="shared" si="492"/>
        <v>0</v>
      </c>
      <c r="V3260" s="59">
        <f t="shared" si="493"/>
        <v>0</v>
      </c>
      <c r="W3260" s="39">
        <f t="shared" si="494"/>
        <v>0</v>
      </c>
      <c r="X3260" s="40">
        <f t="shared" si="495"/>
        <v>0</v>
      </c>
      <c r="Y3260"/>
      <c r="Z3260"/>
      <c r="AA3260"/>
    </row>
    <row r="3261" spans="1:27" s="51" customFormat="1" ht="18.600000000000001" hidden="1" customHeight="1" x14ac:dyDescent="0.25">
      <c r="A3261" s="82" t="s">
        <v>2653</v>
      </c>
      <c r="B3261" s="41" t="s">
        <v>9396</v>
      </c>
      <c r="C3261" s="42" t="s">
        <v>9401</v>
      </c>
      <c r="D3261" s="41" t="s">
        <v>9509</v>
      </c>
      <c r="E3261" s="43" t="s">
        <v>9608</v>
      </c>
      <c r="F3261" s="43" t="s">
        <v>1937</v>
      </c>
      <c r="G3261" s="43"/>
      <c r="H3261" s="85" t="s">
        <v>9746</v>
      </c>
      <c r="I3261" s="23" t="s">
        <v>24</v>
      </c>
      <c r="J3261" s="44">
        <v>450</v>
      </c>
      <c r="K3261" s="45">
        <v>0.25</v>
      </c>
      <c r="L3261" s="46">
        <f t="shared" si="487"/>
        <v>112.5</v>
      </c>
      <c r="M3261" s="47">
        <f t="shared" si="488"/>
        <v>337.5</v>
      </c>
      <c r="N3261" s="48">
        <v>0.16</v>
      </c>
      <c r="O3261" s="49">
        <f t="shared" si="489"/>
        <v>54</v>
      </c>
      <c r="P3261" s="50">
        <f t="shared" si="490"/>
        <v>391.5</v>
      </c>
      <c r="Q3261" s="23"/>
      <c r="R3261" s="60"/>
      <c r="S3261" s="61"/>
      <c r="T3261" s="62">
        <f t="shared" si="491"/>
        <v>0</v>
      </c>
      <c r="U3261" s="46">
        <f t="shared" si="492"/>
        <v>0</v>
      </c>
      <c r="V3261" s="63">
        <f t="shared" si="493"/>
        <v>0</v>
      </c>
      <c r="W3261" s="49">
        <f t="shared" si="494"/>
        <v>0</v>
      </c>
      <c r="X3261" s="50">
        <f t="shared" si="495"/>
        <v>0</v>
      </c>
      <c r="Y3261"/>
      <c r="Z3261"/>
      <c r="AA3261"/>
    </row>
    <row r="3262" spans="1:27" s="51" customFormat="1" ht="18.600000000000001" hidden="1" customHeight="1" x14ac:dyDescent="0.25">
      <c r="A3262" s="80" t="s">
        <v>2653</v>
      </c>
      <c r="B3262" s="20" t="s">
        <v>9396</v>
      </c>
      <c r="C3262" s="21" t="s">
        <v>9401</v>
      </c>
      <c r="D3262" s="20" t="s">
        <v>8278</v>
      </c>
      <c r="E3262" s="22" t="s">
        <v>8279</v>
      </c>
      <c r="F3262" s="22" t="s">
        <v>1937</v>
      </c>
      <c r="G3262" s="22"/>
      <c r="H3262" s="83" t="s">
        <v>8280</v>
      </c>
      <c r="I3262" s="23" t="s">
        <v>24</v>
      </c>
      <c r="J3262" s="24">
        <v>450</v>
      </c>
      <c r="K3262" s="25">
        <v>0.25</v>
      </c>
      <c r="L3262" s="26">
        <f t="shared" si="487"/>
        <v>112.5</v>
      </c>
      <c r="M3262" s="27">
        <f t="shared" si="488"/>
        <v>337.5</v>
      </c>
      <c r="N3262" s="28">
        <v>0.16</v>
      </c>
      <c r="O3262" s="29">
        <f t="shared" si="489"/>
        <v>54</v>
      </c>
      <c r="P3262" s="30">
        <f t="shared" si="490"/>
        <v>391.5</v>
      </c>
      <c r="Q3262" s="23"/>
      <c r="R3262" s="52"/>
      <c r="S3262" s="53"/>
      <c r="T3262" s="54">
        <f t="shared" si="491"/>
        <v>0</v>
      </c>
      <c r="U3262" s="26">
        <f t="shared" si="492"/>
        <v>0</v>
      </c>
      <c r="V3262" s="55">
        <f t="shared" si="493"/>
        <v>0</v>
      </c>
      <c r="W3262" s="29">
        <f t="shared" si="494"/>
        <v>0</v>
      </c>
      <c r="X3262" s="30">
        <f t="shared" si="495"/>
        <v>0</v>
      </c>
      <c r="Y3262"/>
      <c r="Z3262"/>
      <c r="AA3262"/>
    </row>
    <row r="3263" spans="1:27" s="51" customFormat="1" ht="18.600000000000001" hidden="1" customHeight="1" x14ac:dyDescent="0.25">
      <c r="A3263" s="81" t="s">
        <v>2653</v>
      </c>
      <c r="B3263" s="31" t="s">
        <v>9396</v>
      </c>
      <c r="C3263" s="32" t="s">
        <v>9401</v>
      </c>
      <c r="D3263" s="31" t="s">
        <v>8281</v>
      </c>
      <c r="E3263" s="33" t="s">
        <v>8282</v>
      </c>
      <c r="F3263" s="33" t="s">
        <v>1937</v>
      </c>
      <c r="G3263" s="33"/>
      <c r="H3263" s="84" t="s">
        <v>8283</v>
      </c>
      <c r="I3263" s="23" t="s">
        <v>24</v>
      </c>
      <c r="J3263" s="34">
        <v>450</v>
      </c>
      <c r="K3263" s="35">
        <v>0.25</v>
      </c>
      <c r="L3263" s="36">
        <f t="shared" si="487"/>
        <v>112.5</v>
      </c>
      <c r="M3263" s="37">
        <f t="shared" si="488"/>
        <v>337.5</v>
      </c>
      <c r="N3263" s="38">
        <v>0.16</v>
      </c>
      <c r="O3263" s="39">
        <f t="shared" si="489"/>
        <v>54</v>
      </c>
      <c r="P3263" s="40">
        <f t="shared" si="490"/>
        <v>391.5</v>
      </c>
      <c r="Q3263" s="23"/>
      <c r="R3263" s="56"/>
      <c r="S3263" s="57"/>
      <c r="T3263" s="58">
        <f t="shared" si="491"/>
        <v>0</v>
      </c>
      <c r="U3263" s="36">
        <f t="shared" si="492"/>
        <v>0</v>
      </c>
      <c r="V3263" s="59">
        <f t="shared" si="493"/>
        <v>0</v>
      </c>
      <c r="W3263" s="39">
        <f t="shared" si="494"/>
        <v>0</v>
      </c>
      <c r="X3263" s="40">
        <f t="shared" si="495"/>
        <v>0</v>
      </c>
      <c r="Y3263"/>
      <c r="Z3263"/>
      <c r="AA3263"/>
    </row>
    <row r="3264" spans="1:27" s="51" customFormat="1" ht="18.600000000000001" hidden="1" customHeight="1" x14ac:dyDescent="0.25">
      <c r="A3264" s="82" t="s">
        <v>2653</v>
      </c>
      <c r="B3264" s="41" t="s">
        <v>9396</v>
      </c>
      <c r="C3264" s="42" t="s">
        <v>9401</v>
      </c>
      <c r="D3264" s="41">
        <v>8435568335165</v>
      </c>
      <c r="E3264" s="43" t="s">
        <v>8270</v>
      </c>
      <c r="F3264" s="43" t="s">
        <v>1937</v>
      </c>
      <c r="G3264" s="43"/>
      <c r="H3264" s="85" t="s">
        <v>8284</v>
      </c>
      <c r="I3264" s="23" t="s">
        <v>24</v>
      </c>
      <c r="J3264" s="44">
        <v>450</v>
      </c>
      <c r="K3264" s="45">
        <v>0.25</v>
      </c>
      <c r="L3264" s="46">
        <f t="shared" si="487"/>
        <v>112.5</v>
      </c>
      <c r="M3264" s="47">
        <f t="shared" si="488"/>
        <v>337.5</v>
      </c>
      <c r="N3264" s="48">
        <v>0.16</v>
      </c>
      <c r="O3264" s="49">
        <f t="shared" si="489"/>
        <v>54</v>
      </c>
      <c r="P3264" s="50">
        <f t="shared" si="490"/>
        <v>391.5</v>
      </c>
      <c r="Q3264" s="23"/>
      <c r="R3264" s="60"/>
      <c r="S3264" s="61"/>
      <c r="T3264" s="62">
        <f t="shared" si="491"/>
        <v>0</v>
      </c>
      <c r="U3264" s="46">
        <f t="shared" si="492"/>
        <v>0</v>
      </c>
      <c r="V3264" s="63">
        <f t="shared" si="493"/>
        <v>0</v>
      </c>
      <c r="W3264" s="49">
        <f t="shared" si="494"/>
        <v>0</v>
      </c>
      <c r="X3264" s="50">
        <f t="shared" si="495"/>
        <v>0</v>
      </c>
      <c r="Y3264"/>
      <c r="Z3264"/>
      <c r="AA3264"/>
    </row>
    <row r="3265" spans="1:27" s="51" customFormat="1" ht="18.600000000000001" hidden="1" customHeight="1" x14ac:dyDescent="0.25">
      <c r="A3265" s="80" t="s">
        <v>2653</v>
      </c>
      <c r="B3265" s="20" t="s">
        <v>9396</v>
      </c>
      <c r="C3265" s="21" t="s">
        <v>9401</v>
      </c>
      <c r="D3265" s="20">
        <v>8435568335172</v>
      </c>
      <c r="E3265" s="22" t="s">
        <v>8285</v>
      </c>
      <c r="F3265" s="22" t="s">
        <v>1937</v>
      </c>
      <c r="G3265" s="22"/>
      <c r="H3265" s="83" t="s">
        <v>8286</v>
      </c>
      <c r="I3265" s="23" t="s">
        <v>24</v>
      </c>
      <c r="J3265" s="24">
        <v>450</v>
      </c>
      <c r="K3265" s="25">
        <v>0.25</v>
      </c>
      <c r="L3265" s="26">
        <f t="shared" si="487"/>
        <v>112.5</v>
      </c>
      <c r="M3265" s="27">
        <f t="shared" si="488"/>
        <v>337.5</v>
      </c>
      <c r="N3265" s="28">
        <v>0.16</v>
      </c>
      <c r="O3265" s="29">
        <f t="shared" si="489"/>
        <v>54</v>
      </c>
      <c r="P3265" s="30">
        <f t="shared" si="490"/>
        <v>391.5</v>
      </c>
      <c r="Q3265" s="23"/>
      <c r="R3265" s="52"/>
      <c r="S3265" s="53"/>
      <c r="T3265" s="54">
        <f t="shared" si="491"/>
        <v>0</v>
      </c>
      <c r="U3265" s="26">
        <f t="shared" si="492"/>
        <v>0</v>
      </c>
      <c r="V3265" s="55">
        <f t="shared" si="493"/>
        <v>0</v>
      </c>
      <c r="W3265" s="29">
        <f t="shared" si="494"/>
        <v>0</v>
      </c>
      <c r="X3265" s="30">
        <f t="shared" si="495"/>
        <v>0</v>
      </c>
      <c r="Y3265"/>
      <c r="Z3265"/>
      <c r="AA3265"/>
    </row>
    <row r="3266" spans="1:27" s="51" customFormat="1" ht="18.600000000000001" hidden="1" customHeight="1" x14ac:dyDescent="0.25">
      <c r="A3266" s="81" t="s">
        <v>2653</v>
      </c>
      <c r="B3266" s="31" t="s">
        <v>9396</v>
      </c>
      <c r="C3266" s="32" t="s">
        <v>9401</v>
      </c>
      <c r="D3266" s="31" t="s">
        <v>8287</v>
      </c>
      <c r="E3266" s="33" t="s">
        <v>8288</v>
      </c>
      <c r="F3266" s="33" t="s">
        <v>1937</v>
      </c>
      <c r="G3266" s="33"/>
      <c r="H3266" s="84" t="s">
        <v>8289</v>
      </c>
      <c r="I3266" s="23" t="s">
        <v>24</v>
      </c>
      <c r="J3266" s="34">
        <v>450</v>
      </c>
      <c r="K3266" s="35">
        <v>0.25</v>
      </c>
      <c r="L3266" s="36">
        <f t="shared" si="487"/>
        <v>112.5</v>
      </c>
      <c r="M3266" s="37">
        <f t="shared" si="488"/>
        <v>337.5</v>
      </c>
      <c r="N3266" s="38">
        <v>0.16</v>
      </c>
      <c r="O3266" s="39">
        <f t="shared" si="489"/>
        <v>54</v>
      </c>
      <c r="P3266" s="40">
        <f t="shared" si="490"/>
        <v>391.5</v>
      </c>
      <c r="Q3266" s="23"/>
      <c r="R3266" s="56"/>
      <c r="S3266" s="57"/>
      <c r="T3266" s="58">
        <f t="shared" si="491"/>
        <v>0</v>
      </c>
      <c r="U3266" s="36">
        <f t="shared" si="492"/>
        <v>0</v>
      </c>
      <c r="V3266" s="59">
        <f t="shared" si="493"/>
        <v>0</v>
      </c>
      <c r="W3266" s="39">
        <f t="shared" si="494"/>
        <v>0</v>
      </c>
      <c r="X3266" s="40">
        <f t="shared" si="495"/>
        <v>0</v>
      </c>
      <c r="Y3266"/>
      <c r="Z3266"/>
      <c r="AA3266"/>
    </row>
    <row r="3267" spans="1:27" s="51" customFormat="1" ht="18.600000000000001" hidden="1" customHeight="1" x14ac:dyDescent="0.25">
      <c r="A3267" s="82" t="s">
        <v>2653</v>
      </c>
      <c r="B3267" s="41" t="s">
        <v>9396</v>
      </c>
      <c r="C3267" s="42" t="s">
        <v>9401</v>
      </c>
      <c r="D3267" s="41" t="s">
        <v>8290</v>
      </c>
      <c r="E3267" s="43" t="s">
        <v>8291</v>
      </c>
      <c r="F3267" s="43" t="s">
        <v>1937</v>
      </c>
      <c r="G3267" s="43"/>
      <c r="H3267" s="85" t="s">
        <v>8292</v>
      </c>
      <c r="I3267" s="23" t="s">
        <v>24</v>
      </c>
      <c r="J3267" s="44">
        <v>450</v>
      </c>
      <c r="K3267" s="45">
        <v>0.25</v>
      </c>
      <c r="L3267" s="46">
        <f t="shared" si="487"/>
        <v>112.5</v>
      </c>
      <c r="M3267" s="47">
        <f t="shared" si="488"/>
        <v>337.5</v>
      </c>
      <c r="N3267" s="48">
        <v>0.16</v>
      </c>
      <c r="O3267" s="49">
        <f t="shared" si="489"/>
        <v>54</v>
      </c>
      <c r="P3267" s="50">
        <f t="shared" si="490"/>
        <v>391.5</v>
      </c>
      <c r="Q3267" s="23"/>
      <c r="R3267" s="60"/>
      <c r="S3267" s="61"/>
      <c r="T3267" s="62">
        <f t="shared" si="491"/>
        <v>0</v>
      </c>
      <c r="U3267" s="46">
        <f t="shared" si="492"/>
        <v>0</v>
      </c>
      <c r="V3267" s="63">
        <f t="shared" si="493"/>
        <v>0</v>
      </c>
      <c r="W3267" s="49">
        <f t="shared" si="494"/>
        <v>0</v>
      </c>
      <c r="X3267" s="50">
        <f t="shared" si="495"/>
        <v>0</v>
      </c>
      <c r="Y3267"/>
      <c r="Z3267"/>
      <c r="AA3267"/>
    </row>
    <row r="3268" spans="1:27" s="51" customFormat="1" ht="18.600000000000001" hidden="1" customHeight="1" x14ac:dyDescent="0.25">
      <c r="A3268" s="80" t="s">
        <v>2653</v>
      </c>
      <c r="B3268" s="20" t="s">
        <v>9396</v>
      </c>
      <c r="C3268" s="21" t="s">
        <v>9401</v>
      </c>
      <c r="D3268" s="20" t="s">
        <v>8293</v>
      </c>
      <c r="E3268" s="22" t="s">
        <v>8294</v>
      </c>
      <c r="F3268" s="22" t="s">
        <v>1937</v>
      </c>
      <c r="G3268" s="22"/>
      <c r="H3268" s="83" t="s">
        <v>8295</v>
      </c>
      <c r="I3268" s="23" t="s">
        <v>24</v>
      </c>
      <c r="J3268" s="24">
        <v>450</v>
      </c>
      <c r="K3268" s="25">
        <v>0.25</v>
      </c>
      <c r="L3268" s="26">
        <f t="shared" si="487"/>
        <v>112.5</v>
      </c>
      <c r="M3268" s="27">
        <f t="shared" si="488"/>
        <v>337.5</v>
      </c>
      <c r="N3268" s="28">
        <v>0.16</v>
      </c>
      <c r="O3268" s="29">
        <f t="shared" si="489"/>
        <v>54</v>
      </c>
      <c r="P3268" s="30">
        <f t="shared" si="490"/>
        <v>391.5</v>
      </c>
      <c r="Q3268" s="23"/>
      <c r="R3268" s="52"/>
      <c r="S3268" s="53"/>
      <c r="T3268" s="54">
        <f t="shared" si="491"/>
        <v>0</v>
      </c>
      <c r="U3268" s="26">
        <f t="shared" si="492"/>
        <v>0</v>
      </c>
      <c r="V3268" s="55">
        <f t="shared" si="493"/>
        <v>0</v>
      </c>
      <c r="W3268" s="29">
        <f t="shared" si="494"/>
        <v>0</v>
      </c>
      <c r="X3268" s="30">
        <f t="shared" si="495"/>
        <v>0</v>
      </c>
      <c r="Y3268"/>
      <c r="Z3268"/>
      <c r="AA3268"/>
    </row>
    <row r="3269" spans="1:27" s="51" customFormat="1" ht="18.600000000000001" hidden="1" customHeight="1" x14ac:dyDescent="0.25">
      <c r="A3269" s="81" t="s">
        <v>2653</v>
      </c>
      <c r="B3269" s="31" t="s">
        <v>9396</v>
      </c>
      <c r="C3269" s="32" t="s">
        <v>9401</v>
      </c>
      <c r="D3269" s="31" t="s">
        <v>8296</v>
      </c>
      <c r="E3269" s="33" t="s">
        <v>8297</v>
      </c>
      <c r="F3269" s="33" t="s">
        <v>1937</v>
      </c>
      <c r="G3269" s="33"/>
      <c r="H3269" s="84" t="s">
        <v>8298</v>
      </c>
      <c r="I3269" s="23" t="s">
        <v>24</v>
      </c>
      <c r="J3269" s="34">
        <v>450</v>
      </c>
      <c r="K3269" s="35">
        <v>0.25</v>
      </c>
      <c r="L3269" s="36">
        <f t="shared" si="487"/>
        <v>112.5</v>
      </c>
      <c r="M3269" s="37">
        <f t="shared" si="488"/>
        <v>337.5</v>
      </c>
      <c r="N3269" s="38">
        <v>0.16</v>
      </c>
      <c r="O3269" s="39">
        <f t="shared" si="489"/>
        <v>54</v>
      </c>
      <c r="P3269" s="40">
        <f t="shared" si="490"/>
        <v>391.5</v>
      </c>
      <c r="Q3269" s="23"/>
      <c r="R3269" s="56"/>
      <c r="S3269" s="57"/>
      <c r="T3269" s="58">
        <f t="shared" si="491"/>
        <v>0</v>
      </c>
      <c r="U3269" s="36">
        <f t="shared" si="492"/>
        <v>0</v>
      </c>
      <c r="V3269" s="59">
        <f t="shared" si="493"/>
        <v>0</v>
      </c>
      <c r="W3269" s="39">
        <f t="shared" si="494"/>
        <v>0</v>
      </c>
      <c r="X3269" s="40">
        <f t="shared" si="495"/>
        <v>0</v>
      </c>
      <c r="Y3269"/>
      <c r="Z3269"/>
      <c r="AA3269"/>
    </row>
    <row r="3270" spans="1:27" s="51" customFormat="1" ht="18.600000000000001" hidden="1" customHeight="1" x14ac:dyDescent="0.25">
      <c r="A3270" s="82" t="s">
        <v>2653</v>
      </c>
      <c r="B3270" s="41" t="s">
        <v>9396</v>
      </c>
      <c r="C3270" s="42" t="s">
        <v>9402</v>
      </c>
      <c r="D3270" s="41" t="s">
        <v>8299</v>
      </c>
      <c r="E3270" s="43" t="s">
        <v>8300</v>
      </c>
      <c r="F3270" s="43" t="s">
        <v>1937</v>
      </c>
      <c r="G3270" s="43"/>
      <c r="H3270" s="85" t="s">
        <v>8301</v>
      </c>
      <c r="I3270" s="23" t="s">
        <v>24</v>
      </c>
      <c r="J3270" s="44">
        <v>370</v>
      </c>
      <c r="K3270" s="45">
        <v>0.25</v>
      </c>
      <c r="L3270" s="46">
        <f t="shared" si="487"/>
        <v>92.5</v>
      </c>
      <c r="M3270" s="47">
        <f t="shared" si="488"/>
        <v>277.5</v>
      </c>
      <c r="N3270" s="48">
        <v>0.16</v>
      </c>
      <c r="O3270" s="49">
        <f t="shared" si="489"/>
        <v>44.4</v>
      </c>
      <c r="P3270" s="50">
        <f t="shared" si="490"/>
        <v>321.89999999999998</v>
      </c>
      <c r="Q3270" s="23"/>
      <c r="R3270" s="60"/>
      <c r="S3270" s="61"/>
      <c r="T3270" s="62">
        <f t="shared" si="491"/>
        <v>0</v>
      </c>
      <c r="U3270" s="46">
        <f t="shared" si="492"/>
        <v>0</v>
      </c>
      <c r="V3270" s="63">
        <f t="shared" si="493"/>
        <v>0</v>
      </c>
      <c r="W3270" s="49">
        <f t="shared" si="494"/>
        <v>0</v>
      </c>
      <c r="X3270" s="50">
        <f t="shared" si="495"/>
        <v>0</v>
      </c>
      <c r="Y3270"/>
      <c r="Z3270"/>
      <c r="AA3270"/>
    </row>
    <row r="3271" spans="1:27" s="51" customFormat="1" ht="18.600000000000001" hidden="1" customHeight="1" x14ac:dyDescent="0.25">
      <c r="A3271" s="80" t="s">
        <v>2653</v>
      </c>
      <c r="B3271" s="20" t="s">
        <v>9396</v>
      </c>
      <c r="C3271" s="21" t="s">
        <v>9402</v>
      </c>
      <c r="D3271" s="20" t="s">
        <v>8302</v>
      </c>
      <c r="E3271" s="22" t="s">
        <v>8303</v>
      </c>
      <c r="F3271" s="22" t="s">
        <v>1937</v>
      </c>
      <c r="G3271" s="22"/>
      <c r="H3271" s="83" t="s">
        <v>8304</v>
      </c>
      <c r="I3271" s="23" t="s">
        <v>24</v>
      </c>
      <c r="J3271" s="24">
        <v>370</v>
      </c>
      <c r="K3271" s="25">
        <v>0.25</v>
      </c>
      <c r="L3271" s="26">
        <f t="shared" si="487"/>
        <v>92.5</v>
      </c>
      <c r="M3271" s="27">
        <f t="shared" si="488"/>
        <v>277.5</v>
      </c>
      <c r="N3271" s="28">
        <v>0.16</v>
      </c>
      <c r="O3271" s="29">
        <f t="shared" si="489"/>
        <v>44.4</v>
      </c>
      <c r="P3271" s="30">
        <f t="shared" si="490"/>
        <v>321.89999999999998</v>
      </c>
      <c r="Q3271" s="23"/>
      <c r="R3271" s="52"/>
      <c r="S3271" s="53"/>
      <c r="T3271" s="54">
        <f t="shared" si="491"/>
        <v>0</v>
      </c>
      <c r="U3271" s="26">
        <f t="shared" si="492"/>
        <v>0</v>
      </c>
      <c r="V3271" s="55">
        <f t="shared" si="493"/>
        <v>0</v>
      </c>
      <c r="W3271" s="29">
        <f t="shared" si="494"/>
        <v>0</v>
      </c>
      <c r="X3271" s="30">
        <f t="shared" si="495"/>
        <v>0</v>
      </c>
      <c r="Y3271"/>
      <c r="Z3271"/>
      <c r="AA3271"/>
    </row>
    <row r="3272" spans="1:27" s="51" customFormat="1" ht="18.600000000000001" hidden="1" customHeight="1" x14ac:dyDescent="0.25">
      <c r="A3272" s="81" t="s">
        <v>2653</v>
      </c>
      <c r="B3272" s="31" t="s">
        <v>9396</v>
      </c>
      <c r="C3272" s="32" t="s">
        <v>9402</v>
      </c>
      <c r="D3272" s="31" t="s">
        <v>8305</v>
      </c>
      <c r="E3272" s="33" t="s">
        <v>8306</v>
      </c>
      <c r="F3272" s="33" t="s">
        <v>1937</v>
      </c>
      <c r="G3272" s="33"/>
      <c r="H3272" s="84" t="s">
        <v>8307</v>
      </c>
      <c r="I3272" s="23" t="s">
        <v>24</v>
      </c>
      <c r="J3272" s="34">
        <v>370</v>
      </c>
      <c r="K3272" s="35">
        <v>0.25</v>
      </c>
      <c r="L3272" s="36">
        <f t="shared" si="487"/>
        <v>92.5</v>
      </c>
      <c r="M3272" s="37">
        <f t="shared" si="488"/>
        <v>277.5</v>
      </c>
      <c r="N3272" s="38">
        <v>0.16</v>
      </c>
      <c r="O3272" s="39">
        <f t="shared" si="489"/>
        <v>44.4</v>
      </c>
      <c r="P3272" s="40">
        <f t="shared" si="490"/>
        <v>321.89999999999998</v>
      </c>
      <c r="Q3272" s="23"/>
      <c r="R3272" s="56"/>
      <c r="S3272" s="57"/>
      <c r="T3272" s="58">
        <f t="shared" si="491"/>
        <v>0</v>
      </c>
      <c r="U3272" s="36">
        <f t="shared" si="492"/>
        <v>0</v>
      </c>
      <c r="V3272" s="59">
        <f t="shared" si="493"/>
        <v>0</v>
      </c>
      <c r="W3272" s="39">
        <f t="shared" si="494"/>
        <v>0</v>
      </c>
      <c r="X3272" s="40">
        <f t="shared" si="495"/>
        <v>0</v>
      </c>
      <c r="Y3272"/>
      <c r="Z3272"/>
      <c r="AA3272"/>
    </row>
    <row r="3273" spans="1:27" s="51" customFormat="1" ht="18.600000000000001" hidden="1" customHeight="1" x14ac:dyDescent="0.25">
      <c r="A3273" s="82" t="s">
        <v>2653</v>
      </c>
      <c r="B3273" s="41" t="s">
        <v>9396</v>
      </c>
      <c r="C3273" s="42" t="s">
        <v>9402</v>
      </c>
      <c r="D3273" s="41" t="s">
        <v>8308</v>
      </c>
      <c r="E3273" s="43" t="s">
        <v>8309</v>
      </c>
      <c r="F3273" s="43" t="s">
        <v>1937</v>
      </c>
      <c r="G3273" s="43"/>
      <c r="H3273" s="85" t="s">
        <v>8310</v>
      </c>
      <c r="I3273" s="23" t="s">
        <v>24</v>
      </c>
      <c r="J3273" s="44">
        <v>370</v>
      </c>
      <c r="K3273" s="45">
        <v>0.25</v>
      </c>
      <c r="L3273" s="46">
        <f t="shared" si="487"/>
        <v>92.5</v>
      </c>
      <c r="M3273" s="47">
        <f t="shared" si="488"/>
        <v>277.5</v>
      </c>
      <c r="N3273" s="48">
        <v>0.16</v>
      </c>
      <c r="O3273" s="49">
        <f t="shared" si="489"/>
        <v>44.4</v>
      </c>
      <c r="P3273" s="50">
        <f t="shared" si="490"/>
        <v>321.89999999999998</v>
      </c>
      <c r="Q3273" s="23"/>
      <c r="R3273" s="60"/>
      <c r="S3273" s="61"/>
      <c r="T3273" s="62">
        <f t="shared" si="491"/>
        <v>0</v>
      </c>
      <c r="U3273" s="46">
        <f t="shared" si="492"/>
        <v>0</v>
      </c>
      <c r="V3273" s="63">
        <f t="shared" si="493"/>
        <v>0</v>
      </c>
      <c r="W3273" s="49">
        <f t="shared" si="494"/>
        <v>0</v>
      </c>
      <c r="X3273" s="50">
        <f t="shared" si="495"/>
        <v>0</v>
      </c>
      <c r="Y3273"/>
      <c r="Z3273"/>
      <c r="AA3273"/>
    </row>
    <row r="3274" spans="1:27" s="51" customFormat="1" ht="18.600000000000001" hidden="1" customHeight="1" x14ac:dyDescent="0.25">
      <c r="A3274" s="80" t="s">
        <v>2653</v>
      </c>
      <c r="B3274" s="20" t="s">
        <v>9396</v>
      </c>
      <c r="C3274" s="21" t="s">
        <v>9402</v>
      </c>
      <c r="D3274" s="20" t="s">
        <v>8311</v>
      </c>
      <c r="E3274" s="22" t="s">
        <v>8312</v>
      </c>
      <c r="F3274" s="22" t="s">
        <v>1937</v>
      </c>
      <c r="G3274" s="22"/>
      <c r="H3274" s="83" t="s">
        <v>8313</v>
      </c>
      <c r="I3274" s="23" t="s">
        <v>24</v>
      </c>
      <c r="J3274" s="24">
        <v>370</v>
      </c>
      <c r="K3274" s="25">
        <v>0.25</v>
      </c>
      <c r="L3274" s="26">
        <f t="shared" si="487"/>
        <v>92.5</v>
      </c>
      <c r="M3274" s="27">
        <f t="shared" si="488"/>
        <v>277.5</v>
      </c>
      <c r="N3274" s="28">
        <v>0.16</v>
      </c>
      <c r="O3274" s="29">
        <f t="shared" si="489"/>
        <v>44.4</v>
      </c>
      <c r="P3274" s="30">
        <f t="shared" si="490"/>
        <v>321.89999999999998</v>
      </c>
      <c r="Q3274" s="23"/>
      <c r="R3274" s="52"/>
      <c r="S3274" s="53"/>
      <c r="T3274" s="54">
        <f t="shared" si="491"/>
        <v>0</v>
      </c>
      <c r="U3274" s="26">
        <f t="shared" si="492"/>
        <v>0</v>
      </c>
      <c r="V3274" s="55">
        <f t="shared" si="493"/>
        <v>0</v>
      </c>
      <c r="W3274" s="29">
        <f t="shared" si="494"/>
        <v>0</v>
      </c>
      <c r="X3274" s="30">
        <f t="shared" si="495"/>
        <v>0</v>
      </c>
      <c r="Y3274"/>
      <c r="Z3274"/>
      <c r="AA3274"/>
    </row>
    <row r="3275" spans="1:27" s="51" customFormat="1" ht="18.600000000000001" hidden="1" customHeight="1" x14ac:dyDescent="0.25">
      <c r="A3275" s="81" t="s">
        <v>2653</v>
      </c>
      <c r="B3275" s="31" t="s">
        <v>9396</v>
      </c>
      <c r="C3275" s="32" t="s">
        <v>9402</v>
      </c>
      <c r="D3275" s="31" t="s">
        <v>8314</v>
      </c>
      <c r="E3275" s="33" t="s">
        <v>8315</v>
      </c>
      <c r="F3275" s="33" t="s">
        <v>1937</v>
      </c>
      <c r="G3275" s="33"/>
      <c r="H3275" s="84" t="s">
        <v>8316</v>
      </c>
      <c r="I3275" s="23" t="s">
        <v>24</v>
      </c>
      <c r="J3275" s="34">
        <v>370</v>
      </c>
      <c r="K3275" s="35">
        <v>0.25</v>
      </c>
      <c r="L3275" s="36">
        <f t="shared" si="487"/>
        <v>92.5</v>
      </c>
      <c r="M3275" s="37">
        <f t="shared" si="488"/>
        <v>277.5</v>
      </c>
      <c r="N3275" s="38">
        <v>0.16</v>
      </c>
      <c r="O3275" s="39">
        <f t="shared" si="489"/>
        <v>44.4</v>
      </c>
      <c r="P3275" s="40">
        <f t="shared" si="490"/>
        <v>321.89999999999998</v>
      </c>
      <c r="Q3275" s="23"/>
      <c r="R3275" s="56"/>
      <c r="S3275" s="57"/>
      <c r="T3275" s="58">
        <f t="shared" si="491"/>
        <v>0</v>
      </c>
      <c r="U3275" s="36">
        <f t="shared" si="492"/>
        <v>0</v>
      </c>
      <c r="V3275" s="59">
        <f t="shared" si="493"/>
        <v>0</v>
      </c>
      <c r="W3275" s="39">
        <f t="shared" si="494"/>
        <v>0</v>
      </c>
      <c r="X3275" s="40">
        <f t="shared" si="495"/>
        <v>0</v>
      </c>
      <c r="Y3275"/>
      <c r="Z3275"/>
      <c r="AA3275"/>
    </row>
    <row r="3276" spans="1:27" s="51" customFormat="1" ht="18.600000000000001" hidden="1" customHeight="1" x14ac:dyDescent="0.25">
      <c r="A3276" s="82" t="s">
        <v>2653</v>
      </c>
      <c r="B3276" s="41" t="s">
        <v>9396</v>
      </c>
      <c r="C3276" s="42" t="s">
        <v>9402</v>
      </c>
      <c r="D3276" s="41" t="s">
        <v>8317</v>
      </c>
      <c r="E3276" s="43" t="s">
        <v>8318</v>
      </c>
      <c r="F3276" s="43" t="s">
        <v>1937</v>
      </c>
      <c r="G3276" s="43"/>
      <c r="H3276" s="85" t="s">
        <v>8319</v>
      </c>
      <c r="I3276" s="23" t="s">
        <v>24</v>
      </c>
      <c r="J3276" s="44">
        <v>370</v>
      </c>
      <c r="K3276" s="45">
        <v>0.25</v>
      </c>
      <c r="L3276" s="46">
        <f t="shared" si="487"/>
        <v>92.5</v>
      </c>
      <c r="M3276" s="47">
        <f t="shared" si="488"/>
        <v>277.5</v>
      </c>
      <c r="N3276" s="48">
        <v>0.16</v>
      </c>
      <c r="O3276" s="49">
        <f t="shared" si="489"/>
        <v>44.4</v>
      </c>
      <c r="P3276" s="50">
        <f t="shared" si="490"/>
        <v>321.89999999999998</v>
      </c>
      <c r="Q3276" s="23"/>
      <c r="R3276" s="60"/>
      <c r="S3276" s="61"/>
      <c r="T3276" s="62">
        <f t="shared" si="491"/>
        <v>0</v>
      </c>
      <c r="U3276" s="46">
        <f t="shared" si="492"/>
        <v>0</v>
      </c>
      <c r="V3276" s="63">
        <f t="shared" si="493"/>
        <v>0</v>
      </c>
      <c r="W3276" s="49">
        <f t="shared" si="494"/>
        <v>0</v>
      </c>
      <c r="X3276" s="50">
        <f t="shared" si="495"/>
        <v>0</v>
      </c>
      <c r="Y3276"/>
      <c r="Z3276"/>
      <c r="AA3276"/>
    </row>
    <row r="3277" spans="1:27" s="51" customFormat="1" ht="18.600000000000001" hidden="1" customHeight="1" x14ac:dyDescent="0.25">
      <c r="A3277" s="80" t="s">
        <v>2653</v>
      </c>
      <c r="B3277" s="20" t="s">
        <v>9396</v>
      </c>
      <c r="C3277" s="21" t="s">
        <v>9402</v>
      </c>
      <c r="D3277" s="20" t="s">
        <v>8320</v>
      </c>
      <c r="E3277" s="22" t="s">
        <v>8321</v>
      </c>
      <c r="F3277" s="22" t="s">
        <v>1937</v>
      </c>
      <c r="G3277" s="22"/>
      <c r="H3277" s="83" t="s">
        <v>8322</v>
      </c>
      <c r="I3277" s="23" t="s">
        <v>24</v>
      </c>
      <c r="J3277" s="24">
        <v>370</v>
      </c>
      <c r="K3277" s="25">
        <v>0.25</v>
      </c>
      <c r="L3277" s="26">
        <f t="shared" si="487"/>
        <v>92.5</v>
      </c>
      <c r="M3277" s="27">
        <f t="shared" si="488"/>
        <v>277.5</v>
      </c>
      <c r="N3277" s="28">
        <v>0.16</v>
      </c>
      <c r="O3277" s="29">
        <f t="shared" si="489"/>
        <v>44.4</v>
      </c>
      <c r="P3277" s="30">
        <f t="shared" si="490"/>
        <v>321.89999999999998</v>
      </c>
      <c r="Q3277" s="23"/>
      <c r="R3277" s="52"/>
      <c r="S3277" s="53"/>
      <c r="T3277" s="54">
        <f t="shared" si="491"/>
        <v>0</v>
      </c>
      <c r="U3277" s="26">
        <f t="shared" si="492"/>
        <v>0</v>
      </c>
      <c r="V3277" s="55">
        <f t="shared" si="493"/>
        <v>0</v>
      </c>
      <c r="W3277" s="29">
        <f t="shared" si="494"/>
        <v>0</v>
      </c>
      <c r="X3277" s="30">
        <f t="shared" si="495"/>
        <v>0</v>
      </c>
      <c r="Y3277"/>
      <c r="Z3277"/>
      <c r="AA3277"/>
    </row>
    <row r="3278" spans="1:27" s="51" customFormat="1" ht="18.600000000000001" hidden="1" customHeight="1" x14ac:dyDescent="0.25">
      <c r="A3278" s="81" t="s">
        <v>2653</v>
      </c>
      <c r="B3278" s="31" t="s">
        <v>9396</v>
      </c>
      <c r="C3278" s="32" t="s">
        <v>9402</v>
      </c>
      <c r="D3278" s="31" t="s">
        <v>8323</v>
      </c>
      <c r="E3278" s="33" t="s">
        <v>8324</v>
      </c>
      <c r="F3278" s="33" t="s">
        <v>1937</v>
      </c>
      <c r="G3278" s="33"/>
      <c r="H3278" s="84" t="s">
        <v>8325</v>
      </c>
      <c r="I3278" s="23" t="s">
        <v>24</v>
      </c>
      <c r="J3278" s="34">
        <v>370</v>
      </c>
      <c r="K3278" s="35">
        <v>0.25</v>
      </c>
      <c r="L3278" s="36">
        <f t="shared" si="487"/>
        <v>92.5</v>
      </c>
      <c r="M3278" s="37">
        <f t="shared" si="488"/>
        <v>277.5</v>
      </c>
      <c r="N3278" s="38">
        <v>0.16</v>
      </c>
      <c r="O3278" s="39">
        <f t="shared" si="489"/>
        <v>44.4</v>
      </c>
      <c r="P3278" s="40">
        <f t="shared" si="490"/>
        <v>321.89999999999998</v>
      </c>
      <c r="Q3278" s="23"/>
      <c r="R3278" s="56"/>
      <c r="S3278" s="57"/>
      <c r="T3278" s="58">
        <f t="shared" si="491"/>
        <v>0</v>
      </c>
      <c r="U3278" s="36">
        <f t="shared" si="492"/>
        <v>0</v>
      </c>
      <c r="V3278" s="59">
        <f t="shared" si="493"/>
        <v>0</v>
      </c>
      <c r="W3278" s="39">
        <f t="shared" si="494"/>
        <v>0</v>
      </c>
      <c r="X3278" s="40">
        <f t="shared" si="495"/>
        <v>0</v>
      </c>
      <c r="Y3278"/>
      <c r="Z3278"/>
      <c r="AA3278"/>
    </row>
    <row r="3279" spans="1:27" s="51" customFormat="1" ht="18.600000000000001" hidden="1" customHeight="1" x14ac:dyDescent="0.25">
      <c r="A3279" s="82" t="s">
        <v>2653</v>
      </c>
      <c r="B3279" s="41" t="s">
        <v>9396</v>
      </c>
      <c r="C3279" s="42" t="s">
        <v>9402</v>
      </c>
      <c r="D3279" s="41" t="s">
        <v>8326</v>
      </c>
      <c r="E3279" s="43" t="s">
        <v>8327</v>
      </c>
      <c r="F3279" s="43" t="s">
        <v>1937</v>
      </c>
      <c r="G3279" s="43"/>
      <c r="H3279" s="85" t="s">
        <v>8328</v>
      </c>
      <c r="I3279" s="23" t="s">
        <v>24</v>
      </c>
      <c r="J3279" s="44">
        <v>370</v>
      </c>
      <c r="K3279" s="45">
        <v>0.25</v>
      </c>
      <c r="L3279" s="46">
        <f t="shared" ref="L3279:L3342" si="496">+J3279*K3279</f>
        <v>92.5</v>
      </c>
      <c r="M3279" s="47">
        <f t="shared" ref="M3279:M3342" si="497">+J3279-L3279</f>
        <v>277.5</v>
      </c>
      <c r="N3279" s="48">
        <v>0.16</v>
      </c>
      <c r="O3279" s="49">
        <f t="shared" ref="O3279:O3342" si="498">+M3279*N3279</f>
        <v>44.4</v>
      </c>
      <c r="P3279" s="50">
        <f t="shared" ref="P3279:P3342" si="499">+M3279+O3279</f>
        <v>321.89999999999998</v>
      </c>
      <c r="Q3279" s="23"/>
      <c r="R3279" s="60"/>
      <c r="S3279" s="61"/>
      <c r="T3279" s="62">
        <f t="shared" ref="T3279:T3342" si="500">+S3279*J3279</f>
        <v>0</v>
      </c>
      <c r="U3279" s="46">
        <f t="shared" ref="U3279:U3342" si="501">+T3279*K3279</f>
        <v>0</v>
      </c>
      <c r="V3279" s="63">
        <f t="shared" ref="V3279:V3342" si="502">+T3279-U3279</f>
        <v>0</v>
      </c>
      <c r="W3279" s="49">
        <f t="shared" ref="W3279:W3342" si="503">+V3279*N3279</f>
        <v>0</v>
      </c>
      <c r="X3279" s="50">
        <f t="shared" ref="X3279:X3342" si="504">+V3279+W3279</f>
        <v>0</v>
      </c>
      <c r="Y3279"/>
      <c r="Z3279"/>
      <c r="AA3279"/>
    </row>
    <row r="3280" spans="1:27" s="51" customFormat="1" ht="18.600000000000001" hidden="1" customHeight="1" x14ac:dyDescent="0.25">
      <c r="A3280" s="80" t="s">
        <v>2653</v>
      </c>
      <c r="B3280" s="20" t="s">
        <v>9396</v>
      </c>
      <c r="C3280" s="21" t="s">
        <v>9402</v>
      </c>
      <c r="D3280" s="20" t="s">
        <v>8329</v>
      </c>
      <c r="E3280" s="22" t="s">
        <v>8330</v>
      </c>
      <c r="F3280" s="22" t="s">
        <v>1937</v>
      </c>
      <c r="G3280" s="22"/>
      <c r="H3280" s="83" t="s">
        <v>8331</v>
      </c>
      <c r="I3280" s="23" t="s">
        <v>24</v>
      </c>
      <c r="J3280" s="24">
        <v>370</v>
      </c>
      <c r="K3280" s="25">
        <v>0.25</v>
      </c>
      <c r="L3280" s="26">
        <f t="shared" si="496"/>
        <v>92.5</v>
      </c>
      <c r="M3280" s="27">
        <f t="shared" si="497"/>
        <v>277.5</v>
      </c>
      <c r="N3280" s="28">
        <v>0.16</v>
      </c>
      <c r="O3280" s="29">
        <f t="shared" si="498"/>
        <v>44.4</v>
      </c>
      <c r="P3280" s="30">
        <f t="shared" si="499"/>
        <v>321.89999999999998</v>
      </c>
      <c r="Q3280" s="23"/>
      <c r="R3280" s="52"/>
      <c r="S3280" s="53"/>
      <c r="T3280" s="54">
        <f t="shared" si="500"/>
        <v>0</v>
      </c>
      <c r="U3280" s="26">
        <f t="shared" si="501"/>
        <v>0</v>
      </c>
      <c r="V3280" s="55">
        <f t="shared" si="502"/>
        <v>0</v>
      </c>
      <c r="W3280" s="29">
        <f t="shared" si="503"/>
        <v>0</v>
      </c>
      <c r="X3280" s="30">
        <f t="shared" si="504"/>
        <v>0</v>
      </c>
      <c r="Y3280"/>
      <c r="Z3280"/>
      <c r="AA3280"/>
    </row>
    <row r="3281" spans="1:27" s="51" customFormat="1" ht="18.600000000000001" hidden="1" customHeight="1" x14ac:dyDescent="0.25">
      <c r="A3281" s="81" t="s">
        <v>2653</v>
      </c>
      <c r="B3281" s="31" t="s">
        <v>9396</v>
      </c>
      <c r="C3281" s="32" t="s">
        <v>9402</v>
      </c>
      <c r="D3281" s="31" t="s">
        <v>8332</v>
      </c>
      <c r="E3281" s="33" t="s">
        <v>8333</v>
      </c>
      <c r="F3281" s="33" t="s">
        <v>1937</v>
      </c>
      <c r="G3281" s="33"/>
      <c r="H3281" s="84" t="s">
        <v>8334</v>
      </c>
      <c r="I3281" s="23" t="s">
        <v>24</v>
      </c>
      <c r="J3281" s="34">
        <v>370</v>
      </c>
      <c r="K3281" s="35">
        <v>0.25</v>
      </c>
      <c r="L3281" s="36">
        <f t="shared" si="496"/>
        <v>92.5</v>
      </c>
      <c r="M3281" s="37">
        <f t="shared" si="497"/>
        <v>277.5</v>
      </c>
      <c r="N3281" s="38">
        <v>0.16</v>
      </c>
      <c r="O3281" s="39">
        <f t="shared" si="498"/>
        <v>44.4</v>
      </c>
      <c r="P3281" s="40">
        <f t="shared" si="499"/>
        <v>321.89999999999998</v>
      </c>
      <c r="Q3281" s="23"/>
      <c r="R3281" s="56"/>
      <c r="S3281" s="57"/>
      <c r="T3281" s="58">
        <f t="shared" si="500"/>
        <v>0</v>
      </c>
      <c r="U3281" s="36">
        <f t="shared" si="501"/>
        <v>0</v>
      </c>
      <c r="V3281" s="59">
        <f t="shared" si="502"/>
        <v>0</v>
      </c>
      <c r="W3281" s="39">
        <f t="shared" si="503"/>
        <v>0</v>
      </c>
      <c r="X3281" s="40">
        <f t="shared" si="504"/>
        <v>0</v>
      </c>
      <c r="Y3281"/>
      <c r="Z3281"/>
      <c r="AA3281"/>
    </row>
    <row r="3282" spans="1:27" s="51" customFormat="1" ht="18.600000000000001" hidden="1" customHeight="1" x14ac:dyDescent="0.25">
      <c r="A3282" s="82" t="s">
        <v>2653</v>
      </c>
      <c r="B3282" s="41" t="s">
        <v>9396</v>
      </c>
      <c r="C3282" s="42" t="s">
        <v>9402</v>
      </c>
      <c r="D3282" s="41" t="s">
        <v>8335</v>
      </c>
      <c r="E3282" s="43" t="s">
        <v>8336</v>
      </c>
      <c r="F3282" s="43" t="s">
        <v>1937</v>
      </c>
      <c r="G3282" s="43"/>
      <c r="H3282" s="85" t="s">
        <v>8337</v>
      </c>
      <c r="I3282" s="23" t="s">
        <v>24</v>
      </c>
      <c r="J3282" s="44">
        <v>370</v>
      </c>
      <c r="K3282" s="45">
        <v>0.25</v>
      </c>
      <c r="L3282" s="46">
        <f t="shared" si="496"/>
        <v>92.5</v>
      </c>
      <c r="M3282" s="47">
        <f t="shared" si="497"/>
        <v>277.5</v>
      </c>
      <c r="N3282" s="48">
        <v>0.16</v>
      </c>
      <c r="O3282" s="49">
        <f t="shared" si="498"/>
        <v>44.4</v>
      </c>
      <c r="P3282" s="50">
        <f t="shared" si="499"/>
        <v>321.89999999999998</v>
      </c>
      <c r="Q3282" s="23"/>
      <c r="R3282" s="60"/>
      <c r="S3282" s="61"/>
      <c r="T3282" s="62">
        <f t="shared" si="500"/>
        <v>0</v>
      </c>
      <c r="U3282" s="46">
        <f t="shared" si="501"/>
        <v>0</v>
      </c>
      <c r="V3282" s="63">
        <f t="shared" si="502"/>
        <v>0</v>
      </c>
      <c r="W3282" s="49">
        <f t="shared" si="503"/>
        <v>0</v>
      </c>
      <c r="X3282" s="50">
        <f t="shared" si="504"/>
        <v>0</v>
      </c>
      <c r="Y3282"/>
      <c r="Z3282"/>
      <c r="AA3282"/>
    </row>
    <row r="3283" spans="1:27" s="51" customFormat="1" ht="18.600000000000001" hidden="1" customHeight="1" x14ac:dyDescent="0.25">
      <c r="A3283" s="80" t="s">
        <v>2653</v>
      </c>
      <c r="B3283" s="20" t="s">
        <v>9396</v>
      </c>
      <c r="C3283" s="21" t="s">
        <v>9402</v>
      </c>
      <c r="D3283" s="20" t="s">
        <v>8338</v>
      </c>
      <c r="E3283" s="22" t="s">
        <v>8339</v>
      </c>
      <c r="F3283" s="22" t="s">
        <v>1937</v>
      </c>
      <c r="G3283" s="22"/>
      <c r="H3283" s="83" t="s">
        <v>8340</v>
      </c>
      <c r="I3283" s="23" t="s">
        <v>24</v>
      </c>
      <c r="J3283" s="24">
        <v>370</v>
      </c>
      <c r="K3283" s="25">
        <v>0.25</v>
      </c>
      <c r="L3283" s="26">
        <f t="shared" si="496"/>
        <v>92.5</v>
      </c>
      <c r="M3283" s="27">
        <f t="shared" si="497"/>
        <v>277.5</v>
      </c>
      <c r="N3283" s="28">
        <v>0.16</v>
      </c>
      <c r="O3283" s="29">
        <f t="shared" si="498"/>
        <v>44.4</v>
      </c>
      <c r="P3283" s="30">
        <f t="shared" si="499"/>
        <v>321.89999999999998</v>
      </c>
      <c r="Q3283" s="23"/>
      <c r="R3283" s="52"/>
      <c r="S3283" s="53"/>
      <c r="T3283" s="54">
        <f t="shared" si="500"/>
        <v>0</v>
      </c>
      <c r="U3283" s="26">
        <f t="shared" si="501"/>
        <v>0</v>
      </c>
      <c r="V3283" s="55">
        <f t="shared" si="502"/>
        <v>0</v>
      </c>
      <c r="W3283" s="29">
        <f t="shared" si="503"/>
        <v>0</v>
      </c>
      <c r="X3283" s="30">
        <f t="shared" si="504"/>
        <v>0</v>
      </c>
      <c r="Y3283"/>
      <c r="Z3283"/>
      <c r="AA3283"/>
    </row>
    <row r="3284" spans="1:27" s="51" customFormat="1" ht="18.600000000000001" hidden="1" customHeight="1" x14ac:dyDescent="0.25">
      <c r="A3284" s="81" t="s">
        <v>2653</v>
      </c>
      <c r="B3284" s="31" t="s">
        <v>9396</v>
      </c>
      <c r="C3284" s="32" t="s">
        <v>9402</v>
      </c>
      <c r="D3284" s="31" t="s">
        <v>8341</v>
      </c>
      <c r="E3284" s="33" t="s">
        <v>8342</v>
      </c>
      <c r="F3284" s="33" t="s">
        <v>1937</v>
      </c>
      <c r="G3284" s="33"/>
      <c r="H3284" s="84" t="s">
        <v>8343</v>
      </c>
      <c r="I3284" s="23" t="s">
        <v>24</v>
      </c>
      <c r="J3284" s="34">
        <v>370</v>
      </c>
      <c r="K3284" s="35">
        <v>0.25</v>
      </c>
      <c r="L3284" s="36">
        <f t="shared" si="496"/>
        <v>92.5</v>
      </c>
      <c r="M3284" s="37">
        <f t="shared" si="497"/>
        <v>277.5</v>
      </c>
      <c r="N3284" s="38">
        <v>0.16</v>
      </c>
      <c r="O3284" s="39">
        <f t="shared" si="498"/>
        <v>44.4</v>
      </c>
      <c r="P3284" s="40">
        <f t="shared" si="499"/>
        <v>321.89999999999998</v>
      </c>
      <c r="Q3284" s="23"/>
      <c r="R3284" s="56"/>
      <c r="S3284" s="57"/>
      <c r="T3284" s="58">
        <f t="shared" si="500"/>
        <v>0</v>
      </c>
      <c r="U3284" s="36">
        <f t="shared" si="501"/>
        <v>0</v>
      </c>
      <c r="V3284" s="59">
        <f t="shared" si="502"/>
        <v>0</v>
      </c>
      <c r="W3284" s="39">
        <f t="shared" si="503"/>
        <v>0</v>
      </c>
      <c r="X3284" s="40">
        <f t="shared" si="504"/>
        <v>0</v>
      </c>
      <c r="Y3284"/>
      <c r="Z3284"/>
      <c r="AA3284"/>
    </row>
    <row r="3285" spans="1:27" s="51" customFormat="1" ht="18.600000000000001" hidden="1" customHeight="1" x14ac:dyDescent="0.25">
      <c r="A3285" s="82" t="s">
        <v>2653</v>
      </c>
      <c r="B3285" s="41" t="s">
        <v>9396</v>
      </c>
      <c r="C3285" s="42" t="s">
        <v>9402</v>
      </c>
      <c r="D3285" s="41" t="s">
        <v>8344</v>
      </c>
      <c r="E3285" s="43" t="s">
        <v>8345</v>
      </c>
      <c r="F3285" s="43" t="s">
        <v>1937</v>
      </c>
      <c r="G3285" s="43"/>
      <c r="H3285" s="85" t="s">
        <v>8346</v>
      </c>
      <c r="I3285" s="23" t="s">
        <v>24</v>
      </c>
      <c r="J3285" s="44">
        <v>370</v>
      </c>
      <c r="K3285" s="45">
        <v>0.25</v>
      </c>
      <c r="L3285" s="46">
        <f t="shared" si="496"/>
        <v>92.5</v>
      </c>
      <c r="M3285" s="47">
        <f t="shared" si="497"/>
        <v>277.5</v>
      </c>
      <c r="N3285" s="48">
        <v>0.16</v>
      </c>
      <c r="O3285" s="49">
        <f t="shared" si="498"/>
        <v>44.4</v>
      </c>
      <c r="P3285" s="50">
        <f t="shared" si="499"/>
        <v>321.89999999999998</v>
      </c>
      <c r="Q3285" s="23"/>
      <c r="R3285" s="60"/>
      <c r="S3285" s="61"/>
      <c r="T3285" s="62">
        <f t="shared" si="500"/>
        <v>0</v>
      </c>
      <c r="U3285" s="46">
        <f t="shared" si="501"/>
        <v>0</v>
      </c>
      <c r="V3285" s="63">
        <f t="shared" si="502"/>
        <v>0</v>
      </c>
      <c r="W3285" s="49">
        <f t="shared" si="503"/>
        <v>0</v>
      </c>
      <c r="X3285" s="50">
        <f t="shared" si="504"/>
        <v>0</v>
      </c>
      <c r="Y3285"/>
      <c r="Z3285"/>
      <c r="AA3285"/>
    </row>
    <row r="3286" spans="1:27" s="51" customFormat="1" ht="18.600000000000001" hidden="1" customHeight="1" x14ac:dyDescent="0.25">
      <c r="A3286" s="80" t="s">
        <v>2653</v>
      </c>
      <c r="B3286" s="20" t="s">
        <v>9396</v>
      </c>
      <c r="C3286" s="21" t="s">
        <v>9402</v>
      </c>
      <c r="D3286" s="20" t="s">
        <v>8347</v>
      </c>
      <c r="E3286" s="22" t="s">
        <v>8348</v>
      </c>
      <c r="F3286" s="22" t="s">
        <v>1937</v>
      </c>
      <c r="G3286" s="22"/>
      <c r="H3286" s="83" t="s">
        <v>8349</v>
      </c>
      <c r="I3286" s="23" t="s">
        <v>24</v>
      </c>
      <c r="J3286" s="24">
        <v>370</v>
      </c>
      <c r="K3286" s="25">
        <v>0.25</v>
      </c>
      <c r="L3286" s="26">
        <f t="shared" si="496"/>
        <v>92.5</v>
      </c>
      <c r="M3286" s="27">
        <f t="shared" si="497"/>
        <v>277.5</v>
      </c>
      <c r="N3286" s="28">
        <v>0.16</v>
      </c>
      <c r="O3286" s="29">
        <f t="shared" si="498"/>
        <v>44.4</v>
      </c>
      <c r="P3286" s="30">
        <f t="shared" si="499"/>
        <v>321.89999999999998</v>
      </c>
      <c r="Q3286" s="23"/>
      <c r="R3286" s="52"/>
      <c r="S3286" s="53"/>
      <c r="T3286" s="54">
        <f t="shared" si="500"/>
        <v>0</v>
      </c>
      <c r="U3286" s="26">
        <f t="shared" si="501"/>
        <v>0</v>
      </c>
      <c r="V3286" s="55">
        <f t="shared" si="502"/>
        <v>0</v>
      </c>
      <c r="W3286" s="29">
        <f t="shared" si="503"/>
        <v>0</v>
      </c>
      <c r="X3286" s="30">
        <f t="shared" si="504"/>
        <v>0</v>
      </c>
      <c r="Y3286"/>
      <c r="Z3286"/>
      <c r="AA3286"/>
    </row>
    <row r="3287" spans="1:27" s="51" customFormat="1" ht="18.600000000000001" hidden="1" customHeight="1" x14ac:dyDescent="0.25">
      <c r="A3287" s="81" t="s">
        <v>2653</v>
      </c>
      <c r="B3287" s="31" t="s">
        <v>9396</v>
      </c>
      <c r="C3287" s="32" t="s">
        <v>9402</v>
      </c>
      <c r="D3287" s="31" t="s">
        <v>8350</v>
      </c>
      <c r="E3287" s="33" t="s">
        <v>8351</v>
      </c>
      <c r="F3287" s="33" t="s">
        <v>1937</v>
      </c>
      <c r="G3287" s="33"/>
      <c r="H3287" s="84" t="s">
        <v>8352</v>
      </c>
      <c r="I3287" s="23" t="s">
        <v>24</v>
      </c>
      <c r="J3287" s="34">
        <v>370</v>
      </c>
      <c r="K3287" s="35">
        <v>0.25</v>
      </c>
      <c r="L3287" s="36">
        <f t="shared" si="496"/>
        <v>92.5</v>
      </c>
      <c r="M3287" s="37">
        <f t="shared" si="497"/>
        <v>277.5</v>
      </c>
      <c r="N3287" s="38">
        <v>0.16</v>
      </c>
      <c r="O3287" s="39">
        <f t="shared" si="498"/>
        <v>44.4</v>
      </c>
      <c r="P3287" s="40">
        <f t="shared" si="499"/>
        <v>321.89999999999998</v>
      </c>
      <c r="Q3287" s="23"/>
      <c r="R3287" s="56"/>
      <c r="S3287" s="57"/>
      <c r="T3287" s="58">
        <f t="shared" si="500"/>
        <v>0</v>
      </c>
      <c r="U3287" s="36">
        <f t="shared" si="501"/>
        <v>0</v>
      </c>
      <c r="V3287" s="59">
        <f t="shared" si="502"/>
        <v>0</v>
      </c>
      <c r="W3287" s="39">
        <f t="shared" si="503"/>
        <v>0</v>
      </c>
      <c r="X3287" s="40">
        <f t="shared" si="504"/>
        <v>0</v>
      </c>
      <c r="Y3287"/>
      <c r="Z3287"/>
      <c r="AA3287"/>
    </row>
    <row r="3288" spans="1:27" s="51" customFormat="1" ht="18.600000000000001" hidden="1" customHeight="1" x14ac:dyDescent="0.25">
      <c r="A3288" s="82" t="s">
        <v>2653</v>
      </c>
      <c r="B3288" s="41" t="s">
        <v>9396</v>
      </c>
      <c r="C3288" s="42" t="s">
        <v>9402</v>
      </c>
      <c r="D3288" s="41" t="s">
        <v>8353</v>
      </c>
      <c r="E3288" s="43" t="s">
        <v>8354</v>
      </c>
      <c r="F3288" s="43" t="s">
        <v>1937</v>
      </c>
      <c r="G3288" s="43"/>
      <c r="H3288" s="85" t="s">
        <v>8355</v>
      </c>
      <c r="I3288" s="23" t="s">
        <v>24</v>
      </c>
      <c r="J3288" s="44">
        <v>370</v>
      </c>
      <c r="K3288" s="45">
        <v>0.25</v>
      </c>
      <c r="L3288" s="46">
        <f t="shared" si="496"/>
        <v>92.5</v>
      </c>
      <c r="M3288" s="47">
        <f t="shared" si="497"/>
        <v>277.5</v>
      </c>
      <c r="N3288" s="48">
        <v>0.16</v>
      </c>
      <c r="O3288" s="49">
        <f t="shared" si="498"/>
        <v>44.4</v>
      </c>
      <c r="P3288" s="50">
        <f t="shared" si="499"/>
        <v>321.89999999999998</v>
      </c>
      <c r="Q3288" s="23"/>
      <c r="R3288" s="60"/>
      <c r="S3288" s="61"/>
      <c r="T3288" s="62">
        <f t="shared" si="500"/>
        <v>0</v>
      </c>
      <c r="U3288" s="46">
        <f t="shared" si="501"/>
        <v>0</v>
      </c>
      <c r="V3288" s="63">
        <f t="shared" si="502"/>
        <v>0</v>
      </c>
      <c r="W3288" s="49">
        <f t="shared" si="503"/>
        <v>0</v>
      </c>
      <c r="X3288" s="50">
        <f t="shared" si="504"/>
        <v>0</v>
      </c>
      <c r="Y3288"/>
      <c r="Z3288"/>
      <c r="AA3288"/>
    </row>
    <row r="3289" spans="1:27" s="51" customFormat="1" ht="18.600000000000001" hidden="1" customHeight="1" x14ac:dyDescent="0.25">
      <c r="A3289" s="80" t="s">
        <v>2653</v>
      </c>
      <c r="B3289" s="20" t="s">
        <v>9396</v>
      </c>
      <c r="C3289" s="21" t="s">
        <v>9402</v>
      </c>
      <c r="D3289" s="20">
        <v>8435568312197</v>
      </c>
      <c r="E3289" s="22" t="s">
        <v>8356</v>
      </c>
      <c r="F3289" s="22" t="s">
        <v>1937</v>
      </c>
      <c r="G3289" s="22"/>
      <c r="H3289" s="83" t="s">
        <v>8357</v>
      </c>
      <c r="I3289" s="23" t="s">
        <v>24</v>
      </c>
      <c r="J3289" s="24">
        <v>370</v>
      </c>
      <c r="K3289" s="25">
        <v>0.25</v>
      </c>
      <c r="L3289" s="26">
        <f t="shared" si="496"/>
        <v>92.5</v>
      </c>
      <c r="M3289" s="27">
        <f t="shared" si="497"/>
        <v>277.5</v>
      </c>
      <c r="N3289" s="28">
        <v>0.16</v>
      </c>
      <c r="O3289" s="29">
        <f t="shared" si="498"/>
        <v>44.4</v>
      </c>
      <c r="P3289" s="30">
        <f t="shared" si="499"/>
        <v>321.89999999999998</v>
      </c>
      <c r="Q3289" s="23"/>
      <c r="R3289" s="52"/>
      <c r="S3289" s="53"/>
      <c r="T3289" s="54">
        <f t="shared" si="500"/>
        <v>0</v>
      </c>
      <c r="U3289" s="26">
        <f t="shared" si="501"/>
        <v>0</v>
      </c>
      <c r="V3289" s="55">
        <f t="shared" si="502"/>
        <v>0</v>
      </c>
      <c r="W3289" s="29">
        <f t="shared" si="503"/>
        <v>0</v>
      </c>
      <c r="X3289" s="30">
        <f t="shared" si="504"/>
        <v>0</v>
      </c>
      <c r="Y3289"/>
      <c r="Z3289"/>
      <c r="AA3289"/>
    </row>
    <row r="3290" spans="1:27" s="51" customFormat="1" ht="18.600000000000001" hidden="1" customHeight="1" x14ac:dyDescent="0.25">
      <c r="A3290" s="81" t="s">
        <v>2653</v>
      </c>
      <c r="B3290" s="31" t="s">
        <v>9396</v>
      </c>
      <c r="C3290" s="32" t="s">
        <v>9402</v>
      </c>
      <c r="D3290" s="31">
        <v>8435568312203</v>
      </c>
      <c r="E3290" s="33" t="s">
        <v>8358</v>
      </c>
      <c r="F3290" s="33" t="s">
        <v>1937</v>
      </c>
      <c r="G3290" s="33"/>
      <c r="H3290" s="84" t="s">
        <v>8359</v>
      </c>
      <c r="I3290" s="23" t="s">
        <v>24</v>
      </c>
      <c r="J3290" s="34">
        <v>370</v>
      </c>
      <c r="K3290" s="35">
        <v>0.25</v>
      </c>
      <c r="L3290" s="36">
        <f t="shared" si="496"/>
        <v>92.5</v>
      </c>
      <c r="M3290" s="37">
        <f t="shared" si="497"/>
        <v>277.5</v>
      </c>
      <c r="N3290" s="38">
        <v>0.16</v>
      </c>
      <c r="O3290" s="39">
        <f t="shared" si="498"/>
        <v>44.4</v>
      </c>
      <c r="P3290" s="40">
        <f t="shared" si="499"/>
        <v>321.89999999999998</v>
      </c>
      <c r="Q3290" s="23"/>
      <c r="R3290" s="56"/>
      <c r="S3290" s="57"/>
      <c r="T3290" s="58">
        <f t="shared" si="500"/>
        <v>0</v>
      </c>
      <c r="U3290" s="36">
        <f t="shared" si="501"/>
        <v>0</v>
      </c>
      <c r="V3290" s="59">
        <f t="shared" si="502"/>
        <v>0</v>
      </c>
      <c r="W3290" s="39">
        <f t="shared" si="503"/>
        <v>0</v>
      </c>
      <c r="X3290" s="40">
        <f t="shared" si="504"/>
        <v>0</v>
      </c>
      <c r="Y3290"/>
      <c r="Z3290"/>
      <c r="AA3290"/>
    </row>
    <row r="3291" spans="1:27" s="51" customFormat="1" ht="18.600000000000001" hidden="1" customHeight="1" x14ac:dyDescent="0.25">
      <c r="A3291" s="82" t="s">
        <v>2653</v>
      </c>
      <c r="B3291" s="41" t="s">
        <v>9396</v>
      </c>
      <c r="C3291" s="42" t="s">
        <v>9402</v>
      </c>
      <c r="D3291" s="41" t="s">
        <v>8360</v>
      </c>
      <c r="E3291" s="43" t="s">
        <v>8361</v>
      </c>
      <c r="F3291" s="43" t="s">
        <v>1937</v>
      </c>
      <c r="G3291" s="43"/>
      <c r="H3291" s="85" t="s">
        <v>8362</v>
      </c>
      <c r="I3291" s="23" t="s">
        <v>24</v>
      </c>
      <c r="J3291" s="44">
        <v>370</v>
      </c>
      <c r="K3291" s="45">
        <v>0.25</v>
      </c>
      <c r="L3291" s="46">
        <f t="shared" si="496"/>
        <v>92.5</v>
      </c>
      <c r="M3291" s="47">
        <f t="shared" si="497"/>
        <v>277.5</v>
      </c>
      <c r="N3291" s="48">
        <v>0.16</v>
      </c>
      <c r="O3291" s="49">
        <f t="shared" si="498"/>
        <v>44.4</v>
      </c>
      <c r="P3291" s="50">
        <f t="shared" si="499"/>
        <v>321.89999999999998</v>
      </c>
      <c r="Q3291" s="23"/>
      <c r="R3291" s="60"/>
      <c r="S3291" s="61"/>
      <c r="T3291" s="62">
        <f t="shared" si="500"/>
        <v>0</v>
      </c>
      <c r="U3291" s="46">
        <f t="shared" si="501"/>
        <v>0</v>
      </c>
      <c r="V3291" s="63">
        <f t="shared" si="502"/>
        <v>0</v>
      </c>
      <c r="W3291" s="49">
        <f t="shared" si="503"/>
        <v>0</v>
      </c>
      <c r="X3291" s="50">
        <f t="shared" si="504"/>
        <v>0</v>
      </c>
      <c r="Y3291"/>
      <c r="Z3291"/>
      <c r="AA3291"/>
    </row>
    <row r="3292" spans="1:27" s="51" customFormat="1" ht="18.600000000000001" hidden="1" customHeight="1" x14ac:dyDescent="0.25">
      <c r="A3292" s="80" t="s">
        <v>2653</v>
      </c>
      <c r="B3292" s="20" t="s">
        <v>9396</v>
      </c>
      <c r="C3292" s="21" t="s">
        <v>9402</v>
      </c>
      <c r="D3292" s="20" t="s">
        <v>8363</v>
      </c>
      <c r="E3292" s="22" t="s">
        <v>8364</v>
      </c>
      <c r="F3292" s="22" t="s">
        <v>1937</v>
      </c>
      <c r="G3292" s="22"/>
      <c r="H3292" s="83" t="s">
        <v>8365</v>
      </c>
      <c r="I3292" s="23" t="s">
        <v>24</v>
      </c>
      <c r="J3292" s="24">
        <v>370</v>
      </c>
      <c r="K3292" s="25">
        <v>0.25</v>
      </c>
      <c r="L3292" s="26">
        <f t="shared" si="496"/>
        <v>92.5</v>
      </c>
      <c r="M3292" s="27">
        <f t="shared" si="497"/>
        <v>277.5</v>
      </c>
      <c r="N3292" s="28">
        <v>0.16</v>
      </c>
      <c r="O3292" s="29">
        <f t="shared" si="498"/>
        <v>44.4</v>
      </c>
      <c r="P3292" s="30">
        <f t="shared" si="499"/>
        <v>321.89999999999998</v>
      </c>
      <c r="Q3292" s="23"/>
      <c r="R3292" s="52"/>
      <c r="S3292" s="53"/>
      <c r="T3292" s="54">
        <f t="shared" si="500"/>
        <v>0</v>
      </c>
      <c r="U3292" s="26">
        <f t="shared" si="501"/>
        <v>0</v>
      </c>
      <c r="V3292" s="55">
        <f t="shared" si="502"/>
        <v>0</v>
      </c>
      <c r="W3292" s="29">
        <f t="shared" si="503"/>
        <v>0</v>
      </c>
      <c r="X3292" s="30">
        <f t="shared" si="504"/>
        <v>0</v>
      </c>
      <c r="Y3292"/>
      <c r="Z3292"/>
      <c r="AA3292"/>
    </row>
    <row r="3293" spans="1:27" s="51" customFormat="1" ht="18.600000000000001" hidden="1" customHeight="1" x14ac:dyDescent="0.25">
      <c r="A3293" s="81" t="s">
        <v>2653</v>
      </c>
      <c r="B3293" s="31" t="s">
        <v>9396</v>
      </c>
      <c r="C3293" s="32" t="s">
        <v>9403</v>
      </c>
      <c r="D3293" s="31">
        <v>8436564927552</v>
      </c>
      <c r="E3293" s="33" t="s">
        <v>8366</v>
      </c>
      <c r="F3293" s="33" t="s">
        <v>1937</v>
      </c>
      <c r="G3293" s="33"/>
      <c r="H3293" s="84" t="s">
        <v>8367</v>
      </c>
      <c r="I3293" s="23" t="s">
        <v>24</v>
      </c>
      <c r="J3293" s="34">
        <v>490</v>
      </c>
      <c r="K3293" s="35">
        <v>0.25</v>
      </c>
      <c r="L3293" s="36">
        <f t="shared" si="496"/>
        <v>122.5</v>
      </c>
      <c r="M3293" s="37">
        <f t="shared" si="497"/>
        <v>367.5</v>
      </c>
      <c r="N3293" s="38">
        <v>0.16</v>
      </c>
      <c r="O3293" s="39">
        <f t="shared" si="498"/>
        <v>58.800000000000004</v>
      </c>
      <c r="P3293" s="40">
        <f t="shared" si="499"/>
        <v>426.3</v>
      </c>
      <c r="Q3293" s="23"/>
      <c r="R3293" s="56"/>
      <c r="S3293" s="57"/>
      <c r="T3293" s="58">
        <f t="shared" si="500"/>
        <v>0</v>
      </c>
      <c r="U3293" s="36">
        <f t="shared" si="501"/>
        <v>0</v>
      </c>
      <c r="V3293" s="59">
        <f t="shared" si="502"/>
        <v>0</v>
      </c>
      <c r="W3293" s="39">
        <f t="shared" si="503"/>
        <v>0</v>
      </c>
      <c r="X3293" s="40">
        <f t="shared" si="504"/>
        <v>0</v>
      </c>
      <c r="Y3293"/>
      <c r="Z3293"/>
      <c r="AA3293"/>
    </row>
    <row r="3294" spans="1:27" s="51" customFormat="1" ht="18.600000000000001" hidden="1" customHeight="1" x14ac:dyDescent="0.25">
      <c r="A3294" s="82" t="s">
        <v>2653</v>
      </c>
      <c r="B3294" s="41" t="s">
        <v>9396</v>
      </c>
      <c r="C3294" s="42" t="s">
        <v>9403</v>
      </c>
      <c r="D3294" s="41">
        <v>8435568326521</v>
      </c>
      <c r="E3294" s="43" t="s">
        <v>8368</v>
      </c>
      <c r="F3294" s="43" t="s">
        <v>1937</v>
      </c>
      <c r="G3294" s="43"/>
      <c r="H3294" s="85" t="s">
        <v>8369</v>
      </c>
      <c r="I3294" s="23" t="s">
        <v>24</v>
      </c>
      <c r="J3294" s="44">
        <v>660</v>
      </c>
      <c r="K3294" s="45">
        <v>0.25</v>
      </c>
      <c r="L3294" s="46">
        <f t="shared" si="496"/>
        <v>165</v>
      </c>
      <c r="M3294" s="47">
        <f t="shared" si="497"/>
        <v>495</v>
      </c>
      <c r="N3294" s="48">
        <v>0.16</v>
      </c>
      <c r="O3294" s="49">
        <f t="shared" si="498"/>
        <v>79.2</v>
      </c>
      <c r="P3294" s="50">
        <f t="shared" si="499"/>
        <v>574.20000000000005</v>
      </c>
      <c r="Q3294" s="23"/>
      <c r="R3294" s="60"/>
      <c r="S3294" s="61"/>
      <c r="T3294" s="62">
        <f t="shared" si="500"/>
        <v>0</v>
      </c>
      <c r="U3294" s="46">
        <f t="shared" si="501"/>
        <v>0</v>
      </c>
      <c r="V3294" s="63">
        <f t="shared" si="502"/>
        <v>0</v>
      </c>
      <c r="W3294" s="49">
        <f t="shared" si="503"/>
        <v>0</v>
      </c>
      <c r="X3294" s="50">
        <f t="shared" si="504"/>
        <v>0</v>
      </c>
      <c r="Y3294"/>
      <c r="Z3294"/>
      <c r="AA3294"/>
    </row>
    <row r="3295" spans="1:27" s="51" customFormat="1" ht="18.600000000000001" hidden="1" customHeight="1" x14ac:dyDescent="0.25">
      <c r="A3295" s="80" t="s">
        <v>2653</v>
      </c>
      <c r="B3295" s="20" t="s">
        <v>9396</v>
      </c>
      <c r="C3295" s="21" t="s">
        <v>9403</v>
      </c>
      <c r="D3295" s="20">
        <v>8435568326538</v>
      </c>
      <c r="E3295" s="22" t="s">
        <v>8370</v>
      </c>
      <c r="F3295" s="22" t="s">
        <v>1937</v>
      </c>
      <c r="G3295" s="22"/>
      <c r="H3295" s="83" t="s">
        <v>8371</v>
      </c>
      <c r="I3295" s="23" t="s">
        <v>24</v>
      </c>
      <c r="J3295" s="24">
        <v>660</v>
      </c>
      <c r="K3295" s="25">
        <v>0.25</v>
      </c>
      <c r="L3295" s="26">
        <f t="shared" si="496"/>
        <v>165</v>
      </c>
      <c r="M3295" s="27">
        <f t="shared" si="497"/>
        <v>495</v>
      </c>
      <c r="N3295" s="28">
        <v>0.16</v>
      </c>
      <c r="O3295" s="29">
        <f t="shared" si="498"/>
        <v>79.2</v>
      </c>
      <c r="P3295" s="30">
        <f t="shared" si="499"/>
        <v>574.20000000000005</v>
      </c>
      <c r="Q3295" s="23"/>
      <c r="R3295" s="52"/>
      <c r="S3295" s="53"/>
      <c r="T3295" s="54">
        <f t="shared" si="500"/>
        <v>0</v>
      </c>
      <c r="U3295" s="26">
        <f t="shared" si="501"/>
        <v>0</v>
      </c>
      <c r="V3295" s="55">
        <f t="shared" si="502"/>
        <v>0</v>
      </c>
      <c r="W3295" s="29">
        <f t="shared" si="503"/>
        <v>0</v>
      </c>
      <c r="X3295" s="30">
        <f t="shared" si="504"/>
        <v>0</v>
      </c>
      <c r="Y3295"/>
      <c r="Z3295"/>
      <c r="AA3295"/>
    </row>
    <row r="3296" spans="1:27" s="51" customFormat="1" ht="18.600000000000001" hidden="1" customHeight="1" x14ac:dyDescent="0.25">
      <c r="A3296" s="81" t="s">
        <v>2653</v>
      </c>
      <c r="B3296" s="31" t="s">
        <v>9396</v>
      </c>
      <c r="C3296" s="32" t="s">
        <v>9404</v>
      </c>
      <c r="D3296" s="31" t="s">
        <v>8372</v>
      </c>
      <c r="E3296" s="33" t="s">
        <v>8373</v>
      </c>
      <c r="F3296" s="33" t="s">
        <v>1937</v>
      </c>
      <c r="G3296" s="33"/>
      <c r="H3296" s="84" t="s">
        <v>8374</v>
      </c>
      <c r="I3296" s="23" t="s">
        <v>24</v>
      </c>
      <c r="J3296" s="34">
        <v>370</v>
      </c>
      <c r="K3296" s="35">
        <v>0.25</v>
      </c>
      <c r="L3296" s="36">
        <f t="shared" si="496"/>
        <v>92.5</v>
      </c>
      <c r="M3296" s="37">
        <f t="shared" si="497"/>
        <v>277.5</v>
      </c>
      <c r="N3296" s="38">
        <v>0.16</v>
      </c>
      <c r="O3296" s="39">
        <f t="shared" si="498"/>
        <v>44.4</v>
      </c>
      <c r="P3296" s="40">
        <f t="shared" si="499"/>
        <v>321.89999999999998</v>
      </c>
      <c r="Q3296" s="23"/>
      <c r="R3296" s="56"/>
      <c r="S3296" s="57"/>
      <c r="T3296" s="58">
        <f t="shared" si="500"/>
        <v>0</v>
      </c>
      <c r="U3296" s="36">
        <f t="shared" si="501"/>
        <v>0</v>
      </c>
      <c r="V3296" s="59">
        <f t="shared" si="502"/>
        <v>0</v>
      </c>
      <c r="W3296" s="39">
        <f t="shared" si="503"/>
        <v>0</v>
      </c>
      <c r="X3296" s="40">
        <f t="shared" si="504"/>
        <v>0</v>
      </c>
      <c r="Y3296"/>
      <c r="Z3296"/>
      <c r="AA3296"/>
    </row>
    <row r="3297" spans="1:27" s="51" customFormat="1" ht="18.600000000000001" hidden="1" customHeight="1" x14ac:dyDescent="0.25">
      <c r="A3297" s="82" t="s">
        <v>2653</v>
      </c>
      <c r="B3297" s="41" t="s">
        <v>9396</v>
      </c>
      <c r="C3297" s="42" t="s">
        <v>9404</v>
      </c>
      <c r="D3297" s="41" t="s">
        <v>8375</v>
      </c>
      <c r="E3297" s="43" t="s">
        <v>8376</v>
      </c>
      <c r="F3297" s="43" t="s">
        <v>1937</v>
      </c>
      <c r="G3297" s="43"/>
      <c r="H3297" s="85" t="s">
        <v>8377</v>
      </c>
      <c r="I3297" s="23" t="s">
        <v>24</v>
      </c>
      <c r="J3297" s="44">
        <v>370</v>
      </c>
      <c r="K3297" s="45">
        <v>0.25</v>
      </c>
      <c r="L3297" s="46">
        <f t="shared" si="496"/>
        <v>92.5</v>
      </c>
      <c r="M3297" s="47">
        <f t="shared" si="497"/>
        <v>277.5</v>
      </c>
      <c r="N3297" s="48">
        <v>0.16</v>
      </c>
      <c r="O3297" s="49">
        <f t="shared" si="498"/>
        <v>44.4</v>
      </c>
      <c r="P3297" s="50">
        <f t="shared" si="499"/>
        <v>321.89999999999998</v>
      </c>
      <c r="Q3297" s="23"/>
      <c r="R3297" s="60"/>
      <c r="S3297" s="61"/>
      <c r="T3297" s="62">
        <f t="shared" si="500"/>
        <v>0</v>
      </c>
      <c r="U3297" s="46">
        <f t="shared" si="501"/>
        <v>0</v>
      </c>
      <c r="V3297" s="63">
        <f t="shared" si="502"/>
        <v>0</v>
      </c>
      <c r="W3297" s="49">
        <f t="shared" si="503"/>
        <v>0</v>
      </c>
      <c r="X3297" s="50">
        <f t="shared" si="504"/>
        <v>0</v>
      </c>
      <c r="Y3297"/>
      <c r="Z3297"/>
      <c r="AA3297"/>
    </row>
    <row r="3298" spans="1:27" s="51" customFormat="1" ht="18.600000000000001" hidden="1" customHeight="1" x14ac:dyDescent="0.25">
      <c r="A3298" s="80" t="s">
        <v>2653</v>
      </c>
      <c r="B3298" s="20" t="s">
        <v>9396</v>
      </c>
      <c r="C3298" s="21" t="s">
        <v>9404</v>
      </c>
      <c r="D3298" s="20" t="s">
        <v>8378</v>
      </c>
      <c r="E3298" s="22" t="s">
        <v>8379</v>
      </c>
      <c r="F3298" s="22" t="s">
        <v>1937</v>
      </c>
      <c r="G3298" s="22"/>
      <c r="H3298" s="83" t="s">
        <v>8380</v>
      </c>
      <c r="I3298" s="23" t="s">
        <v>24</v>
      </c>
      <c r="J3298" s="24">
        <v>370</v>
      </c>
      <c r="K3298" s="25">
        <v>0.25</v>
      </c>
      <c r="L3298" s="26">
        <f t="shared" si="496"/>
        <v>92.5</v>
      </c>
      <c r="M3298" s="27">
        <f t="shared" si="497"/>
        <v>277.5</v>
      </c>
      <c r="N3298" s="28">
        <v>0.16</v>
      </c>
      <c r="O3298" s="29">
        <f t="shared" si="498"/>
        <v>44.4</v>
      </c>
      <c r="P3298" s="30">
        <f t="shared" si="499"/>
        <v>321.89999999999998</v>
      </c>
      <c r="Q3298" s="23"/>
      <c r="R3298" s="52"/>
      <c r="S3298" s="53"/>
      <c r="T3298" s="54">
        <f t="shared" si="500"/>
        <v>0</v>
      </c>
      <c r="U3298" s="26">
        <f t="shared" si="501"/>
        <v>0</v>
      </c>
      <c r="V3298" s="55">
        <f t="shared" si="502"/>
        <v>0</v>
      </c>
      <c r="W3298" s="29">
        <f t="shared" si="503"/>
        <v>0</v>
      </c>
      <c r="X3298" s="30">
        <f t="shared" si="504"/>
        <v>0</v>
      </c>
      <c r="Y3298"/>
      <c r="Z3298"/>
      <c r="AA3298"/>
    </row>
    <row r="3299" spans="1:27" s="51" customFormat="1" ht="18.600000000000001" hidden="1" customHeight="1" x14ac:dyDescent="0.25">
      <c r="A3299" s="81" t="s">
        <v>2653</v>
      </c>
      <c r="B3299" s="31" t="s">
        <v>9396</v>
      </c>
      <c r="C3299" s="32" t="s">
        <v>9404</v>
      </c>
      <c r="D3299" s="31" t="s">
        <v>8381</v>
      </c>
      <c r="E3299" s="33" t="s">
        <v>8382</v>
      </c>
      <c r="F3299" s="33" t="s">
        <v>1937</v>
      </c>
      <c r="G3299" s="33"/>
      <c r="H3299" s="84" t="s">
        <v>8383</v>
      </c>
      <c r="I3299" s="23" t="s">
        <v>24</v>
      </c>
      <c r="J3299" s="34">
        <v>370</v>
      </c>
      <c r="K3299" s="35">
        <v>0.25</v>
      </c>
      <c r="L3299" s="36">
        <f t="shared" si="496"/>
        <v>92.5</v>
      </c>
      <c r="M3299" s="37">
        <f t="shared" si="497"/>
        <v>277.5</v>
      </c>
      <c r="N3299" s="38">
        <v>0.16</v>
      </c>
      <c r="O3299" s="39">
        <f t="shared" si="498"/>
        <v>44.4</v>
      </c>
      <c r="P3299" s="40">
        <f t="shared" si="499"/>
        <v>321.89999999999998</v>
      </c>
      <c r="Q3299" s="23"/>
      <c r="R3299" s="56"/>
      <c r="S3299" s="57"/>
      <c r="T3299" s="58">
        <f t="shared" si="500"/>
        <v>0</v>
      </c>
      <c r="U3299" s="36">
        <f t="shared" si="501"/>
        <v>0</v>
      </c>
      <c r="V3299" s="59">
        <f t="shared" si="502"/>
        <v>0</v>
      </c>
      <c r="W3299" s="39">
        <f t="shared" si="503"/>
        <v>0</v>
      </c>
      <c r="X3299" s="40">
        <f t="shared" si="504"/>
        <v>0</v>
      </c>
      <c r="Y3299"/>
      <c r="Z3299"/>
      <c r="AA3299"/>
    </row>
    <row r="3300" spans="1:27" s="51" customFormat="1" ht="18.600000000000001" hidden="1" customHeight="1" x14ac:dyDescent="0.25">
      <c r="A3300" s="82" t="s">
        <v>2653</v>
      </c>
      <c r="B3300" s="41" t="s">
        <v>9396</v>
      </c>
      <c r="C3300" s="42" t="s">
        <v>9404</v>
      </c>
      <c r="D3300" s="41" t="s">
        <v>8384</v>
      </c>
      <c r="E3300" s="43" t="s">
        <v>8385</v>
      </c>
      <c r="F3300" s="43" t="s">
        <v>1937</v>
      </c>
      <c r="G3300" s="43"/>
      <c r="H3300" s="85" t="s">
        <v>8386</v>
      </c>
      <c r="I3300" s="23" t="s">
        <v>24</v>
      </c>
      <c r="J3300" s="44">
        <v>370</v>
      </c>
      <c r="K3300" s="45">
        <v>0.25</v>
      </c>
      <c r="L3300" s="46">
        <f t="shared" si="496"/>
        <v>92.5</v>
      </c>
      <c r="M3300" s="47">
        <f t="shared" si="497"/>
        <v>277.5</v>
      </c>
      <c r="N3300" s="48">
        <v>0.16</v>
      </c>
      <c r="O3300" s="49">
        <f t="shared" si="498"/>
        <v>44.4</v>
      </c>
      <c r="P3300" s="50">
        <f t="shared" si="499"/>
        <v>321.89999999999998</v>
      </c>
      <c r="Q3300" s="23"/>
      <c r="R3300" s="60"/>
      <c r="S3300" s="61"/>
      <c r="T3300" s="62">
        <f t="shared" si="500"/>
        <v>0</v>
      </c>
      <c r="U3300" s="46">
        <f t="shared" si="501"/>
        <v>0</v>
      </c>
      <c r="V3300" s="63">
        <f t="shared" si="502"/>
        <v>0</v>
      </c>
      <c r="W3300" s="49">
        <f t="shared" si="503"/>
        <v>0</v>
      </c>
      <c r="X3300" s="50">
        <f t="shared" si="504"/>
        <v>0</v>
      </c>
      <c r="Y3300"/>
      <c r="Z3300"/>
      <c r="AA3300"/>
    </row>
    <row r="3301" spans="1:27" s="51" customFormat="1" ht="18.600000000000001" hidden="1" customHeight="1" x14ac:dyDescent="0.25">
      <c r="A3301" s="80" t="s">
        <v>2653</v>
      </c>
      <c r="B3301" s="20" t="s">
        <v>9396</v>
      </c>
      <c r="C3301" s="21" t="s">
        <v>9404</v>
      </c>
      <c r="D3301" s="20" t="s">
        <v>8387</v>
      </c>
      <c r="E3301" s="22" t="s">
        <v>8388</v>
      </c>
      <c r="F3301" s="22" t="s">
        <v>1937</v>
      </c>
      <c r="G3301" s="22"/>
      <c r="H3301" s="83" t="s">
        <v>8389</v>
      </c>
      <c r="I3301" s="23" t="s">
        <v>24</v>
      </c>
      <c r="J3301" s="24">
        <v>370</v>
      </c>
      <c r="K3301" s="25">
        <v>0.25</v>
      </c>
      <c r="L3301" s="26">
        <f t="shared" si="496"/>
        <v>92.5</v>
      </c>
      <c r="M3301" s="27">
        <f t="shared" si="497"/>
        <v>277.5</v>
      </c>
      <c r="N3301" s="28">
        <v>0.16</v>
      </c>
      <c r="O3301" s="29">
        <f t="shared" si="498"/>
        <v>44.4</v>
      </c>
      <c r="P3301" s="30">
        <f t="shared" si="499"/>
        <v>321.89999999999998</v>
      </c>
      <c r="Q3301" s="23"/>
      <c r="R3301" s="52"/>
      <c r="S3301" s="53"/>
      <c r="T3301" s="54">
        <f t="shared" si="500"/>
        <v>0</v>
      </c>
      <c r="U3301" s="26">
        <f t="shared" si="501"/>
        <v>0</v>
      </c>
      <c r="V3301" s="55">
        <f t="shared" si="502"/>
        <v>0</v>
      </c>
      <c r="W3301" s="29">
        <f t="shared" si="503"/>
        <v>0</v>
      </c>
      <c r="X3301" s="30">
        <f t="shared" si="504"/>
        <v>0</v>
      </c>
      <c r="Y3301"/>
      <c r="Z3301"/>
      <c r="AA3301"/>
    </row>
    <row r="3302" spans="1:27" s="51" customFormat="1" ht="18.600000000000001" hidden="1" customHeight="1" x14ac:dyDescent="0.25">
      <c r="A3302" s="81" t="s">
        <v>2653</v>
      </c>
      <c r="B3302" s="31" t="s">
        <v>9396</v>
      </c>
      <c r="C3302" s="32" t="s">
        <v>9404</v>
      </c>
      <c r="D3302" s="31" t="s">
        <v>8390</v>
      </c>
      <c r="E3302" s="33" t="s">
        <v>8391</v>
      </c>
      <c r="F3302" s="33" t="s">
        <v>1937</v>
      </c>
      <c r="G3302" s="33"/>
      <c r="H3302" s="84" t="s">
        <v>8392</v>
      </c>
      <c r="I3302" s="23" t="s">
        <v>24</v>
      </c>
      <c r="J3302" s="34">
        <v>330</v>
      </c>
      <c r="K3302" s="35">
        <v>0.25</v>
      </c>
      <c r="L3302" s="36">
        <f t="shared" si="496"/>
        <v>82.5</v>
      </c>
      <c r="M3302" s="37">
        <f t="shared" si="497"/>
        <v>247.5</v>
      </c>
      <c r="N3302" s="38">
        <v>0.16</v>
      </c>
      <c r="O3302" s="39">
        <f t="shared" si="498"/>
        <v>39.6</v>
      </c>
      <c r="P3302" s="40">
        <f t="shared" si="499"/>
        <v>287.10000000000002</v>
      </c>
      <c r="Q3302" s="23"/>
      <c r="R3302" s="56"/>
      <c r="S3302" s="57"/>
      <c r="T3302" s="58">
        <f t="shared" si="500"/>
        <v>0</v>
      </c>
      <c r="U3302" s="36">
        <f t="shared" si="501"/>
        <v>0</v>
      </c>
      <c r="V3302" s="59">
        <f t="shared" si="502"/>
        <v>0</v>
      </c>
      <c r="W3302" s="39">
        <f t="shared" si="503"/>
        <v>0</v>
      </c>
      <c r="X3302" s="40">
        <f t="shared" si="504"/>
        <v>0</v>
      </c>
      <c r="Y3302"/>
      <c r="Z3302"/>
      <c r="AA3302"/>
    </row>
    <row r="3303" spans="1:27" s="51" customFormat="1" ht="18.600000000000001" hidden="1" customHeight="1" x14ac:dyDescent="0.25">
      <c r="A3303" s="82" t="s">
        <v>2653</v>
      </c>
      <c r="B3303" s="41" t="s">
        <v>9396</v>
      </c>
      <c r="C3303" s="42" t="s">
        <v>9405</v>
      </c>
      <c r="D3303" s="41" t="s">
        <v>8393</v>
      </c>
      <c r="E3303" s="43" t="s">
        <v>8394</v>
      </c>
      <c r="F3303" s="43" t="s">
        <v>1937</v>
      </c>
      <c r="G3303" s="43"/>
      <c r="H3303" s="85" t="s">
        <v>8395</v>
      </c>
      <c r="I3303" s="23" t="s">
        <v>24</v>
      </c>
      <c r="J3303" s="44">
        <v>910</v>
      </c>
      <c r="K3303" s="45">
        <v>0.25</v>
      </c>
      <c r="L3303" s="46">
        <f t="shared" si="496"/>
        <v>227.5</v>
      </c>
      <c r="M3303" s="47">
        <f t="shared" si="497"/>
        <v>682.5</v>
      </c>
      <c r="N3303" s="48">
        <v>0.16</v>
      </c>
      <c r="O3303" s="49">
        <f t="shared" si="498"/>
        <v>109.2</v>
      </c>
      <c r="P3303" s="50">
        <f t="shared" si="499"/>
        <v>791.7</v>
      </c>
      <c r="Q3303" s="23"/>
      <c r="R3303" s="60"/>
      <c r="S3303" s="61"/>
      <c r="T3303" s="62">
        <f t="shared" si="500"/>
        <v>0</v>
      </c>
      <c r="U3303" s="46">
        <f t="shared" si="501"/>
        <v>0</v>
      </c>
      <c r="V3303" s="63">
        <f t="shared" si="502"/>
        <v>0</v>
      </c>
      <c r="W3303" s="49">
        <f t="shared" si="503"/>
        <v>0</v>
      </c>
      <c r="X3303" s="50">
        <f t="shared" si="504"/>
        <v>0</v>
      </c>
      <c r="Y3303"/>
      <c r="Z3303"/>
      <c r="AA3303"/>
    </row>
    <row r="3304" spans="1:27" s="51" customFormat="1" ht="18.600000000000001" hidden="1" customHeight="1" x14ac:dyDescent="0.25">
      <c r="A3304" s="80" t="s">
        <v>2653</v>
      </c>
      <c r="B3304" s="20" t="s">
        <v>9396</v>
      </c>
      <c r="C3304" s="21" t="s">
        <v>9405</v>
      </c>
      <c r="D3304" s="20" t="s">
        <v>8396</v>
      </c>
      <c r="E3304" s="22" t="s">
        <v>8397</v>
      </c>
      <c r="F3304" s="22" t="s">
        <v>1937</v>
      </c>
      <c r="G3304" s="22"/>
      <c r="H3304" s="83" t="s">
        <v>8398</v>
      </c>
      <c r="I3304" s="23" t="s">
        <v>24</v>
      </c>
      <c r="J3304" s="24">
        <v>780</v>
      </c>
      <c r="K3304" s="25">
        <v>0.25</v>
      </c>
      <c r="L3304" s="26">
        <f t="shared" si="496"/>
        <v>195</v>
      </c>
      <c r="M3304" s="27">
        <f t="shared" si="497"/>
        <v>585</v>
      </c>
      <c r="N3304" s="28">
        <v>0.16</v>
      </c>
      <c r="O3304" s="29">
        <f t="shared" si="498"/>
        <v>93.600000000000009</v>
      </c>
      <c r="P3304" s="30">
        <f t="shared" si="499"/>
        <v>678.6</v>
      </c>
      <c r="Q3304" s="23"/>
      <c r="R3304" s="52"/>
      <c r="S3304" s="53"/>
      <c r="T3304" s="54">
        <f t="shared" si="500"/>
        <v>0</v>
      </c>
      <c r="U3304" s="26">
        <f t="shared" si="501"/>
        <v>0</v>
      </c>
      <c r="V3304" s="55">
        <f t="shared" si="502"/>
        <v>0</v>
      </c>
      <c r="W3304" s="29">
        <f t="shared" si="503"/>
        <v>0</v>
      </c>
      <c r="X3304" s="30">
        <f t="shared" si="504"/>
        <v>0</v>
      </c>
      <c r="Y3304"/>
      <c r="Z3304"/>
      <c r="AA3304"/>
    </row>
    <row r="3305" spans="1:27" s="51" customFormat="1" ht="18.600000000000001" hidden="1" customHeight="1" x14ac:dyDescent="0.25">
      <c r="A3305" s="81" t="s">
        <v>2653</v>
      </c>
      <c r="B3305" s="31" t="s">
        <v>9396</v>
      </c>
      <c r="C3305" s="32" t="s">
        <v>9405</v>
      </c>
      <c r="D3305" s="31" t="s">
        <v>8399</v>
      </c>
      <c r="E3305" s="33" t="s">
        <v>8400</v>
      </c>
      <c r="F3305" s="33" t="s">
        <v>1937</v>
      </c>
      <c r="G3305" s="33"/>
      <c r="H3305" s="84" t="s">
        <v>8401</v>
      </c>
      <c r="I3305" s="23" t="s">
        <v>24</v>
      </c>
      <c r="J3305" s="34">
        <v>780</v>
      </c>
      <c r="K3305" s="35">
        <v>0.25</v>
      </c>
      <c r="L3305" s="36">
        <f t="shared" si="496"/>
        <v>195</v>
      </c>
      <c r="M3305" s="37">
        <f t="shared" si="497"/>
        <v>585</v>
      </c>
      <c r="N3305" s="38">
        <v>0.16</v>
      </c>
      <c r="O3305" s="39">
        <f t="shared" si="498"/>
        <v>93.600000000000009</v>
      </c>
      <c r="P3305" s="40">
        <f t="shared" si="499"/>
        <v>678.6</v>
      </c>
      <c r="Q3305" s="23"/>
      <c r="R3305" s="56"/>
      <c r="S3305" s="57"/>
      <c r="T3305" s="58">
        <f t="shared" si="500"/>
        <v>0</v>
      </c>
      <c r="U3305" s="36">
        <f t="shared" si="501"/>
        <v>0</v>
      </c>
      <c r="V3305" s="59">
        <f t="shared" si="502"/>
        <v>0</v>
      </c>
      <c r="W3305" s="39">
        <f t="shared" si="503"/>
        <v>0</v>
      </c>
      <c r="X3305" s="40">
        <f t="shared" si="504"/>
        <v>0</v>
      </c>
      <c r="Y3305"/>
      <c r="Z3305"/>
      <c r="AA3305"/>
    </row>
    <row r="3306" spans="1:27" s="51" customFormat="1" ht="18.600000000000001" hidden="1" customHeight="1" x14ac:dyDescent="0.25">
      <c r="A3306" s="82" t="s">
        <v>2653</v>
      </c>
      <c r="B3306" s="41" t="s">
        <v>9396</v>
      </c>
      <c r="C3306" s="42" t="s">
        <v>9406</v>
      </c>
      <c r="D3306" s="41">
        <v>8436564923387</v>
      </c>
      <c r="E3306" s="43" t="s">
        <v>8402</v>
      </c>
      <c r="F3306" s="43" t="s">
        <v>1937</v>
      </c>
      <c r="G3306" s="43"/>
      <c r="H3306" s="85" t="s">
        <v>9747</v>
      </c>
      <c r="I3306" s="23" t="s">
        <v>24</v>
      </c>
      <c r="J3306" s="44">
        <v>200</v>
      </c>
      <c r="K3306" s="45">
        <v>0.25</v>
      </c>
      <c r="L3306" s="46">
        <f t="shared" si="496"/>
        <v>50</v>
      </c>
      <c r="M3306" s="47">
        <f t="shared" si="497"/>
        <v>150</v>
      </c>
      <c r="N3306" s="48">
        <v>0.16</v>
      </c>
      <c r="O3306" s="49">
        <f t="shared" si="498"/>
        <v>24</v>
      </c>
      <c r="P3306" s="50">
        <f t="shared" si="499"/>
        <v>174</v>
      </c>
      <c r="Q3306" s="23"/>
      <c r="R3306" s="60"/>
      <c r="S3306" s="61"/>
      <c r="T3306" s="62">
        <f t="shared" si="500"/>
        <v>0</v>
      </c>
      <c r="U3306" s="46">
        <f t="shared" si="501"/>
        <v>0</v>
      </c>
      <c r="V3306" s="63">
        <f t="shared" si="502"/>
        <v>0</v>
      </c>
      <c r="W3306" s="49">
        <f t="shared" si="503"/>
        <v>0</v>
      </c>
      <c r="X3306" s="50">
        <f t="shared" si="504"/>
        <v>0</v>
      </c>
      <c r="Y3306"/>
      <c r="Z3306"/>
      <c r="AA3306"/>
    </row>
    <row r="3307" spans="1:27" s="51" customFormat="1" ht="18.600000000000001" hidden="1" customHeight="1" x14ac:dyDescent="0.25">
      <c r="A3307" s="80" t="s">
        <v>2653</v>
      </c>
      <c r="B3307" s="20" t="s">
        <v>9396</v>
      </c>
      <c r="C3307" s="21" t="s">
        <v>9406</v>
      </c>
      <c r="D3307" s="20" t="s">
        <v>8403</v>
      </c>
      <c r="E3307" s="22" t="s">
        <v>8404</v>
      </c>
      <c r="F3307" s="22" t="s">
        <v>1937</v>
      </c>
      <c r="G3307" s="22"/>
      <c r="H3307" s="83" t="s">
        <v>9748</v>
      </c>
      <c r="I3307" s="23" t="s">
        <v>24</v>
      </c>
      <c r="J3307" s="24">
        <v>200</v>
      </c>
      <c r="K3307" s="25">
        <v>0.25</v>
      </c>
      <c r="L3307" s="26">
        <f t="shared" si="496"/>
        <v>50</v>
      </c>
      <c r="M3307" s="27">
        <f t="shared" si="497"/>
        <v>150</v>
      </c>
      <c r="N3307" s="28">
        <v>0.16</v>
      </c>
      <c r="O3307" s="29">
        <f t="shared" si="498"/>
        <v>24</v>
      </c>
      <c r="P3307" s="30">
        <f t="shared" si="499"/>
        <v>174</v>
      </c>
      <c r="Q3307" s="23"/>
      <c r="R3307" s="52"/>
      <c r="S3307" s="53"/>
      <c r="T3307" s="54">
        <f t="shared" si="500"/>
        <v>0</v>
      </c>
      <c r="U3307" s="26">
        <f t="shared" si="501"/>
        <v>0</v>
      </c>
      <c r="V3307" s="55">
        <f t="shared" si="502"/>
        <v>0</v>
      </c>
      <c r="W3307" s="29">
        <f t="shared" si="503"/>
        <v>0</v>
      </c>
      <c r="X3307" s="30">
        <f t="shared" si="504"/>
        <v>0</v>
      </c>
      <c r="Y3307"/>
      <c r="Z3307"/>
      <c r="AA3307"/>
    </row>
    <row r="3308" spans="1:27" s="51" customFormat="1" ht="18.600000000000001" hidden="1" customHeight="1" x14ac:dyDescent="0.25">
      <c r="A3308" s="81" t="s">
        <v>2653</v>
      </c>
      <c r="B3308" s="31" t="s">
        <v>9396</v>
      </c>
      <c r="C3308" s="32" t="s">
        <v>9406</v>
      </c>
      <c r="D3308" s="31" t="s">
        <v>8405</v>
      </c>
      <c r="E3308" s="33" t="s">
        <v>8406</v>
      </c>
      <c r="F3308" s="33" t="s">
        <v>1937</v>
      </c>
      <c r="G3308" s="33"/>
      <c r="H3308" s="84" t="s">
        <v>9749</v>
      </c>
      <c r="I3308" s="23" t="s">
        <v>24</v>
      </c>
      <c r="J3308" s="34">
        <v>200</v>
      </c>
      <c r="K3308" s="35">
        <v>0.25</v>
      </c>
      <c r="L3308" s="36">
        <f t="shared" si="496"/>
        <v>50</v>
      </c>
      <c r="M3308" s="37">
        <f t="shared" si="497"/>
        <v>150</v>
      </c>
      <c r="N3308" s="38">
        <v>0.16</v>
      </c>
      <c r="O3308" s="39">
        <f t="shared" si="498"/>
        <v>24</v>
      </c>
      <c r="P3308" s="40">
        <f t="shared" si="499"/>
        <v>174</v>
      </c>
      <c r="Q3308" s="23"/>
      <c r="R3308" s="56"/>
      <c r="S3308" s="57"/>
      <c r="T3308" s="58">
        <f t="shared" si="500"/>
        <v>0</v>
      </c>
      <c r="U3308" s="36">
        <f t="shared" si="501"/>
        <v>0</v>
      </c>
      <c r="V3308" s="59">
        <f t="shared" si="502"/>
        <v>0</v>
      </c>
      <c r="W3308" s="39">
        <f t="shared" si="503"/>
        <v>0</v>
      </c>
      <c r="X3308" s="40">
        <f t="shared" si="504"/>
        <v>0</v>
      </c>
      <c r="Y3308"/>
      <c r="Z3308"/>
      <c r="AA3308"/>
    </row>
    <row r="3309" spans="1:27" s="51" customFormat="1" ht="18.600000000000001" hidden="1" customHeight="1" x14ac:dyDescent="0.25">
      <c r="A3309" s="82" t="s">
        <v>2653</v>
      </c>
      <c r="B3309" s="41" t="s">
        <v>9396</v>
      </c>
      <c r="C3309" s="42" t="s">
        <v>9406</v>
      </c>
      <c r="D3309" s="41" t="s">
        <v>8407</v>
      </c>
      <c r="E3309" s="43" t="s">
        <v>8408</v>
      </c>
      <c r="F3309" s="43" t="s">
        <v>1937</v>
      </c>
      <c r="G3309" s="43"/>
      <c r="H3309" s="85" t="s">
        <v>9749</v>
      </c>
      <c r="I3309" s="23" t="s">
        <v>24</v>
      </c>
      <c r="J3309" s="44">
        <v>200</v>
      </c>
      <c r="K3309" s="45">
        <v>0.25</v>
      </c>
      <c r="L3309" s="46">
        <f t="shared" si="496"/>
        <v>50</v>
      </c>
      <c r="M3309" s="47">
        <f t="shared" si="497"/>
        <v>150</v>
      </c>
      <c r="N3309" s="48">
        <v>0.16</v>
      </c>
      <c r="O3309" s="49">
        <f t="shared" si="498"/>
        <v>24</v>
      </c>
      <c r="P3309" s="50">
        <f t="shared" si="499"/>
        <v>174</v>
      </c>
      <c r="Q3309" s="23"/>
      <c r="R3309" s="60"/>
      <c r="S3309" s="61"/>
      <c r="T3309" s="62">
        <f t="shared" si="500"/>
        <v>0</v>
      </c>
      <c r="U3309" s="46">
        <f t="shared" si="501"/>
        <v>0</v>
      </c>
      <c r="V3309" s="63">
        <f t="shared" si="502"/>
        <v>0</v>
      </c>
      <c r="W3309" s="49">
        <f t="shared" si="503"/>
        <v>0</v>
      </c>
      <c r="X3309" s="50">
        <f t="shared" si="504"/>
        <v>0</v>
      </c>
      <c r="Y3309"/>
      <c r="Z3309"/>
      <c r="AA3309"/>
    </row>
    <row r="3310" spans="1:27" s="51" customFormat="1" ht="18.600000000000001" hidden="1" customHeight="1" x14ac:dyDescent="0.25">
      <c r="A3310" s="80" t="s">
        <v>2653</v>
      </c>
      <c r="B3310" s="20" t="s">
        <v>9396</v>
      </c>
      <c r="C3310" s="21" t="s">
        <v>9406</v>
      </c>
      <c r="D3310" s="20" t="s">
        <v>8409</v>
      </c>
      <c r="E3310" s="22" t="s">
        <v>8410</v>
      </c>
      <c r="F3310" s="22" t="s">
        <v>1937</v>
      </c>
      <c r="G3310" s="22"/>
      <c r="H3310" s="83" t="s">
        <v>9750</v>
      </c>
      <c r="I3310" s="23" t="s">
        <v>24</v>
      </c>
      <c r="J3310" s="24">
        <v>200</v>
      </c>
      <c r="K3310" s="25">
        <v>0.25</v>
      </c>
      <c r="L3310" s="26">
        <f t="shared" si="496"/>
        <v>50</v>
      </c>
      <c r="M3310" s="27">
        <f t="shared" si="497"/>
        <v>150</v>
      </c>
      <c r="N3310" s="28">
        <v>0.16</v>
      </c>
      <c r="O3310" s="29">
        <f t="shared" si="498"/>
        <v>24</v>
      </c>
      <c r="P3310" s="30">
        <f t="shared" si="499"/>
        <v>174</v>
      </c>
      <c r="Q3310" s="23"/>
      <c r="R3310" s="52"/>
      <c r="S3310" s="53"/>
      <c r="T3310" s="54">
        <f t="shared" si="500"/>
        <v>0</v>
      </c>
      <c r="U3310" s="26">
        <f t="shared" si="501"/>
        <v>0</v>
      </c>
      <c r="V3310" s="55">
        <f t="shared" si="502"/>
        <v>0</v>
      </c>
      <c r="W3310" s="29">
        <f t="shared" si="503"/>
        <v>0</v>
      </c>
      <c r="X3310" s="30">
        <f t="shared" si="504"/>
        <v>0</v>
      </c>
      <c r="Y3310"/>
      <c r="Z3310"/>
      <c r="AA3310"/>
    </row>
    <row r="3311" spans="1:27" s="51" customFormat="1" ht="18.600000000000001" hidden="1" customHeight="1" x14ac:dyDescent="0.25">
      <c r="A3311" s="81" t="s">
        <v>2653</v>
      </c>
      <c r="B3311" s="31" t="s">
        <v>9396</v>
      </c>
      <c r="C3311" s="32" t="s">
        <v>9406</v>
      </c>
      <c r="D3311" s="31" t="s">
        <v>8411</v>
      </c>
      <c r="E3311" s="33" t="s">
        <v>8412</v>
      </c>
      <c r="F3311" s="33" t="s">
        <v>1937</v>
      </c>
      <c r="G3311" s="33"/>
      <c r="H3311" s="84" t="s">
        <v>9751</v>
      </c>
      <c r="I3311" s="23" t="s">
        <v>24</v>
      </c>
      <c r="J3311" s="34">
        <v>200</v>
      </c>
      <c r="K3311" s="35">
        <v>0.25</v>
      </c>
      <c r="L3311" s="36">
        <f t="shared" si="496"/>
        <v>50</v>
      </c>
      <c r="M3311" s="37">
        <f t="shared" si="497"/>
        <v>150</v>
      </c>
      <c r="N3311" s="38">
        <v>0.16</v>
      </c>
      <c r="O3311" s="39">
        <f t="shared" si="498"/>
        <v>24</v>
      </c>
      <c r="P3311" s="40">
        <f t="shared" si="499"/>
        <v>174</v>
      </c>
      <c r="Q3311" s="23"/>
      <c r="R3311" s="56"/>
      <c r="S3311" s="57"/>
      <c r="T3311" s="58">
        <f t="shared" si="500"/>
        <v>0</v>
      </c>
      <c r="U3311" s="36">
        <f t="shared" si="501"/>
        <v>0</v>
      </c>
      <c r="V3311" s="59">
        <f t="shared" si="502"/>
        <v>0</v>
      </c>
      <c r="W3311" s="39">
        <f t="shared" si="503"/>
        <v>0</v>
      </c>
      <c r="X3311" s="40">
        <f t="shared" si="504"/>
        <v>0</v>
      </c>
      <c r="Y3311"/>
      <c r="Z3311"/>
      <c r="AA3311"/>
    </row>
    <row r="3312" spans="1:27" s="51" customFormat="1" ht="18.600000000000001" hidden="1" customHeight="1" x14ac:dyDescent="0.25">
      <c r="A3312" s="82" t="s">
        <v>2653</v>
      </c>
      <c r="B3312" s="41" t="s">
        <v>9396</v>
      </c>
      <c r="C3312" s="42" t="s">
        <v>9406</v>
      </c>
      <c r="D3312" s="41" t="s">
        <v>8413</v>
      </c>
      <c r="E3312" s="43" t="s">
        <v>8414</v>
      </c>
      <c r="F3312" s="43" t="s">
        <v>1937</v>
      </c>
      <c r="G3312" s="43"/>
      <c r="H3312" s="85" t="s">
        <v>9752</v>
      </c>
      <c r="I3312" s="23" t="s">
        <v>24</v>
      </c>
      <c r="J3312" s="44">
        <v>200</v>
      </c>
      <c r="K3312" s="45">
        <v>0.25</v>
      </c>
      <c r="L3312" s="46">
        <f t="shared" si="496"/>
        <v>50</v>
      </c>
      <c r="M3312" s="47">
        <f t="shared" si="497"/>
        <v>150</v>
      </c>
      <c r="N3312" s="48">
        <v>0.16</v>
      </c>
      <c r="O3312" s="49">
        <f t="shared" si="498"/>
        <v>24</v>
      </c>
      <c r="P3312" s="50">
        <f t="shared" si="499"/>
        <v>174</v>
      </c>
      <c r="Q3312" s="23"/>
      <c r="R3312" s="60"/>
      <c r="S3312" s="61"/>
      <c r="T3312" s="62">
        <f t="shared" si="500"/>
        <v>0</v>
      </c>
      <c r="U3312" s="46">
        <f t="shared" si="501"/>
        <v>0</v>
      </c>
      <c r="V3312" s="63">
        <f t="shared" si="502"/>
        <v>0</v>
      </c>
      <c r="W3312" s="49">
        <f t="shared" si="503"/>
        <v>0</v>
      </c>
      <c r="X3312" s="50">
        <f t="shared" si="504"/>
        <v>0</v>
      </c>
      <c r="Y3312"/>
      <c r="Z3312"/>
      <c r="AA3312"/>
    </row>
    <row r="3313" spans="1:27" s="51" customFormat="1" ht="18.600000000000001" hidden="1" customHeight="1" x14ac:dyDescent="0.25">
      <c r="A3313" s="80" t="s">
        <v>2653</v>
      </c>
      <c r="B3313" s="20" t="s">
        <v>9396</v>
      </c>
      <c r="C3313" s="21" t="s">
        <v>9406</v>
      </c>
      <c r="D3313" s="20" t="s">
        <v>8415</v>
      </c>
      <c r="E3313" s="22" t="s">
        <v>8416</v>
      </c>
      <c r="F3313" s="22" t="s">
        <v>1937</v>
      </c>
      <c r="G3313" s="22"/>
      <c r="H3313" s="83" t="s">
        <v>9753</v>
      </c>
      <c r="I3313" s="23" t="s">
        <v>24</v>
      </c>
      <c r="J3313" s="24">
        <v>200</v>
      </c>
      <c r="K3313" s="25">
        <v>0.25</v>
      </c>
      <c r="L3313" s="26">
        <f t="shared" si="496"/>
        <v>50</v>
      </c>
      <c r="M3313" s="27">
        <f t="shared" si="497"/>
        <v>150</v>
      </c>
      <c r="N3313" s="28">
        <v>0.16</v>
      </c>
      <c r="O3313" s="29">
        <f t="shared" si="498"/>
        <v>24</v>
      </c>
      <c r="P3313" s="30">
        <f t="shared" si="499"/>
        <v>174</v>
      </c>
      <c r="Q3313" s="23"/>
      <c r="R3313" s="52"/>
      <c r="S3313" s="53"/>
      <c r="T3313" s="54">
        <f t="shared" si="500"/>
        <v>0</v>
      </c>
      <c r="U3313" s="26">
        <f t="shared" si="501"/>
        <v>0</v>
      </c>
      <c r="V3313" s="55">
        <f t="shared" si="502"/>
        <v>0</v>
      </c>
      <c r="W3313" s="29">
        <f t="shared" si="503"/>
        <v>0</v>
      </c>
      <c r="X3313" s="30">
        <f t="shared" si="504"/>
        <v>0</v>
      </c>
      <c r="Y3313"/>
      <c r="Z3313"/>
      <c r="AA3313"/>
    </row>
    <row r="3314" spans="1:27" s="51" customFormat="1" ht="18.600000000000001" hidden="1" customHeight="1" x14ac:dyDescent="0.25">
      <c r="A3314" s="81" t="s">
        <v>2653</v>
      </c>
      <c r="B3314" s="31" t="s">
        <v>9396</v>
      </c>
      <c r="C3314" s="32" t="s">
        <v>9406</v>
      </c>
      <c r="D3314" s="31" t="s">
        <v>8417</v>
      </c>
      <c r="E3314" s="33" t="s">
        <v>8418</v>
      </c>
      <c r="F3314" s="33" t="s">
        <v>1937</v>
      </c>
      <c r="G3314" s="33"/>
      <c r="H3314" s="84" t="s">
        <v>9754</v>
      </c>
      <c r="I3314" s="23" t="s">
        <v>24</v>
      </c>
      <c r="J3314" s="34">
        <v>200</v>
      </c>
      <c r="K3314" s="35">
        <v>0.25</v>
      </c>
      <c r="L3314" s="36">
        <f t="shared" si="496"/>
        <v>50</v>
      </c>
      <c r="M3314" s="37">
        <f t="shared" si="497"/>
        <v>150</v>
      </c>
      <c r="N3314" s="38">
        <v>0.16</v>
      </c>
      <c r="O3314" s="39">
        <f t="shared" si="498"/>
        <v>24</v>
      </c>
      <c r="P3314" s="40">
        <f t="shared" si="499"/>
        <v>174</v>
      </c>
      <c r="Q3314" s="23"/>
      <c r="R3314" s="56"/>
      <c r="S3314" s="57"/>
      <c r="T3314" s="58">
        <f t="shared" si="500"/>
        <v>0</v>
      </c>
      <c r="U3314" s="36">
        <f t="shared" si="501"/>
        <v>0</v>
      </c>
      <c r="V3314" s="59">
        <f t="shared" si="502"/>
        <v>0</v>
      </c>
      <c r="W3314" s="39">
        <f t="shared" si="503"/>
        <v>0</v>
      </c>
      <c r="X3314" s="40">
        <f t="shared" si="504"/>
        <v>0</v>
      </c>
      <c r="Y3314"/>
      <c r="Z3314"/>
      <c r="AA3314"/>
    </row>
    <row r="3315" spans="1:27" s="51" customFormat="1" ht="18.600000000000001" hidden="1" customHeight="1" x14ac:dyDescent="0.25">
      <c r="A3315" s="82" t="s">
        <v>2653</v>
      </c>
      <c r="B3315" s="41" t="s">
        <v>9396</v>
      </c>
      <c r="C3315" s="42" t="s">
        <v>9406</v>
      </c>
      <c r="D3315" s="41" t="s">
        <v>8419</v>
      </c>
      <c r="E3315" s="43" t="s">
        <v>8420</v>
      </c>
      <c r="F3315" s="43" t="s">
        <v>1937</v>
      </c>
      <c r="G3315" s="43"/>
      <c r="H3315" s="85" t="s">
        <v>9755</v>
      </c>
      <c r="I3315" s="23" t="s">
        <v>24</v>
      </c>
      <c r="J3315" s="44">
        <v>200</v>
      </c>
      <c r="K3315" s="45">
        <v>0.25</v>
      </c>
      <c r="L3315" s="46">
        <f t="shared" si="496"/>
        <v>50</v>
      </c>
      <c r="M3315" s="47">
        <f t="shared" si="497"/>
        <v>150</v>
      </c>
      <c r="N3315" s="48">
        <v>0.16</v>
      </c>
      <c r="O3315" s="49">
        <f t="shared" si="498"/>
        <v>24</v>
      </c>
      <c r="P3315" s="50">
        <f t="shared" si="499"/>
        <v>174</v>
      </c>
      <c r="Q3315" s="23"/>
      <c r="R3315" s="60"/>
      <c r="S3315" s="61"/>
      <c r="T3315" s="62">
        <f t="shared" si="500"/>
        <v>0</v>
      </c>
      <c r="U3315" s="46">
        <f t="shared" si="501"/>
        <v>0</v>
      </c>
      <c r="V3315" s="63">
        <f t="shared" si="502"/>
        <v>0</v>
      </c>
      <c r="W3315" s="49">
        <f t="shared" si="503"/>
        <v>0</v>
      </c>
      <c r="X3315" s="50">
        <f t="shared" si="504"/>
        <v>0</v>
      </c>
      <c r="Y3315"/>
      <c r="Z3315"/>
      <c r="AA3315"/>
    </row>
    <row r="3316" spans="1:27" s="51" customFormat="1" ht="18.600000000000001" hidden="1" customHeight="1" x14ac:dyDescent="0.25">
      <c r="A3316" s="80" t="s">
        <v>2653</v>
      </c>
      <c r="B3316" s="20" t="s">
        <v>9396</v>
      </c>
      <c r="C3316" s="21" t="s">
        <v>9406</v>
      </c>
      <c r="D3316" s="20">
        <v>8435568307599</v>
      </c>
      <c r="E3316" s="22" t="s">
        <v>8421</v>
      </c>
      <c r="F3316" s="22" t="s">
        <v>1937</v>
      </c>
      <c r="G3316" s="22"/>
      <c r="H3316" s="83" t="s">
        <v>9756</v>
      </c>
      <c r="I3316" s="23" t="s">
        <v>24</v>
      </c>
      <c r="J3316" s="24">
        <v>700</v>
      </c>
      <c r="K3316" s="25">
        <v>0.25</v>
      </c>
      <c r="L3316" s="26">
        <f t="shared" si="496"/>
        <v>175</v>
      </c>
      <c r="M3316" s="27">
        <f t="shared" si="497"/>
        <v>525</v>
      </c>
      <c r="N3316" s="28">
        <v>0.16</v>
      </c>
      <c r="O3316" s="29">
        <f t="shared" si="498"/>
        <v>84</v>
      </c>
      <c r="P3316" s="30">
        <f t="shared" si="499"/>
        <v>609</v>
      </c>
      <c r="Q3316" s="23"/>
      <c r="R3316" s="52"/>
      <c r="S3316" s="53"/>
      <c r="T3316" s="54">
        <f t="shared" si="500"/>
        <v>0</v>
      </c>
      <c r="U3316" s="26">
        <f t="shared" si="501"/>
        <v>0</v>
      </c>
      <c r="V3316" s="55">
        <f t="shared" si="502"/>
        <v>0</v>
      </c>
      <c r="W3316" s="29">
        <f t="shared" si="503"/>
        <v>0</v>
      </c>
      <c r="X3316" s="30">
        <f t="shared" si="504"/>
        <v>0</v>
      </c>
      <c r="Y3316"/>
      <c r="Z3316"/>
      <c r="AA3316"/>
    </row>
    <row r="3317" spans="1:27" s="51" customFormat="1" ht="18.600000000000001" hidden="1" customHeight="1" x14ac:dyDescent="0.25">
      <c r="A3317" s="81" t="s">
        <v>2653</v>
      </c>
      <c r="B3317" s="31" t="s">
        <v>9396</v>
      </c>
      <c r="C3317" s="32" t="s">
        <v>9406</v>
      </c>
      <c r="D3317" s="31">
        <v>8435568307612</v>
      </c>
      <c r="E3317" s="33" t="s">
        <v>8422</v>
      </c>
      <c r="F3317" s="33" t="s">
        <v>1937</v>
      </c>
      <c r="G3317" s="33"/>
      <c r="H3317" s="84" t="s">
        <v>9757</v>
      </c>
      <c r="I3317" s="23" t="s">
        <v>24</v>
      </c>
      <c r="J3317" s="34">
        <v>240</v>
      </c>
      <c r="K3317" s="35">
        <v>0.25</v>
      </c>
      <c r="L3317" s="36">
        <f t="shared" si="496"/>
        <v>60</v>
      </c>
      <c r="M3317" s="37">
        <f t="shared" si="497"/>
        <v>180</v>
      </c>
      <c r="N3317" s="38">
        <v>0.16</v>
      </c>
      <c r="O3317" s="39">
        <f t="shared" si="498"/>
        <v>28.8</v>
      </c>
      <c r="P3317" s="40">
        <f t="shared" si="499"/>
        <v>208.8</v>
      </c>
      <c r="Q3317" s="23"/>
      <c r="R3317" s="56"/>
      <c r="S3317" s="57"/>
      <c r="T3317" s="58">
        <f t="shared" si="500"/>
        <v>0</v>
      </c>
      <c r="U3317" s="36">
        <f t="shared" si="501"/>
        <v>0</v>
      </c>
      <c r="V3317" s="59">
        <f t="shared" si="502"/>
        <v>0</v>
      </c>
      <c r="W3317" s="39">
        <f t="shared" si="503"/>
        <v>0</v>
      </c>
      <c r="X3317" s="40">
        <f t="shared" si="504"/>
        <v>0</v>
      </c>
      <c r="Y3317"/>
      <c r="Z3317"/>
      <c r="AA3317"/>
    </row>
    <row r="3318" spans="1:27" s="51" customFormat="1" ht="18.600000000000001" hidden="1" customHeight="1" x14ac:dyDescent="0.25">
      <c r="A3318" s="82" t="s">
        <v>2653</v>
      </c>
      <c r="B3318" s="41" t="s">
        <v>9396</v>
      </c>
      <c r="C3318" s="42" t="s">
        <v>9406</v>
      </c>
      <c r="D3318" s="41">
        <v>8435568307629</v>
      </c>
      <c r="E3318" s="43" t="s">
        <v>8423</v>
      </c>
      <c r="F3318" s="43" t="s">
        <v>1937</v>
      </c>
      <c r="G3318" s="43"/>
      <c r="H3318" s="85" t="s">
        <v>9758</v>
      </c>
      <c r="I3318" s="23" t="s">
        <v>24</v>
      </c>
      <c r="J3318" s="44">
        <v>240</v>
      </c>
      <c r="K3318" s="45">
        <v>0.25</v>
      </c>
      <c r="L3318" s="46">
        <f t="shared" si="496"/>
        <v>60</v>
      </c>
      <c r="M3318" s="47">
        <f t="shared" si="497"/>
        <v>180</v>
      </c>
      <c r="N3318" s="48">
        <v>0.16</v>
      </c>
      <c r="O3318" s="49">
        <f t="shared" si="498"/>
        <v>28.8</v>
      </c>
      <c r="P3318" s="50">
        <f t="shared" si="499"/>
        <v>208.8</v>
      </c>
      <c r="Q3318" s="23"/>
      <c r="R3318" s="60"/>
      <c r="S3318" s="61"/>
      <c r="T3318" s="62">
        <f t="shared" si="500"/>
        <v>0</v>
      </c>
      <c r="U3318" s="46">
        <f t="shared" si="501"/>
        <v>0</v>
      </c>
      <c r="V3318" s="63">
        <f t="shared" si="502"/>
        <v>0</v>
      </c>
      <c r="W3318" s="49">
        <f t="shared" si="503"/>
        <v>0</v>
      </c>
      <c r="X3318" s="50">
        <f t="shared" si="504"/>
        <v>0</v>
      </c>
      <c r="Y3318"/>
      <c r="Z3318"/>
      <c r="AA3318"/>
    </row>
    <row r="3319" spans="1:27" s="51" customFormat="1" ht="18.600000000000001" hidden="1" customHeight="1" x14ac:dyDescent="0.25">
      <c r="A3319" s="80" t="s">
        <v>2653</v>
      </c>
      <c r="B3319" s="20" t="s">
        <v>9396</v>
      </c>
      <c r="C3319" s="21" t="s">
        <v>9406</v>
      </c>
      <c r="D3319" s="20" t="s">
        <v>8424</v>
      </c>
      <c r="E3319" s="22" t="s">
        <v>8425</v>
      </c>
      <c r="F3319" s="22" t="s">
        <v>1937</v>
      </c>
      <c r="G3319" s="22"/>
      <c r="H3319" s="83" t="s">
        <v>9759</v>
      </c>
      <c r="I3319" s="23" t="s">
        <v>24</v>
      </c>
      <c r="J3319" s="24">
        <v>240</v>
      </c>
      <c r="K3319" s="25">
        <v>0.25</v>
      </c>
      <c r="L3319" s="26">
        <f t="shared" si="496"/>
        <v>60</v>
      </c>
      <c r="M3319" s="27">
        <f t="shared" si="497"/>
        <v>180</v>
      </c>
      <c r="N3319" s="28">
        <v>0.16</v>
      </c>
      <c r="O3319" s="29">
        <f t="shared" si="498"/>
        <v>28.8</v>
      </c>
      <c r="P3319" s="30">
        <f t="shared" si="499"/>
        <v>208.8</v>
      </c>
      <c r="Q3319" s="23"/>
      <c r="R3319" s="52"/>
      <c r="S3319" s="53"/>
      <c r="T3319" s="54">
        <f t="shared" si="500"/>
        <v>0</v>
      </c>
      <c r="U3319" s="26">
        <f t="shared" si="501"/>
        <v>0</v>
      </c>
      <c r="V3319" s="55">
        <f t="shared" si="502"/>
        <v>0</v>
      </c>
      <c r="W3319" s="29">
        <f t="shared" si="503"/>
        <v>0</v>
      </c>
      <c r="X3319" s="30">
        <f t="shared" si="504"/>
        <v>0</v>
      </c>
      <c r="Y3319"/>
      <c r="Z3319"/>
      <c r="AA3319"/>
    </row>
    <row r="3320" spans="1:27" s="51" customFormat="1" ht="18.600000000000001" hidden="1" customHeight="1" x14ac:dyDescent="0.25">
      <c r="A3320" s="81" t="s">
        <v>2653</v>
      </c>
      <c r="B3320" s="31" t="s">
        <v>9396</v>
      </c>
      <c r="C3320" s="32" t="s">
        <v>9406</v>
      </c>
      <c r="D3320" s="31" t="s">
        <v>8426</v>
      </c>
      <c r="E3320" s="33" t="s">
        <v>8427</v>
      </c>
      <c r="F3320" s="33" t="s">
        <v>1937</v>
      </c>
      <c r="G3320" s="33"/>
      <c r="H3320" s="84" t="s">
        <v>9760</v>
      </c>
      <c r="I3320" s="23" t="s">
        <v>24</v>
      </c>
      <c r="J3320" s="34">
        <v>240</v>
      </c>
      <c r="K3320" s="35">
        <v>0.25</v>
      </c>
      <c r="L3320" s="36">
        <f t="shared" si="496"/>
        <v>60</v>
      </c>
      <c r="M3320" s="37">
        <f t="shared" si="497"/>
        <v>180</v>
      </c>
      <c r="N3320" s="38">
        <v>0.16</v>
      </c>
      <c r="O3320" s="39">
        <f t="shared" si="498"/>
        <v>28.8</v>
      </c>
      <c r="P3320" s="40">
        <f t="shared" si="499"/>
        <v>208.8</v>
      </c>
      <c r="Q3320" s="23"/>
      <c r="R3320" s="56"/>
      <c r="S3320" s="57"/>
      <c r="T3320" s="58">
        <f t="shared" si="500"/>
        <v>0</v>
      </c>
      <c r="U3320" s="36">
        <f t="shared" si="501"/>
        <v>0</v>
      </c>
      <c r="V3320" s="59">
        <f t="shared" si="502"/>
        <v>0</v>
      </c>
      <c r="W3320" s="39">
        <f t="shared" si="503"/>
        <v>0</v>
      </c>
      <c r="X3320" s="40">
        <f t="shared" si="504"/>
        <v>0</v>
      </c>
      <c r="Y3320"/>
      <c r="Z3320"/>
      <c r="AA3320"/>
    </row>
    <row r="3321" spans="1:27" s="51" customFormat="1" ht="18.600000000000001" hidden="1" customHeight="1" x14ac:dyDescent="0.25">
      <c r="A3321" s="82" t="s">
        <v>2653</v>
      </c>
      <c r="B3321" s="41" t="s">
        <v>9396</v>
      </c>
      <c r="C3321" s="42" t="s">
        <v>9406</v>
      </c>
      <c r="D3321" s="41">
        <v>8435568312210</v>
      </c>
      <c r="E3321" s="43" t="s">
        <v>8428</v>
      </c>
      <c r="F3321" s="43" t="s">
        <v>1937</v>
      </c>
      <c r="G3321" s="43"/>
      <c r="H3321" s="85" t="s">
        <v>9761</v>
      </c>
      <c r="I3321" s="23" t="s">
        <v>24</v>
      </c>
      <c r="J3321" s="44">
        <v>240</v>
      </c>
      <c r="K3321" s="45">
        <v>0.25</v>
      </c>
      <c r="L3321" s="46">
        <f t="shared" si="496"/>
        <v>60</v>
      </c>
      <c r="M3321" s="47">
        <f t="shared" si="497"/>
        <v>180</v>
      </c>
      <c r="N3321" s="48">
        <v>0.16</v>
      </c>
      <c r="O3321" s="49">
        <f t="shared" si="498"/>
        <v>28.8</v>
      </c>
      <c r="P3321" s="50">
        <f t="shared" si="499"/>
        <v>208.8</v>
      </c>
      <c r="Q3321" s="23"/>
      <c r="R3321" s="60"/>
      <c r="S3321" s="61"/>
      <c r="T3321" s="62">
        <f t="shared" si="500"/>
        <v>0</v>
      </c>
      <c r="U3321" s="46">
        <f t="shared" si="501"/>
        <v>0</v>
      </c>
      <c r="V3321" s="63">
        <f t="shared" si="502"/>
        <v>0</v>
      </c>
      <c r="W3321" s="49">
        <f t="shared" si="503"/>
        <v>0</v>
      </c>
      <c r="X3321" s="50">
        <f t="shared" si="504"/>
        <v>0</v>
      </c>
      <c r="Y3321"/>
      <c r="Z3321"/>
      <c r="AA3321"/>
    </row>
    <row r="3322" spans="1:27" s="51" customFormat="1" ht="18.600000000000001" hidden="1" customHeight="1" x14ac:dyDescent="0.25">
      <c r="A3322" s="80" t="s">
        <v>2653</v>
      </c>
      <c r="B3322" s="20" t="s">
        <v>9396</v>
      </c>
      <c r="C3322" s="21" t="s">
        <v>9406</v>
      </c>
      <c r="D3322" s="20">
        <v>8435568312227</v>
      </c>
      <c r="E3322" s="22" t="s">
        <v>8429</v>
      </c>
      <c r="F3322" s="22" t="s">
        <v>1937</v>
      </c>
      <c r="G3322" s="22"/>
      <c r="H3322" s="83" t="s">
        <v>9762</v>
      </c>
      <c r="I3322" s="23" t="s">
        <v>24</v>
      </c>
      <c r="J3322" s="24">
        <v>240</v>
      </c>
      <c r="K3322" s="25">
        <v>0.25</v>
      </c>
      <c r="L3322" s="26">
        <f t="shared" si="496"/>
        <v>60</v>
      </c>
      <c r="M3322" s="27">
        <f t="shared" si="497"/>
        <v>180</v>
      </c>
      <c r="N3322" s="28">
        <v>0.16</v>
      </c>
      <c r="O3322" s="29">
        <f t="shared" si="498"/>
        <v>28.8</v>
      </c>
      <c r="P3322" s="30">
        <f t="shared" si="499"/>
        <v>208.8</v>
      </c>
      <c r="Q3322" s="23"/>
      <c r="R3322" s="52"/>
      <c r="S3322" s="53"/>
      <c r="T3322" s="54">
        <f t="shared" si="500"/>
        <v>0</v>
      </c>
      <c r="U3322" s="26">
        <f t="shared" si="501"/>
        <v>0</v>
      </c>
      <c r="V3322" s="55">
        <f t="shared" si="502"/>
        <v>0</v>
      </c>
      <c r="W3322" s="29">
        <f t="shared" si="503"/>
        <v>0</v>
      </c>
      <c r="X3322" s="30">
        <f t="shared" si="504"/>
        <v>0</v>
      </c>
      <c r="Y3322"/>
      <c r="Z3322"/>
      <c r="AA3322"/>
    </row>
    <row r="3323" spans="1:27" s="51" customFormat="1" ht="18.600000000000001" hidden="1" customHeight="1" x14ac:dyDescent="0.25">
      <c r="A3323" s="81" t="s">
        <v>2653</v>
      </c>
      <c r="B3323" s="31" t="s">
        <v>9396</v>
      </c>
      <c r="C3323" s="32" t="s">
        <v>9406</v>
      </c>
      <c r="D3323" s="31" t="s">
        <v>8430</v>
      </c>
      <c r="E3323" s="33" t="s">
        <v>8431</v>
      </c>
      <c r="F3323" s="33" t="s">
        <v>1937</v>
      </c>
      <c r="G3323" s="33"/>
      <c r="H3323" s="84" t="s">
        <v>9763</v>
      </c>
      <c r="I3323" s="23" t="s">
        <v>24</v>
      </c>
      <c r="J3323" s="34">
        <v>280</v>
      </c>
      <c r="K3323" s="35">
        <v>0.25</v>
      </c>
      <c r="L3323" s="36">
        <f t="shared" si="496"/>
        <v>70</v>
      </c>
      <c r="M3323" s="37">
        <f t="shared" si="497"/>
        <v>210</v>
      </c>
      <c r="N3323" s="38">
        <v>0.16</v>
      </c>
      <c r="O3323" s="39">
        <f t="shared" si="498"/>
        <v>33.6</v>
      </c>
      <c r="P3323" s="40">
        <f t="shared" si="499"/>
        <v>243.6</v>
      </c>
      <c r="Q3323" s="23"/>
      <c r="R3323" s="56"/>
      <c r="S3323" s="57"/>
      <c r="T3323" s="58">
        <f t="shared" si="500"/>
        <v>0</v>
      </c>
      <c r="U3323" s="36">
        <f t="shared" si="501"/>
        <v>0</v>
      </c>
      <c r="V3323" s="59">
        <f t="shared" si="502"/>
        <v>0</v>
      </c>
      <c r="W3323" s="39">
        <f t="shared" si="503"/>
        <v>0</v>
      </c>
      <c r="X3323" s="40">
        <f t="shared" si="504"/>
        <v>0</v>
      </c>
      <c r="Y3323"/>
      <c r="Z3323"/>
      <c r="AA3323"/>
    </row>
    <row r="3324" spans="1:27" s="51" customFormat="1" ht="18.600000000000001" hidden="1" customHeight="1" x14ac:dyDescent="0.25">
      <c r="A3324" s="82" t="s">
        <v>2653</v>
      </c>
      <c r="B3324" s="41" t="s">
        <v>9396</v>
      </c>
      <c r="C3324" s="42" t="s">
        <v>9406</v>
      </c>
      <c r="D3324" s="41" t="s">
        <v>8432</v>
      </c>
      <c r="E3324" s="43" t="s">
        <v>8433</v>
      </c>
      <c r="F3324" s="43" t="s">
        <v>1937</v>
      </c>
      <c r="G3324" s="43"/>
      <c r="H3324" s="85" t="s">
        <v>9764</v>
      </c>
      <c r="I3324" s="23" t="s">
        <v>24</v>
      </c>
      <c r="J3324" s="44">
        <v>280</v>
      </c>
      <c r="K3324" s="45">
        <v>0.25</v>
      </c>
      <c r="L3324" s="46">
        <f t="shared" si="496"/>
        <v>70</v>
      </c>
      <c r="M3324" s="47">
        <f t="shared" si="497"/>
        <v>210</v>
      </c>
      <c r="N3324" s="48">
        <v>0.16</v>
      </c>
      <c r="O3324" s="49">
        <f t="shared" si="498"/>
        <v>33.6</v>
      </c>
      <c r="P3324" s="50">
        <f t="shared" si="499"/>
        <v>243.6</v>
      </c>
      <c r="Q3324" s="23"/>
      <c r="R3324" s="60"/>
      <c r="S3324" s="61"/>
      <c r="T3324" s="62">
        <f t="shared" si="500"/>
        <v>0</v>
      </c>
      <c r="U3324" s="46">
        <f t="shared" si="501"/>
        <v>0</v>
      </c>
      <c r="V3324" s="63">
        <f t="shared" si="502"/>
        <v>0</v>
      </c>
      <c r="W3324" s="49">
        <f t="shared" si="503"/>
        <v>0</v>
      </c>
      <c r="X3324" s="50">
        <f t="shared" si="504"/>
        <v>0</v>
      </c>
      <c r="Y3324"/>
      <c r="Z3324"/>
      <c r="AA3324"/>
    </row>
    <row r="3325" spans="1:27" s="51" customFormat="1" ht="18.600000000000001" hidden="1" customHeight="1" x14ac:dyDescent="0.25">
      <c r="A3325" s="80" t="s">
        <v>2653</v>
      </c>
      <c r="B3325" s="20" t="s">
        <v>9396</v>
      </c>
      <c r="C3325" s="21" t="s">
        <v>9397</v>
      </c>
      <c r="D3325" s="20" t="s">
        <v>8434</v>
      </c>
      <c r="E3325" s="22" t="s">
        <v>8435</v>
      </c>
      <c r="F3325" s="22" t="s">
        <v>1937</v>
      </c>
      <c r="G3325" s="22"/>
      <c r="H3325" s="83" t="s">
        <v>9765</v>
      </c>
      <c r="I3325" s="23" t="s">
        <v>24</v>
      </c>
      <c r="J3325" s="24">
        <v>1530</v>
      </c>
      <c r="K3325" s="25">
        <v>0.25</v>
      </c>
      <c r="L3325" s="26">
        <f t="shared" si="496"/>
        <v>382.5</v>
      </c>
      <c r="M3325" s="27">
        <f t="shared" si="497"/>
        <v>1147.5</v>
      </c>
      <c r="N3325" s="28">
        <v>0.16</v>
      </c>
      <c r="O3325" s="29">
        <f t="shared" si="498"/>
        <v>183.6</v>
      </c>
      <c r="P3325" s="30">
        <f t="shared" si="499"/>
        <v>1331.1</v>
      </c>
      <c r="Q3325" s="23"/>
      <c r="R3325" s="52"/>
      <c r="S3325" s="53"/>
      <c r="T3325" s="54">
        <f t="shared" si="500"/>
        <v>0</v>
      </c>
      <c r="U3325" s="26">
        <f t="shared" si="501"/>
        <v>0</v>
      </c>
      <c r="V3325" s="55">
        <f t="shared" si="502"/>
        <v>0</v>
      </c>
      <c r="W3325" s="29">
        <f t="shared" si="503"/>
        <v>0</v>
      </c>
      <c r="X3325" s="30">
        <f t="shared" si="504"/>
        <v>0</v>
      </c>
      <c r="Y3325"/>
      <c r="Z3325"/>
      <c r="AA3325"/>
    </row>
    <row r="3326" spans="1:27" s="51" customFormat="1" ht="18.600000000000001" hidden="1" customHeight="1" x14ac:dyDescent="0.25">
      <c r="A3326" s="81" t="s">
        <v>2653</v>
      </c>
      <c r="B3326" s="31" t="s">
        <v>9396</v>
      </c>
      <c r="C3326" s="32" t="s">
        <v>9397</v>
      </c>
      <c r="D3326" s="31">
        <v>8435568305946</v>
      </c>
      <c r="E3326" s="33" t="s">
        <v>8436</v>
      </c>
      <c r="F3326" s="33" t="s">
        <v>1937</v>
      </c>
      <c r="G3326" s="33"/>
      <c r="H3326" s="84" t="s">
        <v>9766</v>
      </c>
      <c r="I3326" s="23" t="s">
        <v>24</v>
      </c>
      <c r="J3326" s="34">
        <v>790</v>
      </c>
      <c r="K3326" s="35">
        <v>0.25</v>
      </c>
      <c r="L3326" s="36">
        <f t="shared" si="496"/>
        <v>197.5</v>
      </c>
      <c r="M3326" s="37">
        <f t="shared" si="497"/>
        <v>592.5</v>
      </c>
      <c r="N3326" s="38">
        <v>0.16</v>
      </c>
      <c r="O3326" s="39">
        <f t="shared" si="498"/>
        <v>94.8</v>
      </c>
      <c r="P3326" s="40">
        <f t="shared" si="499"/>
        <v>687.3</v>
      </c>
      <c r="Q3326" s="23"/>
      <c r="R3326" s="56"/>
      <c r="S3326" s="57"/>
      <c r="T3326" s="58">
        <f t="shared" si="500"/>
        <v>0</v>
      </c>
      <c r="U3326" s="36">
        <f t="shared" si="501"/>
        <v>0</v>
      </c>
      <c r="V3326" s="59">
        <f t="shared" si="502"/>
        <v>0</v>
      </c>
      <c r="W3326" s="39">
        <f t="shared" si="503"/>
        <v>0</v>
      </c>
      <c r="X3326" s="40">
        <f t="shared" si="504"/>
        <v>0</v>
      </c>
      <c r="Y3326"/>
      <c r="Z3326"/>
      <c r="AA3326"/>
    </row>
    <row r="3327" spans="1:27" s="51" customFormat="1" ht="18.600000000000001" hidden="1" customHeight="1" x14ac:dyDescent="0.25">
      <c r="A3327" s="82" t="s">
        <v>2653</v>
      </c>
      <c r="B3327" s="41" t="s">
        <v>9396</v>
      </c>
      <c r="C3327" s="42" t="s">
        <v>9397</v>
      </c>
      <c r="D3327" s="41" t="s">
        <v>8437</v>
      </c>
      <c r="E3327" s="43" t="s">
        <v>8438</v>
      </c>
      <c r="F3327" s="43" t="s">
        <v>1937</v>
      </c>
      <c r="G3327" s="43"/>
      <c r="H3327" s="85" t="s">
        <v>9767</v>
      </c>
      <c r="I3327" s="23" t="s">
        <v>24</v>
      </c>
      <c r="J3327" s="44">
        <v>1660</v>
      </c>
      <c r="K3327" s="45">
        <v>0.25</v>
      </c>
      <c r="L3327" s="46">
        <f t="shared" si="496"/>
        <v>415</v>
      </c>
      <c r="M3327" s="47">
        <f t="shared" si="497"/>
        <v>1245</v>
      </c>
      <c r="N3327" s="48">
        <v>0.16</v>
      </c>
      <c r="O3327" s="49">
        <f t="shared" si="498"/>
        <v>199.20000000000002</v>
      </c>
      <c r="P3327" s="50">
        <f t="shared" si="499"/>
        <v>1444.2</v>
      </c>
      <c r="Q3327" s="23"/>
      <c r="R3327" s="60"/>
      <c r="S3327" s="61"/>
      <c r="T3327" s="62">
        <f t="shared" si="500"/>
        <v>0</v>
      </c>
      <c r="U3327" s="46">
        <f t="shared" si="501"/>
        <v>0</v>
      </c>
      <c r="V3327" s="63">
        <f t="shared" si="502"/>
        <v>0</v>
      </c>
      <c r="W3327" s="49">
        <f t="shared" si="503"/>
        <v>0</v>
      </c>
      <c r="X3327" s="50">
        <f t="shared" si="504"/>
        <v>0</v>
      </c>
      <c r="Y3327"/>
      <c r="Z3327"/>
      <c r="AA3327"/>
    </row>
    <row r="3328" spans="1:27" s="51" customFormat="1" ht="18.600000000000001" hidden="1" customHeight="1" x14ac:dyDescent="0.25">
      <c r="A3328" s="80" t="s">
        <v>2653</v>
      </c>
      <c r="B3328" s="20" t="s">
        <v>9396</v>
      </c>
      <c r="C3328" s="21" t="s">
        <v>9397</v>
      </c>
      <c r="D3328" s="20">
        <v>8435568312722</v>
      </c>
      <c r="E3328" s="22" t="s">
        <v>8439</v>
      </c>
      <c r="F3328" s="22" t="s">
        <v>1937</v>
      </c>
      <c r="G3328" s="22"/>
      <c r="H3328" s="83" t="s">
        <v>9768</v>
      </c>
      <c r="I3328" s="23" t="s">
        <v>24</v>
      </c>
      <c r="J3328" s="24">
        <v>1240</v>
      </c>
      <c r="K3328" s="25">
        <v>0.25</v>
      </c>
      <c r="L3328" s="26">
        <f t="shared" si="496"/>
        <v>310</v>
      </c>
      <c r="M3328" s="27">
        <f t="shared" si="497"/>
        <v>930</v>
      </c>
      <c r="N3328" s="28">
        <v>0.16</v>
      </c>
      <c r="O3328" s="29">
        <f t="shared" si="498"/>
        <v>148.80000000000001</v>
      </c>
      <c r="P3328" s="30">
        <f t="shared" si="499"/>
        <v>1078.8</v>
      </c>
      <c r="Q3328" s="23"/>
      <c r="R3328" s="52"/>
      <c r="S3328" s="53"/>
      <c r="T3328" s="54">
        <f t="shared" si="500"/>
        <v>0</v>
      </c>
      <c r="U3328" s="26">
        <f t="shared" si="501"/>
        <v>0</v>
      </c>
      <c r="V3328" s="55">
        <f t="shared" si="502"/>
        <v>0</v>
      </c>
      <c r="W3328" s="29">
        <f t="shared" si="503"/>
        <v>0</v>
      </c>
      <c r="X3328" s="30">
        <f t="shared" si="504"/>
        <v>0</v>
      </c>
      <c r="Y3328"/>
      <c r="Z3328"/>
      <c r="AA3328"/>
    </row>
    <row r="3329" spans="1:27" s="51" customFormat="1" ht="18.600000000000001" hidden="1" customHeight="1" x14ac:dyDescent="0.25">
      <c r="A3329" s="81" t="s">
        <v>2653</v>
      </c>
      <c r="B3329" s="31" t="s">
        <v>9396</v>
      </c>
      <c r="C3329" s="32" t="s">
        <v>9397</v>
      </c>
      <c r="D3329" s="31">
        <v>8435568312739</v>
      </c>
      <c r="E3329" s="33" t="s">
        <v>8440</v>
      </c>
      <c r="F3329" s="33" t="s">
        <v>1937</v>
      </c>
      <c r="G3329" s="33"/>
      <c r="H3329" s="84" t="s">
        <v>9769</v>
      </c>
      <c r="I3329" s="23" t="s">
        <v>24</v>
      </c>
      <c r="J3329" s="34">
        <v>1240</v>
      </c>
      <c r="K3329" s="35">
        <v>0.25</v>
      </c>
      <c r="L3329" s="36">
        <f t="shared" si="496"/>
        <v>310</v>
      </c>
      <c r="M3329" s="37">
        <f t="shared" si="497"/>
        <v>930</v>
      </c>
      <c r="N3329" s="38">
        <v>0.16</v>
      </c>
      <c r="O3329" s="39">
        <f t="shared" si="498"/>
        <v>148.80000000000001</v>
      </c>
      <c r="P3329" s="40">
        <f t="shared" si="499"/>
        <v>1078.8</v>
      </c>
      <c r="Q3329" s="23"/>
      <c r="R3329" s="56"/>
      <c r="S3329" s="57"/>
      <c r="T3329" s="58">
        <f t="shared" si="500"/>
        <v>0</v>
      </c>
      <c r="U3329" s="36">
        <f t="shared" si="501"/>
        <v>0</v>
      </c>
      <c r="V3329" s="59">
        <f t="shared" si="502"/>
        <v>0</v>
      </c>
      <c r="W3329" s="39">
        <f t="shared" si="503"/>
        <v>0</v>
      </c>
      <c r="X3329" s="40">
        <f t="shared" si="504"/>
        <v>0</v>
      </c>
      <c r="Y3329"/>
      <c r="Z3329"/>
      <c r="AA3329"/>
    </row>
    <row r="3330" spans="1:27" s="51" customFormat="1" ht="18.600000000000001" hidden="1" customHeight="1" x14ac:dyDescent="0.25">
      <c r="A3330" s="82" t="s">
        <v>2653</v>
      </c>
      <c r="B3330" s="41" t="s">
        <v>9396</v>
      </c>
      <c r="C3330" s="42" t="s">
        <v>9397</v>
      </c>
      <c r="D3330" s="41">
        <v>8435568312944</v>
      </c>
      <c r="E3330" s="43" t="s">
        <v>8441</v>
      </c>
      <c r="F3330" s="43" t="s">
        <v>1937</v>
      </c>
      <c r="G3330" s="43"/>
      <c r="H3330" s="85" t="s">
        <v>9770</v>
      </c>
      <c r="I3330" s="23" t="s">
        <v>24</v>
      </c>
      <c r="J3330" s="44">
        <v>1240</v>
      </c>
      <c r="K3330" s="45">
        <v>0.25</v>
      </c>
      <c r="L3330" s="46">
        <f t="shared" si="496"/>
        <v>310</v>
      </c>
      <c r="M3330" s="47">
        <f t="shared" si="497"/>
        <v>930</v>
      </c>
      <c r="N3330" s="48">
        <v>0.16</v>
      </c>
      <c r="O3330" s="49">
        <f t="shared" si="498"/>
        <v>148.80000000000001</v>
      </c>
      <c r="P3330" s="50">
        <f t="shared" si="499"/>
        <v>1078.8</v>
      </c>
      <c r="Q3330" s="23"/>
      <c r="R3330" s="60"/>
      <c r="S3330" s="61"/>
      <c r="T3330" s="62">
        <f t="shared" si="500"/>
        <v>0</v>
      </c>
      <c r="U3330" s="46">
        <f t="shared" si="501"/>
        <v>0</v>
      </c>
      <c r="V3330" s="63">
        <f t="shared" si="502"/>
        <v>0</v>
      </c>
      <c r="W3330" s="49">
        <f t="shared" si="503"/>
        <v>0</v>
      </c>
      <c r="X3330" s="50">
        <f t="shared" si="504"/>
        <v>0</v>
      </c>
      <c r="Y3330"/>
      <c r="Z3330"/>
      <c r="AA3330"/>
    </row>
    <row r="3331" spans="1:27" s="51" customFormat="1" ht="18.600000000000001" hidden="1" customHeight="1" x14ac:dyDescent="0.25">
      <c r="A3331" s="80" t="s">
        <v>2653</v>
      </c>
      <c r="B3331" s="20" t="s">
        <v>9396</v>
      </c>
      <c r="C3331" s="21" t="s">
        <v>9397</v>
      </c>
      <c r="D3331" s="20">
        <v>8435568328655</v>
      </c>
      <c r="E3331" s="22" t="s">
        <v>8442</v>
      </c>
      <c r="F3331" s="22" t="s">
        <v>1937</v>
      </c>
      <c r="G3331" s="22"/>
      <c r="H3331" s="83" t="s">
        <v>9771</v>
      </c>
      <c r="I3331" s="23" t="s">
        <v>24</v>
      </c>
      <c r="J3331" s="24">
        <v>1660</v>
      </c>
      <c r="K3331" s="25">
        <v>0.25</v>
      </c>
      <c r="L3331" s="26">
        <f t="shared" si="496"/>
        <v>415</v>
      </c>
      <c r="M3331" s="27">
        <f t="shared" si="497"/>
        <v>1245</v>
      </c>
      <c r="N3331" s="28">
        <v>0.16</v>
      </c>
      <c r="O3331" s="29">
        <f t="shared" si="498"/>
        <v>199.20000000000002</v>
      </c>
      <c r="P3331" s="30">
        <f t="shared" si="499"/>
        <v>1444.2</v>
      </c>
      <c r="Q3331" s="23"/>
      <c r="R3331" s="52"/>
      <c r="S3331" s="53"/>
      <c r="T3331" s="54">
        <f t="shared" si="500"/>
        <v>0</v>
      </c>
      <c r="U3331" s="26">
        <f t="shared" si="501"/>
        <v>0</v>
      </c>
      <c r="V3331" s="55">
        <f t="shared" si="502"/>
        <v>0</v>
      </c>
      <c r="W3331" s="29">
        <f t="shared" si="503"/>
        <v>0</v>
      </c>
      <c r="X3331" s="30">
        <f t="shared" si="504"/>
        <v>0</v>
      </c>
      <c r="Y3331"/>
      <c r="Z3331"/>
      <c r="AA3331"/>
    </row>
    <row r="3332" spans="1:27" s="51" customFormat="1" ht="18.600000000000001" hidden="1" customHeight="1" x14ac:dyDescent="0.25">
      <c r="A3332" s="81" t="s">
        <v>2653</v>
      </c>
      <c r="B3332" s="31" t="s">
        <v>9396</v>
      </c>
      <c r="C3332" s="32" t="s">
        <v>9397</v>
      </c>
      <c r="D3332" s="31">
        <v>8435568346659</v>
      </c>
      <c r="E3332" s="33" t="s">
        <v>8443</v>
      </c>
      <c r="F3332" s="33" t="s">
        <v>1937</v>
      </c>
      <c r="G3332" s="33"/>
      <c r="H3332" s="84" t="s">
        <v>9772</v>
      </c>
      <c r="I3332" s="23" t="s">
        <v>24</v>
      </c>
      <c r="J3332" s="34">
        <v>1660</v>
      </c>
      <c r="K3332" s="35">
        <v>0.25</v>
      </c>
      <c r="L3332" s="36">
        <f t="shared" si="496"/>
        <v>415</v>
      </c>
      <c r="M3332" s="37">
        <f t="shared" si="497"/>
        <v>1245</v>
      </c>
      <c r="N3332" s="38">
        <v>0.16</v>
      </c>
      <c r="O3332" s="39">
        <f t="shared" si="498"/>
        <v>199.20000000000002</v>
      </c>
      <c r="P3332" s="40">
        <f t="shared" si="499"/>
        <v>1444.2</v>
      </c>
      <c r="Q3332" s="23"/>
      <c r="R3332" s="56"/>
      <c r="S3332" s="57"/>
      <c r="T3332" s="58">
        <f t="shared" si="500"/>
        <v>0</v>
      </c>
      <c r="U3332" s="36">
        <f t="shared" si="501"/>
        <v>0</v>
      </c>
      <c r="V3332" s="59">
        <f t="shared" si="502"/>
        <v>0</v>
      </c>
      <c r="W3332" s="39">
        <f t="shared" si="503"/>
        <v>0</v>
      </c>
      <c r="X3332" s="40">
        <f t="shared" si="504"/>
        <v>0</v>
      </c>
      <c r="Y3332"/>
      <c r="Z3332"/>
      <c r="AA3332"/>
    </row>
    <row r="3333" spans="1:27" s="51" customFormat="1" ht="18.600000000000001" hidden="1" customHeight="1" x14ac:dyDescent="0.25">
      <c r="A3333" s="82" t="s">
        <v>2653</v>
      </c>
      <c r="B3333" s="41" t="s">
        <v>9396</v>
      </c>
      <c r="C3333" s="42" t="s">
        <v>9397</v>
      </c>
      <c r="D3333" s="41">
        <v>8435568346666</v>
      </c>
      <c r="E3333" s="43" t="s">
        <v>8444</v>
      </c>
      <c r="F3333" s="43" t="s">
        <v>1937</v>
      </c>
      <c r="G3333" s="43"/>
      <c r="H3333" s="85" t="s">
        <v>9773</v>
      </c>
      <c r="I3333" s="23" t="s">
        <v>24</v>
      </c>
      <c r="J3333" s="44">
        <v>1660</v>
      </c>
      <c r="K3333" s="45">
        <v>0.25</v>
      </c>
      <c r="L3333" s="46">
        <f t="shared" si="496"/>
        <v>415</v>
      </c>
      <c r="M3333" s="47">
        <f t="shared" si="497"/>
        <v>1245</v>
      </c>
      <c r="N3333" s="48">
        <v>0.16</v>
      </c>
      <c r="O3333" s="49">
        <f t="shared" si="498"/>
        <v>199.20000000000002</v>
      </c>
      <c r="P3333" s="50">
        <f t="shared" si="499"/>
        <v>1444.2</v>
      </c>
      <c r="Q3333" s="23"/>
      <c r="R3333" s="60"/>
      <c r="S3333" s="61"/>
      <c r="T3333" s="62">
        <f t="shared" si="500"/>
        <v>0</v>
      </c>
      <c r="U3333" s="46">
        <f t="shared" si="501"/>
        <v>0</v>
      </c>
      <c r="V3333" s="63">
        <f t="shared" si="502"/>
        <v>0</v>
      </c>
      <c r="W3333" s="49">
        <f t="shared" si="503"/>
        <v>0</v>
      </c>
      <c r="X3333" s="50">
        <f t="shared" si="504"/>
        <v>0</v>
      </c>
      <c r="Y3333"/>
      <c r="Z3333"/>
      <c r="AA3333"/>
    </row>
    <row r="3334" spans="1:27" s="51" customFormat="1" ht="18.600000000000001" hidden="1" customHeight="1" x14ac:dyDescent="0.25">
      <c r="A3334" s="80" t="s">
        <v>2653</v>
      </c>
      <c r="B3334" s="20" t="s">
        <v>9396</v>
      </c>
      <c r="C3334" s="21" t="s">
        <v>9397</v>
      </c>
      <c r="D3334" s="20">
        <v>8436564928221</v>
      </c>
      <c r="E3334" s="22" t="s">
        <v>8445</v>
      </c>
      <c r="F3334" s="22" t="s">
        <v>1937</v>
      </c>
      <c r="G3334" s="22"/>
      <c r="H3334" s="83" t="s">
        <v>9774</v>
      </c>
      <c r="I3334" s="23" t="s">
        <v>24</v>
      </c>
      <c r="J3334" s="24">
        <v>790</v>
      </c>
      <c r="K3334" s="25">
        <v>0.25</v>
      </c>
      <c r="L3334" s="26">
        <f t="shared" si="496"/>
        <v>197.5</v>
      </c>
      <c r="M3334" s="27">
        <f t="shared" si="497"/>
        <v>592.5</v>
      </c>
      <c r="N3334" s="28">
        <v>0.16</v>
      </c>
      <c r="O3334" s="29">
        <f t="shared" si="498"/>
        <v>94.8</v>
      </c>
      <c r="P3334" s="30">
        <f t="shared" si="499"/>
        <v>687.3</v>
      </c>
      <c r="Q3334" s="23"/>
      <c r="R3334" s="52"/>
      <c r="S3334" s="53"/>
      <c r="T3334" s="54">
        <f t="shared" si="500"/>
        <v>0</v>
      </c>
      <c r="U3334" s="26">
        <f t="shared" si="501"/>
        <v>0</v>
      </c>
      <c r="V3334" s="55">
        <f t="shared" si="502"/>
        <v>0</v>
      </c>
      <c r="W3334" s="29">
        <f t="shared" si="503"/>
        <v>0</v>
      </c>
      <c r="X3334" s="30">
        <f t="shared" si="504"/>
        <v>0</v>
      </c>
      <c r="Y3334"/>
      <c r="Z3334"/>
      <c r="AA3334"/>
    </row>
    <row r="3335" spans="1:27" s="51" customFormat="1" ht="18.600000000000001" hidden="1" customHeight="1" x14ac:dyDescent="0.25">
      <c r="A3335" s="81" t="s">
        <v>2653</v>
      </c>
      <c r="B3335" s="31" t="s">
        <v>9396</v>
      </c>
      <c r="C3335" s="32" t="s">
        <v>9397</v>
      </c>
      <c r="D3335" s="31">
        <v>8436564928269</v>
      </c>
      <c r="E3335" s="33" t="s">
        <v>8446</v>
      </c>
      <c r="F3335" s="33" t="s">
        <v>1937</v>
      </c>
      <c r="G3335" s="33"/>
      <c r="H3335" s="84" t="s">
        <v>9775</v>
      </c>
      <c r="I3335" s="23" t="s">
        <v>24</v>
      </c>
      <c r="J3335" s="34">
        <v>820</v>
      </c>
      <c r="K3335" s="35">
        <v>0.25</v>
      </c>
      <c r="L3335" s="36">
        <f t="shared" si="496"/>
        <v>205</v>
      </c>
      <c r="M3335" s="37">
        <f t="shared" si="497"/>
        <v>615</v>
      </c>
      <c r="N3335" s="38">
        <v>0.16</v>
      </c>
      <c r="O3335" s="39">
        <f t="shared" si="498"/>
        <v>98.4</v>
      </c>
      <c r="P3335" s="40">
        <f t="shared" si="499"/>
        <v>713.4</v>
      </c>
      <c r="Q3335" s="23"/>
      <c r="R3335" s="56"/>
      <c r="S3335" s="57"/>
      <c r="T3335" s="58">
        <f t="shared" si="500"/>
        <v>0</v>
      </c>
      <c r="U3335" s="36">
        <f t="shared" si="501"/>
        <v>0</v>
      </c>
      <c r="V3335" s="59">
        <f t="shared" si="502"/>
        <v>0</v>
      </c>
      <c r="W3335" s="39">
        <f t="shared" si="503"/>
        <v>0</v>
      </c>
      <c r="X3335" s="40">
        <f t="shared" si="504"/>
        <v>0</v>
      </c>
      <c r="Y3335"/>
      <c r="Z3335"/>
      <c r="AA3335"/>
    </row>
    <row r="3336" spans="1:27" s="51" customFormat="1" ht="18.600000000000001" hidden="1" customHeight="1" x14ac:dyDescent="0.25">
      <c r="A3336" s="82" t="s">
        <v>2653</v>
      </c>
      <c r="B3336" s="41" t="s">
        <v>9396</v>
      </c>
      <c r="C3336" s="42" t="s">
        <v>9397</v>
      </c>
      <c r="D3336" s="41">
        <v>8436564929594</v>
      </c>
      <c r="E3336" s="43" t="s">
        <v>8447</v>
      </c>
      <c r="F3336" s="43" t="s">
        <v>1937</v>
      </c>
      <c r="G3336" s="43"/>
      <c r="H3336" s="85" t="s">
        <v>9776</v>
      </c>
      <c r="I3336" s="23" t="s">
        <v>24</v>
      </c>
      <c r="J3336" s="44">
        <v>1910</v>
      </c>
      <c r="K3336" s="45">
        <v>0.25</v>
      </c>
      <c r="L3336" s="46">
        <f t="shared" si="496"/>
        <v>477.5</v>
      </c>
      <c r="M3336" s="47">
        <f t="shared" si="497"/>
        <v>1432.5</v>
      </c>
      <c r="N3336" s="48">
        <v>0.16</v>
      </c>
      <c r="O3336" s="49">
        <f t="shared" si="498"/>
        <v>229.20000000000002</v>
      </c>
      <c r="P3336" s="50">
        <f t="shared" si="499"/>
        <v>1661.7</v>
      </c>
      <c r="Q3336" s="23"/>
      <c r="R3336" s="60"/>
      <c r="S3336" s="61"/>
      <c r="T3336" s="62">
        <f t="shared" si="500"/>
        <v>0</v>
      </c>
      <c r="U3336" s="46">
        <f t="shared" si="501"/>
        <v>0</v>
      </c>
      <c r="V3336" s="63">
        <f t="shared" si="502"/>
        <v>0</v>
      </c>
      <c r="W3336" s="49">
        <f t="shared" si="503"/>
        <v>0</v>
      </c>
      <c r="X3336" s="50">
        <f t="shared" si="504"/>
        <v>0</v>
      </c>
      <c r="Y3336"/>
      <c r="Z3336"/>
      <c r="AA3336"/>
    </row>
    <row r="3337" spans="1:27" s="51" customFormat="1" ht="18.600000000000001" hidden="1" customHeight="1" x14ac:dyDescent="0.25">
      <c r="A3337" s="80" t="s">
        <v>2653</v>
      </c>
      <c r="B3337" s="20" t="s">
        <v>9396</v>
      </c>
      <c r="C3337" s="21" t="s">
        <v>9397</v>
      </c>
      <c r="D3337" s="20">
        <v>8436564929600</v>
      </c>
      <c r="E3337" s="22" t="s">
        <v>8448</v>
      </c>
      <c r="F3337" s="22" t="s">
        <v>1937</v>
      </c>
      <c r="G3337" s="22"/>
      <c r="H3337" s="83" t="s">
        <v>9777</v>
      </c>
      <c r="I3337" s="23" t="s">
        <v>24</v>
      </c>
      <c r="J3337" s="24">
        <v>1910</v>
      </c>
      <c r="K3337" s="25">
        <v>0.25</v>
      </c>
      <c r="L3337" s="26">
        <f t="shared" si="496"/>
        <v>477.5</v>
      </c>
      <c r="M3337" s="27">
        <f t="shared" si="497"/>
        <v>1432.5</v>
      </c>
      <c r="N3337" s="28">
        <v>0.16</v>
      </c>
      <c r="O3337" s="29">
        <f t="shared" si="498"/>
        <v>229.20000000000002</v>
      </c>
      <c r="P3337" s="30">
        <f t="shared" si="499"/>
        <v>1661.7</v>
      </c>
      <c r="Q3337" s="23"/>
      <c r="R3337" s="52"/>
      <c r="S3337" s="53"/>
      <c r="T3337" s="54">
        <f t="shared" si="500"/>
        <v>0</v>
      </c>
      <c r="U3337" s="26">
        <f t="shared" si="501"/>
        <v>0</v>
      </c>
      <c r="V3337" s="55">
        <f t="shared" si="502"/>
        <v>0</v>
      </c>
      <c r="W3337" s="29">
        <f t="shared" si="503"/>
        <v>0</v>
      </c>
      <c r="X3337" s="30">
        <f t="shared" si="504"/>
        <v>0</v>
      </c>
      <c r="Y3337"/>
      <c r="Z3337"/>
      <c r="AA3337"/>
    </row>
    <row r="3338" spans="1:27" s="51" customFormat="1" ht="18.600000000000001" hidden="1" customHeight="1" x14ac:dyDescent="0.25">
      <c r="A3338" s="81" t="s">
        <v>2653</v>
      </c>
      <c r="B3338" s="31" t="s">
        <v>9396</v>
      </c>
      <c r="C3338" s="32" t="s">
        <v>9397</v>
      </c>
      <c r="D3338" s="31">
        <v>8436564929624</v>
      </c>
      <c r="E3338" s="33" t="s">
        <v>8449</v>
      </c>
      <c r="F3338" s="33" t="s">
        <v>1937</v>
      </c>
      <c r="G3338" s="33"/>
      <c r="H3338" s="84" t="s">
        <v>9778</v>
      </c>
      <c r="I3338" s="23" t="s">
        <v>24</v>
      </c>
      <c r="J3338" s="34">
        <v>1030</v>
      </c>
      <c r="K3338" s="35">
        <v>0.25</v>
      </c>
      <c r="L3338" s="36">
        <f t="shared" si="496"/>
        <v>257.5</v>
      </c>
      <c r="M3338" s="37">
        <f t="shared" si="497"/>
        <v>772.5</v>
      </c>
      <c r="N3338" s="38">
        <v>0.16</v>
      </c>
      <c r="O3338" s="39">
        <f t="shared" si="498"/>
        <v>123.60000000000001</v>
      </c>
      <c r="P3338" s="40">
        <f t="shared" si="499"/>
        <v>896.1</v>
      </c>
      <c r="Q3338" s="23"/>
      <c r="R3338" s="56"/>
      <c r="S3338" s="57"/>
      <c r="T3338" s="58">
        <f t="shared" si="500"/>
        <v>0</v>
      </c>
      <c r="U3338" s="36">
        <f t="shared" si="501"/>
        <v>0</v>
      </c>
      <c r="V3338" s="59">
        <f t="shared" si="502"/>
        <v>0</v>
      </c>
      <c r="W3338" s="39">
        <f t="shared" si="503"/>
        <v>0</v>
      </c>
      <c r="X3338" s="40">
        <f t="shared" si="504"/>
        <v>0</v>
      </c>
      <c r="Y3338"/>
      <c r="Z3338"/>
      <c r="AA3338"/>
    </row>
    <row r="3339" spans="1:27" s="51" customFormat="1" ht="18.600000000000001" hidden="1" customHeight="1" x14ac:dyDescent="0.25">
      <c r="A3339" s="82" t="s">
        <v>2653</v>
      </c>
      <c r="B3339" s="41" t="s">
        <v>9396</v>
      </c>
      <c r="C3339" s="42" t="s">
        <v>9397</v>
      </c>
      <c r="D3339" s="41" t="s">
        <v>8450</v>
      </c>
      <c r="E3339" s="43" t="s">
        <v>8451</v>
      </c>
      <c r="F3339" s="43" t="s">
        <v>1937</v>
      </c>
      <c r="G3339" s="43"/>
      <c r="H3339" s="85" t="s">
        <v>9779</v>
      </c>
      <c r="I3339" s="23" t="s">
        <v>24</v>
      </c>
      <c r="J3339" s="44">
        <v>2450</v>
      </c>
      <c r="K3339" s="45">
        <v>0.25</v>
      </c>
      <c r="L3339" s="46">
        <f t="shared" si="496"/>
        <v>612.5</v>
      </c>
      <c r="M3339" s="47">
        <f t="shared" si="497"/>
        <v>1837.5</v>
      </c>
      <c r="N3339" s="48">
        <v>0.16</v>
      </c>
      <c r="O3339" s="49">
        <f t="shared" si="498"/>
        <v>294</v>
      </c>
      <c r="P3339" s="50">
        <f t="shared" si="499"/>
        <v>2131.5</v>
      </c>
      <c r="Q3339" s="23"/>
      <c r="R3339" s="60"/>
      <c r="S3339" s="61"/>
      <c r="T3339" s="62">
        <f t="shared" si="500"/>
        <v>0</v>
      </c>
      <c r="U3339" s="46">
        <f t="shared" si="501"/>
        <v>0</v>
      </c>
      <c r="V3339" s="63">
        <f t="shared" si="502"/>
        <v>0</v>
      </c>
      <c r="W3339" s="49">
        <f t="shared" si="503"/>
        <v>0</v>
      </c>
      <c r="X3339" s="50">
        <f t="shared" si="504"/>
        <v>0</v>
      </c>
      <c r="Y3339"/>
      <c r="Z3339"/>
      <c r="AA3339"/>
    </row>
    <row r="3340" spans="1:27" s="51" customFormat="1" ht="18.600000000000001" hidden="1" customHeight="1" x14ac:dyDescent="0.25">
      <c r="A3340" s="80" t="s">
        <v>2653</v>
      </c>
      <c r="B3340" s="20" t="s">
        <v>9396</v>
      </c>
      <c r="C3340" s="21" t="s">
        <v>9397</v>
      </c>
      <c r="D3340" s="20" t="s">
        <v>8452</v>
      </c>
      <c r="E3340" s="22" t="s">
        <v>8453</v>
      </c>
      <c r="F3340" s="22" t="s">
        <v>1937</v>
      </c>
      <c r="G3340" s="22"/>
      <c r="H3340" s="83" t="s">
        <v>9780</v>
      </c>
      <c r="I3340" s="23" t="s">
        <v>24</v>
      </c>
      <c r="J3340" s="24">
        <v>2450</v>
      </c>
      <c r="K3340" s="25">
        <v>0.25</v>
      </c>
      <c r="L3340" s="26">
        <f t="shared" si="496"/>
        <v>612.5</v>
      </c>
      <c r="M3340" s="27">
        <f t="shared" si="497"/>
        <v>1837.5</v>
      </c>
      <c r="N3340" s="28">
        <v>0.16</v>
      </c>
      <c r="O3340" s="29">
        <f t="shared" si="498"/>
        <v>294</v>
      </c>
      <c r="P3340" s="30">
        <f t="shared" si="499"/>
        <v>2131.5</v>
      </c>
      <c r="Q3340" s="23"/>
      <c r="R3340" s="52"/>
      <c r="S3340" s="53"/>
      <c r="T3340" s="54">
        <f t="shared" si="500"/>
        <v>0</v>
      </c>
      <c r="U3340" s="26">
        <f t="shared" si="501"/>
        <v>0</v>
      </c>
      <c r="V3340" s="55">
        <f t="shared" si="502"/>
        <v>0</v>
      </c>
      <c r="W3340" s="29">
        <f t="shared" si="503"/>
        <v>0</v>
      </c>
      <c r="X3340" s="30">
        <f t="shared" si="504"/>
        <v>0</v>
      </c>
      <c r="Y3340"/>
      <c r="Z3340"/>
      <c r="AA3340"/>
    </row>
    <row r="3341" spans="1:27" s="51" customFormat="1" ht="18.600000000000001" hidden="1" customHeight="1" x14ac:dyDescent="0.25">
      <c r="A3341" s="81" t="s">
        <v>2653</v>
      </c>
      <c r="B3341" s="31" t="s">
        <v>9396</v>
      </c>
      <c r="C3341" s="32" t="s">
        <v>9397</v>
      </c>
      <c r="D3341" s="31" t="s">
        <v>8454</v>
      </c>
      <c r="E3341" s="33" t="s">
        <v>8455</v>
      </c>
      <c r="F3341" s="33" t="s">
        <v>1937</v>
      </c>
      <c r="G3341" s="33"/>
      <c r="H3341" s="84" t="s">
        <v>9781</v>
      </c>
      <c r="I3341" s="23" t="s">
        <v>24</v>
      </c>
      <c r="J3341" s="34">
        <v>950</v>
      </c>
      <c r="K3341" s="35">
        <v>0.25</v>
      </c>
      <c r="L3341" s="36">
        <f t="shared" si="496"/>
        <v>237.5</v>
      </c>
      <c r="M3341" s="37">
        <f t="shared" si="497"/>
        <v>712.5</v>
      </c>
      <c r="N3341" s="38">
        <v>0.16</v>
      </c>
      <c r="O3341" s="39">
        <f t="shared" si="498"/>
        <v>114</v>
      </c>
      <c r="P3341" s="40">
        <f t="shared" si="499"/>
        <v>826.5</v>
      </c>
      <c r="Q3341" s="23"/>
      <c r="R3341" s="56"/>
      <c r="S3341" s="57"/>
      <c r="T3341" s="58">
        <f t="shared" si="500"/>
        <v>0</v>
      </c>
      <c r="U3341" s="36">
        <f t="shared" si="501"/>
        <v>0</v>
      </c>
      <c r="V3341" s="59">
        <f t="shared" si="502"/>
        <v>0</v>
      </c>
      <c r="W3341" s="39">
        <f t="shared" si="503"/>
        <v>0</v>
      </c>
      <c r="X3341" s="40">
        <f t="shared" si="504"/>
        <v>0</v>
      </c>
      <c r="Y3341"/>
      <c r="Z3341"/>
      <c r="AA3341"/>
    </row>
    <row r="3342" spans="1:27" s="51" customFormat="1" ht="18.600000000000001" hidden="1" customHeight="1" x14ac:dyDescent="0.25">
      <c r="A3342" s="82" t="s">
        <v>2653</v>
      </c>
      <c r="B3342" s="41" t="s">
        <v>9396</v>
      </c>
      <c r="C3342" s="42" t="s">
        <v>9397</v>
      </c>
      <c r="D3342" s="41" t="s">
        <v>8456</v>
      </c>
      <c r="E3342" s="43" t="s">
        <v>8457</v>
      </c>
      <c r="F3342" s="43" t="s">
        <v>1937</v>
      </c>
      <c r="G3342" s="43"/>
      <c r="H3342" s="85" t="s">
        <v>9782</v>
      </c>
      <c r="I3342" s="23" t="s">
        <v>24</v>
      </c>
      <c r="J3342" s="44">
        <v>950</v>
      </c>
      <c r="K3342" s="45">
        <v>0.25</v>
      </c>
      <c r="L3342" s="46">
        <f t="shared" si="496"/>
        <v>237.5</v>
      </c>
      <c r="M3342" s="47">
        <f t="shared" si="497"/>
        <v>712.5</v>
      </c>
      <c r="N3342" s="48">
        <v>0.16</v>
      </c>
      <c r="O3342" s="49">
        <f t="shared" si="498"/>
        <v>114</v>
      </c>
      <c r="P3342" s="50">
        <f t="shared" si="499"/>
        <v>826.5</v>
      </c>
      <c r="Q3342" s="23"/>
      <c r="R3342" s="60"/>
      <c r="S3342" s="61"/>
      <c r="T3342" s="62">
        <f t="shared" si="500"/>
        <v>0</v>
      </c>
      <c r="U3342" s="46">
        <f t="shared" si="501"/>
        <v>0</v>
      </c>
      <c r="V3342" s="63">
        <f t="shared" si="502"/>
        <v>0</v>
      </c>
      <c r="W3342" s="49">
        <f t="shared" si="503"/>
        <v>0</v>
      </c>
      <c r="X3342" s="50">
        <f t="shared" si="504"/>
        <v>0</v>
      </c>
      <c r="Y3342"/>
      <c r="Z3342"/>
      <c r="AA3342"/>
    </row>
    <row r="3343" spans="1:27" s="51" customFormat="1" ht="18.600000000000001" hidden="1" customHeight="1" x14ac:dyDescent="0.25">
      <c r="A3343" s="80" t="s">
        <v>2653</v>
      </c>
      <c r="B3343" s="20" t="s">
        <v>9396</v>
      </c>
      <c r="C3343" s="21" t="s">
        <v>9397</v>
      </c>
      <c r="D3343" s="20" t="s">
        <v>8458</v>
      </c>
      <c r="E3343" s="22" t="s">
        <v>8459</v>
      </c>
      <c r="F3343" s="22" t="s">
        <v>1937</v>
      </c>
      <c r="G3343" s="22"/>
      <c r="H3343" s="83" t="s">
        <v>9783</v>
      </c>
      <c r="I3343" s="23" t="s">
        <v>24</v>
      </c>
      <c r="J3343" s="24">
        <v>1120</v>
      </c>
      <c r="K3343" s="25">
        <v>0.25</v>
      </c>
      <c r="L3343" s="26">
        <f t="shared" ref="L3343:L3406" si="505">+J3343*K3343</f>
        <v>280</v>
      </c>
      <c r="M3343" s="27">
        <f t="shared" ref="M3343:M3406" si="506">+J3343-L3343</f>
        <v>840</v>
      </c>
      <c r="N3343" s="28">
        <v>0.16</v>
      </c>
      <c r="O3343" s="29">
        <f t="shared" ref="O3343:O3406" si="507">+M3343*N3343</f>
        <v>134.4</v>
      </c>
      <c r="P3343" s="30">
        <f t="shared" ref="P3343:P3406" si="508">+M3343+O3343</f>
        <v>974.4</v>
      </c>
      <c r="Q3343" s="23"/>
      <c r="R3343" s="52"/>
      <c r="S3343" s="53"/>
      <c r="T3343" s="54">
        <f t="shared" ref="T3343:T3406" si="509">+S3343*J3343</f>
        <v>0</v>
      </c>
      <c r="U3343" s="26">
        <f t="shared" ref="U3343:U3406" si="510">+T3343*K3343</f>
        <v>0</v>
      </c>
      <c r="V3343" s="55">
        <f t="shared" ref="V3343:V3406" si="511">+T3343-U3343</f>
        <v>0</v>
      </c>
      <c r="W3343" s="29">
        <f t="shared" ref="W3343:W3406" si="512">+V3343*N3343</f>
        <v>0</v>
      </c>
      <c r="X3343" s="30">
        <f t="shared" ref="X3343:X3406" si="513">+V3343+W3343</f>
        <v>0</v>
      </c>
      <c r="Y3343"/>
      <c r="Z3343"/>
      <c r="AA3343"/>
    </row>
    <row r="3344" spans="1:27" s="51" customFormat="1" ht="18.600000000000001" hidden="1" customHeight="1" x14ac:dyDescent="0.25">
      <c r="A3344" s="81" t="s">
        <v>2653</v>
      </c>
      <c r="B3344" s="31" t="s">
        <v>9396</v>
      </c>
      <c r="C3344" s="32" t="s">
        <v>9397</v>
      </c>
      <c r="D3344" s="31" t="s">
        <v>8460</v>
      </c>
      <c r="E3344" s="33" t="s">
        <v>8461</v>
      </c>
      <c r="F3344" s="33" t="s">
        <v>1937</v>
      </c>
      <c r="G3344" s="33"/>
      <c r="H3344" s="84" t="s">
        <v>9784</v>
      </c>
      <c r="I3344" s="23" t="s">
        <v>24</v>
      </c>
      <c r="J3344" s="34">
        <v>1120</v>
      </c>
      <c r="K3344" s="35">
        <v>0.25</v>
      </c>
      <c r="L3344" s="36">
        <f t="shared" si="505"/>
        <v>280</v>
      </c>
      <c r="M3344" s="37">
        <f t="shared" si="506"/>
        <v>840</v>
      </c>
      <c r="N3344" s="38">
        <v>0.16</v>
      </c>
      <c r="O3344" s="39">
        <f t="shared" si="507"/>
        <v>134.4</v>
      </c>
      <c r="P3344" s="40">
        <f t="shared" si="508"/>
        <v>974.4</v>
      </c>
      <c r="Q3344" s="23"/>
      <c r="R3344" s="56"/>
      <c r="S3344" s="57"/>
      <c r="T3344" s="58">
        <f t="shared" si="509"/>
        <v>0</v>
      </c>
      <c r="U3344" s="36">
        <f t="shared" si="510"/>
        <v>0</v>
      </c>
      <c r="V3344" s="59">
        <f t="shared" si="511"/>
        <v>0</v>
      </c>
      <c r="W3344" s="39">
        <f t="shared" si="512"/>
        <v>0</v>
      </c>
      <c r="X3344" s="40">
        <f t="shared" si="513"/>
        <v>0</v>
      </c>
      <c r="Y3344"/>
      <c r="Z3344"/>
      <c r="AA3344"/>
    </row>
    <row r="3345" spans="1:27" s="51" customFormat="1" ht="18.600000000000001" hidden="1" customHeight="1" x14ac:dyDescent="0.25">
      <c r="A3345" s="82" t="s">
        <v>2653</v>
      </c>
      <c r="B3345" s="41" t="s">
        <v>9396</v>
      </c>
      <c r="C3345" s="42" t="s">
        <v>9397</v>
      </c>
      <c r="D3345" s="41" t="s">
        <v>8462</v>
      </c>
      <c r="E3345" s="43" t="s">
        <v>8463</v>
      </c>
      <c r="F3345" s="43" t="s">
        <v>1937</v>
      </c>
      <c r="G3345" s="43"/>
      <c r="H3345" s="85" t="s">
        <v>9785</v>
      </c>
      <c r="I3345" s="23" t="s">
        <v>24</v>
      </c>
      <c r="J3345" s="44">
        <v>1020</v>
      </c>
      <c r="K3345" s="45">
        <v>0.25</v>
      </c>
      <c r="L3345" s="46">
        <f t="shared" si="505"/>
        <v>255</v>
      </c>
      <c r="M3345" s="47">
        <f t="shared" si="506"/>
        <v>765</v>
      </c>
      <c r="N3345" s="48">
        <v>0.16</v>
      </c>
      <c r="O3345" s="49">
        <f t="shared" si="507"/>
        <v>122.4</v>
      </c>
      <c r="P3345" s="50">
        <f t="shared" si="508"/>
        <v>887.4</v>
      </c>
      <c r="Q3345" s="23"/>
      <c r="R3345" s="60"/>
      <c r="S3345" s="61"/>
      <c r="T3345" s="62">
        <f t="shared" si="509"/>
        <v>0</v>
      </c>
      <c r="U3345" s="46">
        <f t="shared" si="510"/>
        <v>0</v>
      </c>
      <c r="V3345" s="63">
        <f t="shared" si="511"/>
        <v>0</v>
      </c>
      <c r="W3345" s="49">
        <f t="shared" si="512"/>
        <v>0</v>
      </c>
      <c r="X3345" s="50">
        <f t="shared" si="513"/>
        <v>0</v>
      </c>
      <c r="Y3345"/>
      <c r="Z3345"/>
      <c r="AA3345"/>
    </row>
    <row r="3346" spans="1:27" s="51" customFormat="1" ht="18.600000000000001" hidden="1" customHeight="1" x14ac:dyDescent="0.25">
      <c r="A3346" s="80" t="s">
        <v>2653</v>
      </c>
      <c r="B3346" s="20" t="s">
        <v>9396</v>
      </c>
      <c r="C3346" s="21" t="s">
        <v>9397</v>
      </c>
      <c r="D3346" s="20" t="s">
        <v>8464</v>
      </c>
      <c r="E3346" s="22" t="s">
        <v>8465</v>
      </c>
      <c r="F3346" s="22" t="s">
        <v>1937</v>
      </c>
      <c r="G3346" s="22"/>
      <c r="H3346" s="83" t="s">
        <v>9786</v>
      </c>
      <c r="I3346" s="23" t="s">
        <v>24</v>
      </c>
      <c r="J3346" s="24">
        <v>1020</v>
      </c>
      <c r="K3346" s="25">
        <v>0.25</v>
      </c>
      <c r="L3346" s="26">
        <f t="shared" si="505"/>
        <v>255</v>
      </c>
      <c r="M3346" s="27">
        <f t="shared" si="506"/>
        <v>765</v>
      </c>
      <c r="N3346" s="28">
        <v>0.16</v>
      </c>
      <c r="O3346" s="29">
        <f t="shared" si="507"/>
        <v>122.4</v>
      </c>
      <c r="P3346" s="30">
        <f t="shared" si="508"/>
        <v>887.4</v>
      </c>
      <c r="Q3346" s="23"/>
      <c r="R3346" s="52"/>
      <c r="S3346" s="53"/>
      <c r="T3346" s="54">
        <f t="shared" si="509"/>
        <v>0</v>
      </c>
      <c r="U3346" s="26">
        <f t="shared" si="510"/>
        <v>0</v>
      </c>
      <c r="V3346" s="55">
        <f t="shared" si="511"/>
        <v>0</v>
      </c>
      <c r="W3346" s="29">
        <f t="shared" si="512"/>
        <v>0</v>
      </c>
      <c r="X3346" s="30">
        <f t="shared" si="513"/>
        <v>0</v>
      </c>
      <c r="Y3346"/>
      <c r="Z3346"/>
      <c r="AA3346"/>
    </row>
    <row r="3347" spans="1:27" s="51" customFormat="1" ht="18.600000000000001" hidden="1" customHeight="1" x14ac:dyDescent="0.25">
      <c r="A3347" s="81" t="s">
        <v>2653</v>
      </c>
      <c r="B3347" s="31" t="s">
        <v>9396</v>
      </c>
      <c r="C3347" s="32" t="s">
        <v>9397</v>
      </c>
      <c r="D3347" s="31">
        <v>8435568307575</v>
      </c>
      <c r="E3347" s="33" t="s">
        <v>8466</v>
      </c>
      <c r="F3347" s="33" t="s">
        <v>1937</v>
      </c>
      <c r="G3347" s="33"/>
      <c r="H3347" s="84" t="s">
        <v>9787</v>
      </c>
      <c r="I3347" s="23" t="s">
        <v>24</v>
      </c>
      <c r="J3347" s="34">
        <v>1370</v>
      </c>
      <c r="K3347" s="35">
        <v>0.25</v>
      </c>
      <c r="L3347" s="36">
        <f t="shared" si="505"/>
        <v>342.5</v>
      </c>
      <c r="M3347" s="37">
        <f t="shared" si="506"/>
        <v>1027.5</v>
      </c>
      <c r="N3347" s="38">
        <v>0.16</v>
      </c>
      <c r="O3347" s="39">
        <f t="shared" si="507"/>
        <v>164.4</v>
      </c>
      <c r="P3347" s="40">
        <f t="shared" si="508"/>
        <v>1191.9000000000001</v>
      </c>
      <c r="Q3347" s="23"/>
      <c r="R3347" s="56"/>
      <c r="S3347" s="57"/>
      <c r="T3347" s="58">
        <f t="shared" si="509"/>
        <v>0</v>
      </c>
      <c r="U3347" s="36">
        <f t="shared" si="510"/>
        <v>0</v>
      </c>
      <c r="V3347" s="59">
        <f t="shared" si="511"/>
        <v>0</v>
      </c>
      <c r="W3347" s="39">
        <f t="shared" si="512"/>
        <v>0</v>
      </c>
      <c r="X3347" s="40">
        <f t="shared" si="513"/>
        <v>0</v>
      </c>
      <c r="Y3347"/>
      <c r="Z3347"/>
      <c r="AA3347"/>
    </row>
    <row r="3348" spans="1:27" s="51" customFormat="1" ht="18.600000000000001" hidden="1" customHeight="1" x14ac:dyDescent="0.25">
      <c r="A3348" s="82" t="s">
        <v>2653</v>
      </c>
      <c r="B3348" s="41" t="s">
        <v>9396</v>
      </c>
      <c r="C3348" s="42" t="s">
        <v>9397</v>
      </c>
      <c r="D3348" s="41">
        <v>8435568307582</v>
      </c>
      <c r="E3348" s="43" t="s">
        <v>8467</v>
      </c>
      <c r="F3348" s="43" t="s">
        <v>1937</v>
      </c>
      <c r="G3348" s="43"/>
      <c r="H3348" s="85" t="s">
        <v>9788</v>
      </c>
      <c r="I3348" s="23" t="s">
        <v>24</v>
      </c>
      <c r="J3348" s="44">
        <v>1370</v>
      </c>
      <c r="K3348" s="45">
        <v>0.25</v>
      </c>
      <c r="L3348" s="46">
        <f t="shared" si="505"/>
        <v>342.5</v>
      </c>
      <c r="M3348" s="47">
        <f t="shared" si="506"/>
        <v>1027.5</v>
      </c>
      <c r="N3348" s="48">
        <v>0.16</v>
      </c>
      <c r="O3348" s="49">
        <f t="shared" si="507"/>
        <v>164.4</v>
      </c>
      <c r="P3348" s="50">
        <f t="shared" si="508"/>
        <v>1191.9000000000001</v>
      </c>
      <c r="Q3348" s="23"/>
      <c r="R3348" s="60"/>
      <c r="S3348" s="61"/>
      <c r="T3348" s="62">
        <f t="shared" si="509"/>
        <v>0</v>
      </c>
      <c r="U3348" s="46">
        <f t="shared" si="510"/>
        <v>0</v>
      </c>
      <c r="V3348" s="63">
        <f t="shared" si="511"/>
        <v>0</v>
      </c>
      <c r="W3348" s="49">
        <f t="shared" si="512"/>
        <v>0</v>
      </c>
      <c r="X3348" s="50">
        <f t="shared" si="513"/>
        <v>0</v>
      </c>
      <c r="Y3348"/>
      <c r="Z3348"/>
      <c r="AA3348"/>
    </row>
    <row r="3349" spans="1:27" s="51" customFormat="1" ht="18.600000000000001" hidden="1" customHeight="1" x14ac:dyDescent="0.25">
      <c r="A3349" s="80" t="s">
        <v>2653</v>
      </c>
      <c r="B3349" s="20" t="s">
        <v>9396</v>
      </c>
      <c r="C3349" s="21" t="s">
        <v>9397</v>
      </c>
      <c r="D3349" s="20">
        <v>8435568307605</v>
      </c>
      <c r="E3349" s="22" t="s">
        <v>8468</v>
      </c>
      <c r="F3349" s="22" t="s">
        <v>1937</v>
      </c>
      <c r="G3349" s="22"/>
      <c r="H3349" s="83" t="s">
        <v>9789</v>
      </c>
      <c r="I3349" s="23" t="s">
        <v>24</v>
      </c>
      <c r="J3349" s="24">
        <v>700</v>
      </c>
      <c r="K3349" s="25">
        <v>0.25</v>
      </c>
      <c r="L3349" s="26">
        <f t="shared" si="505"/>
        <v>175</v>
      </c>
      <c r="M3349" s="27">
        <f t="shared" si="506"/>
        <v>525</v>
      </c>
      <c r="N3349" s="28">
        <v>0.16</v>
      </c>
      <c r="O3349" s="29">
        <f t="shared" si="507"/>
        <v>84</v>
      </c>
      <c r="P3349" s="30">
        <f t="shared" si="508"/>
        <v>609</v>
      </c>
      <c r="Q3349" s="23"/>
      <c r="R3349" s="52"/>
      <c r="S3349" s="53"/>
      <c r="T3349" s="54">
        <f t="shared" si="509"/>
        <v>0</v>
      </c>
      <c r="U3349" s="26">
        <f t="shared" si="510"/>
        <v>0</v>
      </c>
      <c r="V3349" s="55">
        <f t="shared" si="511"/>
        <v>0</v>
      </c>
      <c r="W3349" s="29">
        <f t="shared" si="512"/>
        <v>0</v>
      </c>
      <c r="X3349" s="30">
        <f t="shared" si="513"/>
        <v>0</v>
      </c>
      <c r="Y3349"/>
      <c r="Z3349"/>
      <c r="AA3349"/>
    </row>
    <row r="3350" spans="1:27" s="51" customFormat="1" ht="18.600000000000001" hidden="1" customHeight="1" x14ac:dyDescent="0.25">
      <c r="A3350" s="81" t="s">
        <v>2653</v>
      </c>
      <c r="B3350" s="31" t="s">
        <v>9396</v>
      </c>
      <c r="C3350" s="32" t="s">
        <v>9397</v>
      </c>
      <c r="D3350" s="31">
        <v>8435568308183</v>
      </c>
      <c r="E3350" s="33" t="s">
        <v>8469</v>
      </c>
      <c r="F3350" s="33" t="s">
        <v>1937</v>
      </c>
      <c r="G3350" s="33"/>
      <c r="H3350" s="84" t="s">
        <v>9790</v>
      </c>
      <c r="I3350" s="23" t="s">
        <v>24</v>
      </c>
      <c r="J3350" s="34">
        <v>1370</v>
      </c>
      <c r="K3350" s="35">
        <v>0.25</v>
      </c>
      <c r="L3350" s="36">
        <f t="shared" si="505"/>
        <v>342.5</v>
      </c>
      <c r="M3350" s="37">
        <f t="shared" si="506"/>
        <v>1027.5</v>
      </c>
      <c r="N3350" s="38">
        <v>0.16</v>
      </c>
      <c r="O3350" s="39">
        <f t="shared" si="507"/>
        <v>164.4</v>
      </c>
      <c r="P3350" s="40">
        <f t="shared" si="508"/>
        <v>1191.9000000000001</v>
      </c>
      <c r="Q3350" s="23"/>
      <c r="R3350" s="56"/>
      <c r="S3350" s="57"/>
      <c r="T3350" s="58">
        <f t="shared" si="509"/>
        <v>0</v>
      </c>
      <c r="U3350" s="36">
        <f t="shared" si="510"/>
        <v>0</v>
      </c>
      <c r="V3350" s="59">
        <f t="shared" si="511"/>
        <v>0</v>
      </c>
      <c r="W3350" s="39">
        <f t="shared" si="512"/>
        <v>0</v>
      </c>
      <c r="X3350" s="40">
        <f t="shared" si="513"/>
        <v>0</v>
      </c>
      <c r="Y3350"/>
      <c r="Z3350"/>
      <c r="AA3350"/>
    </row>
    <row r="3351" spans="1:27" s="51" customFormat="1" ht="18.600000000000001" hidden="1" customHeight="1" x14ac:dyDescent="0.25">
      <c r="A3351" s="82" t="s">
        <v>2653</v>
      </c>
      <c r="B3351" s="41" t="s">
        <v>9396</v>
      </c>
      <c r="C3351" s="42" t="s">
        <v>9397</v>
      </c>
      <c r="D3351" s="41">
        <v>8435568313705</v>
      </c>
      <c r="E3351" s="43" t="s">
        <v>8470</v>
      </c>
      <c r="F3351" s="43" t="s">
        <v>1937</v>
      </c>
      <c r="G3351" s="43"/>
      <c r="H3351" s="85" t="s">
        <v>9791</v>
      </c>
      <c r="I3351" s="23" t="s">
        <v>24</v>
      </c>
      <c r="J3351" s="44">
        <v>820</v>
      </c>
      <c r="K3351" s="45">
        <v>0.25</v>
      </c>
      <c r="L3351" s="46">
        <f t="shared" si="505"/>
        <v>205</v>
      </c>
      <c r="M3351" s="47">
        <f t="shared" si="506"/>
        <v>615</v>
      </c>
      <c r="N3351" s="48">
        <v>0.16</v>
      </c>
      <c r="O3351" s="49">
        <f t="shared" si="507"/>
        <v>98.4</v>
      </c>
      <c r="P3351" s="50">
        <f t="shared" si="508"/>
        <v>713.4</v>
      </c>
      <c r="Q3351" s="23"/>
      <c r="R3351" s="60"/>
      <c r="S3351" s="61"/>
      <c r="T3351" s="62">
        <f t="shared" si="509"/>
        <v>0</v>
      </c>
      <c r="U3351" s="46">
        <f t="shared" si="510"/>
        <v>0</v>
      </c>
      <c r="V3351" s="63">
        <f t="shared" si="511"/>
        <v>0</v>
      </c>
      <c r="W3351" s="49">
        <f t="shared" si="512"/>
        <v>0</v>
      </c>
      <c r="X3351" s="50">
        <f t="shared" si="513"/>
        <v>0</v>
      </c>
      <c r="Y3351"/>
      <c r="Z3351"/>
      <c r="AA3351"/>
    </row>
    <row r="3352" spans="1:27" s="51" customFormat="1" ht="18.600000000000001" hidden="1" customHeight="1" x14ac:dyDescent="0.25">
      <c r="A3352" s="80" t="s">
        <v>2653</v>
      </c>
      <c r="B3352" s="20" t="s">
        <v>9396</v>
      </c>
      <c r="C3352" s="21" t="s">
        <v>9397</v>
      </c>
      <c r="D3352" s="20" t="s">
        <v>8471</v>
      </c>
      <c r="E3352" s="22" t="s">
        <v>8472</v>
      </c>
      <c r="F3352" s="22" t="s">
        <v>1937</v>
      </c>
      <c r="G3352" s="22"/>
      <c r="H3352" s="83" t="s">
        <v>9792</v>
      </c>
      <c r="I3352" s="23" t="s">
        <v>24</v>
      </c>
      <c r="J3352" s="24">
        <v>1120</v>
      </c>
      <c r="K3352" s="25">
        <v>0.25</v>
      </c>
      <c r="L3352" s="26">
        <f t="shared" si="505"/>
        <v>280</v>
      </c>
      <c r="M3352" s="27">
        <f t="shared" si="506"/>
        <v>840</v>
      </c>
      <c r="N3352" s="28">
        <v>0.16</v>
      </c>
      <c r="O3352" s="29">
        <f t="shared" si="507"/>
        <v>134.4</v>
      </c>
      <c r="P3352" s="30">
        <f t="shared" si="508"/>
        <v>974.4</v>
      </c>
      <c r="Q3352" s="23"/>
      <c r="R3352" s="52"/>
      <c r="S3352" s="53"/>
      <c r="T3352" s="54">
        <f t="shared" si="509"/>
        <v>0</v>
      </c>
      <c r="U3352" s="26">
        <f t="shared" si="510"/>
        <v>0</v>
      </c>
      <c r="V3352" s="55">
        <f t="shared" si="511"/>
        <v>0</v>
      </c>
      <c r="W3352" s="29">
        <f t="shared" si="512"/>
        <v>0</v>
      </c>
      <c r="X3352" s="30">
        <f t="shared" si="513"/>
        <v>0</v>
      </c>
      <c r="Y3352"/>
      <c r="Z3352"/>
      <c r="AA3352"/>
    </row>
    <row r="3353" spans="1:27" s="51" customFormat="1" ht="18.600000000000001" hidden="1" customHeight="1" x14ac:dyDescent="0.25">
      <c r="A3353" s="81" t="s">
        <v>2653</v>
      </c>
      <c r="B3353" s="31" t="s">
        <v>9396</v>
      </c>
      <c r="C3353" s="32" t="s">
        <v>9397</v>
      </c>
      <c r="D3353" s="31">
        <v>8435568328068</v>
      </c>
      <c r="E3353" s="33" t="s">
        <v>8473</v>
      </c>
      <c r="F3353" s="33" t="s">
        <v>1937</v>
      </c>
      <c r="G3353" s="33"/>
      <c r="H3353" s="84" t="s">
        <v>9793</v>
      </c>
      <c r="I3353" s="23" t="s">
        <v>24</v>
      </c>
      <c r="J3353" s="34">
        <v>1530</v>
      </c>
      <c r="K3353" s="35">
        <v>0.25</v>
      </c>
      <c r="L3353" s="36">
        <f t="shared" si="505"/>
        <v>382.5</v>
      </c>
      <c r="M3353" s="37">
        <f t="shared" si="506"/>
        <v>1147.5</v>
      </c>
      <c r="N3353" s="38">
        <v>0.16</v>
      </c>
      <c r="O3353" s="39">
        <f t="shared" si="507"/>
        <v>183.6</v>
      </c>
      <c r="P3353" s="40">
        <f t="shared" si="508"/>
        <v>1331.1</v>
      </c>
      <c r="Q3353" s="23"/>
      <c r="R3353" s="56"/>
      <c r="S3353" s="57"/>
      <c r="T3353" s="58">
        <f t="shared" si="509"/>
        <v>0</v>
      </c>
      <c r="U3353" s="36">
        <f t="shared" si="510"/>
        <v>0</v>
      </c>
      <c r="V3353" s="59">
        <f t="shared" si="511"/>
        <v>0</v>
      </c>
      <c r="W3353" s="39">
        <f t="shared" si="512"/>
        <v>0</v>
      </c>
      <c r="X3353" s="40">
        <f t="shared" si="513"/>
        <v>0</v>
      </c>
      <c r="Y3353"/>
      <c r="Z3353"/>
      <c r="AA3353"/>
    </row>
    <row r="3354" spans="1:27" s="51" customFormat="1" ht="18.600000000000001" hidden="1" customHeight="1" x14ac:dyDescent="0.25">
      <c r="A3354" s="82" t="s">
        <v>2653</v>
      </c>
      <c r="B3354" s="41" t="s">
        <v>9396</v>
      </c>
      <c r="C3354" s="42" t="s">
        <v>9397</v>
      </c>
      <c r="D3354" s="41" t="s">
        <v>8474</v>
      </c>
      <c r="E3354" s="43" t="s">
        <v>8475</v>
      </c>
      <c r="F3354" s="43" t="s">
        <v>1937</v>
      </c>
      <c r="G3354" s="43"/>
      <c r="H3354" s="85" t="s">
        <v>9794</v>
      </c>
      <c r="I3354" s="23" t="s">
        <v>24</v>
      </c>
      <c r="J3354" s="44">
        <v>1240</v>
      </c>
      <c r="K3354" s="45">
        <v>0.25</v>
      </c>
      <c r="L3354" s="46">
        <f t="shared" si="505"/>
        <v>310</v>
      </c>
      <c r="M3354" s="47">
        <f t="shared" si="506"/>
        <v>930</v>
      </c>
      <c r="N3354" s="48">
        <v>0.16</v>
      </c>
      <c r="O3354" s="49">
        <f t="shared" si="507"/>
        <v>148.80000000000001</v>
      </c>
      <c r="P3354" s="50">
        <f t="shared" si="508"/>
        <v>1078.8</v>
      </c>
      <c r="Q3354" s="23"/>
      <c r="R3354" s="60"/>
      <c r="S3354" s="61"/>
      <c r="T3354" s="62">
        <f t="shared" si="509"/>
        <v>0</v>
      </c>
      <c r="U3354" s="46">
        <f t="shared" si="510"/>
        <v>0</v>
      </c>
      <c r="V3354" s="63">
        <f t="shared" si="511"/>
        <v>0</v>
      </c>
      <c r="W3354" s="49">
        <f t="shared" si="512"/>
        <v>0</v>
      </c>
      <c r="X3354" s="50">
        <f t="shared" si="513"/>
        <v>0</v>
      </c>
      <c r="Y3354"/>
      <c r="Z3354"/>
      <c r="AA3354"/>
    </row>
    <row r="3355" spans="1:27" s="51" customFormat="1" ht="18.600000000000001" hidden="1" customHeight="1" x14ac:dyDescent="0.25">
      <c r="A3355" s="80" t="s">
        <v>2653</v>
      </c>
      <c r="B3355" s="20" t="s">
        <v>9396</v>
      </c>
      <c r="C3355" s="21" t="s">
        <v>9397</v>
      </c>
      <c r="D3355" s="20" t="s">
        <v>8476</v>
      </c>
      <c r="E3355" s="22" t="s">
        <v>3164</v>
      </c>
      <c r="F3355" s="22" t="s">
        <v>1937</v>
      </c>
      <c r="G3355" s="22"/>
      <c r="H3355" s="83" t="s">
        <v>9795</v>
      </c>
      <c r="I3355" s="23" t="s">
        <v>24</v>
      </c>
      <c r="J3355" s="24">
        <v>3120</v>
      </c>
      <c r="K3355" s="25">
        <v>0.25</v>
      </c>
      <c r="L3355" s="26">
        <f t="shared" si="505"/>
        <v>780</v>
      </c>
      <c r="M3355" s="27">
        <f t="shared" si="506"/>
        <v>2340</v>
      </c>
      <c r="N3355" s="28">
        <v>0.16</v>
      </c>
      <c r="O3355" s="29">
        <f t="shared" si="507"/>
        <v>374.40000000000003</v>
      </c>
      <c r="P3355" s="30">
        <f t="shared" si="508"/>
        <v>2714.4</v>
      </c>
      <c r="Q3355" s="23"/>
      <c r="R3355" s="52"/>
      <c r="S3355" s="53"/>
      <c r="T3355" s="54">
        <f t="shared" si="509"/>
        <v>0</v>
      </c>
      <c r="U3355" s="26">
        <f t="shared" si="510"/>
        <v>0</v>
      </c>
      <c r="V3355" s="55">
        <f t="shared" si="511"/>
        <v>0</v>
      </c>
      <c r="W3355" s="29">
        <f t="shared" si="512"/>
        <v>0</v>
      </c>
      <c r="X3355" s="30">
        <f t="shared" si="513"/>
        <v>0</v>
      </c>
      <c r="Y3355"/>
      <c r="Z3355"/>
      <c r="AA3355"/>
    </row>
    <row r="3356" spans="1:27" s="51" customFormat="1" ht="18.600000000000001" hidden="1" customHeight="1" x14ac:dyDescent="0.25">
      <c r="A3356" s="81" t="s">
        <v>2653</v>
      </c>
      <c r="B3356" s="31" t="s">
        <v>9396</v>
      </c>
      <c r="C3356" s="32" t="s">
        <v>9397</v>
      </c>
      <c r="D3356" s="31" t="s">
        <v>8477</v>
      </c>
      <c r="E3356" s="33" t="s">
        <v>8478</v>
      </c>
      <c r="F3356" s="33" t="s">
        <v>1937</v>
      </c>
      <c r="G3356" s="33"/>
      <c r="H3356" s="84" t="s">
        <v>9796</v>
      </c>
      <c r="I3356" s="23" t="s">
        <v>24</v>
      </c>
      <c r="J3356" s="34">
        <v>3120</v>
      </c>
      <c r="K3356" s="35">
        <v>0.25</v>
      </c>
      <c r="L3356" s="36">
        <f t="shared" si="505"/>
        <v>780</v>
      </c>
      <c r="M3356" s="37">
        <f t="shared" si="506"/>
        <v>2340</v>
      </c>
      <c r="N3356" s="38">
        <v>0.16</v>
      </c>
      <c r="O3356" s="39">
        <f t="shared" si="507"/>
        <v>374.40000000000003</v>
      </c>
      <c r="P3356" s="40">
        <f t="shared" si="508"/>
        <v>2714.4</v>
      </c>
      <c r="Q3356" s="23"/>
      <c r="R3356" s="56"/>
      <c r="S3356" s="57"/>
      <c r="T3356" s="58">
        <f t="shared" si="509"/>
        <v>0</v>
      </c>
      <c r="U3356" s="36">
        <f t="shared" si="510"/>
        <v>0</v>
      </c>
      <c r="V3356" s="59">
        <f t="shared" si="511"/>
        <v>0</v>
      </c>
      <c r="W3356" s="39">
        <f t="shared" si="512"/>
        <v>0</v>
      </c>
      <c r="X3356" s="40">
        <f t="shared" si="513"/>
        <v>0</v>
      </c>
      <c r="Y3356"/>
      <c r="Z3356"/>
      <c r="AA3356"/>
    </row>
    <row r="3357" spans="1:27" s="51" customFormat="1" ht="18.600000000000001" hidden="1" customHeight="1" x14ac:dyDescent="0.25">
      <c r="A3357" s="82" t="s">
        <v>2653</v>
      </c>
      <c r="B3357" s="41" t="s">
        <v>9396</v>
      </c>
      <c r="C3357" s="42" t="s">
        <v>9397</v>
      </c>
      <c r="D3357" s="41">
        <v>8435568339507</v>
      </c>
      <c r="E3357" s="43" t="s">
        <v>9609</v>
      </c>
      <c r="F3357" s="43" t="s">
        <v>1937</v>
      </c>
      <c r="G3357" s="43"/>
      <c r="H3357" s="85" t="s">
        <v>9797</v>
      </c>
      <c r="I3357" s="23" t="s">
        <v>24</v>
      </c>
      <c r="J3357" s="44">
        <v>1250</v>
      </c>
      <c r="K3357" s="45">
        <v>0.25</v>
      </c>
      <c r="L3357" s="46">
        <f t="shared" si="505"/>
        <v>312.5</v>
      </c>
      <c r="M3357" s="47">
        <f t="shared" si="506"/>
        <v>937.5</v>
      </c>
      <c r="N3357" s="48">
        <v>0.16</v>
      </c>
      <c r="O3357" s="49">
        <f t="shared" si="507"/>
        <v>150</v>
      </c>
      <c r="P3357" s="50">
        <f t="shared" si="508"/>
        <v>1087.5</v>
      </c>
      <c r="Q3357" s="23"/>
      <c r="R3357" s="60"/>
      <c r="S3357" s="61"/>
      <c r="T3357" s="62">
        <f t="shared" si="509"/>
        <v>0</v>
      </c>
      <c r="U3357" s="46">
        <f t="shared" si="510"/>
        <v>0</v>
      </c>
      <c r="V3357" s="63">
        <f t="shared" si="511"/>
        <v>0</v>
      </c>
      <c r="W3357" s="49">
        <f t="shared" si="512"/>
        <v>0</v>
      </c>
      <c r="X3357" s="50">
        <f t="shared" si="513"/>
        <v>0</v>
      </c>
      <c r="Y3357"/>
      <c r="Z3357"/>
      <c r="AA3357"/>
    </row>
    <row r="3358" spans="1:27" s="51" customFormat="1" ht="18.600000000000001" hidden="1" customHeight="1" x14ac:dyDescent="0.25">
      <c r="A3358" s="80" t="s">
        <v>2653</v>
      </c>
      <c r="B3358" s="20" t="s">
        <v>9396</v>
      </c>
      <c r="C3358" s="21" t="s">
        <v>9397</v>
      </c>
      <c r="D3358" s="20">
        <v>8435568346888</v>
      </c>
      <c r="E3358" s="22" t="s">
        <v>8479</v>
      </c>
      <c r="F3358" s="22" t="s">
        <v>1937</v>
      </c>
      <c r="G3358" s="22"/>
      <c r="H3358" s="83" t="s">
        <v>9798</v>
      </c>
      <c r="I3358" s="23" t="s">
        <v>24</v>
      </c>
      <c r="J3358" s="24">
        <v>1490</v>
      </c>
      <c r="K3358" s="25">
        <v>0.25</v>
      </c>
      <c r="L3358" s="26">
        <f t="shared" si="505"/>
        <v>372.5</v>
      </c>
      <c r="M3358" s="27">
        <f t="shared" si="506"/>
        <v>1117.5</v>
      </c>
      <c r="N3358" s="28">
        <v>0.16</v>
      </c>
      <c r="O3358" s="29">
        <f t="shared" si="507"/>
        <v>178.8</v>
      </c>
      <c r="P3358" s="30">
        <f t="shared" si="508"/>
        <v>1296.3</v>
      </c>
      <c r="Q3358" s="23"/>
      <c r="R3358" s="52"/>
      <c r="S3358" s="53"/>
      <c r="T3358" s="54">
        <f t="shared" si="509"/>
        <v>0</v>
      </c>
      <c r="U3358" s="26">
        <f t="shared" si="510"/>
        <v>0</v>
      </c>
      <c r="V3358" s="55">
        <f t="shared" si="511"/>
        <v>0</v>
      </c>
      <c r="W3358" s="29">
        <f t="shared" si="512"/>
        <v>0</v>
      </c>
      <c r="X3358" s="30">
        <f t="shared" si="513"/>
        <v>0</v>
      </c>
      <c r="Y3358"/>
      <c r="Z3358"/>
      <c r="AA3358"/>
    </row>
    <row r="3359" spans="1:27" s="51" customFormat="1" ht="18.600000000000001" hidden="1" customHeight="1" x14ac:dyDescent="0.25">
      <c r="A3359" s="81" t="s">
        <v>2653</v>
      </c>
      <c r="B3359" s="31" t="s">
        <v>9396</v>
      </c>
      <c r="C3359" s="32" t="s">
        <v>9397</v>
      </c>
      <c r="D3359" s="31" t="s">
        <v>8480</v>
      </c>
      <c r="E3359" s="33" t="s">
        <v>8481</v>
      </c>
      <c r="F3359" s="33" t="s">
        <v>1937</v>
      </c>
      <c r="G3359" s="33"/>
      <c r="H3359" s="84" t="s">
        <v>9799</v>
      </c>
      <c r="I3359" s="23" t="s">
        <v>24</v>
      </c>
      <c r="J3359" s="34">
        <v>1080</v>
      </c>
      <c r="K3359" s="35">
        <v>0.25</v>
      </c>
      <c r="L3359" s="36">
        <f t="shared" si="505"/>
        <v>270</v>
      </c>
      <c r="M3359" s="37">
        <f t="shared" si="506"/>
        <v>810</v>
      </c>
      <c r="N3359" s="38">
        <v>0.16</v>
      </c>
      <c r="O3359" s="39">
        <f t="shared" si="507"/>
        <v>129.6</v>
      </c>
      <c r="P3359" s="40">
        <f t="shared" si="508"/>
        <v>939.6</v>
      </c>
      <c r="Q3359" s="23"/>
      <c r="R3359" s="56"/>
      <c r="S3359" s="57"/>
      <c r="T3359" s="58">
        <f t="shared" si="509"/>
        <v>0</v>
      </c>
      <c r="U3359" s="36">
        <f t="shared" si="510"/>
        <v>0</v>
      </c>
      <c r="V3359" s="59">
        <f t="shared" si="511"/>
        <v>0</v>
      </c>
      <c r="W3359" s="39">
        <f t="shared" si="512"/>
        <v>0</v>
      </c>
      <c r="X3359" s="40">
        <f t="shared" si="513"/>
        <v>0</v>
      </c>
      <c r="Y3359"/>
      <c r="Z3359"/>
      <c r="AA3359"/>
    </row>
    <row r="3360" spans="1:27" s="51" customFormat="1" ht="18.600000000000001" hidden="1" customHeight="1" x14ac:dyDescent="0.25">
      <c r="A3360" s="82" t="s">
        <v>2653</v>
      </c>
      <c r="B3360" s="41" t="s">
        <v>9396</v>
      </c>
      <c r="C3360" s="42" t="s">
        <v>9397</v>
      </c>
      <c r="D3360" s="41" t="s">
        <v>8482</v>
      </c>
      <c r="E3360" s="43" t="s">
        <v>8483</v>
      </c>
      <c r="F3360" s="43" t="s">
        <v>1937</v>
      </c>
      <c r="G3360" s="43"/>
      <c r="H3360" s="85" t="s">
        <v>9800</v>
      </c>
      <c r="I3360" s="23" t="s">
        <v>24</v>
      </c>
      <c r="J3360" s="44">
        <v>1580</v>
      </c>
      <c r="K3360" s="45">
        <v>0.25</v>
      </c>
      <c r="L3360" s="46">
        <f t="shared" si="505"/>
        <v>395</v>
      </c>
      <c r="M3360" s="47">
        <f t="shared" si="506"/>
        <v>1185</v>
      </c>
      <c r="N3360" s="48">
        <v>0.16</v>
      </c>
      <c r="O3360" s="49">
        <f t="shared" si="507"/>
        <v>189.6</v>
      </c>
      <c r="P3360" s="50">
        <f t="shared" si="508"/>
        <v>1374.6</v>
      </c>
      <c r="Q3360" s="23"/>
      <c r="R3360" s="60"/>
      <c r="S3360" s="61"/>
      <c r="T3360" s="62">
        <f t="shared" si="509"/>
        <v>0</v>
      </c>
      <c r="U3360" s="46">
        <f t="shared" si="510"/>
        <v>0</v>
      </c>
      <c r="V3360" s="63">
        <f t="shared" si="511"/>
        <v>0</v>
      </c>
      <c r="W3360" s="49">
        <f t="shared" si="512"/>
        <v>0</v>
      </c>
      <c r="X3360" s="50">
        <f t="shared" si="513"/>
        <v>0</v>
      </c>
      <c r="Y3360"/>
      <c r="Z3360"/>
      <c r="AA3360"/>
    </row>
    <row r="3361" spans="1:27" s="51" customFormat="1" ht="18.600000000000001" hidden="1" customHeight="1" x14ac:dyDescent="0.25">
      <c r="A3361" s="80" t="s">
        <v>2653</v>
      </c>
      <c r="B3361" s="20" t="s">
        <v>9396</v>
      </c>
      <c r="C3361" s="21" t="s">
        <v>9397</v>
      </c>
      <c r="D3361" s="20">
        <v>8436564927613</v>
      </c>
      <c r="E3361" s="22" t="s">
        <v>8484</v>
      </c>
      <c r="F3361" s="22" t="s">
        <v>1937</v>
      </c>
      <c r="G3361" s="22"/>
      <c r="H3361" s="83" t="s">
        <v>9801</v>
      </c>
      <c r="I3361" s="23" t="s">
        <v>24</v>
      </c>
      <c r="J3361" s="24">
        <v>370</v>
      </c>
      <c r="K3361" s="25">
        <v>0.25</v>
      </c>
      <c r="L3361" s="26">
        <f t="shared" si="505"/>
        <v>92.5</v>
      </c>
      <c r="M3361" s="27">
        <f t="shared" si="506"/>
        <v>277.5</v>
      </c>
      <c r="N3361" s="28">
        <v>0.16</v>
      </c>
      <c r="O3361" s="29">
        <f t="shared" si="507"/>
        <v>44.4</v>
      </c>
      <c r="P3361" s="30">
        <f t="shared" si="508"/>
        <v>321.89999999999998</v>
      </c>
      <c r="Q3361" s="23"/>
      <c r="R3361" s="52"/>
      <c r="S3361" s="53"/>
      <c r="T3361" s="54">
        <f t="shared" si="509"/>
        <v>0</v>
      </c>
      <c r="U3361" s="26">
        <f t="shared" si="510"/>
        <v>0</v>
      </c>
      <c r="V3361" s="55">
        <f t="shared" si="511"/>
        <v>0</v>
      </c>
      <c r="W3361" s="29">
        <f t="shared" si="512"/>
        <v>0</v>
      </c>
      <c r="X3361" s="30">
        <f t="shared" si="513"/>
        <v>0</v>
      </c>
      <c r="Y3361"/>
      <c r="Z3361"/>
      <c r="AA3361"/>
    </row>
    <row r="3362" spans="1:27" s="51" customFormat="1" ht="18.600000000000001" hidden="1" customHeight="1" x14ac:dyDescent="0.25">
      <c r="A3362" s="81" t="s">
        <v>2653</v>
      </c>
      <c r="B3362" s="31" t="s">
        <v>9396</v>
      </c>
      <c r="C3362" s="32" t="s">
        <v>9397</v>
      </c>
      <c r="D3362" s="31">
        <v>8436564927804</v>
      </c>
      <c r="E3362" s="33" t="s">
        <v>8485</v>
      </c>
      <c r="F3362" s="33" t="s">
        <v>1937</v>
      </c>
      <c r="G3362" s="33"/>
      <c r="H3362" s="84" t="s">
        <v>9802</v>
      </c>
      <c r="I3362" s="23" t="s">
        <v>24</v>
      </c>
      <c r="J3362" s="34">
        <v>370</v>
      </c>
      <c r="K3362" s="35">
        <v>0.25</v>
      </c>
      <c r="L3362" s="36">
        <f t="shared" si="505"/>
        <v>92.5</v>
      </c>
      <c r="M3362" s="37">
        <f t="shared" si="506"/>
        <v>277.5</v>
      </c>
      <c r="N3362" s="38">
        <v>0.16</v>
      </c>
      <c r="O3362" s="39">
        <f t="shared" si="507"/>
        <v>44.4</v>
      </c>
      <c r="P3362" s="40">
        <f t="shared" si="508"/>
        <v>321.89999999999998</v>
      </c>
      <c r="Q3362" s="23"/>
      <c r="R3362" s="56"/>
      <c r="S3362" s="57"/>
      <c r="T3362" s="58">
        <f t="shared" si="509"/>
        <v>0</v>
      </c>
      <c r="U3362" s="36">
        <f t="shared" si="510"/>
        <v>0</v>
      </c>
      <c r="V3362" s="59">
        <f t="shared" si="511"/>
        <v>0</v>
      </c>
      <c r="W3362" s="39">
        <f t="shared" si="512"/>
        <v>0</v>
      </c>
      <c r="X3362" s="40">
        <f t="shared" si="513"/>
        <v>0</v>
      </c>
      <c r="Y3362"/>
      <c r="Z3362"/>
      <c r="AA3362"/>
    </row>
    <row r="3363" spans="1:27" s="51" customFormat="1" ht="18.600000000000001" hidden="1" customHeight="1" x14ac:dyDescent="0.25">
      <c r="A3363" s="82" t="s">
        <v>2653</v>
      </c>
      <c r="B3363" s="41" t="s">
        <v>9396</v>
      </c>
      <c r="C3363" s="42" t="s">
        <v>9407</v>
      </c>
      <c r="D3363" s="41">
        <v>8436535570350</v>
      </c>
      <c r="E3363" s="43" t="s">
        <v>8486</v>
      </c>
      <c r="F3363" s="43" t="s">
        <v>1937</v>
      </c>
      <c r="G3363" s="43"/>
      <c r="H3363" s="85" t="s">
        <v>8487</v>
      </c>
      <c r="I3363" s="23" t="s">
        <v>24</v>
      </c>
      <c r="J3363" s="44">
        <v>460</v>
      </c>
      <c r="K3363" s="45">
        <v>0.25</v>
      </c>
      <c r="L3363" s="46">
        <f t="shared" si="505"/>
        <v>115</v>
      </c>
      <c r="M3363" s="47">
        <f t="shared" si="506"/>
        <v>345</v>
      </c>
      <c r="N3363" s="48">
        <v>0.16</v>
      </c>
      <c r="O3363" s="49">
        <f t="shared" si="507"/>
        <v>55.2</v>
      </c>
      <c r="P3363" s="50">
        <f t="shared" si="508"/>
        <v>400.2</v>
      </c>
      <c r="Q3363" s="23"/>
      <c r="R3363" s="60"/>
      <c r="S3363" s="61"/>
      <c r="T3363" s="62">
        <f t="shared" si="509"/>
        <v>0</v>
      </c>
      <c r="U3363" s="46">
        <f t="shared" si="510"/>
        <v>0</v>
      </c>
      <c r="V3363" s="63">
        <f t="shared" si="511"/>
        <v>0</v>
      </c>
      <c r="W3363" s="49">
        <f t="shared" si="512"/>
        <v>0</v>
      </c>
      <c r="X3363" s="50">
        <f t="shared" si="513"/>
        <v>0</v>
      </c>
      <c r="Y3363"/>
      <c r="Z3363"/>
      <c r="AA3363"/>
    </row>
    <row r="3364" spans="1:27" s="51" customFormat="1" ht="18.600000000000001" hidden="1" customHeight="1" x14ac:dyDescent="0.25">
      <c r="A3364" s="80" t="s">
        <v>2653</v>
      </c>
      <c r="B3364" s="20" t="s">
        <v>9396</v>
      </c>
      <c r="C3364" s="21" t="s">
        <v>9407</v>
      </c>
      <c r="D3364" s="20">
        <v>8436535570954</v>
      </c>
      <c r="E3364" s="22" t="s">
        <v>8488</v>
      </c>
      <c r="F3364" s="22" t="s">
        <v>1937</v>
      </c>
      <c r="G3364" s="22"/>
      <c r="H3364" s="83" t="s">
        <v>8489</v>
      </c>
      <c r="I3364" s="23" t="s">
        <v>24</v>
      </c>
      <c r="J3364" s="24">
        <v>175</v>
      </c>
      <c r="K3364" s="25">
        <v>0.25</v>
      </c>
      <c r="L3364" s="26">
        <f t="shared" si="505"/>
        <v>43.75</v>
      </c>
      <c r="M3364" s="27">
        <f t="shared" si="506"/>
        <v>131.25</v>
      </c>
      <c r="N3364" s="28">
        <v>0.16</v>
      </c>
      <c r="O3364" s="29">
        <f t="shared" si="507"/>
        <v>21</v>
      </c>
      <c r="P3364" s="30">
        <f t="shared" si="508"/>
        <v>152.25</v>
      </c>
      <c r="Q3364" s="23"/>
      <c r="R3364" s="52"/>
      <c r="S3364" s="53"/>
      <c r="T3364" s="54">
        <f t="shared" si="509"/>
        <v>0</v>
      </c>
      <c r="U3364" s="26">
        <f t="shared" si="510"/>
        <v>0</v>
      </c>
      <c r="V3364" s="55">
        <f t="shared" si="511"/>
        <v>0</v>
      </c>
      <c r="W3364" s="29">
        <f t="shared" si="512"/>
        <v>0</v>
      </c>
      <c r="X3364" s="30">
        <f t="shared" si="513"/>
        <v>0</v>
      </c>
      <c r="Y3364"/>
      <c r="Z3364"/>
      <c r="AA3364"/>
    </row>
    <row r="3365" spans="1:27" s="51" customFormat="1" ht="18.600000000000001" hidden="1" customHeight="1" x14ac:dyDescent="0.25">
      <c r="A3365" s="81" t="s">
        <v>2653</v>
      </c>
      <c r="B3365" s="31" t="s">
        <v>9408</v>
      </c>
      <c r="C3365" s="32" t="s">
        <v>9409</v>
      </c>
      <c r="D3365" s="31" t="s">
        <v>8490</v>
      </c>
      <c r="E3365" s="33" t="s">
        <v>8491</v>
      </c>
      <c r="F3365" s="33" t="s">
        <v>1937</v>
      </c>
      <c r="G3365" s="33"/>
      <c r="H3365" s="84" t="s">
        <v>8492</v>
      </c>
      <c r="I3365" s="23" t="s">
        <v>24</v>
      </c>
      <c r="J3365" s="34">
        <v>2500</v>
      </c>
      <c r="K3365" s="35">
        <v>0.25</v>
      </c>
      <c r="L3365" s="36">
        <f t="shared" si="505"/>
        <v>625</v>
      </c>
      <c r="M3365" s="37">
        <f t="shared" si="506"/>
        <v>1875</v>
      </c>
      <c r="N3365" s="38">
        <v>0.16</v>
      </c>
      <c r="O3365" s="39">
        <f t="shared" si="507"/>
        <v>300</v>
      </c>
      <c r="P3365" s="40">
        <f t="shared" si="508"/>
        <v>2175</v>
      </c>
      <c r="Q3365" s="23"/>
      <c r="R3365" s="56"/>
      <c r="S3365" s="57"/>
      <c r="T3365" s="58">
        <f t="shared" si="509"/>
        <v>0</v>
      </c>
      <c r="U3365" s="36">
        <f t="shared" si="510"/>
        <v>0</v>
      </c>
      <c r="V3365" s="59">
        <f t="shared" si="511"/>
        <v>0</v>
      </c>
      <c r="W3365" s="39">
        <f t="shared" si="512"/>
        <v>0</v>
      </c>
      <c r="X3365" s="40">
        <f t="shared" si="513"/>
        <v>0</v>
      </c>
      <c r="Y3365"/>
      <c r="Z3365"/>
      <c r="AA3365"/>
    </row>
    <row r="3366" spans="1:27" s="51" customFormat="1" ht="18.600000000000001" hidden="1" customHeight="1" x14ac:dyDescent="0.25">
      <c r="A3366" s="82" t="s">
        <v>2653</v>
      </c>
      <c r="B3366" s="41" t="s">
        <v>9408</v>
      </c>
      <c r="C3366" s="42" t="s">
        <v>9410</v>
      </c>
      <c r="D3366" s="41" t="s">
        <v>8493</v>
      </c>
      <c r="E3366" s="43" t="s">
        <v>8494</v>
      </c>
      <c r="F3366" s="43" t="s">
        <v>1937</v>
      </c>
      <c r="G3366" s="43"/>
      <c r="H3366" s="85" t="s">
        <v>8495</v>
      </c>
      <c r="I3366" s="23" t="s">
        <v>24</v>
      </c>
      <c r="J3366" s="44">
        <v>440</v>
      </c>
      <c r="K3366" s="45">
        <v>0.25</v>
      </c>
      <c r="L3366" s="46">
        <f t="shared" si="505"/>
        <v>110</v>
      </c>
      <c r="M3366" s="47">
        <f t="shared" si="506"/>
        <v>330</v>
      </c>
      <c r="N3366" s="48">
        <v>0.16</v>
      </c>
      <c r="O3366" s="49">
        <f t="shared" si="507"/>
        <v>52.800000000000004</v>
      </c>
      <c r="P3366" s="50">
        <f t="shared" si="508"/>
        <v>382.8</v>
      </c>
      <c r="Q3366" s="23"/>
      <c r="R3366" s="60"/>
      <c r="S3366" s="61"/>
      <c r="T3366" s="62">
        <f t="shared" si="509"/>
        <v>0</v>
      </c>
      <c r="U3366" s="46">
        <f t="shared" si="510"/>
        <v>0</v>
      </c>
      <c r="V3366" s="63">
        <f t="shared" si="511"/>
        <v>0</v>
      </c>
      <c r="W3366" s="49">
        <f t="shared" si="512"/>
        <v>0</v>
      </c>
      <c r="X3366" s="50">
        <f t="shared" si="513"/>
        <v>0</v>
      </c>
      <c r="Y3366"/>
      <c r="Z3366"/>
      <c r="AA3366"/>
    </row>
    <row r="3367" spans="1:27" s="51" customFormat="1" ht="18.600000000000001" hidden="1" customHeight="1" x14ac:dyDescent="0.25">
      <c r="A3367" s="80" t="s">
        <v>2653</v>
      </c>
      <c r="B3367" s="20" t="s">
        <v>9408</v>
      </c>
      <c r="C3367" s="21" t="s">
        <v>9410</v>
      </c>
      <c r="D3367" s="20" t="s">
        <v>8496</v>
      </c>
      <c r="E3367" s="22" t="s">
        <v>8497</v>
      </c>
      <c r="F3367" s="22" t="s">
        <v>1937</v>
      </c>
      <c r="G3367" s="22"/>
      <c r="H3367" s="83" t="s">
        <v>8498</v>
      </c>
      <c r="I3367" s="23" t="s">
        <v>24</v>
      </c>
      <c r="J3367" s="24">
        <v>440</v>
      </c>
      <c r="K3367" s="25">
        <v>0.25</v>
      </c>
      <c r="L3367" s="26">
        <f t="shared" si="505"/>
        <v>110</v>
      </c>
      <c r="M3367" s="27">
        <f t="shared" si="506"/>
        <v>330</v>
      </c>
      <c r="N3367" s="28">
        <v>0.16</v>
      </c>
      <c r="O3367" s="29">
        <f t="shared" si="507"/>
        <v>52.800000000000004</v>
      </c>
      <c r="P3367" s="30">
        <f t="shared" si="508"/>
        <v>382.8</v>
      </c>
      <c r="Q3367" s="23"/>
      <c r="R3367" s="52"/>
      <c r="S3367" s="53"/>
      <c r="T3367" s="54">
        <f t="shared" si="509"/>
        <v>0</v>
      </c>
      <c r="U3367" s="26">
        <f t="shared" si="510"/>
        <v>0</v>
      </c>
      <c r="V3367" s="55">
        <f t="shared" si="511"/>
        <v>0</v>
      </c>
      <c r="W3367" s="29">
        <f t="shared" si="512"/>
        <v>0</v>
      </c>
      <c r="X3367" s="30">
        <f t="shared" si="513"/>
        <v>0</v>
      </c>
      <c r="Y3367"/>
      <c r="Z3367"/>
      <c r="AA3367"/>
    </row>
    <row r="3368" spans="1:27" s="51" customFormat="1" ht="18.600000000000001" hidden="1" customHeight="1" x14ac:dyDescent="0.25">
      <c r="A3368" s="81" t="s">
        <v>2653</v>
      </c>
      <c r="B3368" s="31" t="s">
        <v>9408</v>
      </c>
      <c r="C3368" s="32" t="s">
        <v>9410</v>
      </c>
      <c r="D3368" s="31" t="s">
        <v>8499</v>
      </c>
      <c r="E3368" s="33" t="s">
        <v>8500</v>
      </c>
      <c r="F3368" s="33" t="s">
        <v>1937</v>
      </c>
      <c r="G3368" s="33"/>
      <c r="H3368" s="84" t="s">
        <v>8501</v>
      </c>
      <c r="I3368" s="23" t="s">
        <v>24</v>
      </c>
      <c r="J3368" s="34">
        <v>440</v>
      </c>
      <c r="K3368" s="35">
        <v>0.25</v>
      </c>
      <c r="L3368" s="36">
        <f t="shared" si="505"/>
        <v>110</v>
      </c>
      <c r="M3368" s="37">
        <f t="shared" si="506"/>
        <v>330</v>
      </c>
      <c r="N3368" s="38">
        <v>0.16</v>
      </c>
      <c r="O3368" s="39">
        <f t="shared" si="507"/>
        <v>52.800000000000004</v>
      </c>
      <c r="P3368" s="40">
        <f t="shared" si="508"/>
        <v>382.8</v>
      </c>
      <c r="Q3368" s="23"/>
      <c r="R3368" s="56"/>
      <c r="S3368" s="57"/>
      <c r="T3368" s="58">
        <f t="shared" si="509"/>
        <v>0</v>
      </c>
      <c r="U3368" s="36">
        <f t="shared" si="510"/>
        <v>0</v>
      </c>
      <c r="V3368" s="59">
        <f t="shared" si="511"/>
        <v>0</v>
      </c>
      <c r="W3368" s="39">
        <f t="shared" si="512"/>
        <v>0</v>
      </c>
      <c r="X3368" s="40">
        <f t="shared" si="513"/>
        <v>0</v>
      </c>
      <c r="Y3368"/>
      <c r="Z3368"/>
      <c r="AA3368"/>
    </row>
    <row r="3369" spans="1:27" s="51" customFormat="1" ht="18.600000000000001" hidden="1" customHeight="1" x14ac:dyDescent="0.25">
      <c r="A3369" s="82" t="s">
        <v>2653</v>
      </c>
      <c r="B3369" s="41" t="s">
        <v>9408</v>
      </c>
      <c r="C3369" s="42" t="s">
        <v>9410</v>
      </c>
      <c r="D3369" s="41" t="s">
        <v>8502</v>
      </c>
      <c r="E3369" s="43" t="s">
        <v>8503</v>
      </c>
      <c r="F3369" s="43" t="s">
        <v>1937</v>
      </c>
      <c r="G3369" s="43"/>
      <c r="H3369" s="85" t="s">
        <v>8504</v>
      </c>
      <c r="I3369" s="23" t="s">
        <v>24</v>
      </c>
      <c r="J3369" s="44">
        <v>440</v>
      </c>
      <c r="K3369" s="45">
        <v>0.25</v>
      </c>
      <c r="L3369" s="46">
        <f t="shared" si="505"/>
        <v>110</v>
      </c>
      <c r="M3369" s="47">
        <f t="shared" si="506"/>
        <v>330</v>
      </c>
      <c r="N3369" s="48">
        <v>0.16</v>
      </c>
      <c r="O3369" s="49">
        <f t="shared" si="507"/>
        <v>52.800000000000004</v>
      </c>
      <c r="P3369" s="50">
        <f t="shared" si="508"/>
        <v>382.8</v>
      </c>
      <c r="Q3369" s="23"/>
      <c r="R3369" s="60"/>
      <c r="S3369" s="61"/>
      <c r="T3369" s="62">
        <f t="shared" si="509"/>
        <v>0</v>
      </c>
      <c r="U3369" s="46">
        <f t="shared" si="510"/>
        <v>0</v>
      </c>
      <c r="V3369" s="63">
        <f t="shared" si="511"/>
        <v>0</v>
      </c>
      <c r="W3369" s="49">
        <f t="shared" si="512"/>
        <v>0</v>
      </c>
      <c r="X3369" s="50">
        <f t="shared" si="513"/>
        <v>0</v>
      </c>
      <c r="Y3369"/>
      <c r="Z3369"/>
      <c r="AA3369"/>
    </row>
    <row r="3370" spans="1:27" s="51" customFormat="1" ht="18.600000000000001" hidden="1" customHeight="1" x14ac:dyDescent="0.25">
      <c r="A3370" s="80" t="s">
        <v>2653</v>
      </c>
      <c r="B3370" s="20" t="s">
        <v>9408</v>
      </c>
      <c r="C3370" s="21" t="s">
        <v>9410</v>
      </c>
      <c r="D3370" s="20" t="s">
        <v>8505</v>
      </c>
      <c r="E3370" s="22" t="s">
        <v>8506</v>
      </c>
      <c r="F3370" s="22" t="s">
        <v>1937</v>
      </c>
      <c r="G3370" s="22"/>
      <c r="H3370" s="83" t="s">
        <v>8507</v>
      </c>
      <c r="I3370" s="23" t="s">
        <v>24</v>
      </c>
      <c r="J3370" s="24">
        <v>440</v>
      </c>
      <c r="K3370" s="25">
        <v>0.25</v>
      </c>
      <c r="L3370" s="26">
        <f t="shared" si="505"/>
        <v>110</v>
      </c>
      <c r="M3370" s="27">
        <f t="shared" si="506"/>
        <v>330</v>
      </c>
      <c r="N3370" s="28">
        <v>0.16</v>
      </c>
      <c r="O3370" s="29">
        <f t="shared" si="507"/>
        <v>52.800000000000004</v>
      </c>
      <c r="P3370" s="30">
        <f t="shared" si="508"/>
        <v>382.8</v>
      </c>
      <c r="Q3370" s="23"/>
      <c r="R3370" s="52"/>
      <c r="S3370" s="53"/>
      <c r="T3370" s="54">
        <f t="shared" si="509"/>
        <v>0</v>
      </c>
      <c r="U3370" s="26">
        <f t="shared" si="510"/>
        <v>0</v>
      </c>
      <c r="V3370" s="55">
        <f t="shared" si="511"/>
        <v>0</v>
      </c>
      <c r="W3370" s="29">
        <f t="shared" si="512"/>
        <v>0</v>
      </c>
      <c r="X3370" s="30">
        <f t="shared" si="513"/>
        <v>0</v>
      </c>
      <c r="Y3370"/>
      <c r="Z3370"/>
      <c r="AA3370"/>
    </row>
    <row r="3371" spans="1:27" s="51" customFormat="1" ht="18.600000000000001" hidden="1" customHeight="1" x14ac:dyDescent="0.25">
      <c r="A3371" s="81" t="s">
        <v>2653</v>
      </c>
      <c r="B3371" s="31" t="s">
        <v>9408</v>
      </c>
      <c r="C3371" s="32" t="s">
        <v>9410</v>
      </c>
      <c r="D3371" s="31" t="s">
        <v>8508</v>
      </c>
      <c r="E3371" s="33" t="s">
        <v>8509</v>
      </c>
      <c r="F3371" s="33" t="s">
        <v>1937</v>
      </c>
      <c r="G3371" s="33"/>
      <c r="H3371" s="84" t="s">
        <v>8510</v>
      </c>
      <c r="I3371" s="23" t="s">
        <v>24</v>
      </c>
      <c r="J3371" s="34">
        <v>440</v>
      </c>
      <c r="K3371" s="35">
        <v>0.25</v>
      </c>
      <c r="L3371" s="36">
        <f t="shared" si="505"/>
        <v>110</v>
      </c>
      <c r="M3371" s="37">
        <f t="shared" si="506"/>
        <v>330</v>
      </c>
      <c r="N3371" s="38">
        <v>0.16</v>
      </c>
      <c r="O3371" s="39">
        <f t="shared" si="507"/>
        <v>52.800000000000004</v>
      </c>
      <c r="P3371" s="40">
        <f t="shared" si="508"/>
        <v>382.8</v>
      </c>
      <c r="Q3371" s="23"/>
      <c r="R3371" s="56"/>
      <c r="S3371" s="57"/>
      <c r="T3371" s="58">
        <f t="shared" si="509"/>
        <v>0</v>
      </c>
      <c r="U3371" s="36">
        <f t="shared" si="510"/>
        <v>0</v>
      </c>
      <c r="V3371" s="59">
        <f t="shared" si="511"/>
        <v>0</v>
      </c>
      <c r="W3371" s="39">
        <f t="shared" si="512"/>
        <v>0</v>
      </c>
      <c r="X3371" s="40">
        <f t="shared" si="513"/>
        <v>0</v>
      </c>
      <c r="Y3371"/>
      <c r="Z3371"/>
      <c r="AA3371"/>
    </row>
    <row r="3372" spans="1:27" s="51" customFormat="1" ht="18.600000000000001" hidden="1" customHeight="1" x14ac:dyDescent="0.25">
      <c r="A3372" s="82" t="s">
        <v>2653</v>
      </c>
      <c r="B3372" s="41" t="s">
        <v>9408</v>
      </c>
      <c r="C3372" s="42" t="s">
        <v>9410</v>
      </c>
      <c r="D3372" s="41" t="s">
        <v>8511</v>
      </c>
      <c r="E3372" s="43" t="s">
        <v>8512</v>
      </c>
      <c r="F3372" s="43" t="s">
        <v>1937</v>
      </c>
      <c r="G3372" s="43"/>
      <c r="H3372" s="85" t="s">
        <v>8513</v>
      </c>
      <c r="I3372" s="23" t="s">
        <v>24</v>
      </c>
      <c r="J3372" s="44">
        <v>440</v>
      </c>
      <c r="K3372" s="45">
        <v>0.25</v>
      </c>
      <c r="L3372" s="46">
        <f t="shared" si="505"/>
        <v>110</v>
      </c>
      <c r="M3372" s="47">
        <f t="shared" si="506"/>
        <v>330</v>
      </c>
      <c r="N3372" s="48">
        <v>0.16</v>
      </c>
      <c r="O3372" s="49">
        <f t="shared" si="507"/>
        <v>52.800000000000004</v>
      </c>
      <c r="P3372" s="50">
        <f t="shared" si="508"/>
        <v>382.8</v>
      </c>
      <c r="Q3372" s="23"/>
      <c r="R3372" s="60"/>
      <c r="S3372" s="61"/>
      <c r="T3372" s="62">
        <f t="shared" si="509"/>
        <v>0</v>
      </c>
      <c r="U3372" s="46">
        <f t="shared" si="510"/>
        <v>0</v>
      </c>
      <c r="V3372" s="63">
        <f t="shared" si="511"/>
        <v>0</v>
      </c>
      <c r="W3372" s="49">
        <f t="shared" si="512"/>
        <v>0</v>
      </c>
      <c r="X3372" s="50">
        <f t="shared" si="513"/>
        <v>0</v>
      </c>
      <c r="Y3372"/>
      <c r="Z3372"/>
      <c r="AA3372"/>
    </row>
    <row r="3373" spans="1:27" s="51" customFormat="1" ht="18.600000000000001" hidden="1" customHeight="1" x14ac:dyDescent="0.25">
      <c r="A3373" s="80" t="s">
        <v>2653</v>
      </c>
      <c r="B3373" s="20" t="s">
        <v>9408</v>
      </c>
      <c r="C3373" s="21" t="s">
        <v>9410</v>
      </c>
      <c r="D3373" s="20" t="s">
        <v>8514</v>
      </c>
      <c r="E3373" s="22" t="s">
        <v>8515</v>
      </c>
      <c r="F3373" s="22" t="s">
        <v>1937</v>
      </c>
      <c r="G3373" s="22"/>
      <c r="H3373" s="83" t="s">
        <v>8516</v>
      </c>
      <c r="I3373" s="23" t="s">
        <v>24</v>
      </c>
      <c r="J3373" s="24">
        <v>440</v>
      </c>
      <c r="K3373" s="25">
        <v>0.25</v>
      </c>
      <c r="L3373" s="26">
        <f t="shared" si="505"/>
        <v>110</v>
      </c>
      <c r="M3373" s="27">
        <f t="shared" si="506"/>
        <v>330</v>
      </c>
      <c r="N3373" s="28">
        <v>0.16</v>
      </c>
      <c r="O3373" s="29">
        <f t="shared" si="507"/>
        <v>52.800000000000004</v>
      </c>
      <c r="P3373" s="30">
        <f t="shared" si="508"/>
        <v>382.8</v>
      </c>
      <c r="Q3373" s="23"/>
      <c r="R3373" s="52"/>
      <c r="S3373" s="53"/>
      <c r="T3373" s="54">
        <f t="shared" si="509"/>
        <v>0</v>
      </c>
      <c r="U3373" s="26">
        <f t="shared" si="510"/>
        <v>0</v>
      </c>
      <c r="V3373" s="55">
        <f t="shared" si="511"/>
        <v>0</v>
      </c>
      <c r="W3373" s="29">
        <f t="shared" si="512"/>
        <v>0</v>
      </c>
      <c r="X3373" s="30">
        <f t="shared" si="513"/>
        <v>0</v>
      </c>
      <c r="Y3373"/>
      <c r="Z3373"/>
      <c r="AA3373"/>
    </row>
    <row r="3374" spans="1:27" s="51" customFormat="1" ht="18.600000000000001" hidden="1" customHeight="1" x14ac:dyDescent="0.25">
      <c r="A3374" s="81" t="s">
        <v>2653</v>
      </c>
      <c r="B3374" s="31" t="s">
        <v>9408</v>
      </c>
      <c r="C3374" s="32" t="s">
        <v>9410</v>
      </c>
      <c r="D3374" s="31" t="s">
        <v>8517</v>
      </c>
      <c r="E3374" s="33" t="s">
        <v>8518</v>
      </c>
      <c r="F3374" s="33" t="s">
        <v>1937</v>
      </c>
      <c r="G3374" s="33"/>
      <c r="H3374" s="84" t="s">
        <v>8519</v>
      </c>
      <c r="I3374" s="23" t="s">
        <v>24</v>
      </c>
      <c r="J3374" s="34">
        <v>440</v>
      </c>
      <c r="K3374" s="35">
        <v>0.25</v>
      </c>
      <c r="L3374" s="36">
        <f t="shared" si="505"/>
        <v>110</v>
      </c>
      <c r="M3374" s="37">
        <f t="shared" si="506"/>
        <v>330</v>
      </c>
      <c r="N3374" s="38">
        <v>0.16</v>
      </c>
      <c r="O3374" s="39">
        <f t="shared" si="507"/>
        <v>52.800000000000004</v>
      </c>
      <c r="P3374" s="40">
        <f t="shared" si="508"/>
        <v>382.8</v>
      </c>
      <c r="Q3374" s="23"/>
      <c r="R3374" s="56"/>
      <c r="S3374" s="57"/>
      <c r="T3374" s="58">
        <f t="shared" si="509"/>
        <v>0</v>
      </c>
      <c r="U3374" s="36">
        <f t="shared" si="510"/>
        <v>0</v>
      </c>
      <c r="V3374" s="59">
        <f t="shared" si="511"/>
        <v>0</v>
      </c>
      <c r="W3374" s="39">
        <f t="shared" si="512"/>
        <v>0</v>
      </c>
      <c r="X3374" s="40">
        <f t="shared" si="513"/>
        <v>0</v>
      </c>
      <c r="Y3374"/>
      <c r="Z3374"/>
      <c r="AA3374"/>
    </row>
    <row r="3375" spans="1:27" s="51" customFormat="1" ht="18.600000000000001" hidden="1" customHeight="1" x14ac:dyDescent="0.25">
      <c r="A3375" s="82" t="s">
        <v>2653</v>
      </c>
      <c r="B3375" s="41" t="s">
        <v>9408</v>
      </c>
      <c r="C3375" s="42" t="s">
        <v>9410</v>
      </c>
      <c r="D3375" s="41" t="s">
        <v>8520</v>
      </c>
      <c r="E3375" s="43" t="s">
        <v>8521</v>
      </c>
      <c r="F3375" s="43" t="s">
        <v>1937</v>
      </c>
      <c r="G3375" s="43"/>
      <c r="H3375" s="85" t="s">
        <v>8522</v>
      </c>
      <c r="I3375" s="23" t="s">
        <v>24</v>
      </c>
      <c r="J3375" s="44">
        <v>440</v>
      </c>
      <c r="K3375" s="45">
        <v>0.25</v>
      </c>
      <c r="L3375" s="46">
        <f t="shared" si="505"/>
        <v>110</v>
      </c>
      <c r="M3375" s="47">
        <f t="shared" si="506"/>
        <v>330</v>
      </c>
      <c r="N3375" s="48">
        <v>0.16</v>
      </c>
      <c r="O3375" s="49">
        <f t="shared" si="507"/>
        <v>52.800000000000004</v>
      </c>
      <c r="P3375" s="50">
        <f t="shared" si="508"/>
        <v>382.8</v>
      </c>
      <c r="Q3375" s="23"/>
      <c r="R3375" s="60"/>
      <c r="S3375" s="61"/>
      <c r="T3375" s="62">
        <f t="shared" si="509"/>
        <v>0</v>
      </c>
      <c r="U3375" s="46">
        <f t="shared" si="510"/>
        <v>0</v>
      </c>
      <c r="V3375" s="63">
        <f t="shared" si="511"/>
        <v>0</v>
      </c>
      <c r="W3375" s="49">
        <f t="shared" si="512"/>
        <v>0</v>
      </c>
      <c r="X3375" s="50">
        <f t="shared" si="513"/>
        <v>0</v>
      </c>
      <c r="Y3375"/>
      <c r="Z3375"/>
      <c r="AA3375"/>
    </row>
    <row r="3376" spans="1:27" s="51" customFormat="1" ht="18.600000000000001" hidden="1" customHeight="1" x14ac:dyDescent="0.25">
      <c r="A3376" s="80" t="s">
        <v>2653</v>
      </c>
      <c r="B3376" s="20" t="s">
        <v>9408</v>
      </c>
      <c r="C3376" s="21" t="s">
        <v>9410</v>
      </c>
      <c r="D3376" s="20" t="s">
        <v>8523</v>
      </c>
      <c r="E3376" s="22" t="s">
        <v>9610</v>
      </c>
      <c r="F3376" s="22" t="s">
        <v>1937</v>
      </c>
      <c r="G3376" s="22"/>
      <c r="H3376" s="83" t="s">
        <v>8524</v>
      </c>
      <c r="I3376" s="23" t="s">
        <v>24</v>
      </c>
      <c r="J3376" s="24">
        <v>450</v>
      </c>
      <c r="K3376" s="25">
        <v>0.25</v>
      </c>
      <c r="L3376" s="26">
        <f t="shared" si="505"/>
        <v>112.5</v>
      </c>
      <c r="M3376" s="27">
        <f t="shared" si="506"/>
        <v>337.5</v>
      </c>
      <c r="N3376" s="28">
        <v>0.16</v>
      </c>
      <c r="O3376" s="29">
        <f t="shared" si="507"/>
        <v>54</v>
      </c>
      <c r="P3376" s="30">
        <f t="shared" si="508"/>
        <v>391.5</v>
      </c>
      <c r="Q3376" s="23"/>
      <c r="R3376" s="52"/>
      <c r="S3376" s="53"/>
      <c r="T3376" s="54">
        <f t="shared" si="509"/>
        <v>0</v>
      </c>
      <c r="U3376" s="26">
        <f t="shared" si="510"/>
        <v>0</v>
      </c>
      <c r="V3376" s="55">
        <f t="shared" si="511"/>
        <v>0</v>
      </c>
      <c r="W3376" s="29">
        <f t="shared" si="512"/>
        <v>0</v>
      </c>
      <c r="X3376" s="30">
        <f t="shared" si="513"/>
        <v>0</v>
      </c>
      <c r="Y3376"/>
      <c r="Z3376"/>
      <c r="AA3376"/>
    </row>
    <row r="3377" spans="1:27" s="51" customFormat="1" ht="18.600000000000001" hidden="1" customHeight="1" x14ac:dyDescent="0.25">
      <c r="A3377" s="81" t="s">
        <v>2653</v>
      </c>
      <c r="B3377" s="31" t="s">
        <v>9408</v>
      </c>
      <c r="C3377" s="32" t="s">
        <v>9410</v>
      </c>
      <c r="D3377" s="31" t="s">
        <v>8525</v>
      </c>
      <c r="E3377" s="33" t="s">
        <v>8526</v>
      </c>
      <c r="F3377" s="33" t="s">
        <v>1937</v>
      </c>
      <c r="G3377" s="33"/>
      <c r="H3377" s="84" t="s">
        <v>8527</v>
      </c>
      <c r="I3377" s="23" t="s">
        <v>24</v>
      </c>
      <c r="J3377" s="34">
        <v>440</v>
      </c>
      <c r="K3377" s="35">
        <v>0.25</v>
      </c>
      <c r="L3377" s="36">
        <f t="shared" si="505"/>
        <v>110</v>
      </c>
      <c r="M3377" s="37">
        <f t="shared" si="506"/>
        <v>330</v>
      </c>
      <c r="N3377" s="38">
        <v>0.16</v>
      </c>
      <c r="O3377" s="39">
        <f t="shared" si="507"/>
        <v>52.800000000000004</v>
      </c>
      <c r="P3377" s="40">
        <f t="shared" si="508"/>
        <v>382.8</v>
      </c>
      <c r="Q3377" s="23"/>
      <c r="R3377" s="56"/>
      <c r="S3377" s="57"/>
      <c r="T3377" s="58">
        <f t="shared" si="509"/>
        <v>0</v>
      </c>
      <c r="U3377" s="36">
        <f t="shared" si="510"/>
        <v>0</v>
      </c>
      <c r="V3377" s="59">
        <f t="shared" si="511"/>
        <v>0</v>
      </c>
      <c r="W3377" s="39">
        <f t="shared" si="512"/>
        <v>0</v>
      </c>
      <c r="X3377" s="40">
        <f t="shared" si="513"/>
        <v>0</v>
      </c>
      <c r="Y3377"/>
      <c r="Z3377"/>
      <c r="AA3377"/>
    </row>
    <row r="3378" spans="1:27" s="51" customFormat="1" ht="18.600000000000001" hidden="1" customHeight="1" x14ac:dyDescent="0.25">
      <c r="A3378" s="82" t="s">
        <v>2653</v>
      </c>
      <c r="B3378" s="41" t="s">
        <v>9408</v>
      </c>
      <c r="C3378" s="42" t="s">
        <v>9410</v>
      </c>
      <c r="D3378" s="41" t="s">
        <v>8528</v>
      </c>
      <c r="E3378" s="43" t="s">
        <v>8529</v>
      </c>
      <c r="F3378" s="43" t="s">
        <v>1937</v>
      </c>
      <c r="G3378" s="43"/>
      <c r="H3378" s="85" t="s">
        <v>8530</v>
      </c>
      <c r="I3378" s="23" t="s">
        <v>24</v>
      </c>
      <c r="J3378" s="44">
        <v>440</v>
      </c>
      <c r="K3378" s="45">
        <v>0.25</v>
      </c>
      <c r="L3378" s="46">
        <f t="shared" si="505"/>
        <v>110</v>
      </c>
      <c r="M3378" s="47">
        <f t="shared" si="506"/>
        <v>330</v>
      </c>
      <c r="N3378" s="48">
        <v>0.16</v>
      </c>
      <c r="O3378" s="49">
        <f t="shared" si="507"/>
        <v>52.800000000000004</v>
      </c>
      <c r="P3378" s="50">
        <f t="shared" si="508"/>
        <v>382.8</v>
      </c>
      <c r="Q3378" s="23"/>
      <c r="R3378" s="60"/>
      <c r="S3378" s="61"/>
      <c r="T3378" s="62">
        <f t="shared" si="509"/>
        <v>0</v>
      </c>
      <c r="U3378" s="46">
        <f t="shared" si="510"/>
        <v>0</v>
      </c>
      <c r="V3378" s="63">
        <f t="shared" si="511"/>
        <v>0</v>
      </c>
      <c r="W3378" s="49">
        <f t="shared" si="512"/>
        <v>0</v>
      </c>
      <c r="X3378" s="50">
        <f t="shared" si="513"/>
        <v>0</v>
      </c>
      <c r="Y3378"/>
      <c r="Z3378"/>
      <c r="AA3378"/>
    </row>
    <row r="3379" spans="1:27" s="51" customFormat="1" ht="18.600000000000001" hidden="1" customHeight="1" x14ac:dyDescent="0.25">
      <c r="A3379" s="80" t="s">
        <v>2653</v>
      </c>
      <c r="B3379" s="20" t="s">
        <v>9408</v>
      </c>
      <c r="C3379" s="21" t="s">
        <v>9410</v>
      </c>
      <c r="D3379" s="20" t="s">
        <v>8531</v>
      </c>
      <c r="E3379" s="22" t="s">
        <v>8532</v>
      </c>
      <c r="F3379" s="22" t="s">
        <v>1937</v>
      </c>
      <c r="G3379" s="22"/>
      <c r="H3379" s="83" t="s">
        <v>8533</v>
      </c>
      <c r="I3379" s="23" t="s">
        <v>24</v>
      </c>
      <c r="J3379" s="24">
        <v>440</v>
      </c>
      <c r="K3379" s="25">
        <v>0.25</v>
      </c>
      <c r="L3379" s="26">
        <f t="shared" si="505"/>
        <v>110</v>
      </c>
      <c r="M3379" s="27">
        <f t="shared" si="506"/>
        <v>330</v>
      </c>
      <c r="N3379" s="28">
        <v>0.16</v>
      </c>
      <c r="O3379" s="29">
        <f t="shared" si="507"/>
        <v>52.800000000000004</v>
      </c>
      <c r="P3379" s="30">
        <f t="shared" si="508"/>
        <v>382.8</v>
      </c>
      <c r="Q3379" s="23"/>
      <c r="R3379" s="52"/>
      <c r="S3379" s="53"/>
      <c r="T3379" s="54">
        <f t="shared" si="509"/>
        <v>0</v>
      </c>
      <c r="U3379" s="26">
        <f t="shared" si="510"/>
        <v>0</v>
      </c>
      <c r="V3379" s="55">
        <f t="shared" si="511"/>
        <v>0</v>
      </c>
      <c r="W3379" s="29">
        <f t="shared" si="512"/>
        <v>0</v>
      </c>
      <c r="X3379" s="30">
        <f t="shared" si="513"/>
        <v>0</v>
      </c>
      <c r="Y3379"/>
      <c r="Z3379"/>
      <c r="AA3379"/>
    </row>
    <row r="3380" spans="1:27" s="51" customFormat="1" ht="18.600000000000001" hidden="1" customHeight="1" x14ac:dyDescent="0.25">
      <c r="A3380" s="81" t="s">
        <v>2653</v>
      </c>
      <c r="B3380" s="31" t="s">
        <v>9408</v>
      </c>
      <c r="C3380" s="32" t="s">
        <v>9410</v>
      </c>
      <c r="D3380" s="31" t="s">
        <v>8534</v>
      </c>
      <c r="E3380" s="33" t="s">
        <v>8535</v>
      </c>
      <c r="F3380" s="33" t="s">
        <v>1937</v>
      </c>
      <c r="G3380" s="33"/>
      <c r="H3380" s="84" t="s">
        <v>8536</v>
      </c>
      <c r="I3380" s="23" t="s">
        <v>24</v>
      </c>
      <c r="J3380" s="34">
        <v>440</v>
      </c>
      <c r="K3380" s="35">
        <v>0.25</v>
      </c>
      <c r="L3380" s="36">
        <f t="shared" si="505"/>
        <v>110</v>
      </c>
      <c r="M3380" s="37">
        <f t="shared" si="506"/>
        <v>330</v>
      </c>
      <c r="N3380" s="38">
        <v>0.16</v>
      </c>
      <c r="O3380" s="39">
        <f t="shared" si="507"/>
        <v>52.800000000000004</v>
      </c>
      <c r="P3380" s="40">
        <f t="shared" si="508"/>
        <v>382.8</v>
      </c>
      <c r="Q3380" s="23"/>
      <c r="R3380" s="56"/>
      <c r="S3380" s="57"/>
      <c r="T3380" s="58">
        <f t="shared" si="509"/>
        <v>0</v>
      </c>
      <c r="U3380" s="36">
        <f t="shared" si="510"/>
        <v>0</v>
      </c>
      <c r="V3380" s="59">
        <f t="shared" si="511"/>
        <v>0</v>
      </c>
      <c r="W3380" s="39">
        <f t="shared" si="512"/>
        <v>0</v>
      </c>
      <c r="X3380" s="40">
        <f t="shared" si="513"/>
        <v>0</v>
      </c>
      <c r="Y3380"/>
      <c r="Z3380"/>
      <c r="AA3380"/>
    </row>
    <row r="3381" spans="1:27" s="51" customFormat="1" ht="18.600000000000001" hidden="1" customHeight="1" x14ac:dyDescent="0.25">
      <c r="A3381" s="82" t="s">
        <v>2653</v>
      </c>
      <c r="B3381" s="41" t="s">
        <v>9408</v>
      </c>
      <c r="C3381" s="42" t="s">
        <v>9410</v>
      </c>
      <c r="D3381" s="41" t="s">
        <v>8537</v>
      </c>
      <c r="E3381" s="43" t="s">
        <v>8538</v>
      </c>
      <c r="F3381" s="43" t="s">
        <v>1937</v>
      </c>
      <c r="G3381" s="43"/>
      <c r="H3381" s="85" t="s">
        <v>8539</v>
      </c>
      <c r="I3381" s="23" t="s">
        <v>24</v>
      </c>
      <c r="J3381" s="44">
        <v>440</v>
      </c>
      <c r="K3381" s="45">
        <v>0.25</v>
      </c>
      <c r="L3381" s="46">
        <f t="shared" si="505"/>
        <v>110</v>
      </c>
      <c r="M3381" s="47">
        <f t="shared" si="506"/>
        <v>330</v>
      </c>
      <c r="N3381" s="48">
        <v>0.16</v>
      </c>
      <c r="O3381" s="49">
        <f t="shared" si="507"/>
        <v>52.800000000000004</v>
      </c>
      <c r="P3381" s="50">
        <f t="shared" si="508"/>
        <v>382.8</v>
      </c>
      <c r="Q3381" s="23"/>
      <c r="R3381" s="60"/>
      <c r="S3381" s="61"/>
      <c r="T3381" s="62">
        <f t="shared" si="509"/>
        <v>0</v>
      </c>
      <c r="U3381" s="46">
        <f t="shared" si="510"/>
        <v>0</v>
      </c>
      <c r="V3381" s="63">
        <f t="shared" si="511"/>
        <v>0</v>
      </c>
      <c r="W3381" s="49">
        <f t="shared" si="512"/>
        <v>0</v>
      </c>
      <c r="X3381" s="50">
        <f t="shared" si="513"/>
        <v>0</v>
      </c>
      <c r="Y3381"/>
      <c r="Z3381"/>
      <c r="AA3381"/>
    </row>
    <row r="3382" spans="1:27" s="51" customFormat="1" ht="18.600000000000001" hidden="1" customHeight="1" x14ac:dyDescent="0.25">
      <c r="A3382" s="80" t="s">
        <v>2653</v>
      </c>
      <c r="B3382" s="20" t="s">
        <v>9408</v>
      </c>
      <c r="C3382" s="21" t="s">
        <v>9411</v>
      </c>
      <c r="D3382" s="20" t="s">
        <v>8540</v>
      </c>
      <c r="E3382" s="22" t="s">
        <v>8541</v>
      </c>
      <c r="F3382" s="22" t="s">
        <v>1937</v>
      </c>
      <c r="G3382" s="22"/>
      <c r="H3382" s="83" t="s">
        <v>9803</v>
      </c>
      <c r="I3382" s="23" t="s">
        <v>24</v>
      </c>
      <c r="J3382" s="24">
        <v>670</v>
      </c>
      <c r="K3382" s="25">
        <v>0.25</v>
      </c>
      <c r="L3382" s="26">
        <f t="shared" si="505"/>
        <v>167.5</v>
      </c>
      <c r="M3382" s="27">
        <f t="shared" si="506"/>
        <v>502.5</v>
      </c>
      <c r="N3382" s="28">
        <v>0.16</v>
      </c>
      <c r="O3382" s="29">
        <f t="shared" si="507"/>
        <v>80.400000000000006</v>
      </c>
      <c r="P3382" s="30">
        <f t="shared" si="508"/>
        <v>582.9</v>
      </c>
      <c r="Q3382" s="23"/>
      <c r="R3382" s="52"/>
      <c r="S3382" s="53"/>
      <c r="T3382" s="54">
        <f t="shared" si="509"/>
        <v>0</v>
      </c>
      <c r="U3382" s="26">
        <f t="shared" si="510"/>
        <v>0</v>
      </c>
      <c r="V3382" s="55">
        <f t="shared" si="511"/>
        <v>0</v>
      </c>
      <c r="W3382" s="29">
        <f t="shared" si="512"/>
        <v>0</v>
      </c>
      <c r="X3382" s="30">
        <f t="shared" si="513"/>
        <v>0</v>
      </c>
      <c r="Y3382"/>
      <c r="Z3382"/>
      <c r="AA3382"/>
    </row>
    <row r="3383" spans="1:27" s="51" customFormat="1" ht="18.600000000000001" hidden="1" customHeight="1" x14ac:dyDescent="0.25">
      <c r="A3383" s="81" t="s">
        <v>2653</v>
      </c>
      <c r="B3383" s="31" t="s">
        <v>9408</v>
      </c>
      <c r="C3383" s="32" t="s">
        <v>9411</v>
      </c>
      <c r="D3383" s="31" t="s">
        <v>8542</v>
      </c>
      <c r="E3383" s="33" t="s">
        <v>8543</v>
      </c>
      <c r="F3383" s="33" t="s">
        <v>1937</v>
      </c>
      <c r="G3383" s="33"/>
      <c r="H3383" s="84" t="s">
        <v>9804</v>
      </c>
      <c r="I3383" s="23" t="s">
        <v>24</v>
      </c>
      <c r="J3383" s="34">
        <v>670</v>
      </c>
      <c r="K3383" s="35">
        <v>0.25</v>
      </c>
      <c r="L3383" s="36">
        <f t="shared" si="505"/>
        <v>167.5</v>
      </c>
      <c r="M3383" s="37">
        <f t="shared" si="506"/>
        <v>502.5</v>
      </c>
      <c r="N3383" s="38">
        <v>0.16</v>
      </c>
      <c r="O3383" s="39">
        <f t="shared" si="507"/>
        <v>80.400000000000006</v>
      </c>
      <c r="P3383" s="40">
        <f t="shared" si="508"/>
        <v>582.9</v>
      </c>
      <c r="Q3383" s="23"/>
      <c r="R3383" s="56"/>
      <c r="S3383" s="57"/>
      <c r="T3383" s="58">
        <f t="shared" si="509"/>
        <v>0</v>
      </c>
      <c r="U3383" s="36">
        <f t="shared" si="510"/>
        <v>0</v>
      </c>
      <c r="V3383" s="59">
        <f t="shared" si="511"/>
        <v>0</v>
      </c>
      <c r="W3383" s="39">
        <f t="shared" si="512"/>
        <v>0</v>
      </c>
      <c r="X3383" s="40">
        <f t="shared" si="513"/>
        <v>0</v>
      </c>
      <c r="Y3383"/>
      <c r="Z3383"/>
      <c r="AA3383"/>
    </row>
    <row r="3384" spans="1:27" s="51" customFormat="1" ht="18.600000000000001" hidden="1" customHeight="1" x14ac:dyDescent="0.25">
      <c r="A3384" s="82" t="s">
        <v>2653</v>
      </c>
      <c r="B3384" s="41" t="s">
        <v>9408</v>
      </c>
      <c r="C3384" s="42" t="s">
        <v>9411</v>
      </c>
      <c r="D3384" s="41" t="s">
        <v>8544</v>
      </c>
      <c r="E3384" s="43" t="s">
        <v>8545</v>
      </c>
      <c r="F3384" s="43" t="s">
        <v>1937</v>
      </c>
      <c r="G3384" s="43"/>
      <c r="H3384" s="85" t="s">
        <v>9805</v>
      </c>
      <c r="I3384" s="23" t="s">
        <v>24</v>
      </c>
      <c r="J3384" s="44">
        <v>670</v>
      </c>
      <c r="K3384" s="45">
        <v>0.25</v>
      </c>
      <c r="L3384" s="46">
        <f t="shared" si="505"/>
        <v>167.5</v>
      </c>
      <c r="M3384" s="47">
        <f t="shared" si="506"/>
        <v>502.5</v>
      </c>
      <c r="N3384" s="48">
        <v>0.16</v>
      </c>
      <c r="O3384" s="49">
        <f t="shared" si="507"/>
        <v>80.400000000000006</v>
      </c>
      <c r="P3384" s="50">
        <f t="shared" si="508"/>
        <v>582.9</v>
      </c>
      <c r="Q3384" s="23"/>
      <c r="R3384" s="60"/>
      <c r="S3384" s="61"/>
      <c r="T3384" s="62">
        <f t="shared" si="509"/>
        <v>0</v>
      </c>
      <c r="U3384" s="46">
        <f t="shared" si="510"/>
        <v>0</v>
      </c>
      <c r="V3384" s="63">
        <f t="shared" si="511"/>
        <v>0</v>
      </c>
      <c r="W3384" s="49">
        <f t="shared" si="512"/>
        <v>0</v>
      </c>
      <c r="X3384" s="50">
        <f t="shared" si="513"/>
        <v>0</v>
      </c>
      <c r="Y3384"/>
      <c r="Z3384"/>
      <c r="AA3384"/>
    </row>
    <row r="3385" spans="1:27" s="51" customFormat="1" ht="18.600000000000001" hidden="1" customHeight="1" x14ac:dyDescent="0.25">
      <c r="A3385" s="80" t="s">
        <v>2653</v>
      </c>
      <c r="B3385" s="20" t="s">
        <v>9408</v>
      </c>
      <c r="C3385" s="21" t="s">
        <v>9411</v>
      </c>
      <c r="D3385" s="20" t="s">
        <v>8546</v>
      </c>
      <c r="E3385" s="22" t="s">
        <v>8547</v>
      </c>
      <c r="F3385" s="22" t="s">
        <v>1937</v>
      </c>
      <c r="G3385" s="22"/>
      <c r="H3385" s="83" t="s">
        <v>9806</v>
      </c>
      <c r="I3385" s="23" t="s">
        <v>24</v>
      </c>
      <c r="J3385" s="24">
        <v>920</v>
      </c>
      <c r="K3385" s="25">
        <v>0.25</v>
      </c>
      <c r="L3385" s="26">
        <f t="shared" si="505"/>
        <v>230</v>
      </c>
      <c r="M3385" s="27">
        <f t="shared" si="506"/>
        <v>690</v>
      </c>
      <c r="N3385" s="28">
        <v>0.16</v>
      </c>
      <c r="O3385" s="29">
        <f t="shared" si="507"/>
        <v>110.4</v>
      </c>
      <c r="P3385" s="30">
        <f t="shared" si="508"/>
        <v>800.4</v>
      </c>
      <c r="Q3385" s="23"/>
      <c r="R3385" s="52"/>
      <c r="S3385" s="53"/>
      <c r="T3385" s="54">
        <f t="shared" si="509"/>
        <v>0</v>
      </c>
      <c r="U3385" s="26">
        <f t="shared" si="510"/>
        <v>0</v>
      </c>
      <c r="V3385" s="55">
        <f t="shared" si="511"/>
        <v>0</v>
      </c>
      <c r="W3385" s="29">
        <f t="shared" si="512"/>
        <v>0</v>
      </c>
      <c r="X3385" s="30">
        <f t="shared" si="513"/>
        <v>0</v>
      </c>
      <c r="Y3385"/>
      <c r="Z3385"/>
      <c r="AA3385"/>
    </row>
    <row r="3386" spans="1:27" s="51" customFormat="1" ht="18.600000000000001" hidden="1" customHeight="1" x14ac:dyDescent="0.25">
      <c r="A3386" s="81" t="s">
        <v>2653</v>
      </c>
      <c r="B3386" s="31" t="s">
        <v>9408</v>
      </c>
      <c r="C3386" s="32" t="s">
        <v>9411</v>
      </c>
      <c r="D3386" s="31" t="s">
        <v>8548</v>
      </c>
      <c r="E3386" s="33" t="s">
        <v>8549</v>
      </c>
      <c r="F3386" s="33" t="s">
        <v>1937</v>
      </c>
      <c r="G3386" s="33"/>
      <c r="H3386" s="84" t="s">
        <v>9807</v>
      </c>
      <c r="I3386" s="23" t="s">
        <v>24</v>
      </c>
      <c r="J3386" s="34">
        <v>710</v>
      </c>
      <c r="K3386" s="35">
        <v>0.25</v>
      </c>
      <c r="L3386" s="36">
        <f t="shared" si="505"/>
        <v>177.5</v>
      </c>
      <c r="M3386" s="37">
        <f t="shared" si="506"/>
        <v>532.5</v>
      </c>
      <c r="N3386" s="38">
        <v>0.16</v>
      </c>
      <c r="O3386" s="39">
        <f t="shared" si="507"/>
        <v>85.2</v>
      </c>
      <c r="P3386" s="40">
        <f t="shared" si="508"/>
        <v>617.70000000000005</v>
      </c>
      <c r="Q3386" s="23"/>
      <c r="R3386" s="56"/>
      <c r="S3386" s="57"/>
      <c r="T3386" s="58">
        <f t="shared" si="509"/>
        <v>0</v>
      </c>
      <c r="U3386" s="36">
        <f t="shared" si="510"/>
        <v>0</v>
      </c>
      <c r="V3386" s="59">
        <f t="shared" si="511"/>
        <v>0</v>
      </c>
      <c r="W3386" s="39">
        <f t="shared" si="512"/>
        <v>0</v>
      </c>
      <c r="X3386" s="40">
        <f t="shared" si="513"/>
        <v>0</v>
      </c>
      <c r="Y3386"/>
      <c r="Z3386"/>
      <c r="AA3386"/>
    </row>
    <row r="3387" spans="1:27" s="51" customFormat="1" ht="18.600000000000001" hidden="1" customHeight="1" x14ac:dyDescent="0.25">
      <c r="A3387" s="82" t="s">
        <v>2653</v>
      </c>
      <c r="B3387" s="41" t="s">
        <v>9408</v>
      </c>
      <c r="C3387" s="42" t="s">
        <v>9411</v>
      </c>
      <c r="D3387" s="41" t="s">
        <v>8550</v>
      </c>
      <c r="E3387" s="43" t="s">
        <v>8551</v>
      </c>
      <c r="F3387" s="43" t="s">
        <v>1937</v>
      </c>
      <c r="G3387" s="43"/>
      <c r="H3387" s="85" t="s">
        <v>9808</v>
      </c>
      <c r="I3387" s="23" t="s">
        <v>24</v>
      </c>
      <c r="J3387" s="44">
        <v>710</v>
      </c>
      <c r="K3387" s="45">
        <v>0.25</v>
      </c>
      <c r="L3387" s="46">
        <f t="shared" si="505"/>
        <v>177.5</v>
      </c>
      <c r="M3387" s="47">
        <f t="shared" si="506"/>
        <v>532.5</v>
      </c>
      <c r="N3387" s="48">
        <v>0.16</v>
      </c>
      <c r="O3387" s="49">
        <f t="shared" si="507"/>
        <v>85.2</v>
      </c>
      <c r="P3387" s="50">
        <f t="shared" si="508"/>
        <v>617.70000000000005</v>
      </c>
      <c r="Q3387" s="23"/>
      <c r="R3387" s="60"/>
      <c r="S3387" s="61"/>
      <c r="T3387" s="62">
        <f t="shared" si="509"/>
        <v>0</v>
      </c>
      <c r="U3387" s="46">
        <f t="shared" si="510"/>
        <v>0</v>
      </c>
      <c r="V3387" s="63">
        <f t="shared" si="511"/>
        <v>0</v>
      </c>
      <c r="W3387" s="49">
        <f t="shared" si="512"/>
        <v>0</v>
      </c>
      <c r="X3387" s="50">
        <f t="shared" si="513"/>
        <v>0</v>
      </c>
      <c r="Y3387"/>
      <c r="Z3387"/>
      <c r="AA3387"/>
    </row>
    <row r="3388" spans="1:27" s="51" customFormat="1" ht="18.600000000000001" hidden="1" customHeight="1" x14ac:dyDescent="0.25">
      <c r="A3388" s="80" t="s">
        <v>2653</v>
      </c>
      <c r="B3388" s="20" t="s">
        <v>9408</v>
      </c>
      <c r="C3388" s="21" t="s">
        <v>9411</v>
      </c>
      <c r="D3388" s="20" t="s">
        <v>8552</v>
      </c>
      <c r="E3388" s="22" t="s">
        <v>8553</v>
      </c>
      <c r="F3388" s="22" t="s">
        <v>1937</v>
      </c>
      <c r="G3388" s="22"/>
      <c r="H3388" s="83" t="s">
        <v>9809</v>
      </c>
      <c r="I3388" s="23" t="s">
        <v>24</v>
      </c>
      <c r="J3388" s="24">
        <v>710</v>
      </c>
      <c r="K3388" s="25">
        <v>0.25</v>
      </c>
      <c r="L3388" s="26">
        <f t="shared" si="505"/>
        <v>177.5</v>
      </c>
      <c r="M3388" s="27">
        <f t="shared" si="506"/>
        <v>532.5</v>
      </c>
      <c r="N3388" s="28">
        <v>0.16</v>
      </c>
      <c r="O3388" s="29">
        <f t="shared" si="507"/>
        <v>85.2</v>
      </c>
      <c r="P3388" s="30">
        <f t="shared" si="508"/>
        <v>617.70000000000005</v>
      </c>
      <c r="Q3388" s="23"/>
      <c r="R3388" s="52"/>
      <c r="S3388" s="53"/>
      <c r="T3388" s="54">
        <f t="shared" si="509"/>
        <v>0</v>
      </c>
      <c r="U3388" s="26">
        <f t="shared" si="510"/>
        <v>0</v>
      </c>
      <c r="V3388" s="55">
        <f t="shared" si="511"/>
        <v>0</v>
      </c>
      <c r="W3388" s="29">
        <f t="shared" si="512"/>
        <v>0</v>
      </c>
      <c r="X3388" s="30">
        <f t="shared" si="513"/>
        <v>0</v>
      </c>
      <c r="Y3388"/>
      <c r="Z3388"/>
      <c r="AA3388"/>
    </row>
    <row r="3389" spans="1:27" s="51" customFormat="1" ht="18.600000000000001" hidden="1" customHeight="1" x14ac:dyDescent="0.25">
      <c r="A3389" s="81" t="s">
        <v>2653</v>
      </c>
      <c r="B3389" s="31" t="s">
        <v>9408</v>
      </c>
      <c r="C3389" s="32" t="s">
        <v>9411</v>
      </c>
      <c r="D3389" s="31" t="s">
        <v>8554</v>
      </c>
      <c r="E3389" s="33" t="s">
        <v>8555</v>
      </c>
      <c r="F3389" s="33" t="s">
        <v>1937</v>
      </c>
      <c r="G3389" s="33"/>
      <c r="H3389" s="84" t="s">
        <v>9810</v>
      </c>
      <c r="I3389" s="23" t="s">
        <v>24</v>
      </c>
      <c r="J3389" s="34">
        <v>710</v>
      </c>
      <c r="K3389" s="35">
        <v>0.25</v>
      </c>
      <c r="L3389" s="36">
        <f t="shared" si="505"/>
        <v>177.5</v>
      </c>
      <c r="M3389" s="37">
        <f t="shared" si="506"/>
        <v>532.5</v>
      </c>
      <c r="N3389" s="38">
        <v>0.16</v>
      </c>
      <c r="O3389" s="39">
        <f t="shared" si="507"/>
        <v>85.2</v>
      </c>
      <c r="P3389" s="40">
        <f t="shared" si="508"/>
        <v>617.70000000000005</v>
      </c>
      <c r="Q3389" s="23"/>
      <c r="R3389" s="56"/>
      <c r="S3389" s="57"/>
      <c r="T3389" s="58">
        <f t="shared" si="509"/>
        <v>0</v>
      </c>
      <c r="U3389" s="36">
        <f t="shared" si="510"/>
        <v>0</v>
      </c>
      <c r="V3389" s="59">
        <f t="shared" si="511"/>
        <v>0</v>
      </c>
      <c r="W3389" s="39">
        <f t="shared" si="512"/>
        <v>0</v>
      </c>
      <c r="X3389" s="40">
        <f t="shared" si="513"/>
        <v>0</v>
      </c>
      <c r="Y3389"/>
      <c r="Z3389"/>
      <c r="AA3389"/>
    </row>
    <row r="3390" spans="1:27" s="51" customFormat="1" ht="18.600000000000001" hidden="1" customHeight="1" x14ac:dyDescent="0.25">
      <c r="A3390" s="82" t="s">
        <v>2653</v>
      </c>
      <c r="B3390" s="41" t="s">
        <v>9408</v>
      </c>
      <c r="C3390" s="42" t="s">
        <v>9411</v>
      </c>
      <c r="D3390" s="41" t="s">
        <v>8556</v>
      </c>
      <c r="E3390" s="43" t="s">
        <v>8557</v>
      </c>
      <c r="F3390" s="43" t="s">
        <v>1937</v>
      </c>
      <c r="G3390" s="43"/>
      <c r="H3390" s="85" t="s">
        <v>9811</v>
      </c>
      <c r="I3390" s="23" t="s">
        <v>24</v>
      </c>
      <c r="J3390" s="44">
        <v>780</v>
      </c>
      <c r="K3390" s="45">
        <v>0.25</v>
      </c>
      <c r="L3390" s="46">
        <f t="shared" si="505"/>
        <v>195</v>
      </c>
      <c r="M3390" s="47">
        <f t="shared" si="506"/>
        <v>585</v>
      </c>
      <c r="N3390" s="48">
        <v>0.16</v>
      </c>
      <c r="O3390" s="49">
        <f t="shared" si="507"/>
        <v>93.600000000000009</v>
      </c>
      <c r="P3390" s="50">
        <f t="shared" si="508"/>
        <v>678.6</v>
      </c>
      <c r="Q3390" s="23"/>
      <c r="R3390" s="60"/>
      <c r="S3390" s="61"/>
      <c r="T3390" s="62">
        <f t="shared" si="509"/>
        <v>0</v>
      </c>
      <c r="U3390" s="46">
        <f t="shared" si="510"/>
        <v>0</v>
      </c>
      <c r="V3390" s="63">
        <f t="shared" si="511"/>
        <v>0</v>
      </c>
      <c r="W3390" s="49">
        <f t="shared" si="512"/>
        <v>0</v>
      </c>
      <c r="X3390" s="50">
        <f t="shared" si="513"/>
        <v>0</v>
      </c>
      <c r="Y3390"/>
      <c r="Z3390"/>
      <c r="AA3390"/>
    </row>
    <row r="3391" spans="1:27" s="51" customFormat="1" ht="18.600000000000001" hidden="1" customHeight="1" x14ac:dyDescent="0.25">
      <c r="A3391" s="80" t="s">
        <v>2653</v>
      </c>
      <c r="B3391" s="20" t="s">
        <v>9408</v>
      </c>
      <c r="C3391" s="21" t="s">
        <v>9411</v>
      </c>
      <c r="D3391" s="20" t="s">
        <v>8558</v>
      </c>
      <c r="E3391" s="22" t="s">
        <v>8559</v>
      </c>
      <c r="F3391" s="22" t="s">
        <v>1937</v>
      </c>
      <c r="G3391" s="22"/>
      <c r="H3391" s="83" t="s">
        <v>9812</v>
      </c>
      <c r="I3391" s="23" t="s">
        <v>24</v>
      </c>
      <c r="J3391" s="24">
        <v>920</v>
      </c>
      <c r="K3391" s="25">
        <v>0.25</v>
      </c>
      <c r="L3391" s="26">
        <f t="shared" si="505"/>
        <v>230</v>
      </c>
      <c r="M3391" s="27">
        <f t="shared" si="506"/>
        <v>690</v>
      </c>
      <c r="N3391" s="28">
        <v>0.16</v>
      </c>
      <c r="O3391" s="29">
        <f t="shared" si="507"/>
        <v>110.4</v>
      </c>
      <c r="P3391" s="30">
        <f t="shared" si="508"/>
        <v>800.4</v>
      </c>
      <c r="Q3391" s="23"/>
      <c r="R3391" s="52"/>
      <c r="S3391" s="53"/>
      <c r="T3391" s="54">
        <f t="shared" si="509"/>
        <v>0</v>
      </c>
      <c r="U3391" s="26">
        <f t="shared" si="510"/>
        <v>0</v>
      </c>
      <c r="V3391" s="55">
        <f t="shared" si="511"/>
        <v>0</v>
      </c>
      <c r="W3391" s="29">
        <f t="shared" si="512"/>
        <v>0</v>
      </c>
      <c r="X3391" s="30">
        <f t="shared" si="513"/>
        <v>0</v>
      </c>
      <c r="Y3391"/>
      <c r="Z3391"/>
      <c r="AA3391"/>
    </row>
    <row r="3392" spans="1:27" s="51" customFormat="1" ht="18.600000000000001" hidden="1" customHeight="1" x14ac:dyDescent="0.25">
      <c r="A3392" s="81" t="s">
        <v>2653</v>
      </c>
      <c r="B3392" s="31" t="s">
        <v>9408</v>
      </c>
      <c r="C3392" s="32" t="s">
        <v>9411</v>
      </c>
      <c r="D3392" s="31" t="s">
        <v>8560</v>
      </c>
      <c r="E3392" s="33" t="s">
        <v>8561</v>
      </c>
      <c r="F3392" s="33" t="s">
        <v>1937</v>
      </c>
      <c r="G3392" s="33"/>
      <c r="H3392" s="84" t="s">
        <v>9813</v>
      </c>
      <c r="I3392" s="23" t="s">
        <v>24</v>
      </c>
      <c r="J3392" s="34">
        <v>670</v>
      </c>
      <c r="K3392" s="35">
        <v>0.25</v>
      </c>
      <c r="L3392" s="36">
        <f t="shared" si="505"/>
        <v>167.5</v>
      </c>
      <c r="M3392" s="37">
        <f t="shared" si="506"/>
        <v>502.5</v>
      </c>
      <c r="N3392" s="38">
        <v>0.16</v>
      </c>
      <c r="O3392" s="39">
        <f t="shared" si="507"/>
        <v>80.400000000000006</v>
      </c>
      <c r="P3392" s="40">
        <f t="shared" si="508"/>
        <v>582.9</v>
      </c>
      <c r="Q3392" s="23"/>
      <c r="R3392" s="56"/>
      <c r="S3392" s="57"/>
      <c r="T3392" s="58">
        <f t="shared" si="509"/>
        <v>0</v>
      </c>
      <c r="U3392" s="36">
        <f t="shared" si="510"/>
        <v>0</v>
      </c>
      <c r="V3392" s="59">
        <f t="shared" si="511"/>
        <v>0</v>
      </c>
      <c r="W3392" s="39">
        <f t="shared" si="512"/>
        <v>0</v>
      </c>
      <c r="X3392" s="40">
        <f t="shared" si="513"/>
        <v>0</v>
      </c>
      <c r="Y3392"/>
      <c r="Z3392"/>
      <c r="AA3392"/>
    </row>
    <row r="3393" spans="1:27" s="51" customFormat="1" ht="18.600000000000001" hidden="1" customHeight="1" x14ac:dyDescent="0.25">
      <c r="A3393" s="82" t="s">
        <v>2653</v>
      </c>
      <c r="B3393" s="41" t="s">
        <v>9408</v>
      </c>
      <c r="C3393" s="42" t="s">
        <v>9411</v>
      </c>
      <c r="D3393" s="41" t="s">
        <v>8562</v>
      </c>
      <c r="E3393" s="43" t="s">
        <v>8563</v>
      </c>
      <c r="F3393" s="43" t="s">
        <v>1937</v>
      </c>
      <c r="G3393" s="43"/>
      <c r="H3393" s="85" t="s">
        <v>9814</v>
      </c>
      <c r="I3393" s="23" t="s">
        <v>24</v>
      </c>
      <c r="J3393" s="44">
        <v>530</v>
      </c>
      <c r="K3393" s="45">
        <v>0.25</v>
      </c>
      <c r="L3393" s="46">
        <f t="shared" si="505"/>
        <v>132.5</v>
      </c>
      <c r="M3393" s="47">
        <f t="shared" si="506"/>
        <v>397.5</v>
      </c>
      <c r="N3393" s="48">
        <v>0.16</v>
      </c>
      <c r="O3393" s="49">
        <f t="shared" si="507"/>
        <v>63.6</v>
      </c>
      <c r="P3393" s="50">
        <f t="shared" si="508"/>
        <v>461.1</v>
      </c>
      <c r="Q3393" s="23"/>
      <c r="R3393" s="60"/>
      <c r="S3393" s="61"/>
      <c r="T3393" s="62">
        <f t="shared" si="509"/>
        <v>0</v>
      </c>
      <c r="U3393" s="46">
        <f t="shared" si="510"/>
        <v>0</v>
      </c>
      <c r="V3393" s="63">
        <f t="shared" si="511"/>
        <v>0</v>
      </c>
      <c r="W3393" s="49">
        <f t="shared" si="512"/>
        <v>0</v>
      </c>
      <c r="X3393" s="50">
        <f t="shared" si="513"/>
        <v>0</v>
      </c>
      <c r="Y3393"/>
      <c r="Z3393"/>
      <c r="AA3393"/>
    </row>
    <row r="3394" spans="1:27" s="51" customFormat="1" ht="18.600000000000001" hidden="1" customHeight="1" x14ac:dyDescent="0.25">
      <c r="A3394" s="80" t="s">
        <v>2653</v>
      </c>
      <c r="B3394" s="20" t="s">
        <v>9408</v>
      </c>
      <c r="C3394" s="21" t="s">
        <v>9411</v>
      </c>
      <c r="D3394" s="20" t="s">
        <v>8564</v>
      </c>
      <c r="E3394" s="22" t="s">
        <v>8565</v>
      </c>
      <c r="F3394" s="22" t="s">
        <v>1937</v>
      </c>
      <c r="G3394" s="22"/>
      <c r="H3394" s="83" t="s">
        <v>9815</v>
      </c>
      <c r="I3394" s="23" t="s">
        <v>24</v>
      </c>
      <c r="J3394" s="24">
        <v>590</v>
      </c>
      <c r="K3394" s="25">
        <v>0.25</v>
      </c>
      <c r="L3394" s="26">
        <f t="shared" si="505"/>
        <v>147.5</v>
      </c>
      <c r="M3394" s="27">
        <f t="shared" si="506"/>
        <v>442.5</v>
      </c>
      <c r="N3394" s="28">
        <v>0.16</v>
      </c>
      <c r="O3394" s="29">
        <f t="shared" si="507"/>
        <v>70.8</v>
      </c>
      <c r="P3394" s="30">
        <f t="shared" si="508"/>
        <v>513.29999999999995</v>
      </c>
      <c r="Q3394" s="23"/>
      <c r="R3394" s="52"/>
      <c r="S3394" s="53"/>
      <c r="T3394" s="54">
        <f t="shared" si="509"/>
        <v>0</v>
      </c>
      <c r="U3394" s="26">
        <f t="shared" si="510"/>
        <v>0</v>
      </c>
      <c r="V3394" s="55">
        <f t="shared" si="511"/>
        <v>0</v>
      </c>
      <c r="W3394" s="29">
        <f t="shared" si="512"/>
        <v>0</v>
      </c>
      <c r="X3394" s="30">
        <f t="shared" si="513"/>
        <v>0</v>
      </c>
      <c r="Y3394"/>
      <c r="Z3394"/>
      <c r="AA3394"/>
    </row>
    <row r="3395" spans="1:27" s="51" customFormat="1" ht="18.600000000000001" hidden="1" customHeight="1" x14ac:dyDescent="0.25">
      <c r="A3395" s="81" t="s">
        <v>2653</v>
      </c>
      <c r="B3395" s="31" t="s">
        <v>9408</v>
      </c>
      <c r="C3395" s="32" t="s">
        <v>9411</v>
      </c>
      <c r="D3395" s="31" t="s">
        <v>8566</v>
      </c>
      <c r="E3395" s="33" t="s">
        <v>8567</v>
      </c>
      <c r="F3395" s="33" t="s">
        <v>1937</v>
      </c>
      <c r="G3395" s="33"/>
      <c r="H3395" s="84" t="s">
        <v>9816</v>
      </c>
      <c r="I3395" s="23" t="s">
        <v>24</v>
      </c>
      <c r="J3395" s="34">
        <v>1250</v>
      </c>
      <c r="K3395" s="35">
        <v>0.25</v>
      </c>
      <c r="L3395" s="36">
        <f t="shared" si="505"/>
        <v>312.5</v>
      </c>
      <c r="M3395" s="37">
        <f t="shared" si="506"/>
        <v>937.5</v>
      </c>
      <c r="N3395" s="38">
        <v>0.16</v>
      </c>
      <c r="O3395" s="39">
        <f t="shared" si="507"/>
        <v>150</v>
      </c>
      <c r="P3395" s="40">
        <f t="shared" si="508"/>
        <v>1087.5</v>
      </c>
      <c r="Q3395" s="23"/>
      <c r="R3395" s="56"/>
      <c r="S3395" s="57"/>
      <c r="T3395" s="58">
        <f t="shared" si="509"/>
        <v>0</v>
      </c>
      <c r="U3395" s="36">
        <f t="shared" si="510"/>
        <v>0</v>
      </c>
      <c r="V3395" s="59">
        <f t="shared" si="511"/>
        <v>0</v>
      </c>
      <c r="W3395" s="39">
        <f t="shared" si="512"/>
        <v>0</v>
      </c>
      <c r="X3395" s="40">
        <f t="shared" si="513"/>
        <v>0</v>
      </c>
      <c r="Y3395"/>
      <c r="Z3395"/>
      <c r="AA3395"/>
    </row>
    <row r="3396" spans="1:27" s="51" customFormat="1" ht="18.600000000000001" hidden="1" customHeight="1" x14ac:dyDescent="0.25">
      <c r="A3396" s="82" t="s">
        <v>2653</v>
      </c>
      <c r="B3396" s="41" t="s">
        <v>9408</v>
      </c>
      <c r="C3396" s="42" t="s">
        <v>9411</v>
      </c>
      <c r="D3396" s="41">
        <v>8436564925060</v>
      </c>
      <c r="E3396" s="43" t="s">
        <v>8568</v>
      </c>
      <c r="F3396" s="43" t="s">
        <v>1937</v>
      </c>
      <c r="G3396" s="43"/>
      <c r="H3396" s="85" t="s">
        <v>9817</v>
      </c>
      <c r="I3396" s="23" t="s">
        <v>24</v>
      </c>
      <c r="J3396" s="44">
        <v>590</v>
      </c>
      <c r="K3396" s="45">
        <v>0.25</v>
      </c>
      <c r="L3396" s="46">
        <f t="shared" si="505"/>
        <v>147.5</v>
      </c>
      <c r="M3396" s="47">
        <f t="shared" si="506"/>
        <v>442.5</v>
      </c>
      <c r="N3396" s="48">
        <v>0.16</v>
      </c>
      <c r="O3396" s="49">
        <f t="shared" si="507"/>
        <v>70.8</v>
      </c>
      <c r="P3396" s="50">
        <f t="shared" si="508"/>
        <v>513.29999999999995</v>
      </c>
      <c r="Q3396" s="23"/>
      <c r="R3396" s="60"/>
      <c r="S3396" s="61"/>
      <c r="T3396" s="62">
        <f t="shared" si="509"/>
        <v>0</v>
      </c>
      <c r="U3396" s="46">
        <f t="shared" si="510"/>
        <v>0</v>
      </c>
      <c r="V3396" s="63">
        <f t="shared" si="511"/>
        <v>0</v>
      </c>
      <c r="W3396" s="49">
        <f t="shared" si="512"/>
        <v>0</v>
      </c>
      <c r="X3396" s="50">
        <f t="shared" si="513"/>
        <v>0</v>
      </c>
      <c r="Y3396"/>
      <c r="Z3396"/>
      <c r="AA3396"/>
    </row>
    <row r="3397" spans="1:27" s="51" customFormat="1" ht="18.600000000000001" hidden="1" customHeight="1" x14ac:dyDescent="0.25">
      <c r="A3397" s="80" t="s">
        <v>2653</v>
      </c>
      <c r="B3397" s="20" t="s">
        <v>9408</v>
      </c>
      <c r="C3397" s="21" t="s">
        <v>9411</v>
      </c>
      <c r="D3397" s="20" t="s">
        <v>8569</v>
      </c>
      <c r="E3397" s="22" t="s">
        <v>8570</v>
      </c>
      <c r="F3397" s="22" t="s">
        <v>1937</v>
      </c>
      <c r="G3397" s="22"/>
      <c r="H3397" s="83" t="s">
        <v>9818</v>
      </c>
      <c r="I3397" s="23" t="s">
        <v>24</v>
      </c>
      <c r="J3397" s="24">
        <v>1250</v>
      </c>
      <c r="K3397" s="25">
        <v>0.25</v>
      </c>
      <c r="L3397" s="26">
        <f t="shared" si="505"/>
        <v>312.5</v>
      </c>
      <c r="M3397" s="27">
        <f t="shared" si="506"/>
        <v>937.5</v>
      </c>
      <c r="N3397" s="28">
        <v>0.16</v>
      </c>
      <c r="O3397" s="29">
        <f t="shared" si="507"/>
        <v>150</v>
      </c>
      <c r="P3397" s="30">
        <f t="shared" si="508"/>
        <v>1087.5</v>
      </c>
      <c r="Q3397" s="23"/>
      <c r="R3397" s="52"/>
      <c r="S3397" s="53"/>
      <c r="T3397" s="54">
        <f t="shared" si="509"/>
        <v>0</v>
      </c>
      <c r="U3397" s="26">
        <f t="shared" si="510"/>
        <v>0</v>
      </c>
      <c r="V3397" s="55">
        <f t="shared" si="511"/>
        <v>0</v>
      </c>
      <c r="W3397" s="29">
        <f t="shared" si="512"/>
        <v>0</v>
      </c>
      <c r="X3397" s="30">
        <f t="shared" si="513"/>
        <v>0</v>
      </c>
      <c r="Y3397"/>
      <c r="Z3397"/>
      <c r="AA3397"/>
    </row>
    <row r="3398" spans="1:27" s="51" customFormat="1" ht="18.600000000000001" hidden="1" customHeight="1" x14ac:dyDescent="0.25">
      <c r="A3398" s="81" t="s">
        <v>2653</v>
      </c>
      <c r="B3398" s="31" t="s">
        <v>9408</v>
      </c>
      <c r="C3398" s="32" t="s">
        <v>9411</v>
      </c>
      <c r="D3398" s="31" t="s">
        <v>8571</v>
      </c>
      <c r="E3398" s="33" t="s">
        <v>8572</v>
      </c>
      <c r="F3398" s="33" t="s">
        <v>1937</v>
      </c>
      <c r="G3398" s="33"/>
      <c r="H3398" s="84" t="s">
        <v>9819</v>
      </c>
      <c r="I3398" s="23" t="s">
        <v>24</v>
      </c>
      <c r="J3398" s="34">
        <v>1250</v>
      </c>
      <c r="K3398" s="35">
        <v>0.25</v>
      </c>
      <c r="L3398" s="36">
        <f t="shared" si="505"/>
        <v>312.5</v>
      </c>
      <c r="M3398" s="37">
        <f t="shared" si="506"/>
        <v>937.5</v>
      </c>
      <c r="N3398" s="38">
        <v>0.16</v>
      </c>
      <c r="O3398" s="39">
        <f t="shared" si="507"/>
        <v>150</v>
      </c>
      <c r="P3398" s="40">
        <f t="shared" si="508"/>
        <v>1087.5</v>
      </c>
      <c r="Q3398" s="23"/>
      <c r="R3398" s="56"/>
      <c r="S3398" s="57"/>
      <c r="T3398" s="58">
        <f t="shared" si="509"/>
        <v>0</v>
      </c>
      <c r="U3398" s="36">
        <f t="shared" si="510"/>
        <v>0</v>
      </c>
      <c r="V3398" s="59">
        <f t="shared" si="511"/>
        <v>0</v>
      </c>
      <c r="W3398" s="39">
        <f t="shared" si="512"/>
        <v>0</v>
      </c>
      <c r="X3398" s="40">
        <f t="shared" si="513"/>
        <v>0</v>
      </c>
      <c r="Y3398"/>
      <c r="Z3398"/>
      <c r="AA3398"/>
    </row>
    <row r="3399" spans="1:27" s="51" customFormat="1" ht="18.600000000000001" hidden="1" customHeight="1" x14ac:dyDescent="0.25">
      <c r="A3399" s="82" t="s">
        <v>2653</v>
      </c>
      <c r="B3399" s="41" t="s">
        <v>9408</v>
      </c>
      <c r="C3399" s="42" t="s">
        <v>9411</v>
      </c>
      <c r="D3399" s="41" t="s">
        <v>8573</v>
      </c>
      <c r="E3399" s="43" t="s">
        <v>8574</v>
      </c>
      <c r="F3399" s="43" t="s">
        <v>1937</v>
      </c>
      <c r="G3399" s="43"/>
      <c r="H3399" s="85" t="s">
        <v>9820</v>
      </c>
      <c r="I3399" s="23" t="s">
        <v>24</v>
      </c>
      <c r="J3399" s="44">
        <v>590</v>
      </c>
      <c r="K3399" s="45">
        <v>0.25</v>
      </c>
      <c r="L3399" s="46">
        <f t="shared" si="505"/>
        <v>147.5</v>
      </c>
      <c r="M3399" s="47">
        <f t="shared" si="506"/>
        <v>442.5</v>
      </c>
      <c r="N3399" s="48">
        <v>0.16</v>
      </c>
      <c r="O3399" s="49">
        <f t="shared" si="507"/>
        <v>70.8</v>
      </c>
      <c r="P3399" s="50">
        <f t="shared" si="508"/>
        <v>513.29999999999995</v>
      </c>
      <c r="Q3399" s="23"/>
      <c r="R3399" s="60"/>
      <c r="S3399" s="61"/>
      <c r="T3399" s="62">
        <f t="shared" si="509"/>
        <v>0</v>
      </c>
      <c r="U3399" s="46">
        <f t="shared" si="510"/>
        <v>0</v>
      </c>
      <c r="V3399" s="63">
        <f t="shared" si="511"/>
        <v>0</v>
      </c>
      <c r="W3399" s="49">
        <f t="shared" si="512"/>
        <v>0</v>
      </c>
      <c r="X3399" s="50">
        <f t="shared" si="513"/>
        <v>0</v>
      </c>
      <c r="Y3399"/>
      <c r="Z3399"/>
      <c r="AA3399"/>
    </row>
    <row r="3400" spans="1:27" s="51" customFormat="1" ht="18.600000000000001" hidden="1" customHeight="1" x14ac:dyDescent="0.25">
      <c r="A3400" s="80" t="s">
        <v>2653</v>
      </c>
      <c r="B3400" s="20" t="s">
        <v>9408</v>
      </c>
      <c r="C3400" s="21" t="s">
        <v>9411</v>
      </c>
      <c r="D3400" s="20">
        <v>8436564928481</v>
      </c>
      <c r="E3400" s="22" t="s">
        <v>8575</v>
      </c>
      <c r="F3400" s="22" t="s">
        <v>1937</v>
      </c>
      <c r="G3400" s="22"/>
      <c r="H3400" s="83" t="s">
        <v>9821</v>
      </c>
      <c r="I3400" s="23" t="s">
        <v>24</v>
      </c>
      <c r="J3400" s="24">
        <v>590</v>
      </c>
      <c r="K3400" s="25">
        <v>0.25</v>
      </c>
      <c r="L3400" s="26">
        <f t="shared" si="505"/>
        <v>147.5</v>
      </c>
      <c r="M3400" s="27">
        <f t="shared" si="506"/>
        <v>442.5</v>
      </c>
      <c r="N3400" s="28">
        <v>0.16</v>
      </c>
      <c r="O3400" s="29">
        <f t="shared" si="507"/>
        <v>70.8</v>
      </c>
      <c r="P3400" s="30">
        <f t="shared" si="508"/>
        <v>513.29999999999995</v>
      </c>
      <c r="Q3400" s="23"/>
      <c r="R3400" s="52"/>
      <c r="S3400" s="53"/>
      <c r="T3400" s="54">
        <f t="shared" si="509"/>
        <v>0</v>
      </c>
      <c r="U3400" s="26">
        <f t="shared" si="510"/>
        <v>0</v>
      </c>
      <c r="V3400" s="55">
        <f t="shared" si="511"/>
        <v>0</v>
      </c>
      <c r="W3400" s="29">
        <f t="shared" si="512"/>
        <v>0</v>
      </c>
      <c r="X3400" s="30">
        <f t="shared" si="513"/>
        <v>0</v>
      </c>
      <c r="Y3400"/>
      <c r="Z3400"/>
      <c r="AA3400"/>
    </row>
    <row r="3401" spans="1:27" s="51" customFormat="1" ht="18.600000000000001" hidden="1" customHeight="1" x14ac:dyDescent="0.25">
      <c r="A3401" s="81" t="s">
        <v>2653</v>
      </c>
      <c r="B3401" s="31" t="s">
        <v>9408</v>
      </c>
      <c r="C3401" s="32" t="s">
        <v>9411</v>
      </c>
      <c r="D3401" s="31" t="s">
        <v>8576</v>
      </c>
      <c r="E3401" s="33" t="s">
        <v>8577</v>
      </c>
      <c r="F3401" s="33" t="s">
        <v>1937</v>
      </c>
      <c r="G3401" s="33"/>
      <c r="H3401" s="84" t="s">
        <v>9822</v>
      </c>
      <c r="I3401" s="23" t="s">
        <v>24</v>
      </c>
      <c r="J3401" s="34">
        <v>750</v>
      </c>
      <c r="K3401" s="35">
        <v>0.25</v>
      </c>
      <c r="L3401" s="36">
        <f t="shared" si="505"/>
        <v>187.5</v>
      </c>
      <c r="M3401" s="37">
        <f t="shared" si="506"/>
        <v>562.5</v>
      </c>
      <c r="N3401" s="38">
        <v>0.16</v>
      </c>
      <c r="O3401" s="39">
        <f t="shared" si="507"/>
        <v>90</v>
      </c>
      <c r="P3401" s="40">
        <f t="shared" si="508"/>
        <v>652.5</v>
      </c>
      <c r="Q3401" s="23"/>
      <c r="R3401" s="56"/>
      <c r="S3401" s="57"/>
      <c r="T3401" s="58">
        <f t="shared" si="509"/>
        <v>0</v>
      </c>
      <c r="U3401" s="36">
        <f t="shared" si="510"/>
        <v>0</v>
      </c>
      <c r="V3401" s="59">
        <f t="shared" si="511"/>
        <v>0</v>
      </c>
      <c r="W3401" s="39">
        <f t="shared" si="512"/>
        <v>0</v>
      </c>
      <c r="X3401" s="40">
        <f t="shared" si="513"/>
        <v>0</v>
      </c>
      <c r="Y3401"/>
      <c r="Z3401"/>
      <c r="AA3401"/>
    </row>
    <row r="3402" spans="1:27" s="51" customFormat="1" ht="18.600000000000001" hidden="1" customHeight="1" x14ac:dyDescent="0.25">
      <c r="A3402" s="82" t="s">
        <v>2653</v>
      </c>
      <c r="B3402" s="41" t="s">
        <v>9408</v>
      </c>
      <c r="C3402" s="42" t="s">
        <v>9411</v>
      </c>
      <c r="D3402" s="41" t="s">
        <v>8578</v>
      </c>
      <c r="E3402" s="43" t="s">
        <v>8579</v>
      </c>
      <c r="F3402" s="43" t="s">
        <v>1937</v>
      </c>
      <c r="G3402" s="43"/>
      <c r="H3402" s="85" t="s">
        <v>9823</v>
      </c>
      <c r="I3402" s="23" t="s">
        <v>24</v>
      </c>
      <c r="J3402" s="44">
        <v>670</v>
      </c>
      <c r="K3402" s="45">
        <v>0.25</v>
      </c>
      <c r="L3402" s="46">
        <f t="shared" si="505"/>
        <v>167.5</v>
      </c>
      <c r="M3402" s="47">
        <f t="shared" si="506"/>
        <v>502.5</v>
      </c>
      <c r="N3402" s="48">
        <v>0.16</v>
      </c>
      <c r="O3402" s="49">
        <f t="shared" si="507"/>
        <v>80.400000000000006</v>
      </c>
      <c r="P3402" s="50">
        <f t="shared" si="508"/>
        <v>582.9</v>
      </c>
      <c r="Q3402" s="23"/>
      <c r="R3402" s="60"/>
      <c r="S3402" s="61"/>
      <c r="T3402" s="62">
        <f t="shared" si="509"/>
        <v>0</v>
      </c>
      <c r="U3402" s="46">
        <f t="shared" si="510"/>
        <v>0</v>
      </c>
      <c r="V3402" s="63">
        <f t="shared" si="511"/>
        <v>0</v>
      </c>
      <c r="W3402" s="49">
        <f t="shared" si="512"/>
        <v>0</v>
      </c>
      <c r="X3402" s="50">
        <f t="shared" si="513"/>
        <v>0</v>
      </c>
      <c r="Y3402"/>
      <c r="Z3402"/>
      <c r="AA3402"/>
    </row>
    <row r="3403" spans="1:27" s="51" customFormat="1" ht="18.600000000000001" hidden="1" customHeight="1" x14ac:dyDescent="0.25">
      <c r="A3403" s="80" t="s">
        <v>2653</v>
      </c>
      <c r="B3403" s="20" t="s">
        <v>9408</v>
      </c>
      <c r="C3403" s="21" t="s">
        <v>9411</v>
      </c>
      <c r="D3403" s="20" t="s">
        <v>8580</v>
      </c>
      <c r="E3403" s="22" t="s">
        <v>8581</v>
      </c>
      <c r="F3403" s="22" t="s">
        <v>1937</v>
      </c>
      <c r="G3403" s="22"/>
      <c r="H3403" s="83" t="s">
        <v>9824</v>
      </c>
      <c r="I3403" s="23" t="s">
        <v>24</v>
      </c>
      <c r="J3403" s="24">
        <v>320</v>
      </c>
      <c r="K3403" s="25">
        <v>0.25</v>
      </c>
      <c r="L3403" s="26">
        <f t="shared" si="505"/>
        <v>80</v>
      </c>
      <c r="M3403" s="27">
        <f t="shared" si="506"/>
        <v>240</v>
      </c>
      <c r="N3403" s="28">
        <v>0.16</v>
      </c>
      <c r="O3403" s="29">
        <f t="shared" si="507"/>
        <v>38.4</v>
      </c>
      <c r="P3403" s="30">
        <f t="shared" si="508"/>
        <v>278.39999999999998</v>
      </c>
      <c r="Q3403" s="23"/>
      <c r="R3403" s="52"/>
      <c r="S3403" s="53"/>
      <c r="T3403" s="54">
        <f t="shared" si="509"/>
        <v>0</v>
      </c>
      <c r="U3403" s="26">
        <f t="shared" si="510"/>
        <v>0</v>
      </c>
      <c r="V3403" s="55">
        <f t="shared" si="511"/>
        <v>0</v>
      </c>
      <c r="W3403" s="29">
        <f t="shared" si="512"/>
        <v>0</v>
      </c>
      <c r="X3403" s="30">
        <f t="shared" si="513"/>
        <v>0</v>
      </c>
      <c r="Y3403"/>
      <c r="Z3403"/>
      <c r="AA3403"/>
    </row>
    <row r="3404" spans="1:27" s="51" customFormat="1" ht="18.600000000000001" hidden="1" customHeight="1" x14ac:dyDescent="0.25">
      <c r="A3404" s="81" t="s">
        <v>2653</v>
      </c>
      <c r="B3404" s="31" t="s">
        <v>9408</v>
      </c>
      <c r="C3404" s="32" t="s">
        <v>9411</v>
      </c>
      <c r="D3404" s="31">
        <v>8435568307391</v>
      </c>
      <c r="E3404" s="33" t="s">
        <v>8582</v>
      </c>
      <c r="F3404" s="33" t="s">
        <v>1937</v>
      </c>
      <c r="G3404" s="33"/>
      <c r="H3404" s="84" t="s">
        <v>9825</v>
      </c>
      <c r="I3404" s="23" t="s">
        <v>24</v>
      </c>
      <c r="J3404" s="34">
        <v>530</v>
      </c>
      <c r="K3404" s="35">
        <v>0.25</v>
      </c>
      <c r="L3404" s="36">
        <f t="shared" si="505"/>
        <v>132.5</v>
      </c>
      <c r="M3404" s="37">
        <f t="shared" si="506"/>
        <v>397.5</v>
      </c>
      <c r="N3404" s="38">
        <v>0.16</v>
      </c>
      <c r="O3404" s="39">
        <f t="shared" si="507"/>
        <v>63.6</v>
      </c>
      <c r="P3404" s="40">
        <f t="shared" si="508"/>
        <v>461.1</v>
      </c>
      <c r="Q3404" s="23"/>
      <c r="R3404" s="56"/>
      <c r="S3404" s="57"/>
      <c r="T3404" s="58">
        <f t="shared" si="509"/>
        <v>0</v>
      </c>
      <c r="U3404" s="36">
        <f t="shared" si="510"/>
        <v>0</v>
      </c>
      <c r="V3404" s="59">
        <f t="shared" si="511"/>
        <v>0</v>
      </c>
      <c r="W3404" s="39">
        <f t="shared" si="512"/>
        <v>0</v>
      </c>
      <c r="X3404" s="40">
        <f t="shared" si="513"/>
        <v>0</v>
      </c>
      <c r="Y3404"/>
      <c r="Z3404"/>
      <c r="AA3404"/>
    </row>
    <row r="3405" spans="1:27" s="51" customFormat="1" ht="18.600000000000001" hidden="1" customHeight="1" x14ac:dyDescent="0.25">
      <c r="A3405" s="82" t="s">
        <v>2653</v>
      </c>
      <c r="B3405" s="41" t="s">
        <v>9408</v>
      </c>
      <c r="C3405" s="42" t="s">
        <v>9411</v>
      </c>
      <c r="D3405" s="41">
        <v>8435568307407</v>
      </c>
      <c r="E3405" s="43" t="s">
        <v>8583</v>
      </c>
      <c r="F3405" s="43" t="s">
        <v>1937</v>
      </c>
      <c r="G3405" s="43"/>
      <c r="H3405" s="85" t="s">
        <v>9826</v>
      </c>
      <c r="I3405" s="23" t="s">
        <v>24</v>
      </c>
      <c r="J3405" s="44">
        <v>530</v>
      </c>
      <c r="K3405" s="45">
        <v>0.25</v>
      </c>
      <c r="L3405" s="46">
        <f t="shared" si="505"/>
        <v>132.5</v>
      </c>
      <c r="M3405" s="47">
        <f t="shared" si="506"/>
        <v>397.5</v>
      </c>
      <c r="N3405" s="48">
        <v>0.16</v>
      </c>
      <c r="O3405" s="49">
        <f t="shared" si="507"/>
        <v>63.6</v>
      </c>
      <c r="P3405" s="50">
        <f t="shared" si="508"/>
        <v>461.1</v>
      </c>
      <c r="Q3405" s="23"/>
      <c r="R3405" s="60"/>
      <c r="S3405" s="61"/>
      <c r="T3405" s="62">
        <f t="shared" si="509"/>
        <v>0</v>
      </c>
      <c r="U3405" s="46">
        <f t="shared" si="510"/>
        <v>0</v>
      </c>
      <c r="V3405" s="63">
        <f t="shared" si="511"/>
        <v>0</v>
      </c>
      <c r="W3405" s="49">
        <f t="shared" si="512"/>
        <v>0</v>
      </c>
      <c r="X3405" s="50">
        <f t="shared" si="513"/>
        <v>0</v>
      </c>
      <c r="Y3405"/>
      <c r="Z3405"/>
      <c r="AA3405"/>
    </row>
    <row r="3406" spans="1:27" s="51" customFormat="1" ht="18.600000000000001" hidden="1" customHeight="1" x14ac:dyDescent="0.25">
      <c r="A3406" s="80" t="s">
        <v>2653</v>
      </c>
      <c r="B3406" s="20" t="s">
        <v>9408</v>
      </c>
      <c r="C3406" s="21" t="s">
        <v>9411</v>
      </c>
      <c r="D3406" s="20" t="s">
        <v>8584</v>
      </c>
      <c r="E3406" s="22" t="s">
        <v>8585</v>
      </c>
      <c r="F3406" s="22" t="s">
        <v>1937</v>
      </c>
      <c r="G3406" s="22"/>
      <c r="H3406" s="83" t="s">
        <v>9827</v>
      </c>
      <c r="I3406" s="23" t="s">
        <v>24</v>
      </c>
      <c r="J3406" s="24">
        <v>600</v>
      </c>
      <c r="K3406" s="25">
        <v>0.25</v>
      </c>
      <c r="L3406" s="26">
        <f t="shared" si="505"/>
        <v>150</v>
      </c>
      <c r="M3406" s="27">
        <f t="shared" si="506"/>
        <v>450</v>
      </c>
      <c r="N3406" s="28">
        <v>0.16</v>
      </c>
      <c r="O3406" s="29">
        <f t="shared" si="507"/>
        <v>72</v>
      </c>
      <c r="P3406" s="30">
        <f t="shared" si="508"/>
        <v>522</v>
      </c>
      <c r="Q3406" s="23"/>
      <c r="R3406" s="52"/>
      <c r="S3406" s="53"/>
      <c r="T3406" s="54">
        <f t="shared" si="509"/>
        <v>0</v>
      </c>
      <c r="U3406" s="26">
        <f t="shared" si="510"/>
        <v>0</v>
      </c>
      <c r="V3406" s="55">
        <f t="shared" si="511"/>
        <v>0</v>
      </c>
      <c r="W3406" s="29">
        <f t="shared" si="512"/>
        <v>0</v>
      </c>
      <c r="X3406" s="30">
        <f t="shared" si="513"/>
        <v>0</v>
      </c>
      <c r="Y3406"/>
      <c r="Z3406"/>
      <c r="AA3406"/>
    </row>
    <row r="3407" spans="1:27" s="51" customFormat="1" ht="18.600000000000001" hidden="1" customHeight="1" x14ac:dyDescent="0.25">
      <c r="A3407" s="81" t="s">
        <v>2653</v>
      </c>
      <c r="B3407" s="31" t="s">
        <v>9408</v>
      </c>
      <c r="C3407" s="32" t="s">
        <v>9411</v>
      </c>
      <c r="D3407" s="31" t="s">
        <v>8586</v>
      </c>
      <c r="E3407" s="33" t="s">
        <v>8587</v>
      </c>
      <c r="F3407" s="33" t="s">
        <v>1937</v>
      </c>
      <c r="G3407" s="33"/>
      <c r="H3407" s="84" t="s">
        <v>9828</v>
      </c>
      <c r="I3407" s="23" t="s">
        <v>24</v>
      </c>
      <c r="J3407" s="34">
        <v>600</v>
      </c>
      <c r="K3407" s="35">
        <v>0.25</v>
      </c>
      <c r="L3407" s="36">
        <f t="shared" ref="L3407:L3470" si="514">+J3407*K3407</f>
        <v>150</v>
      </c>
      <c r="M3407" s="37">
        <f t="shared" ref="M3407:M3470" si="515">+J3407-L3407</f>
        <v>450</v>
      </c>
      <c r="N3407" s="38">
        <v>0.16</v>
      </c>
      <c r="O3407" s="39">
        <f t="shared" ref="O3407:O3470" si="516">+M3407*N3407</f>
        <v>72</v>
      </c>
      <c r="P3407" s="40">
        <f t="shared" ref="P3407:P3470" si="517">+M3407+O3407</f>
        <v>522</v>
      </c>
      <c r="Q3407" s="23"/>
      <c r="R3407" s="56"/>
      <c r="S3407" s="57"/>
      <c r="T3407" s="58">
        <f t="shared" ref="T3407:T3470" si="518">+S3407*J3407</f>
        <v>0</v>
      </c>
      <c r="U3407" s="36">
        <f t="shared" ref="U3407:U3470" si="519">+T3407*K3407</f>
        <v>0</v>
      </c>
      <c r="V3407" s="59">
        <f t="shared" ref="V3407:V3470" si="520">+T3407-U3407</f>
        <v>0</v>
      </c>
      <c r="W3407" s="39">
        <f t="shared" ref="W3407:W3470" si="521">+V3407*N3407</f>
        <v>0</v>
      </c>
      <c r="X3407" s="40">
        <f t="shared" ref="X3407:X3470" si="522">+V3407+W3407</f>
        <v>0</v>
      </c>
      <c r="Y3407"/>
      <c r="Z3407"/>
      <c r="AA3407"/>
    </row>
    <row r="3408" spans="1:27" s="51" customFormat="1" ht="18.600000000000001" hidden="1" customHeight="1" x14ac:dyDescent="0.25">
      <c r="A3408" s="82" t="s">
        <v>2653</v>
      </c>
      <c r="B3408" s="41" t="s">
        <v>9408</v>
      </c>
      <c r="C3408" s="42" t="s">
        <v>9411</v>
      </c>
      <c r="D3408" s="41" t="s">
        <v>8588</v>
      </c>
      <c r="E3408" s="43" t="s">
        <v>8589</v>
      </c>
      <c r="F3408" s="43" t="s">
        <v>1937</v>
      </c>
      <c r="G3408" s="43"/>
      <c r="H3408" s="85" t="s">
        <v>9829</v>
      </c>
      <c r="I3408" s="23" t="s">
        <v>24</v>
      </c>
      <c r="J3408" s="44">
        <v>600</v>
      </c>
      <c r="K3408" s="45">
        <v>0.25</v>
      </c>
      <c r="L3408" s="46">
        <f t="shared" si="514"/>
        <v>150</v>
      </c>
      <c r="M3408" s="47">
        <f t="shared" si="515"/>
        <v>450</v>
      </c>
      <c r="N3408" s="48">
        <v>0.16</v>
      </c>
      <c r="O3408" s="49">
        <f t="shared" si="516"/>
        <v>72</v>
      </c>
      <c r="P3408" s="50">
        <f t="shared" si="517"/>
        <v>522</v>
      </c>
      <c r="Q3408" s="23"/>
      <c r="R3408" s="60"/>
      <c r="S3408" s="61"/>
      <c r="T3408" s="62">
        <f t="shared" si="518"/>
        <v>0</v>
      </c>
      <c r="U3408" s="46">
        <f t="shared" si="519"/>
        <v>0</v>
      </c>
      <c r="V3408" s="63">
        <f t="shared" si="520"/>
        <v>0</v>
      </c>
      <c r="W3408" s="49">
        <f t="shared" si="521"/>
        <v>0</v>
      </c>
      <c r="X3408" s="50">
        <f t="shared" si="522"/>
        <v>0</v>
      </c>
      <c r="Y3408"/>
      <c r="Z3408"/>
      <c r="AA3408"/>
    </row>
    <row r="3409" spans="1:27" s="51" customFormat="1" ht="18.600000000000001" hidden="1" customHeight="1" x14ac:dyDescent="0.25">
      <c r="A3409" s="80" t="s">
        <v>2653</v>
      </c>
      <c r="B3409" s="20" t="s">
        <v>9408</v>
      </c>
      <c r="C3409" s="21" t="s">
        <v>9411</v>
      </c>
      <c r="D3409" s="20" t="s">
        <v>8590</v>
      </c>
      <c r="E3409" s="22" t="s">
        <v>8591</v>
      </c>
      <c r="F3409" s="22" t="s">
        <v>1937</v>
      </c>
      <c r="G3409" s="22"/>
      <c r="H3409" s="83" t="s">
        <v>9830</v>
      </c>
      <c r="I3409" s="23" t="s">
        <v>24</v>
      </c>
      <c r="J3409" s="24">
        <v>530</v>
      </c>
      <c r="K3409" s="25">
        <v>0.25</v>
      </c>
      <c r="L3409" s="26">
        <f t="shared" si="514"/>
        <v>132.5</v>
      </c>
      <c r="M3409" s="27">
        <f t="shared" si="515"/>
        <v>397.5</v>
      </c>
      <c r="N3409" s="28">
        <v>0.16</v>
      </c>
      <c r="O3409" s="29">
        <f t="shared" si="516"/>
        <v>63.6</v>
      </c>
      <c r="P3409" s="30">
        <f t="shared" si="517"/>
        <v>461.1</v>
      </c>
      <c r="Q3409" s="23"/>
      <c r="R3409" s="52"/>
      <c r="S3409" s="53"/>
      <c r="T3409" s="54">
        <f t="shared" si="518"/>
        <v>0</v>
      </c>
      <c r="U3409" s="26">
        <f t="shared" si="519"/>
        <v>0</v>
      </c>
      <c r="V3409" s="55">
        <f t="shared" si="520"/>
        <v>0</v>
      </c>
      <c r="W3409" s="29">
        <f t="shared" si="521"/>
        <v>0</v>
      </c>
      <c r="X3409" s="30">
        <f t="shared" si="522"/>
        <v>0</v>
      </c>
      <c r="Y3409"/>
      <c r="Z3409"/>
      <c r="AA3409"/>
    </row>
    <row r="3410" spans="1:27" s="51" customFormat="1" ht="18.600000000000001" hidden="1" customHeight="1" x14ac:dyDescent="0.25">
      <c r="A3410" s="81" t="s">
        <v>2653</v>
      </c>
      <c r="B3410" s="31" t="s">
        <v>9408</v>
      </c>
      <c r="C3410" s="32" t="s">
        <v>9411</v>
      </c>
      <c r="D3410" s="31">
        <v>8435568312906</v>
      </c>
      <c r="E3410" s="33" t="s">
        <v>8592</v>
      </c>
      <c r="F3410" s="33" t="s">
        <v>1937</v>
      </c>
      <c r="G3410" s="33"/>
      <c r="H3410" s="84" t="s">
        <v>9831</v>
      </c>
      <c r="I3410" s="23" t="s">
        <v>24</v>
      </c>
      <c r="J3410" s="34">
        <v>710</v>
      </c>
      <c r="K3410" s="35">
        <v>0.25</v>
      </c>
      <c r="L3410" s="36">
        <f t="shared" si="514"/>
        <v>177.5</v>
      </c>
      <c r="M3410" s="37">
        <f t="shared" si="515"/>
        <v>532.5</v>
      </c>
      <c r="N3410" s="38">
        <v>0.16</v>
      </c>
      <c r="O3410" s="39">
        <f t="shared" si="516"/>
        <v>85.2</v>
      </c>
      <c r="P3410" s="40">
        <f t="shared" si="517"/>
        <v>617.70000000000005</v>
      </c>
      <c r="Q3410" s="23"/>
      <c r="R3410" s="56"/>
      <c r="S3410" s="57"/>
      <c r="T3410" s="58">
        <f t="shared" si="518"/>
        <v>0</v>
      </c>
      <c r="U3410" s="36">
        <f t="shared" si="519"/>
        <v>0</v>
      </c>
      <c r="V3410" s="59">
        <f t="shared" si="520"/>
        <v>0</v>
      </c>
      <c r="W3410" s="39">
        <f t="shared" si="521"/>
        <v>0</v>
      </c>
      <c r="X3410" s="40">
        <f t="shared" si="522"/>
        <v>0</v>
      </c>
      <c r="Y3410"/>
      <c r="Z3410"/>
      <c r="AA3410"/>
    </row>
    <row r="3411" spans="1:27" s="51" customFormat="1" ht="18.600000000000001" hidden="1" customHeight="1" x14ac:dyDescent="0.25">
      <c r="A3411" s="82" t="s">
        <v>2653</v>
      </c>
      <c r="B3411" s="41" t="s">
        <v>9412</v>
      </c>
      <c r="C3411" s="42" t="s">
        <v>9413</v>
      </c>
      <c r="D3411" s="41" t="s">
        <v>8593</v>
      </c>
      <c r="E3411" s="43" t="s">
        <v>8594</v>
      </c>
      <c r="F3411" s="43" t="s">
        <v>1937</v>
      </c>
      <c r="G3411" s="43"/>
      <c r="H3411" s="85" t="s">
        <v>9832</v>
      </c>
      <c r="I3411" s="23" t="s">
        <v>24</v>
      </c>
      <c r="J3411" s="44">
        <v>600</v>
      </c>
      <c r="K3411" s="45">
        <v>0.25</v>
      </c>
      <c r="L3411" s="46">
        <f t="shared" si="514"/>
        <v>150</v>
      </c>
      <c r="M3411" s="47">
        <f t="shared" si="515"/>
        <v>450</v>
      </c>
      <c r="N3411" s="48">
        <v>0.16</v>
      </c>
      <c r="O3411" s="49">
        <f t="shared" si="516"/>
        <v>72</v>
      </c>
      <c r="P3411" s="50">
        <f t="shared" si="517"/>
        <v>522</v>
      </c>
      <c r="Q3411" s="23"/>
      <c r="R3411" s="60"/>
      <c r="S3411" s="61"/>
      <c r="T3411" s="62">
        <f t="shared" si="518"/>
        <v>0</v>
      </c>
      <c r="U3411" s="46">
        <f t="shared" si="519"/>
        <v>0</v>
      </c>
      <c r="V3411" s="63">
        <f t="shared" si="520"/>
        <v>0</v>
      </c>
      <c r="W3411" s="49">
        <f t="shared" si="521"/>
        <v>0</v>
      </c>
      <c r="X3411" s="50">
        <f t="shared" si="522"/>
        <v>0</v>
      </c>
      <c r="Y3411"/>
      <c r="Z3411"/>
      <c r="AA3411"/>
    </row>
    <row r="3412" spans="1:27" s="51" customFormat="1" ht="18.600000000000001" hidden="1" customHeight="1" x14ac:dyDescent="0.25">
      <c r="A3412" s="80" t="s">
        <v>2653</v>
      </c>
      <c r="B3412" s="20" t="s">
        <v>9408</v>
      </c>
      <c r="C3412" s="21" t="s">
        <v>9414</v>
      </c>
      <c r="D3412" s="20" t="s">
        <v>8595</v>
      </c>
      <c r="E3412" s="22" t="s">
        <v>8596</v>
      </c>
      <c r="F3412" s="22" t="s">
        <v>1937</v>
      </c>
      <c r="G3412" s="22"/>
      <c r="H3412" s="83" t="s">
        <v>9833</v>
      </c>
      <c r="I3412" s="23" t="s">
        <v>24</v>
      </c>
      <c r="J3412" s="24">
        <v>1890</v>
      </c>
      <c r="K3412" s="25">
        <v>0.25</v>
      </c>
      <c r="L3412" s="26">
        <f t="shared" si="514"/>
        <v>472.5</v>
      </c>
      <c r="M3412" s="27">
        <f t="shared" si="515"/>
        <v>1417.5</v>
      </c>
      <c r="N3412" s="28">
        <v>0.16</v>
      </c>
      <c r="O3412" s="29">
        <f t="shared" si="516"/>
        <v>226.8</v>
      </c>
      <c r="P3412" s="30">
        <f t="shared" si="517"/>
        <v>1644.3</v>
      </c>
      <c r="Q3412" s="23"/>
      <c r="R3412" s="52"/>
      <c r="S3412" s="53"/>
      <c r="T3412" s="54">
        <f t="shared" si="518"/>
        <v>0</v>
      </c>
      <c r="U3412" s="26">
        <f t="shared" si="519"/>
        <v>0</v>
      </c>
      <c r="V3412" s="55">
        <f t="shared" si="520"/>
        <v>0</v>
      </c>
      <c r="W3412" s="29">
        <f t="shared" si="521"/>
        <v>0</v>
      </c>
      <c r="X3412" s="30">
        <f t="shared" si="522"/>
        <v>0</v>
      </c>
      <c r="Y3412"/>
      <c r="Z3412"/>
      <c r="AA3412"/>
    </row>
    <row r="3413" spans="1:27" s="51" customFormat="1" ht="18.600000000000001" hidden="1" customHeight="1" x14ac:dyDescent="0.25">
      <c r="A3413" s="81" t="s">
        <v>2653</v>
      </c>
      <c r="B3413" s="31" t="s">
        <v>9408</v>
      </c>
      <c r="C3413" s="32" t="s">
        <v>9414</v>
      </c>
      <c r="D3413" s="31" t="s">
        <v>8597</v>
      </c>
      <c r="E3413" s="33" t="s">
        <v>8598</v>
      </c>
      <c r="F3413" s="33" t="s">
        <v>1937</v>
      </c>
      <c r="G3413" s="33"/>
      <c r="H3413" s="84" t="s">
        <v>9834</v>
      </c>
      <c r="I3413" s="23" t="s">
        <v>24</v>
      </c>
      <c r="J3413" s="34">
        <v>1890</v>
      </c>
      <c r="K3413" s="35">
        <v>0.25</v>
      </c>
      <c r="L3413" s="36">
        <f t="shared" si="514"/>
        <v>472.5</v>
      </c>
      <c r="M3413" s="37">
        <f t="shared" si="515"/>
        <v>1417.5</v>
      </c>
      <c r="N3413" s="38">
        <v>0.16</v>
      </c>
      <c r="O3413" s="39">
        <f t="shared" si="516"/>
        <v>226.8</v>
      </c>
      <c r="P3413" s="40">
        <f t="shared" si="517"/>
        <v>1644.3</v>
      </c>
      <c r="Q3413" s="23"/>
      <c r="R3413" s="56"/>
      <c r="S3413" s="57"/>
      <c r="T3413" s="58">
        <f t="shared" si="518"/>
        <v>0</v>
      </c>
      <c r="U3413" s="36">
        <f t="shared" si="519"/>
        <v>0</v>
      </c>
      <c r="V3413" s="59">
        <f t="shared" si="520"/>
        <v>0</v>
      </c>
      <c r="W3413" s="39">
        <f t="shared" si="521"/>
        <v>0</v>
      </c>
      <c r="X3413" s="40">
        <f t="shared" si="522"/>
        <v>0</v>
      </c>
      <c r="Y3413"/>
      <c r="Z3413"/>
      <c r="AA3413"/>
    </row>
    <row r="3414" spans="1:27" s="51" customFormat="1" ht="18.600000000000001" hidden="1" customHeight="1" x14ac:dyDescent="0.25">
      <c r="A3414" s="82" t="s">
        <v>2653</v>
      </c>
      <c r="B3414" s="41" t="s">
        <v>9408</v>
      </c>
      <c r="C3414" s="42" t="s">
        <v>9414</v>
      </c>
      <c r="D3414" s="41">
        <v>8435568312746</v>
      </c>
      <c r="E3414" s="43" t="s">
        <v>8599</v>
      </c>
      <c r="F3414" s="43" t="s">
        <v>1937</v>
      </c>
      <c r="G3414" s="43"/>
      <c r="H3414" s="85" t="s">
        <v>9835</v>
      </c>
      <c r="I3414" s="23" t="s">
        <v>24</v>
      </c>
      <c r="J3414" s="44">
        <v>2680</v>
      </c>
      <c r="K3414" s="45">
        <v>0.25</v>
      </c>
      <c r="L3414" s="46">
        <f t="shared" si="514"/>
        <v>670</v>
      </c>
      <c r="M3414" s="47">
        <f t="shared" si="515"/>
        <v>2010</v>
      </c>
      <c r="N3414" s="48">
        <v>0.16</v>
      </c>
      <c r="O3414" s="49">
        <f t="shared" si="516"/>
        <v>321.60000000000002</v>
      </c>
      <c r="P3414" s="50">
        <f t="shared" si="517"/>
        <v>2331.6</v>
      </c>
      <c r="Q3414" s="23"/>
      <c r="R3414" s="60"/>
      <c r="S3414" s="61"/>
      <c r="T3414" s="62">
        <f t="shared" si="518"/>
        <v>0</v>
      </c>
      <c r="U3414" s="46">
        <f t="shared" si="519"/>
        <v>0</v>
      </c>
      <c r="V3414" s="63">
        <f t="shared" si="520"/>
        <v>0</v>
      </c>
      <c r="W3414" s="49">
        <f t="shared" si="521"/>
        <v>0</v>
      </c>
      <c r="X3414" s="50">
        <f t="shared" si="522"/>
        <v>0</v>
      </c>
      <c r="Y3414"/>
      <c r="Z3414"/>
      <c r="AA3414"/>
    </row>
    <row r="3415" spans="1:27" s="51" customFormat="1" ht="18.600000000000001" hidden="1" customHeight="1" x14ac:dyDescent="0.25">
      <c r="A3415" s="80" t="s">
        <v>2653</v>
      </c>
      <c r="B3415" s="20" t="s">
        <v>9408</v>
      </c>
      <c r="C3415" s="21" t="s">
        <v>9414</v>
      </c>
      <c r="D3415" s="20">
        <v>8435568330641</v>
      </c>
      <c r="E3415" s="22" t="s">
        <v>8600</v>
      </c>
      <c r="F3415" s="22" t="s">
        <v>1937</v>
      </c>
      <c r="G3415" s="22"/>
      <c r="H3415" s="83" t="s">
        <v>9836</v>
      </c>
      <c r="I3415" s="23" t="s">
        <v>24</v>
      </c>
      <c r="J3415" s="24">
        <v>1890</v>
      </c>
      <c r="K3415" s="25">
        <v>0.25</v>
      </c>
      <c r="L3415" s="26">
        <f t="shared" si="514"/>
        <v>472.5</v>
      </c>
      <c r="M3415" s="27">
        <f t="shared" si="515"/>
        <v>1417.5</v>
      </c>
      <c r="N3415" s="28">
        <v>0.16</v>
      </c>
      <c r="O3415" s="29">
        <f t="shared" si="516"/>
        <v>226.8</v>
      </c>
      <c r="P3415" s="30">
        <f t="shared" si="517"/>
        <v>1644.3</v>
      </c>
      <c r="Q3415" s="23"/>
      <c r="R3415" s="52"/>
      <c r="S3415" s="53"/>
      <c r="T3415" s="54">
        <f t="shared" si="518"/>
        <v>0</v>
      </c>
      <c r="U3415" s="26">
        <f t="shared" si="519"/>
        <v>0</v>
      </c>
      <c r="V3415" s="55">
        <f t="shared" si="520"/>
        <v>0</v>
      </c>
      <c r="W3415" s="29">
        <f t="shared" si="521"/>
        <v>0</v>
      </c>
      <c r="X3415" s="30">
        <f t="shared" si="522"/>
        <v>0</v>
      </c>
      <c r="Y3415"/>
      <c r="Z3415"/>
      <c r="AA3415"/>
    </row>
    <row r="3416" spans="1:27" s="51" customFormat="1" ht="18.600000000000001" hidden="1" customHeight="1" x14ac:dyDescent="0.25">
      <c r="A3416" s="81" t="s">
        <v>2653</v>
      </c>
      <c r="B3416" s="31" t="s">
        <v>9408</v>
      </c>
      <c r="C3416" s="32" t="s">
        <v>9415</v>
      </c>
      <c r="D3416" s="31" t="s">
        <v>8601</v>
      </c>
      <c r="E3416" s="33" t="s">
        <v>8602</v>
      </c>
      <c r="F3416" s="33" t="s">
        <v>1937</v>
      </c>
      <c r="G3416" s="33"/>
      <c r="H3416" s="84" t="s">
        <v>9837</v>
      </c>
      <c r="I3416" s="23" t="s">
        <v>24</v>
      </c>
      <c r="J3416" s="34">
        <v>1070</v>
      </c>
      <c r="K3416" s="35">
        <v>0.25</v>
      </c>
      <c r="L3416" s="36">
        <f t="shared" si="514"/>
        <v>267.5</v>
      </c>
      <c r="M3416" s="37">
        <f t="shared" si="515"/>
        <v>802.5</v>
      </c>
      <c r="N3416" s="38">
        <v>0.16</v>
      </c>
      <c r="O3416" s="39">
        <f t="shared" si="516"/>
        <v>128.4</v>
      </c>
      <c r="P3416" s="40">
        <f t="shared" si="517"/>
        <v>930.9</v>
      </c>
      <c r="Q3416" s="23"/>
      <c r="R3416" s="56"/>
      <c r="S3416" s="57"/>
      <c r="T3416" s="58">
        <f t="shared" si="518"/>
        <v>0</v>
      </c>
      <c r="U3416" s="36">
        <f t="shared" si="519"/>
        <v>0</v>
      </c>
      <c r="V3416" s="59">
        <f t="shared" si="520"/>
        <v>0</v>
      </c>
      <c r="W3416" s="39">
        <f t="shared" si="521"/>
        <v>0</v>
      </c>
      <c r="X3416" s="40">
        <f t="shared" si="522"/>
        <v>0</v>
      </c>
      <c r="Y3416"/>
      <c r="Z3416"/>
      <c r="AA3416"/>
    </row>
    <row r="3417" spans="1:27" s="51" customFormat="1" ht="18.600000000000001" hidden="1" customHeight="1" x14ac:dyDescent="0.25">
      <c r="A3417" s="82" t="s">
        <v>2653</v>
      </c>
      <c r="B3417" s="41" t="s">
        <v>9408</v>
      </c>
      <c r="C3417" s="42" t="s">
        <v>9415</v>
      </c>
      <c r="D3417" s="41" t="s">
        <v>8603</v>
      </c>
      <c r="E3417" s="43" t="s">
        <v>8604</v>
      </c>
      <c r="F3417" s="43" t="s">
        <v>1937</v>
      </c>
      <c r="G3417" s="43"/>
      <c r="H3417" s="85" t="s">
        <v>9838</v>
      </c>
      <c r="I3417" s="23" t="s">
        <v>24</v>
      </c>
      <c r="J3417" s="44">
        <v>1070</v>
      </c>
      <c r="K3417" s="45">
        <v>0.25</v>
      </c>
      <c r="L3417" s="46">
        <f t="shared" si="514"/>
        <v>267.5</v>
      </c>
      <c r="M3417" s="47">
        <f t="shared" si="515"/>
        <v>802.5</v>
      </c>
      <c r="N3417" s="48">
        <v>0.16</v>
      </c>
      <c r="O3417" s="49">
        <f t="shared" si="516"/>
        <v>128.4</v>
      </c>
      <c r="P3417" s="50">
        <f t="shared" si="517"/>
        <v>930.9</v>
      </c>
      <c r="Q3417" s="23"/>
      <c r="R3417" s="60"/>
      <c r="S3417" s="61"/>
      <c r="T3417" s="62">
        <f t="shared" si="518"/>
        <v>0</v>
      </c>
      <c r="U3417" s="46">
        <f t="shared" si="519"/>
        <v>0</v>
      </c>
      <c r="V3417" s="63">
        <f t="shared" si="520"/>
        <v>0</v>
      </c>
      <c r="W3417" s="49">
        <f t="shared" si="521"/>
        <v>0</v>
      </c>
      <c r="X3417" s="50">
        <f t="shared" si="522"/>
        <v>0</v>
      </c>
      <c r="Y3417"/>
      <c r="Z3417"/>
      <c r="AA3417"/>
    </row>
    <row r="3418" spans="1:27" s="51" customFormat="1" ht="18.600000000000001" hidden="1" customHeight="1" x14ac:dyDescent="0.25">
      <c r="A3418" s="80" t="s">
        <v>2653</v>
      </c>
      <c r="B3418" s="20" t="s">
        <v>9408</v>
      </c>
      <c r="C3418" s="21" t="s">
        <v>9415</v>
      </c>
      <c r="D3418" s="20" t="s">
        <v>8605</v>
      </c>
      <c r="E3418" s="22" t="s">
        <v>8606</v>
      </c>
      <c r="F3418" s="22" t="s">
        <v>1937</v>
      </c>
      <c r="G3418" s="22"/>
      <c r="H3418" s="83" t="s">
        <v>9839</v>
      </c>
      <c r="I3418" s="23" t="s">
        <v>24</v>
      </c>
      <c r="J3418" s="24">
        <v>1070</v>
      </c>
      <c r="K3418" s="25">
        <v>0.25</v>
      </c>
      <c r="L3418" s="26">
        <f t="shared" si="514"/>
        <v>267.5</v>
      </c>
      <c r="M3418" s="27">
        <f t="shared" si="515"/>
        <v>802.5</v>
      </c>
      <c r="N3418" s="28">
        <v>0.16</v>
      </c>
      <c r="O3418" s="29">
        <f t="shared" si="516"/>
        <v>128.4</v>
      </c>
      <c r="P3418" s="30">
        <f t="shared" si="517"/>
        <v>930.9</v>
      </c>
      <c r="Q3418" s="23"/>
      <c r="R3418" s="52"/>
      <c r="S3418" s="53"/>
      <c r="T3418" s="54">
        <f t="shared" si="518"/>
        <v>0</v>
      </c>
      <c r="U3418" s="26">
        <f t="shared" si="519"/>
        <v>0</v>
      </c>
      <c r="V3418" s="55">
        <f t="shared" si="520"/>
        <v>0</v>
      </c>
      <c r="W3418" s="29">
        <f t="shared" si="521"/>
        <v>0</v>
      </c>
      <c r="X3418" s="30">
        <f t="shared" si="522"/>
        <v>0</v>
      </c>
      <c r="Y3418"/>
      <c r="Z3418"/>
      <c r="AA3418"/>
    </row>
    <row r="3419" spans="1:27" s="51" customFormat="1" ht="18.600000000000001" hidden="1" customHeight="1" x14ac:dyDescent="0.25">
      <c r="A3419" s="81" t="s">
        <v>2653</v>
      </c>
      <c r="B3419" s="31" t="s">
        <v>9408</v>
      </c>
      <c r="C3419" s="32" t="s">
        <v>9415</v>
      </c>
      <c r="D3419" s="31" t="s">
        <v>8607</v>
      </c>
      <c r="E3419" s="33" t="s">
        <v>8608</v>
      </c>
      <c r="F3419" s="33" t="s">
        <v>1937</v>
      </c>
      <c r="G3419" s="33"/>
      <c r="H3419" s="84" t="s">
        <v>9840</v>
      </c>
      <c r="I3419" s="23" t="s">
        <v>24</v>
      </c>
      <c r="J3419" s="34">
        <v>1070</v>
      </c>
      <c r="K3419" s="35">
        <v>0.25</v>
      </c>
      <c r="L3419" s="36">
        <f t="shared" si="514"/>
        <v>267.5</v>
      </c>
      <c r="M3419" s="37">
        <f t="shared" si="515"/>
        <v>802.5</v>
      </c>
      <c r="N3419" s="38">
        <v>0.16</v>
      </c>
      <c r="O3419" s="39">
        <f t="shared" si="516"/>
        <v>128.4</v>
      </c>
      <c r="P3419" s="40">
        <f t="shared" si="517"/>
        <v>930.9</v>
      </c>
      <c r="Q3419" s="23"/>
      <c r="R3419" s="56"/>
      <c r="S3419" s="57"/>
      <c r="T3419" s="58">
        <f t="shared" si="518"/>
        <v>0</v>
      </c>
      <c r="U3419" s="36">
        <f t="shared" si="519"/>
        <v>0</v>
      </c>
      <c r="V3419" s="59">
        <f t="shared" si="520"/>
        <v>0</v>
      </c>
      <c r="W3419" s="39">
        <f t="shared" si="521"/>
        <v>0</v>
      </c>
      <c r="X3419" s="40">
        <f t="shared" si="522"/>
        <v>0</v>
      </c>
      <c r="Y3419"/>
      <c r="Z3419"/>
      <c r="AA3419"/>
    </row>
    <row r="3420" spans="1:27" s="51" customFormat="1" ht="18.600000000000001" hidden="1" customHeight="1" x14ac:dyDescent="0.25">
      <c r="A3420" s="82" t="s">
        <v>2653</v>
      </c>
      <c r="B3420" s="41" t="s">
        <v>9408</v>
      </c>
      <c r="C3420" s="42" t="s">
        <v>9415</v>
      </c>
      <c r="D3420" s="41" t="s">
        <v>8609</v>
      </c>
      <c r="E3420" s="43" t="s">
        <v>8610</v>
      </c>
      <c r="F3420" s="43" t="s">
        <v>1937</v>
      </c>
      <c r="G3420" s="43"/>
      <c r="H3420" s="85" t="s">
        <v>9841</v>
      </c>
      <c r="I3420" s="23" t="s">
        <v>24</v>
      </c>
      <c r="J3420" s="44">
        <v>1070</v>
      </c>
      <c r="K3420" s="45">
        <v>0.25</v>
      </c>
      <c r="L3420" s="46">
        <f t="shared" si="514"/>
        <v>267.5</v>
      </c>
      <c r="M3420" s="47">
        <f t="shared" si="515"/>
        <v>802.5</v>
      </c>
      <c r="N3420" s="48">
        <v>0.16</v>
      </c>
      <c r="O3420" s="49">
        <f t="shared" si="516"/>
        <v>128.4</v>
      </c>
      <c r="P3420" s="50">
        <f t="shared" si="517"/>
        <v>930.9</v>
      </c>
      <c r="Q3420" s="23"/>
      <c r="R3420" s="60"/>
      <c r="S3420" s="61"/>
      <c r="T3420" s="62">
        <f t="shared" si="518"/>
        <v>0</v>
      </c>
      <c r="U3420" s="46">
        <f t="shared" si="519"/>
        <v>0</v>
      </c>
      <c r="V3420" s="63">
        <f t="shared" si="520"/>
        <v>0</v>
      </c>
      <c r="W3420" s="49">
        <f t="shared" si="521"/>
        <v>0</v>
      </c>
      <c r="X3420" s="50">
        <f t="shared" si="522"/>
        <v>0</v>
      </c>
      <c r="Y3420"/>
      <c r="Z3420"/>
      <c r="AA3420"/>
    </row>
    <row r="3421" spans="1:27" s="51" customFormat="1" ht="18.600000000000001" hidden="1" customHeight="1" x14ac:dyDescent="0.25">
      <c r="A3421" s="80" t="s">
        <v>2653</v>
      </c>
      <c r="B3421" s="20" t="s">
        <v>9408</v>
      </c>
      <c r="C3421" s="21" t="s">
        <v>9415</v>
      </c>
      <c r="D3421" s="20" t="s">
        <v>8611</v>
      </c>
      <c r="E3421" s="22" t="s">
        <v>8612</v>
      </c>
      <c r="F3421" s="22" t="s">
        <v>1937</v>
      </c>
      <c r="G3421" s="22"/>
      <c r="H3421" s="83" t="s">
        <v>9842</v>
      </c>
      <c r="I3421" s="23" t="s">
        <v>24</v>
      </c>
      <c r="J3421" s="24">
        <v>1070</v>
      </c>
      <c r="K3421" s="25">
        <v>0.25</v>
      </c>
      <c r="L3421" s="26">
        <f t="shared" si="514"/>
        <v>267.5</v>
      </c>
      <c r="M3421" s="27">
        <f t="shared" si="515"/>
        <v>802.5</v>
      </c>
      <c r="N3421" s="28">
        <v>0.16</v>
      </c>
      <c r="O3421" s="29">
        <f t="shared" si="516"/>
        <v>128.4</v>
      </c>
      <c r="P3421" s="30">
        <f t="shared" si="517"/>
        <v>930.9</v>
      </c>
      <c r="Q3421" s="23"/>
      <c r="R3421" s="52"/>
      <c r="S3421" s="53"/>
      <c r="T3421" s="54">
        <f t="shared" si="518"/>
        <v>0</v>
      </c>
      <c r="U3421" s="26">
        <f t="shared" si="519"/>
        <v>0</v>
      </c>
      <c r="V3421" s="55">
        <f t="shared" si="520"/>
        <v>0</v>
      </c>
      <c r="W3421" s="29">
        <f t="shared" si="521"/>
        <v>0</v>
      </c>
      <c r="X3421" s="30">
        <f t="shared" si="522"/>
        <v>0</v>
      </c>
      <c r="Y3421"/>
      <c r="Z3421"/>
      <c r="AA3421"/>
    </row>
    <row r="3422" spans="1:27" s="51" customFormat="1" ht="18.600000000000001" hidden="1" customHeight="1" x14ac:dyDescent="0.25">
      <c r="A3422" s="81" t="s">
        <v>2653</v>
      </c>
      <c r="B3422" s="31" t="s">
        <v>9408</v>
      </c>
      <c r="C3422" s="32" t="s">
        <v>9415</v>
      </c>
      <c r="D3422" s="31" t="s">
        <v>8613</v>
      </c>
      <c r="E3422" s="33" t="s">
        <v>8614</v>
      </c>
      <c r="F3422" s="33" t="s">
        <v>1937</v>
      </c>
      <c r="G3422" s="33"/>
      <c r="H3422" s="84" t="s">
        <v>9843</v>
      </c>
      <c r="I3422" s="23" t="s">
        <v>24</v>
      </c>
      <c r="J3422" s="34">
        <v>1070</v>
      </c>
      <c r="K3422" s="35">
        <v>0.25</v>
      </c>
      <c r="L3422" s="36">
        <f t="shared" si="514"/>
        <v>267.5</v>
      </c>
      <c r="M3422" s="37">
        <f t="shared" si="515"/>
        <v>802.5</v>
      </c>
      <c r="N3422" s="38">
        <v>0.16</v>
      </c>
      <c r="O3422" s="39">
        <f t="shared" si="516"/>
        <v>128.4</v>
      </c>
      <c r="P3422" s="40">
        <f t="shared" si="517"/>
        <v>930.9</v>
      </c>
      <c r="Q3422" s="23"/>
      <c r="R3422" s="56"/>
      <c r="S3422" s="57"/>
      <c r="T3422" s="58">
        <f t="shared" si="518"/>
        <v>0</v>
      </c>
      <c r="U3422" s="36">
        <f t="shared" si="519"/>
        <v>0</v>
      </c>
      <c r="V3422" s="59">
        <f t="shared" si="520"/>
        <v>0</v>
      </c>
      <c r="W3422" s="39">
        <f t="shared" si="521"/>
        <v>0</v>
      </c>
      <c r="X3422" s="40">
        <f t="shared" si="522"/>
        <v>0</v>
      </c>
      <c r="Y3422"/>
      <c r="Z3422"/>
      <c r="AA3422"/>
    </row>
    <row r="3423" spans="1:27" s="51" customFormat="1" ht="18.600000000000001" hidden="1" customHeight="1" x14ac:dyDescent="0.25">
      <c r="A3423" s="82" t="s">
        <v>2653</v>
      </c>
      <c r="B3423" s="41" t="s">
        <v>9408</v>
      </c>
      <c r="C3423" s="42" t="s">
        <v>9415</v>
      </c>
      <c r="D3423" s="41" t="s">
        <v>8615</v>
      </c>
      <c r="E3423" s="43" t="s">
        <v>8616</v>
      </c>
      <c r="F3423" s="43" t="s">
        <v>1937</v>
      </c>
      <c r="G3423" s="43"/>
      <c r="H3423" s="85" t="s">
        <v>9844</v>
      </c>
      <c r="I3423" s="23" t="s">
        <v>24</v>
      </c>
      <c r="J3423" s="44">
        <v>1070</v>
      </c>
      <c r="K3423" s="45">
        <v>0.25</v>
      </c>
      <c r="L3423" s="46">
        <f t="shared" si="514"/>
        <v>267.5</v>
      </c>
      <c r="M3423" s="47">
        <f t="shared" si="515"/>
        <v>802.5</v>
      </c>
      <c r="N3423" s="48">
        <v>0.16</v>
      </c>
      <c r="O3423" s="49">
        <f t="shared" si="516"/>
        <v>128.4</v>
      </c>
      <c r="P3423" s="50">
        <f t="shared" si="517"/>
        <v>930.9</v>
      </c>
      <c r="Q3423" s="23"/>
      <c r="R3423" s="60"/>
      <c r="S3423" s="61"/>
      <c r="T3423" s="62">
        <f t="shared" si="518"/>
        <v>0</v>
      </c>
      <c r="U3423" s="46">
        <f t="shared" si="519"/>
        <v>0</v>
      </c>
      <c r="V3423" s="63">
        <f t="shared" si="520"/>
        <v>0</v>
      </c>
      <c r="W3423" s="49">
        <f t="shared" si="521"/>
        <v>0</v>
      </c>
      <c r="X3423" s="50">
        <f t="shared" si="522"/>
        <v>0</v>
      </c>
      <c r="Y3423"/>
      <c r="Z3423"/>
      <c r="AA3423"/>
    </row>
    <row r="3424" spans="1:27" s="51" customFormat="1" ht="18.600000000000001" hidden="1" customHeight="1" x14ac:dyDescent="0.25">
      <c r="A3424" s="80" t="s">
        <v>2653</v>
      </c>
      <c r="B3424" s="20" t="s">
        <v>9408</v>
      </c>
      <c r="C3424" s="21" t="s">
        <v>9415</v>
      </c>
      <c r="D3424" s="20" t="s">
        <v>8617</v>
      </c>
      <c r="E3424" s="22" t="s">
        <v>8618</v>
      </c>
      <c r="F3424" s="22" t="s">
        <v>1937</v>
      </c>
      <c r="G3424" s="22"/>
      <c r="H3424" s="83" t="s">
        <v>9845</v>
      </c>
      <c r="I3424" s="23" t="s">
        <v>24</v>
      </c>
      <c r="J3424" s="24">
        <v>1070</v>
      </c>
      <c r="K3424" s="25">
        <v>0.25</v>
      </c>
      <c r="L3424" s="26">
        <f t="shared" si="514"/>
        <v>267.5</v>
      </c>
      <c r="M3424" s="27">
        <f t="shared" si="515"/>
        <v>802.5</v>
      </c>
      <c r="N3424" s="28">
        <v>0.16</v>
      </c>
      <c r="O3424" s="29">
        <f t="shared" si="516"/>
        <v>128.4</v>
      </c>
      <c r="P3424" s="30">
        <f t="shared" si="517"/>
        <v>930.9</v>
      </c>
      <c r="Q3424" s="23"/>
      <c r="R3424" s="52"/>
      <c r="S3424" s="53"/>
      <c r="T3424" s="54">
        <f t="shared" si="518"/>
        <v>0</v>
      </c>
      <c r="U3424" s="26">
        <f t="shared" si="519"/>
        <v>0</v>
      </c>
      <c r="V3424" s="55">
        <f t="shared" si="520"/>
        <v>0</v>
      </c>
      <c r="W3424" s="29">
        <f t="shared" si="521"/>
        <v>0</v>
      </c>
      <c r="X3424" s="30">
        <f t="shared" si="522"/>
        <v>0</v>
      </c>
      <c r="Y3424"/>
      <c r="Z3424"/>
      <c r="AA3424"/>
    </row>
    <row r="3425" spans="1:27" s="51" customFormat="1" ht="18.600000000000001" hidden="1" customHeight="1" x14ac:dyDescent="0.25">
      <c r="A3425" s="81" t="s">
        <v>2653</v>
      </c>
      <c r="B3425" s="31" t="s">
        <v>9408</v>
      </c>
      <c r="C3425" s="32" t="s">
        <v>9415</v>
      </c>
      <c r="D3425" s="31" t="s">
        <v>8619</v>
      </c>
      <c r="E3425" s="33" t="s">
        <v>8620</v>
      </c>
      <c r="F3425" s="33" t="s">
        <v>1937</v>
      </c>
      <c r="G3425" s="33"/>
      <c r="H3425" s="84" t="s">
        <v>9846</v>
      </c>
      <c r="I3425" s="23" t="s">
        <v>24</v>
      </c>
      <c r="J3425" s="34">
        <v>1070</v>
      </c>
      <c r="K3425" s="35">
        <v>0.25</v>
      </c>
      <c r="L3425" s="36">
        <f t="shared" si="514"/>
        <v>267.5</v>
      </c>
      <c r="M3425" s="37">
        <f t="shared" si="515"/>
        <v>802.5</v>
      </c>
      <c r="N3425" s="38">
        <v>0.16</v>
      </c>
      <c r="O3425" s="39">
        <f t="shared" si="516"/>
        <v>128.4</v>
      </c>
      <c r="P3425" s="40">
        <f t="shared" si="517"/>
        <v>930.9</v>
      </c>
      <c r="Q3425" s="23"/>
      <c r="R3425" s="56"/>
      <c r="S3425" s="57"/>
      <c r="T3425" s="58">
        <f t="shared" si="518"/>
        <v>0</v>
      </c>
      <c r="U3425" s="36">
        <f t="shared" si="519"/>
        <v>0</v>
      </c>
      <c r="V3425" s="59">
        <f t="shared" si="520"/>
        <v>0</v>
      </c>
      <c r="W3425" s="39">
        <f t="shared" si="521"/>
        <v>0</v>
      </c>
      <c r="X3425" s="40">
        <f t="shared" si="522"/>
        <v>0</v>
      </c>
      <c r="Y3425"/>
      <c r="Z3425"/>
      <c r="AA3425"/>
    </row>
    <row r="3426" spans="1:27" s="51" customFormat="1" ht="18.600000000000001" hidden="1" customHeight="1" x14ac:dyDescent="0.25">
      <c r="A3426" s="82" t="s">
        <v>2653</v>
      </c>
      <c r="B3426" s="41" t="s">
        <v>9408</v>
      </c>
      <c r="C3426" s="42" t="s">
        <v>9415</v>
      </c>
      <c r="D3426" s="41" t="s">
        <v>8621</v>
      </c>
      <c r="E3426" s="43" t="s">
        <v>8622</v>
      </c>
      <c r="F3426" s="43" t="s">
        <v>1937</v>
      </c>
      <c r="G3426" s="43"/>
      <c r="H3426" s="85" t="s">
        <v>9847</v>
      </c>
      <c r="I3426" s="23" t="s">
        <v>24</v>
      </c>
      <c r="J3426" s="44">
        <v>1070</v>
      </c>
      <c r="K3426" s="45">
        <v>0.25</v>
      </c>
      <c r="L3426" s="46">
        <f t="shared" si="514"/>
        <v>267.5</v>
      </c>
      <c r="M3426" s="47">
        <f t="shared" si="515"/>
        <v>802.5</v>
      </c>
      <c r="N3426" s="48">
        <v>0.16</v>
      </c>
      <c r="O3426" s="49">
        <f t="shared" si="516"/>
        <v>128.4</v>
      </c>
      <c r="P3426" s="50">
        <f t="shared" si="517"/>
        <v>930.9</v>
      </c>
      <c r="Q3426" s="23"/>
      <c r="R3426" s="60"/>
      <c r="S3426" s="61"/>
      <c r="T3426" s="62">
        <f t="shared" si="518"/>
        <v>0</v>
      </c>
      <c r="U3426" s="46">
        <f t="shared" si="519"/>
        <v>0</v>
      </c>
      <c r="V3426" s="63">
        <f t="shared" si="520"/>
        <v>0</v>
      </c>
      <c r="W3426" s="49">
        <f t="shared" si="521"/>
        <v>0</v>
      </c>
      <c r="X3426" s="50">
        <f t="shared" si="522"/>
        <v>0</v>
      </c>
      <c r="Y3426"/>
      <c r="Z3426"/>
      <c r="AA3426"/>
    </row>
    <row r="3427" spans="1:27" s="51" customFormat="1" ht="18.600000000000001" hidden="1" customHeight="1" x14ac:dyDescent="0.25">
      <c r="A3427" s="80" t="s">
        <v>2653</v>
      </c>
      <c r="B3427" s="20" t="s">
        <v>9408</v>
      </c>
      <c r="C3427" s="21" t="s">
        <v>9415</v>
      </c>
      <c r="D3427" s="20" t="s">
        <v>8623</v>
      </c>
      <c r="E3427" s="22" t="s">
        <v>8624</v>
      </c>
      <c r="F3427" s="22" t="s">
        <v>1937</v>
      </c>
      <c r="G3427" s="22"/>
      <c r="H3427" s="83" t="s">
        <v>9848</v>
      </c>
      <c r="I3427" s="23" t="s">
        <v>24</v>
      </c>
      <c r="J3427" s="24">
        <v>1070</v>
      </c>
      <c r="K3427" s="25">
        <v>0.25</v>
      </c>
      <c r="L3427" s="26">
        <f t="shared" si="514"/>
        <v>267.5</v>
      </c>
      <c r="M3427" s="27">
        <f t="shared" si="515"/>
        <v>802.5</v>
      </c>
      <c r="N3427" s="28">
        <v>0.16</v>
      </c>
      <c r="O3427" s="29">
        <f t="shared" si="516"/>
        <v>128.4</v>
      </c>
      <c r="P3427" s="30">
        <f t="shared" si="517"/>
        <v>930.9</v>
      </c>
      <c r="Q3427" s="23"/>
      <c r="R3427" s="52"/>
      <c r="S3427" s="53"/>
      <c r="T3427" s="54">
        <f t="shared" si="518"/>
        <v>0</v>
      </c>
      <c r="U3427" s="26">
        <f t="shared" si="519"/>
        <v>0</v>
      </c>
      <c r="V3427" s="55">
        <f t="shared" si="520"/>
        <v>0</v>
      </c>
      <c r="W3427" s="29">
        <f t="shared" si="521"/>
        <v>0</v>
      </c>
      <c r="X3427" s="30">
        <f t="shared" si="522"/>
        <v>0</v>
      </c>
      <c r="Y3427"/>
      <c r="Z3427"/>
      <c r="AA3427"/>
    </row>
    <row r="3428" spans="1:27" s="51" customFormat="1" ht="18.600000000000001" hidden="1" customHeight="1" x14ac:dyDescent="0.25">
      <c r="A3428" s="81" t="s">
        <v>2653</v>
      </c>
      <c r="B3428" s="31" t="s">
        <v>9408</v>
      </c>
      <c r="C3428" s="32" t="s">
        <v>9415</v>
      </c>
      <c r="D3428" s="31" t="s">
        <v>8625</v>
      </c>
      <c r="E3428" s="33" t="s">
        <v>8626</v>
      </c>
      <c r="F3428" s="33" t="s">
        <v>1937</v>
      </c>
      <c r="G3428" s="33"/>
      <c r="H3428" s="84" t="s">
        <v>9849</v>
      </c>
      <c r="I3428" s="23" t="s">
        <v>24</v>
      </c>
      <c r="J3428" s="34">
        <v>1070</v>
      </c>
      <c r="K3428" s="35">
        <v>0.25</v>
      </c>
      <c r="L3428" s="36">
        <f t="shared" si="514"/>
        <v>267.5</v>
      </c>
      <c r="M3428" s="37">
        <f t="shared" si="515"/>
        <v>802.5</v>
      </c>
      <c r="N3428" s="38">
        <v>0.16</v>
      </c>
      <c r="O3428" s="39">
        <f t="shared" si="516"/>
        <v>128.4</v>
      </c>
      <c r="P3428" s="40">
        <f t="shared" si="517"/>
        <v>930.9</v>
      </c>
      <c r="Q3428" s="23"/>
      <c r="R3428" s="56"/>
      <c r="S3428" s="57"/>
      <c r="T3428" s="58">
        <f t="shared" si="518"/>
        <v>0</v>
      </c>
      <c r="U3428" s="36">
        <f t="shared" si="519"/>
        <v>0</v>
      </c>
      <c r="V3428" s="59">
        <f t="shared" si="520"/>
        <v>0</v>
      </c>
      <c r="W3428" s="39">
        <f t="shared" si="521"/>
        <v>0</v>
      </c>
      <c r="X3428" s="40">
        <f t="shared" si="522"/>
        <v>0</v>
      </c>
      <c r="Y3428"/>
      <c r="Z3428"/>
      <c r="AA3428"/>
    </row>
    <row r="3429" spans="1:27" s="51" customFormat="1" ht="18.600000000000001" hidden="1" customHeight="1" x14ac:dyDescent="0.25">
      <c r="A3429" s="82" t="s">
        <v>2653</v>
      </c>
      <c r="B3429" s="41" t="s">
        <v>9408</v>
      </c>
      <c r="C3429" s="42" t="s">
        <v>9414</v>
      </c>
      <c r="D3429" s="41">
        <v>8435568331419</v>
      </c>
      <c r="E3429" s="43" t="s">
        <v>8627</v>
      </c>
      <c r="F3429" s="43" t="s">
        <v>1937</v>
      </c>
      <c r="G3429" s="43"/>
      <c r="H3429" s="85" t="s">
        <v>9850</v>
      </c>
      <c r="I3429" s="23" t="s">
        <v>24</v>
      </c>
      <c r="J3429" s="44">
        <v>1250</v>
      </c>
      <c r="K3429" s="45">
        <v>0.25</v>
      </c>
      <c r="L3429" s="46">
        <f t="shared" si="514"/>
        <v>312.5</v>
      </c>
      <c r="M3429" s="47">
        <f t="shared" si="515"/>
        <v>937.5</v>
      </c>
      <c r="N3429" s="48">
        <v>0.16</v>
      </c>
      <c r="O3429" s="49">
        <f t="shared" si="516"/>
        <v>150</v>
      </c>
      <c r="P3429" s="50">
        <f t="shared" si="517"/>
        <v>1087.5</v>
      </c>
      <c r="Q3429" s="23"/>
      <c r="R3429" s="60"/>
      <c r="S3429" s="61"/>
      <c r="T3429" s="62">
        <f t="shared" si="518"/>
        <v>0</v>
      </c>
      <c r="U3429" s="46">
        <f t="shared" si="519"/>
        <v>0</v>
      </c>
      <c r="V3429" s="63">
        <f t="shared" si="520"/>
        <v>0</v>
      </c>
      <c r="W3429" s="49">
        <f t="shared" si="521"/>
        <v>0</v>
      </c>
      <c r="X3429" s="50">
        <f t="shared" si="522"/>
        <v>0</v>
      </c>
      <c r="Y3429"/>
      <c r="Z3429"/>
      <c r="AA3429"/>
    </row>
    <row r="3430" spans="1:27" s="51" customFormat="1" ht="18.600000000000001" hidden="1" customHeight="1" x14ac:dyDescent="0.25">
      <c r="A3430" s="80" t="s">
        <v>2653</v>
      </c>
      <c r="B3430" s="20" t="s">
        <v>9408</v>
      </c>
      <c r="C3430" s="21" t="s">
        <v>9414</v>
      </c>
      <c r="D3430" s="20" t="s">
        <v>8628</v>
      </c>
      <c r="E3430" s="22" t="s">
        <v>8629</v>
      </c>
      <c r="F3430" s="22" t="s">
        <v>1937</v>
      </c>
      <c r="G3430" s="22"/>
      <c r="H3430" s="83" t="s">
        <v>9851</v>
      </c>
      <c r="I3430" s="23" t="s">
        <v>24</v>
      </c>
      <c r="J3430" s="24">
        <v>1280</v>
      </c>
      <c r="K3430" s="25">
        <v>0.25</v>
      </c>
      <c r="L3430" s="26">
        <f t="shared" si="514"/>
        <v>320</v>
      </c>
      <c r="M3430" s="27">
        <f t="shared" si="515"/>
        <v>960</v>
      </c>
      <c r="N3430" s="28">
        <v>0.16</v>
      </c>
      <c r="O3430" s="29">
        <f t="shared" si="516"/>
        <v>153.6</v>
      </c>
      <c r="P3430" s="30">
        <f t="shared" si="517"/>
        <v>1113.5999999999999</v>
      </c>
      <c r="Q3430" s="23"/>
      <c r="R3430" s="52"/>
      <c r="S3430" s="53"/>
      <c r="T3430" s="54">
        <f t="shared" si="518"/>
        <v>0</v>
      </c>
      <c r="U3430" s="26">
        <f t="shared" si="519"/>
        <v>0</v>
      </c>
      <c r="V3430" s="55">
        <f t="shared" si="520"/>
        <v>0</v>
      </c>
      <c r="W3430" s="29">
        <f t="shared" si="521"/>
        <v>0</v>
      </c>
      <c r="X3430" s="30">
        <f t="shared" si="522"/>
        <v>0</v>
      </c>
      <c r="Y3430"/>
      <c r="Z3430"/>
      <c r="AA3430"/>
    </row>
    <row r="3431" spans="1:27" s="51" customFormat="1" ht="18.600000000000001" hidden="1" customHeight="1" x14ac:dyDescent="0.25">
      <c r="A3431" s="81" t="s">
        <v>2653</v>
      </c>
      <c r="B3431" s="31" t="s">
        <v>9408</v>
      </c>
      <c r="C3431" s="32" t="s">
        <v>9414</v>
      </c>
      <c r="D3431" s="31" t="s">
        <v>8630</v>
      </c>
      <c r="E3431" s="33" t="s">
        <v>8631</v>
      </c>
      <c r="F3431" s="33" t="s">
        <v>1937</v>
      </c>
      <c r="G3431" s="33"/>
      <c r="H3431" s="84" t="s">
        <v>9852</v>
      </c>
      <c r="I3431" s="23" t="s">
        <v>24</v>
      </c>
      <c r="J3431" s="34">
        <v>1250</v>
      </c>
      <c r="K3431" s="35">
        <v>0.25</v>
      </c>
      <c r="L3431" s="36">
        <f t="shared" si="514"/>
        <v>312.5</v>
      </c>
      <c r="M3431" s="37">
        <f t="shared" si="515"/>
        <v>937.5</v>
      </c>
      <c r="N3431" s="38">
        <v>0.16</v>
      </c>
      <c r="O3431" s="39">
        <f t="shared" si="516"/>
        <v>150</v>
      </c>
      <c r="P3431" s="40">
        <f t="shared" si="517"/>
        <v>1087.5</v>
      </c>
      <c r="Q3431" s="23"/>
      <c r="R3431" s="56"/>
      <c r="S3431" s="57"/>
      <c r="T3431" s="58">
        <f t="shared" si="518"/>
        <v>0</v>
      </c>
      <c r="U3431" s="36">
        <f t="shared" si="519"/>
        <v>0</v>
      </c>
      <c r="V3431" s="59">
        <f t="shared" si="520"/>
        <v>0</v>
      </c>
      <c r="W3431" s="39">
        <f t="shared" si="521"/>
        <v>0</v>
      </c>
      <c r="X3431" s="40">
        <f t="shared" si="522"/>
        <v>0</v>
      </c>
      <c r="Y3431"/>
      <c r="Z3431"/>
      <c r="AA3431"/>
    </row>
    <row r="3432" spans="1:27" s="51" customFormat="1" ht="18.600000000000001" hidden="1" customHeight="1" x14ac:dyDescent="0.25">
      <c r="A3432" s="82" t="s">
        <v>2653</v>
      </c>
      <c r="B3432" s="41" t="s">
        <v>9408</v>
      </c>
      <c r="C3432" s="42" t="s">
        <v>9414</v>
      </c>
      <c r="D3432" s="41" t="s">
        <v>8632</v>
      </c>
      <c r="E3432" s="43" t="s">
        <v>8633</v>
      </c>
      <c r="F3432" s="43" t="s">
        <v>1937</v>
      </c>
      <c r="G3432" s="43"/>
      <c r="H3432" s="85" t="s">
        <v>9853</v>
      </c>
      <c r="I3432" s="23" t="s">
        <v>24</v>
      </c>
      <c r="J3432" s="44">
        <v>1070</v>
      </c>
      <c r="K3432" s="45">
        <v>0.25</v>
      </c>
      <c r="L3432" s="46">
        <f t="shared" si="514"/>
        <v>267.5</v>
      </c>
      <c r="M3432" s="47">
        <f t="shared" si="515"/>
        <v>802.5</v>
      </c>
      <c r="N3432" s="48">
        <v>0.16</v>
      </c>
      <c r="O3432" s="49">
        <f t="shared" si="516"/>
        <v>128.4</v>
      </c>
      <c r="P3432" s="50">
        <f t="shared" si="517"/>
        <v>930.9</v>
      </c>
      <c r="Q3432" s="23"/>
      <c r="R3432" s="60"/>
      <c r="S3432" s="61"/>
      <c r="T3432" s="62">
        <f t="shared" si="518"/>
        <v>0</v>
      </c>
      <c r="U3432" s="46">
        <f t="shared" si="519"/>
        <v>0</v>
      </c>
      <c r="V3432" s="63">
        <f t="shared" si="520"/>
        <v>0</v>
      </c>
      <c r="W3432" s="49">
        <f t="shared" si="521"/>
        <v>0</v>
      </c>
      <c r="X3432" s="50">
        <f t="shared" si="522"/>
        <v>0</v>
      </c>
      <c r="Y3432"/>
      <c r="Z3432"/>
      <c r="AA3432"/>
    </row>
    <row r="3433" spans="1:27" s="51" customFormat="1" ht="18.600000000000001" hidden="1" customHeight="1" x14ac:dyDescent="0.25">
      <c r="A3433" s="80" t="s">
        <v>2653</v>
      </c>
      <c r="B3433" s="20" t="s">
        <v>9408</v>
      </c>
      <c r="C3433" s="21" t="s">
        <v>9414</v>
      </c>
      <c r="D3433" s="20" t="s">
        <v>8634</v>
      </c>
      <c r="E3433" s="22" t="s">
        <v>8635</v>
      </c>
      <c r="F3433" s="22" t="s">
        <v>1937</v>
      </c>
      <c r="G3433" s="22"/>
      <c r="H3433" s="83" t="s">
        <v>9854</v>
      </c>
      <c r="I3433" s="23" t="s">
        <v>24</v>
      </c>
      <c r="J3433" s="24">
        <v>1750</v>
      </c>
      <c r="K3433" s="25">
        <v>0.25</v>
      </c>
      <c r="L3433" s="26">
        <f t="shared" si="514"/>
        <v>437.5</v>
      </c>
      <c r="M3433" s="27">
        <f t="shared" si="515"/>
        <v>1312.5</v>
      </c>
      <c r="N3433" s="28">
        <v>0.16</v>
      </c>
      <c r="O3433" s="29">
        <f t="shared" si="516"/>
        <v>210</v>
      </c>
      <c r="P3433" s="30">
        <f t="shared" si="517"/>
        <v>1522.5</v>
      </c>
      <c r="Q3433" s="23"/>
      <c r="R3433" s="52"/>
      <c r="S3433" s="53"/>
      <c r="T3433" s="54">
        <f t="shared" si="518"/>
        <v>0</v>
      </c>
      <c r="U3433" s="26">
        <f t="shared" si="519"/>
        <v>0</v>
      </c>
      <c r="V3433" s="55">
        <f t="shared" si="520"/>
        <v>0</v>
      </c>
      <c r="W3433" s="29">
        <f t="shared" si="521"/>
        <v>0</v>
      </c>
      <c r="X3433" s="30">
        <f t="shared" si="522"/>
        <v>0</v>
      </c>
      <c r="Y3433"/>
      <c r="Z3433"/>
      <c r="AA3433"/>
    </row>
    <row r="3434" spans="1:27" s="51" customFormat="1" ht="18.600000000000001" hidden="1" customHeight="1" x14ac:dyDescent="0.25">
      <c r="A3434" s="81" t="s">
        <v>2653</v>
      </c>
      <c r="B3434" s="31" t="s">
        <v>9408</v>
      </c>
      <c r="C3434" s="32" t="s">
        <v>9414</v>
      </c>
      <c r="D3434" s="31">
        <v>8435568331792</v>
      </c>
      <c r="E3434" s="33" t="s">
        <v>8636</v>
      </c>
      <c r="F3434" s="33" t="s">
        <v>1937</v>
      </c>
      <c r="G3434" s="33"/>
      <c r="H3434" s="84" t="s">
        <v>9855</v>
      </c>
      <c r="I3434" s="23" t="s">
        <v>24</v>
      </c>
      <c r="J3434" s="34">
        <v>1070</v>
      </c>
      <c r="K3434" s="35">
        <v>0.25</v>
      </c>
      <c r="L3434" s="36">
        <f t="shared" si="514"/>
        <v>267.5</v>
      </c>
      <c r="M3434" s="37">
        <f t="shared" si="515"/>
        <v>802.5</v>
      </c>
      <c r="N3434" s="38">
        <v>0.16</v>
      </c>
      <c r="O3434" s="39">
        <f t="shared" si="516"/>
        <v>128.4</v>
      </c>
      <c r="P3434" s="40">
        <f t="shared" si="517"/>
        <v>930.9</v>
      </c>
      <c r="Q3434" s="23"/>
      <c r="R3434" s="56"/>
      <c r="S3434" s="57"/>
      <c r="T3434" s="58">
        <f t="shared" si="518"/>
        <v>0</v>
      </c>
      <c r="U3434" s="36">
        <f t="shared" si="519"/>
        <v>0</v>
      </c>
      <c r="V3434" s="59">
        <f t="shared" si="520"/>
        <v>0</v>
      </c>
      <c r="W3434" s="39">
        <f t="shared" si="521"/>
        <v>0</v>
      </c>
      <c r="X3434" s="40">
        <f t="shared" si="522"/>
        <v>0</v>
      </c>
      <c r="Y3434"/>
      <c r="Z3434"/>
      <c r="AA3434"/>
    </row>
    <row r="3435" spans="1:27" s="51" customFormat="1" ht="18.600000000000001" hidden="1" customHeight="1" x14ac:dyDescent="0.25">
      <c r="A3435" s="82" t="s">
        <v>2653</v>
      </c>
      <c r="B3435" s="41" t="s">
        <v>9408</v>
      </c>
      <c r="C3435" s="42" t="s">
        <v>9414</v>
      </c>
      <c r="D3435" s="41">
        <v>8435568331808</v>
      </c>
      <c r="E3435" s="43" t="s">
        <v>8637</v>
      </c>
      <c r="F3435" s="43" t="s">
        <v>1937</v>
      </c>
      <c r="G3435" s="43"/>
      <c r="H3435" s="85" t="s">
        <v>9856</v>
      </c>
      <c r="I3435" s="23" t="s">
        <v>24</v>
      </c>
      <c r="J3435" s="44">
        <v>1070</v>
      </c>
      <c r="K3435" s="45">
        <v>0.25</v>
      </c>
      <c r="L3435" s="46">
        <f t="shared" si="514"/>
        <v>267.5</v>
      </c>
      <c r="M3435" s="47">
        <f t="shared" si="515"/>
        <v>802.5</v>
      </c>
      <c r="N3435" s="48">
        <v>0.16</v>
      </c>
      <c r="O3435" s="49">
        <f t="shared" si="516"/>
        <v>128.4</v>
      </c>
      <c r="P3435" s="50">
        <f t="shared" si="517"/>
        <v>930.9</v>
      </c>
      <c r="Q3435" s="23"/>
      <c r="R3435" s="60"/>
      <c r="S3435" s="61"/>
      <c r="T3435" s="62">
        <f t="shared" si="518"/>
        <v>0</v>
      </c>
      <c r="U3435" s="46">
        <f t="shared" si="519"/>
        <v>0</v>
      </c>
      <c r="V3435" s="63">
        <f t="shared" si="520"/>
        <v>0</v>
      </c>
      <c r="W3435" s="49">
        <f t="shared" si="521"/>
        <v>0</v>
      </c>
      <c r="X3435" s="50">
        <f t="shared" si="522"/>
        <v>0</v>
      </c>
      <c r="Y3435"/>
      <c r="Z3435"/>
      <c r="AA3435"/>
    </row>
    <row r="3436" spans="1:27" s="51" customFormat="1" ht="18.600000000000001" hidden="1" customHeight="1" x14ac:dyDescent="0.25">
      <c r="A3436" s="80" t="s">
        <v>2653</v>
      </c>
      <c r="B3436" s="20" t="s">
        <v>9408</v>
      </c>
      <c r="C3436" s="21" t="s">
        <v>9414</v>
      </c>
      <c r="D3436" s="20">
        <v>8435568331815</v>
      </c>
      <c r="E3436" s="22" t="s">
        <v>8638</v>
      </c>
      <c r="F3436" s="22" t="s">
        <v>1937</v>
      </c>
      <c r="G3436" s="22"/>
      <c r="H3436" s="83" t="s">
        <v>9857</v>
      </c>
      <c r="I3436" s="23" t="s">
        <v>24</v>
      </c>
      <c r="J3436" s="24">
        <v>1930</v>
      </c>
      <c r="K3436" s="25">
        <v>0.25</v>
      </c>
      <c r="L3436" s="26">
        <f t="shared" si="514"/>
        <v>482.5</v>
      </c>
      <c r="M3436" s="27">
        <f t="shared" si="515"/>
        <v>1447.5</v>
      </c>
      <c r="N3436" s="28">
        <v>0.16</v>
      </c>
      <c r="O3436" s="29">
        <f t="shared" si="516"/>
        <v>231.6</v>
      </c>
      <c r="P3436" s="30">
        <f t="shared" si="517"/>
        <v>1679.1</v>
      </c>
      <c r="Q3436" s="23"/>
      <c r="R3436" s="52"/>
      <c r="S3436" s="53"/>
      <c r="T3436" s="54">
        <f t="shared" si="518"/>
        <v>0</v>
      </c>
      <c r="U3436" s="26">
        <f t="shared" si="519"/>
        <v>0</v>
      </c>
      <c r="V3436" s="55">
        <f t="shared" si="520"/>
        <v>0</v>
      </c>
      <c r="W3436" s="29">
        <f t="shared" si="521"/>
        <v>0</v>
      </c>
      <c r="X3436" s="30">
        <f t="shared" si="522"/>
        <v>0</v>
      </c>
      <c r="Y3436"/>
      <c r="Z3436"/>
      <c r="AA3436"/>
    </row>
    <row r="3437" spans="1:27" s="51" customFormat="1" ht="18.600000000000001" hidden="1" customHeight="1" x14ac:dyDescent="0.25">
      <c r="A3437" s="81" t="s">
        <v>2653</v>
      </c>
      <c r="B3437" s="31" t="s">
        <v>9408</v>
      </c>
      <c r="C3437" s="32" t="s">
        <v>9414</v>
      </c>
      <c r="D3437" s="31" t="s">
        <v>8639</v>
      </c>
      <c r="E3437" s="33" t="s">
        <v>8640</v>
      </c>
      <c r="F3437" s="33" t="s">
        <v>1937</v>
      </c>
      <c r="G3437" s="33"/>
      <c r="H3437" s="84" t="s">
        <v>9858</v>
      </c>
      <c r="I3437" s="23" t="s">
        <v>24</v>
      </c>
      <c r="J3437" s="34">
        <v>1250</v>
      </c>
      <c r="K3437" s="35">
        <v>0.25</v>
      </c>
      <c r="L3437" s="36">
        <f t="shared" si="514"/>
        <v>312.5</v>
      </c>
      <c r="M3437" s="37">
        <f t="shared" si="515"/>
        <v>937.5</v>
      </c>
      <c r="N3437" s="38">
        <v>0.16</v>
      </c>
      <c r="O3437" s="39">
        <f t="shared" si="516"/>
        <v>150</v>
      </c>
      <c r="P3437" s="40">
        <f t="shared" si="517"/>
        <v>1087.5</v>
      </c>
      <c r="Q3437" s="23"/>
      <c r="R3437" s="56"/>
      <c r="S3437" s="57"/>
      <c r="T3437" s="58">
        <f t="shared" si="518"/>
        <v>0</v>
      </c>
      <c r="U3437" s="36">
        <f t="shared" si="519"/>
        <v>0</v>
      </c>
      <c r="V3437" s="59">
        <f t="shared" si="520"/>
        <v>0</v>
      </c>
      <c r="W3437" s="39">
        <f t="shared" si="521"/>
        <v>0</v>
      </c>
      <c r="X3437" s="40">
        <f t="shared" si="522"/>
        <v>0</v>
      </c>
      <c r="Y3437"/>
      <c r="Z3437"/>
      <c r="AA3437"/>
    </row>
    <row r="3438" spans="1:27" s="51" customFormat="1" ht="18.600000000000001" hidden="1" customHeight="1" x14ac:dyDescent="0.25">
      <c r="A3438" s="82" t="s">
        <v>2653</v>
      </c>
      <c r="B3438" s="41" t="s">
        <v>9408</v>
      </c>
      <c r="C3438" s="42" t="s">
        <v>9414</v>
      </c>
      <c r="D3438" s="41" t="s">
        <v>8641</v>
      </c>
      <c r="E3438" s="43" t="s">
        <v>8642</v>
      </c>
      <c r="F3438" s="43" t="s">
        <v>1937</v>
      </c>
      <c r="G3438" s="43"/>
      <c r="H3438" s="85" t="s">
        <v>9859</v>
      </c>
      <c r="I3438" s="23" t="s">
        <v>24</v>
      </c>
      <c r="J3438" s="44">
        <v>1890</v>
      </c>
      <c r="K3438" s="45">
        <v>0.25</v>
      </c>
      <c r="L3438" s="46">
        <f t="shared" si="514"/>
        <v>472.5</v>
      </c>
      <c r="M3438" s="47">
        <f t="shared" si="515"/>
        <v>1417.5</v>
      </c>
      <c r="N3438" s="48">
        <v>0.16</v>
      </c>
      <c r="O3438" s="49">
        <f t="shared" si="516"/>
        <v>226.8</v>
      </c>
      <c r="P3438" s="50">
        <f t="shared" si="517"/>
        <v>1644.3</v>
      </c>
      <c r="Q3438" s="23"/>
      <c r="R3438" s="60"/>
      <c r="S3438" s="61"/>
      <c r="T3438" s="62">
        <f t="shared" si="518"/>
        <v>0</v>
      </c>
      <c r="U3438" s="46">
        <f t="shared" si="519"/>
        <v>0</v>
      </c>
      <c r="V3438" s="63">
        <f t="shared" si="520"/>
        <v>0</v>
      </c>
      <c r="W3438" s="49">
        <f t="shared" si="521"/>
        <v>0</v>
      </c>
      <c r="X3438" s="50">
        <f t="shared" si="522"/>
        <v>0</v>
      </c>
      <c r="Y3438"/>
      <c r="Z3438"/>
      <c r="AA3438"/>
    </row>
    <row r="3439" spans="1:27" s="51" customFormat="1" ht="18.600000000000001" hidden="1" customHeight="1" x14ac:dyDescent="0.25">
      <c r="A3439" s="80" t="s">
        <v>2653</v>
      </c>
      <c r="B3439" s="20" t="s">
        <v>9408</v>
      </c>
      <c r="C3439" s="21" t="s">
        <v>9416</v>
      </c>
      <c r="D3439" s="20" t="s">
        <v>8643</v>
      </c>
      <c r="E3439" s="22" t="s">
        <v>8644</v>
      </c>
      <c r="F3439" s="22" t="s">
        <v>1937</v>
      </c>
      <c r="G3439" s="22"/>
      <c r="H3439" s="83" t="s">
        <v>9860</v>
      </c>
      <c r="I3439" s="23" t="s">
        <v>24</v>
      </c>
      <c r="J3439" s="24">
        <v>1950</v>
      </c>
      <c r="K3439" s="25">
        <v>0.25</v>
      </c>
      <c r="L3439" s="26">
        <f t="shared" si="514"/>
        <v>487.5</v>
      </c>
      <c r="M3439" s="27">
        <f t="shared" si="515"/>
        <v>1462.5</v>
      </c>
      <c r="N3439" s="28">
        <v>0.16</v>
      </c>
      <c r="O3439" s="29">
        <f t="shared" si="516"/>
        <v>234</v>
      </c>
      <c r="P3439" s="30">
        <f t="shared" si="517"/>
        <v>1696.5</v>
      </c>
      <c r="Q3439" s="23"/>
      <c r="R3439" s="52"/>
      <c r="S3439" s="53"/>
      <c r="T3439" s="54">
        <f t="shared" si="518"/>
        <v>0</v>
      </c>
      <c r="U3439" s="26">
        <f t="shared" si="519"/>
        <v>0</v>
      </c>
      <c r="V3439" s="55">
        <f t="shared" si="520"/>
        <v>0</v>
      </c>
      <c r="W3439" s="29">
        <f t="shared" si="521"/>
        <v>0</v>
      </c>
      <c r="X3439" s="30">
        <f t="shared" si="522"/>
        <v>0</v>
      </c>
      <c r="Y3439"/>
      <c r="Z3439"/>
      <c r="AA3439"/>
    </row>
    <row r="3440" spans="1:27" s="51" customFormat="1" ht="18.600000000000001" hidden="1" customHeight="1" x14ac:dyDescent="0.25">
      <c r="A3440" s="81" t="s">
        <v>2653</v>
      </c>
      <c r="B3440" s="31" t="s">
        <v>9408</v>
      </c>
      <c r="C3440" s="32" t="s">
        <v>9416</v>
      </c>
      <c r="D3440" s="31">
        <v>8435568312364</v>
      </c>
      <c r="E3440" s="33" t="s">
        <v>8645</v>
      </c>
      <c r="F3440" s="33" t="s">
        <v>1937</v>
      </c>
      <c r="G3440" s="33"/>
      <c r="H3440" s="84" t="s">
        <v>9861</v>
      </c>
      <c r="I3440" s="23" t="s">
        <v>24</v>
      </c>
      <c r="J3440" s="34">
        <v>1950</v>
      </c>
      <c r="K3440" s="35">
        <v>0.25</v>
      </c>
      <c r="L3440" s="36">
        <f t="shared" si="514"/>
        <v>487.5</v>
      </c>
      <c r="M3440" s="37">
        <f t="shared" si="515"/>
        <v>1462.5</v>
      </c>
      <c r="N3440" s="38">
        <v>0.16</v>
      </c>
      <c r="O3440" s="39">
        <f t="shared" si="516"/>
        <v>234</v>
      </c>
      <c r="P3440" s="40">
        <f t="shared" si="517"/>
        <v>1696.5</v>
      </c>
      <c r="Q3440" s="23"/>
      <c r="R3440" s="56"/>
      <c r="S3440" s="57"/>
      <c r="T3440" s="58">
        <f t="shared" si="518"/>
        <v>0</v>
      </c>
      <c r="U3440" s="36">
        <f t="shared" si="519"/>
        <v>0</v>
      </c>
      <c r="V3440" s="59">
        <f t="shared" si="520"/>
        <v>0</v>
      </c>
      <c r="W3440" s="39">
        <f t="shared" si="521"/>
        <v>0</v>
      </c>
      <c r="X3440" s="40">
        <f t="shared" si="522"/>
        <v>0</v>
      </c>
      <c r="Y3440"/>
      <c r="Z3440"/>
      <c r="AA3440"/>
    </row>
    <row r="3441" spans="1:27" s="51" customFormat="1" ht="18.600000000000001" hidden="1" customHeight="1" x14ac:dyDescent="0.25">
      <c r="A3441" s="82" t="s">
        <v>2653</v>
      </c>
      <c r="B3441" s="41" t="s">
        <v>9408</v>
      </c>
      <c r="C3441" s="42" t="s">
        <v>9416</v>
      </c>
      <c r="D3441" s="41" t="s">
        <v>8646</v>
      </c>
      <c r="E3441" s="43" t="s">
        <v>8647</v>
      </c>
      <c r="F3441" s="43" t="s">
        <v>1937</v>
      </c>
      <c r="G3441" s="43"/>
      <c r="H3441" s="85" t="s">
        <v>9862</v>
      </c>
      <c r="I3441" s="23" t="s">
        <v>24</v>
      </c>
      <c r="J3441" s="44">
        <v>490</v>
      </c>
      <c r="K3441" s="45">
        <v>0.25</v>
      </c>
      <c r="L3441" s="46">
        <f t="shared" si="514"/>
        <v>122.5</v>
      </c>
      <c r="M3441" s="47">
        <f t="shared" si="515"/>
        <v>367.5</v>
      </c>
      <c r="N3441" s="48">
        <v>0.16</v>
      </c>
      <c r="O3441" s="49">
        <f t="shared" si="516"/>
        <v>58.800000000000004</v>
      </c>
      <c r="P3441" s="50">
        <f t="shared" si="517"/>
        <v>426.3</v>
      </c>
      <c r="Q3441" s="23"/>
      <c r="R3441" s="60"/>
      <c r="S3441" s="61"/>
      <c r="T3441" s="62">
        <f t="shared" si="518"/>
        <v>0</v>
      </c>
      <c r="U3441" s="46">
        <f t="shared" si="519"/>
        <v>0</v>
      </c>
      <c r="V3441" s="63">
        <f t="shared" si="520"/>
        <v>0</v>
      </c>
      <c r="W3441" s="49">
        <f t="shared" si="521"/>
        <v>0</v>
      </c>
      <c r="X3441" s="50">
        <f t="shared" si="522"/>
        <v>0</v>
      </c>
      <c r="Y3441"/>
      <c r="Z3441"/>
      <c r="AA3441"/>
    </row>
    <row r="3442" spans="1:27" s="51" customFormat="1" ht="18.600000000000001" hidden="1" customHeight="1" x14ac:dyDescent="0.25">
      <c r="A3442" s="80" t="s">
        <v>2653</v>
      </c>
      <c r="B3442" s="20" t="s">
        <v>9408</v>
      </c>
      <c r="C3442" s="21" t="s">
        <v>9416</v>
      </c>
      <c r="D3442" s="20" t="s">
        <v>8648</v>
      </c>
      <c r="E3442" s="22" t="s">
        <v>8649</v>
      </c>
      <c r="F3442" s="22" t="s">
        <v>1937</v>
      </c>
      <c r="G3442" s="22"/>
      <c r="H3442" s="83" t="s">
        <v>9863</v>
      </c>
      <c r="I3442" s="23" t="s">
        <v>24</v>
      </c>
      <c r="J3442" s="24">
        <v>490</v>
      </c>
      <c r="K3442" s="25">
        <v>0.25</v>
      </c>
      <c r="L3442" s="26">
        <f t="shared" si="514"/>
        <v>122.5</v>
      </c>
      <c r="M3442" s="27">
        <f t="shared" si="515"/>
        <v>367.5</v>
      </c>
      <c r="N3442" s="28">
        <v>0.16</v>
      </c>
      <c r="O3442" s="29">
        <f t="shared" si="516"/>
        <v>58.800000000000004</v>
      </c>
      <c r="P3442" s="30">
        <f t="shared" si="517"/>
        <v>426.3</v>
      </c>
      <c r="Q3442" s="23"/>
      <c r="R3442" s="52"/>
      <c r="S3442" s="53"/>
      <c r="T3442" s="54">
        <f t="shared" si="518"/>
        <v>0</v>
      </c>
      <c r="U3442" s="26">
        <f t="shared" si="519"/>
        <v>0</v>
      </c>
      <c r="V3442" s="55">
        <f t="shared" si="520"/>
        <v>0</v>
      </c>
      <c r="W3442" s="29">
        <f t="shared" si="521"/>
        <v>0</v>
      </c>
      <c r="X3442" s="30">
        <f t="shared" si="522"/>
        <v>0</v>
      </c>
      <c r="Y3442"/>
      <c r="Z3442"/>
      <c r="AA3442"/>
    </row>
    <row r="3443" spans="1:27" s="51" customFormat="1" ht="18.600000000000001" hidden="1" customHeight="1" x14ac:dyDescent="0.25">
      <c r="A3443" s="81" t="s">
        <v>2653</v>
      </c>
      <c r="B3443" s="31" t="s">
        <v>9408</v>
      </c>
      <c r="C3443" s="32" t="s">
        <v>9416</v>
      </c>
      <c r="D3443" s="31" t="s">
        <v>8650</v>
      </c>
      <c r="E3443" s="33" t="s">
        <v>8651</v>
      </c>
      <c r="F3443" s="33" t="s">
        <v>1937</v>
      </c>
      <c r="G3443" s="33"/>
      <c r="H3443" s="84" t="s">
        <v>9864</v>
      </c>
      <c r="I3443" s="23" t="s">
        <v>24</v>
      </c>
      <c r="J3443" s="34">
        <v>490</v>
      </c>
      <c r="K3443" s="35">
        <v>0.25</v>
      </c>
      <c r="L3443" s="36">
        <f t="shared" si="514"/>
        <v>122.5</v>
      </c>
      <c r="M3443" s="37">
        <f t="shared" si="515"/>
        <v>367.5</v>
      </c>
      <c r="N3443" s="38">
        <v>0.16</v>
      </c>
      <c r="O3443" s="39">
        <f t="shared" si="516"/>
        <v>58.800000000000004</v>
      </c>
      <c r="P3443" s="40">
        <f t="shared" si="517"/>
        <v>426.3</v>
      </c>
      <c r="Q3443" s="23"/>
      <c r="R3443" s="56"/>
      <c r="S3443" s="57"/>
      <c r="T3443" s="58">
        <f t="shared" si="518"/>
        <v>0</v>
      </c>
      <c r="U3443" s="36">
        <f t="shared" si="519"/>
        <v>0</v>
      </c>
      <c r="V3443" s="59">
        <f t="shared" si="520"/>
        <v>0</v>
      </c>
      <c r="W3443" s="39">
        <f t="shared" si="521"/>
        <v>0</v>
      </c>
      <c r="X3443" s="40">
        <f t="shared" si="522"/>
        <v>0</v>
      </c>
      <c r="Y3443"/>
      <c r="Z3443"/>
      <c r="AA3443"/>
    </row>
    <row r="3444" spans="1:27" s="51" customFormat="1" ht="18.600000000000001" hidden="1" customHeight="1" x14ac:dyDescent="0.25">
      <c r="A3444" s="82" t="s">
        <v>2653</v>
      </c>
      <c r="B3444" s="41" t="s">
        <v>9408</v>
      </c>
      <c r="C3444" s="42" t="s">
        <v>9416</v>
      </c>
      <c r="D3444" s="41" t="s">
        <v>8652</v>
      </c>
      <c r="E3444" s="43" t="s">
        <v>8653</v>
      </c>
      <c r="F3444" s="43" t="s">
        <v>1937</v>
      </c>
      <c r="G3444" s="43"/>
      <c r="H3444" s="85" t="s">
        <v>9865</v>
      </c>
      <c r="I3444" s="23" t="s">
        <v>24</v>
      </c>
      <c r="J3444" s="44">
        <v>490</v>
      </c>
      <c r="K3444" s="45">
        <v>0.25</v>
      </c>
      <c r="L3444" s="46">
        <f t="shared" si="514"/>
        <v>122.5</v>
      </c>
      <c r="M3444" s="47">
        <f t="shared" si="515"/>
        <v>367.5</v>
      </c>
      <c r="N3444" s="48">
        <v>0.16</v>
      </c>
      <c r="O3444" s="49">
        <f t="shared" si="516"/>
        <v>58.800000000000004</v>
      </c>
      <c r="P3444" s="50">
        <f t="shared" si="517"/>
        <v>426.3</v>
      </c>
      <c r="Q3444" s="23"/>
      <c r="R3444" s="60"/>
      <c r="S3444" s="61"/>
      <c r="T3444" s="62">
        <f t="shared" si="518"/>
        <v>0</v>
      </c>
      <c r="U3444" s="46">
        <f t="shared" si="519"/>
        <v>0</v>
      </c>
      <c r="V3444" s="63">
        <f t="shared" si="520"/>
        <v>0</v>
      </c>
      <c r="W3444" s="49">
        <f t="shared" si="521"/>
        <v>0</v>
      </c>
      <c r="X3444" s="50">
        <f t="shared" si="522"/>
        <v>0</v>
      </c>
      <c r="Y3444"/>
      <c r="Z3444"/>
      <c r="AA3444"/>
    </row>
    <row r="3445" spans="1:27" s="51" customFormat="1" ht="18.600000000000001" hidden="1" customHeight="1" x14ac:dyDescent="0.25">
      <c r="A3445" s="80" t="s">
        <v>2653</v>
      </c>
      <c r="B3445" s="20" t="s">
        <v>9408</v>
      </c>
      <c r="C3445" s="21" t="s">
        <v>9416</v>
      </c>
      <c r="D3445" s="20" t="s">
        <v>8654</v>
      </c>
      <c r="E3445" s="22" t="s">
        <v>8655</v>
      </c>
      <c r="F3445" s="22" t="s">
        <v>1937</v>
      </c>
      <c r="G3445" s="22"/>
      <c r="H3445" s="83" t="s">
        <v>9866</v>
      </c>
      <c r="I3445" s="23" t="s">
        <v>24</v>
      </c>
      <c r="J3445" s="24">
        <v>490</v>
      </c>
      <c r="K3445" s="25">
        <v>0.25</v>
      </c>
      <c r="L3445" s="26">
        <f t="shared" si="514"/>
        <v>122.5</v>
      </c>
      <c r="M3445" s="27">
        <f t="shared" si="515"/>
        <v>367.5</v>
      </c>
      <c r="N3445" s="28">
        <v>0.16</v>
      </c>
      <c r="O3445" s="29">
        <f t="shared" si="516"/>
        <v>58.800000000000004</v>
      </c>
      <c r="P3445" s="30">
        <f t="shared" si="517"/>
        <v>426.3</v>
      </c>
      <c r="Q3445" s="23"/>
      <c r="R3445" s="52"/>
      <c r="S3445" s="53"/>
      <c r="T3445" s="54">
        <f t="shared" si="518"/>
        <v>0</v>
      </c>
      <c r="U3445" s="26">
        <f t="shared" si="519"/>
        <v>0</v>
      </c>
      <c r="V3445" s="55">
        <f t="shared" si="520"/>
        <v>0</v>
      </c>
      <c r="W3445" s="29">
        <f t="shared" si="521"/>
        <v>0</v>
      </c>
      <c r="X3445" s="30">
        <f t="shared" si="522"/>
        <v>0</v>
      </c>
      <c r="Y3445"/>
      <c r="Z3445"/>
      <c r="AA3445"/>
    </row>
    <row r="3446" spans="1:27" s="51" customFormat="1" ht="18.600000000000001" hidden="1" customHeight="1" x14ac:dyDescent="0.25">
      <c r="A3446" s="81" t="s">
        <v>2653</v>
      </c>
      <c r="B3446" s="31" t="s">
        <v>9408</v>
      </c>
      <c r="C3446" s="32" t="s">
        <v>9416</v>
      </c>
      <c r="D3446" s="31" t="s">
        <v>8656</v>
      </c>
      <c r="E3446" s="33" t="s">
        <v>8657</v>
      </c>
      <c r="F3446" s="33" t="s">
        <v>1937</v>
      </c>
      <c r="G3446" s="33"/>
      <c r="H3446" s="84" t="s">
        <v>9867</v>
      </c>
      <c r="I3446" s="23" t="s">
        <v>24</v>
      </c>
      <c r="J3446" s="34">
        <v>490</v>
      </c>
      <c r="K3446" s="35">
        <v>0.25</v>
      </c>
      <c r="L3446" s="36">
        <f t="shared" si="514"/>
        <v>122.5</v>
      </c>
      <c r="M3446" s="37">
        <f t="shared" si="515"/>
        <v>367.5</v>
      </c>
      <c r="N3446" s="38">
        <v>0.16</v>
      </c>
      <c r="O3446" s="39">
        <f t="shared" si="516"/>
        <v>58.800000000000004</v>
      </c>
      <c r="P3446" s="40">
        <f t="shared" si="517"/>
        <v>426.3</v>
      </c>
      <c r="Q3446" s="23"/>
      <c r="R3446" s="56"/>
      <c r="S3446" s="57"/>
      <c r="T3446" s="58">
        <f t="shared" si="518"/>
        <v>0</v>
      </c>
      <c r="U3446" s="36">
        <f t="shared" si="519"/>
        <v>0</v>
      </c>
      <c r="V3446" s="59">
        <f t="shared" si="520"/>
        <v>0</v>
      </c>
      <c r="W3446" s="39">
        <f t="shared" si="521"/>
        <v>0</v>
      </c>
      <c r="X3446" s="40">
        <f t="shared" si="522"/>
        <v>0</v>
      </c>
      <c r="Y3446"/>
      <c r="Z3446"/>
      <c r="AA3446"/>
    </row>
    <row r="3447" spans="1:27" s="51" customFormat="1" ht="18.600000000000001" hidden="1" customHeight="1" x14ac:dyDescent="0.25">
      <c r="A3447" s="82" t="s">
        <v>2653</v>
      </c>
      <c r="B3447" s="41" t="s">
        <v>9408</v>
      </c>
      <c r="C3447" s="42" t="s">
        <v>9416</v>
      </c>
      <c r="D3447" s="41" t="s">
        <v>8658</v>
      </c>
      <c r="E3447" s="43" t="s">
        <v>8659</v>
      </c>
      <c r="F3447" s="43" t="s">
        <v>1937</v>
      </c>
      <c r="G3447" s="43"/>
      <c r="H3447" s="85" t="s">
        <v>9868</v>
      </c>
      <c r="I3447" s="23" t="s">
        <v>24</v>
      </c>
      <c r="J3447" s="44">
        <v>490</v>
      </c>
      <c r="K3447" s="45">
        <v>0.25</v>
      </c>
      <c r="L3447" s="46">
        <f t="shared" si="514"/>
        <v>122.5</v>
      </c>
      <c r="M3447" s="47">
        <f t="shared" si="515"/>
        <v>367.5</v>
      </c>
      <c r="N3447" s="48">
        <v>0.16</v>
      </c>
      <c r="O3447" s="49">
        <f t="shared" si="516"/>
        <v>58.800000000000004</v>
      </c>
      <c r="P3447" s="50">
        <f t="shared" si="517"/>
        <v>426.3</v>
      </c>
      <c r="Q3447" s="23"/>
      <c r="R3447" s="60"/>
      <c r="S3447" s="61"/>
      <c r="T3447" s="62">
        <f t="shared" si="518"/>
        <v>0</v>
      </c>
      <c r="U3447" s="46">
        <f t="shared" si="519"/>
        <v>0</v>
      </c>
      <c r="V3447" s="63">
        <f t="shared" si="520"/>
        <v>0</v>
      </c>
      <c r="W3447" s="49">
        <f t="shared" si="521"/>
        <v>0</v>
      </c>
      <c r="X3447" s="50">
        <f t="shared" si="522"/>
        <v>0</v>
      </c>
      <c r="Y3447"/>
      <c r="Z3447"/>
      <c r="AA3447"/>
    </row>
    <row r="3448" spans="1:27" s="51" customFormat="1" ht="18.600000000000001" hidden="1" customHeight="1" x14ac:dyDescent="0.25">
      <c r="A3448" s="80" t="s">
        <v>2653</v>
      </c>
      <c r="B3448" s="20" t="s">
        <v>9408</v>
      </c>
      <c r="C3448" s="21" t="s">
        <v>9416</v>
      </c>
      <c r="D3448" s="20" t="s">
        <v>8660</v>
      </c>
      <c r="E3448" s="22" t="s">
        <v>8661</v>
      </c>
      <c r="F3448" s="22" t="s">
        <v>1937</v>
      </c>
      <c r="G3448" s="22"/>
      <c r="H3448" s="83" t="s">
        <v>9869</v>
      </c>
      <c r="I3448" s="23" t="s">
        <v>24</v>
      </c>
      <c r="J3448" s="24">
        <v>490</v>
      </c>
      <c r="K3448" s="25">
        <v>0.25</v>
      </c>
      <c r="L3448" s="26">
        <f t="shared" si="514"/>
        <v>122.5</v>
      </c>
      <c r="M3448" s="27">
        <f t="shared" si="515"/>
        <v>367.5</v>
      </c>
      <c r="N3448" s="28">
        <v>0.16</v>
      </c>
      <c r="O3448" s="29">
        <f t="shared" si="516"/>
        <v>58.800000000000004</v>
      </c>
      <c r="P3448" s="30">
        <f t="shared" si="517"/>
        <v>426.3</v>
      </c>
      <c r="Q3448" s="23"/>
      <c r="R3448" s="52"/>
      <c r="S3448" s="53"/>
      <c r="T3448" s="54">
        <f t="shared" si="518"/>
        <v>0</v>
      </c>
      <c r="U3448" s="26">
        <f t="shared" si="519"/>
        <v>0</v>
      </c>
      <c r="V3448" s="55">
        <f t="shared" si="520"/>
        <v>0</v>
      </c>
      <c r="W3448" s="29">
        <f t="shared" si="521"/>
        <v>0</v>
      </c>
      <c r="X3448" s="30">
        <f t="shared" si="522"/>
        <v>0</v>
      </c>
      <c r="Y3448"/>
      <c r="Z3448"/>
      <c r="AA3448"/>
    </row>
    <row r="3449" spans="1:27" s="51" customFormat="1" ht="18.600000000000001" hidden="1" customHeight="1" x14ac:dyDescent="0.25">
      <c r="A3449" s="81" t="s">
        <v>2653</v>
      </c>
      <c r="B3449" s="31" t="s">
        <v>9408</v>
      </c>
      <c r="C3449" s="32" t="s">
        <v>9416</v>
      </c>
      <c r="D3449" s="31" t="s">
        <v>8662</v>
      </c>
      <c r="E3449" s="33" t="s">
        <v>8663</v>
      </c>
      <c r="F3449" s="33" t="s">
        <v>1937</v>
      </c>
      <c r="G3449" s="33"/>
      <c r="H3449" s="84" t="s">
        <v>9870</v>
      </c>
      <c r="I3449" s="23" t="s">
        <v>24</v>
      </c>
      <c r="J3449" s="34">
        <v>490</v>
      </c>
      <c r="K3449" s="35">
        <v>0.25</v>
      </c>
      <c r="L3449" s="36">
        <f t="shared" si="514"/>
        <v>122.5</v>
      </c>
      <c r="M3449" s="37">
        <f t="shared" si="515"/>
        <v>367.5</v>
      </c>
      <c r="N3449" s="38">
        <v>0.16</v>
      </c>
      <c r="O3449" s="39">
        <f t="shared" si="516"/>
        <v>58.800000000000004</v>
      </c>
      <c r="P3449" s="40">
        <f t="shared" si="517"/>
        <v>426.3</v>
      </c>
      <c r="Q3449" s="23"/>
      <c r="R3449" s="56"/>
      <c r="S3449" s="57"/>
      <c r="T3449" s="58">
        <f t="shared" si="518"/>
        <v>0</v>
      </c>
      <c r="U3449" s="36">
        <f t="shared" si="519"/>
        <v>0</v>
      </c>
      <c r="V3449" s="59">
        <f t="shared" si="520"/>
        <v>0</v>
      </c>
      <c r="W3449" s="39">
        <f t="shared" si="521"/>
        <v>0</v>
      </c>
      <c r="X3449" s="40">
        <f t="shared" si="522"/>
        <v>0</v>
      </c>
      <c r="Y3449"/>
      <c r="Z3449"/>
      <c r="AA3449"/>
    </row>
    <row r="3450" spans="1:27" s="51" customFormat="1" ht="18.600000000000001" hidden="1" customHeight="1" x14ac:dyDescent="0.25">
      <c r="A3450" s="82" t="s">
        <v>2653</v>
      </c>
      <c r="B3450" s="41" t="s">
        <v>9408</v>
      </c>
      <c r="C3450" s="42" t="s">
        <v>9416</v>
      </c>
      <c r="D3450" s="41" t="s">
        <v>8664</v>
      </c>
      <c r="E3450" s="43" t="s">
        <v>8665</v>
      </c>
      <c r="F3450" s="43" t="s">
        <v>1937</v>
      </c>
      <c r="G3450" s="43"/>
      <c r="H3450" s="85" t="s">
        <v>9871</v>
      </c>
      <c r="I3450" s="23" t="s">
        <v>24</v>
      </c>
      <c r="J3450" s="44">
        <v>490</v>
      </c>
      <c r="K3450" s="45">
        <v>0.25</v>
      </c>
      <c r="L3450" s="46">
        <f t="shared" si="514"/>
        <v>122.5</v>
      </c>
      <c r="M3450" s="47">
        <f t="shared" si="515"/>
        <v>367.5</v>
      </c>
      <c r="N3450" s="48">
        <v>0.16</v>
      </c>
      <c r="O3450" s="49">
        <f t="shared" si="516"/>
        <v>58.800000000000004</v>
      </c>
      <c r="P3450" s="50">
        <f t="shared" si="517"/>
        <v>426.3</v>
      </c>
      <c r="Q3450" s="23"/>
      <c r="R3450" s="60"/>
      <c r="S3450" s="61"/>
      <c r="T3450" s="62">
        <f t="shared" si="518"/>
        <v>0</v>
      </c>
      <c r="U3450" s="46">
        <f t="shared" si="519"/>
        <v>0</v>
      </c>
      <c r="V3450" s="63">
        <f t="shared" si="520"/>
        <v>0</v>
      </c>
      <c r="W3450" s="49">
        <f t="shared" si="521"/>
        <v>0</v>
      </c>
      <c r="X3450" s="50">
        <f t="shared" si="522"/>
        <v>0</v>
      </c>
      <c r="Y3450"/>
      <c r="Z3450"/>
      <c r="AA3450"/>
    </row>
    <row r="3451" spans="1:27" s="51" customFormat="1" ht="18.600000000000001" hidden="1" customHeight="1" x14ac:dyDescent="0.25">
      <c r="A3451" s="80" t="s">
        <v>2653</v>
      </c>
      <c r="B3451" s="20" t="s">
        <v>9408</v>
      </c>
      <c r="C3451" s="21" t="s">
        <v>9416</v>
      </c>
      <c r="D3451" s="20" t="s">
        <v>8666</v>
      </c>
      <c r="E3451" s="22" t="s">
        <v>8667</v>
      </c>
      <c r="F3451" s="22" t="s">
        <v>1937</v>
      </c>
      <c r="G3451" s="22"/>
      <c r="H3451" s="83" t="s">
        <v>9872</v>
      </c>
      <c r="I3451" s="23" t="s">
        <v>24</v>
      </c>
      <c r="J3451" s="24">
        <v>490</v>
      </c>
      <c r="K3451" s="25">
        <v>0.25</v>
      </c>
      <c r="L3451" s="26">
        <f t="shared" si="514"/>
        <v>122.5</v>
      </c>
      <c r="M3451" s="27">
        <f t="shared" si="515"/>
        <v>367.5</v>
      </c>
      <c r="N3451" s="28">
        <v>0.16</v>
      </c>
      <c r="O3451" s="29">
        <f t="shared" si="516"/>
        <v>58.800000000000004</v>
      </c>
      <c r="P3451" s="30">
        <f t="shared" si="517"/>
        <v>426.3</v>
      </c>
      <c r="Q3451" s="23"/>
      <c r="R3451" s="52"/>
      <c r="S3451" s="53"/>
      <c r="T3451" s="54">
        <f t="shared" si="518"/>
        <v>0</v>
      </c>
      <c r="U3451" s="26">
        <f t="shared" si="519"/>
        <v>0</v>
      </c>
      <c r="V3451" s="55">
        <f t="shared" si="520"/>
        <v>0</v>
      </c>
      <c r="W3451" s="29">
        <f t="shared" si="521"/>
        <v>0</v>
      </c>
      <c r="X3451" s="30">
        <f t="shared" si="522"/>
        <v>0</v>
      </c>
      <c r="Y3451"/>
      <c r="Z3451"/>
      <c r="AA3451"/>
    </row>
    <row r="3452" spans="1:27" s="51" customFormat="1" ht="18.600000000000001" hidden="1" customHeight="1" x14ac:dyDescent="0.25">
      <c r="A3452" s="81" t="s">
        <v>2653</v>
      </c>
      <c r="B3452" s="31" t="s">
        <v>9408</v>
      </c>
      <c r="C3452" s="32" t="s">
        <v>9416</v>
      </c>
      <c r="D3452" s="31" t="s">
        <v>8668</v>
      </c>
      <c r="E3452" s="33" t="s">
        <v>8669</v>
      </c>
      <c r="F3452" s="33" t="s">
        <v>1937</v>
      </c>
      <c r="G3452" s="33"/>
      <c r="H3452" s="84" t="s">
        <v>9873</v>
      </c>
      <c r="I3452" s="23" t="s">
        <v>24</v>
      </c>
      <c r="J3452" s="34">
        <v>490</v>
      </c>
      <c r="K3452" s="35">
        <v>0.25</v>
      </c>
      <c r="L3452" s="36">
        <f t="shared" si="514"/>
        <v>122.5</v>
      </c>
      <c r="M3452" s="37">
        <f t="shared" si="515"/>
        <v>367.5</v>
      </c>
      <c r="N3452" s="38">
        <v>0.16</v>
      </c>
      <c r="O3452" s="39">
        <f t="shared" si="516"/>
        <v>58.800000000000004</v>
      </c>
      <c r="P3452" s="40">
        <f t="shared" si="517"/>
        <v>426.3</v>
      </c>
      <c r="Q3452" s="23"/>
      <c r="R3452" s="56"/>
      <c r="S3452" s="57"/>
      <c r="T3452" s="58">
        <f t="shared" si="518"/>
        <v>0</v>
      </c>
      <c r="U3452" s="36">
        <f t="shared" si="519"/>
        <v>0</v>
      </c>
      <c r="V3452" s="59">
        <f t="shared" si="520"/>
        <v>0</v>
      </c>
      <c r="W3452" s="39">
        <f t="shared" si="521"/>
        <v>0</v>
      </c>
      <c r="X3452" s="40">
        <f t="shared" si="522"/>
        <v>0</v>
      </c>
      <c r="Y3452"/>
      <c r="Z3452"/>
      <c r="AA3452"/>
    </row>
    <row r="3453" spans="1:27" s="51" customFormat="1" ht="18.600000000000001" hidden="1" customHeight="1" x14ac:dyDescent="0.25">
      <c r="A3453" s="82" t="s">
        <v>2653</v>
      </c>
      <c r="B3453" s="41" t="s">
        <v>9408</v>
      </c>
      <c r="C3453" s="42" t="s">
        <v>9416</v>
      </c>
      <c r="D3453" s="41" t="s">
        <v>8670</v>
      </c>
      <c r="E3453" s="43" t="s">
        <v>8671</v>
      </c>
      <c r="F3453" s="43" t="s">
        <v>1937</v>
      </c>
      <c r="G3453" s="43"/>
      <c r="H3453" s="85" t="s">
        <v>9874</v>
      </c>
      <c r="I3453" s="23" t="s">
        <v>24</v>
      </c>
      <c r="J3453" s="44">
        <v>490</v>
      </c>
      <c r="K3453" s="45">
        <v>0.25</v>
      </c>
      <c r="L3453" s="46">
        <f t="shared" si="514"/>
        <v>122.5</v>
      </c>
      <c r="M3453" s="47">
        <f t="shared" si="515"/>
        <v>367.5</v>
      </c>
      <c r="N3453" s="48">
        <v>0.16</v>
      </c>
      <c r="O3453" s="49">
        <f t="shared" si="516"/>
        <v>58.800000000000004</v>
      </c>
      <c r="P3453" s="50">
        <f t="shared" si="517"/>
        <v>426.3</v>
      </c>
      <c r="Q3453" s="23"/>
      <c r="R3453" s="60"/>
      <c r="S3453" s="61"/>
      <c r="T3453" s="62">
        <f t="shared" si="518"/>
        <v>0</v>
      </c>
      <c r="U3453" s="46">
        <f t="shared" si="519"/>
        <v>0</v>
      </c>
      <c r="V3453" s="63">
        <f t="shared" si="520"/>
        <v>0</v>
      </c>
      <c r="W3453" s="49">
        <f t="shared" si="521"/>
        <v>0</v>
      </c>
      <c r="X3453" s="50">
        <f t="shared" si="522"/>
        <v>0</v>
      </c>
      <c r="Y3453"/>
      <c r="Z3453"/>
      <c r="AA3453"/>
    </row>
    <row r="3454" spans="1:27" s="51" customFormat="1" ht="18.600000000000001" hidden="1" customHeight="1" x14ac:dyDescent="0.25">
      <c r="A3454" s="80" t="s">
        <v>2653</v>
      </c>
      <c r="B3454" s="20" t="s">
        <v>9408</v>
      </c>
      <c r="C3454" s="21" t="s">
        <v>9416</v>
      </c>
      <c r="D3454" s="20" t="s">
        <v>8672</v>
      </c>
      <c r="E3454" s="22" t="s">
        <v>8673</v>
      </c>
      <c r="F3454" s="22" t="s">
        <v>1937</v>
      </c>
      <c r="G3454" s="22"/>
      <c r="H3454" s="83" t="s">
        <v>9875</v>
      </c>
      <c r="I3454" s="23" t="s">
        <v>24</v>
      </c>
      <c r="J3454" s="24">
        <v>490</v>
      </c>
      <c r="K3454" s="25">
        <v>0.25</v>
      </c>
      <c r="L3454" s="26">
        <f t="shared" si="514"/>
        <v>122.5</v>
      </c>
      <c r="M3454" s="27">
        <f t="shared" si="515"/>
        <v>367.5</v>
      </c>
      <c r="N3454" s="28">
        <v>0.16</v>
      </c>
      <c r="O3454" s="29">
        <f t="shared" si="516"/>
        <v>58.800000000000004</v>
      </c>
      <c r="P3454" s="30">
        <f t="shared" si="517"/>
        <v>426.3</v>
      </c>
      <c r="Q3454" s="23"/>
      <c r="R3454" s="52"/>
      <c r="S3454" s="53"/>
      <c r="T3454" s="54">
        <f t="shared" si="518"/>
        <v>0</v>
      </c>
      <c r="U3454" s="26">
        <f t="shared" si="519"/>
        <v>0</v>
      </c>
      <c r="V3454" s="55">
        <f t="shared" si="520"/>
        <v>0</v>
      </c>
      <c r="W3454" s="29">
        <f t="shared" si="521"/>
        <v>0</v>
      </c>
      <c r="X3454" s="30">
        <f t="shared" si="522"/>
        <v>0</v>
      </c>
      <c r="Y3454"/>
      <c r="Z3454"/>
      <c r="AA3454"/>
    </row>
    <row r="3455" spans="1:27" s="51" customFormat="1" ht="18.600000000000001" hidden="1" customHeight="1" x14ac:dyDescent="0.25">
      <c r="A3455" s="81" t="s">
        <v>2653</v>
      </c>
      <c r="B3455" s="31" t="s">
        <v>9408</v>
      </c>
      <c r="C3455" s="32" t="s">
        <v>9416</v>
      </c>
      <c r="D3455" s="31" t="s">
        <v>8674</v>
      </c>
      <c r="E3455" s="33" t="s">
        <v>8675</v>
      </c>
      <c r="F3455" s="33" t="s">
        <v>1937</v>
      </c>
      <c r="G3455" s="33"/>
      <c r="H3455" s="84" t="s">
        <v>9876</v>
      </c>
      <c r="I3455" s="23" t="s">
        <v>24</v>
      </c>
      <c r="J3455" s="34">
        <v>490</v>
      </c>
      <c r="K3455" s="35">
        <v>0.25</v>
      </c>
      <c r="L3455" s="36">
        <f t="shared" si="514"/>
        <v>122.5</v>
      </c>
      <c r="M3455" s="37">
        <f t="shared" si="515"/>
        <v>367.5</v>
      </c>
      <c r="N3455" s="38">
        <v>0.16</v>
      </c>
      <c r="O3455" s="39">
        <f t="shared" si="516"/>
        <v>58.800000000000004</v>
      </c>
      <c r="P3455" s="40">
        <f t="shared" si="517"/>
        <v>426.3</v>
      </c>
      <c r="Q3455" s="23"/>
      <c r="R3455" s="56"/>
      <c r="S3455" s="57"/>
      <c r="T3455" s="58">
        <f t="shared" si="518"/>
        <v>0</v>
      </c>
      <c r="U3455" s="36">
        <f t="shared" si="519"/>
        <v>0</v>
      </c>
      <c r="V3455" s="59">
        <f t="shared" si="520"/>
        <v>0</v>
      </c>
      <c r="W3455" s="39">
        <f t="shared" si="521"/>
        <v>0</v>
      </c>
      <c r="X3455" s="40">
        <f t="shared" si="522"/>
        <v>0</v>
      </c>
      <c r="Y3455"/>
      <c r="Z3455"/>
      <c r="AA3455"/>
    </row>
    <row r="3456" spans="1:27" s="51" customFormat="1" ht="18.600000000000001" hidden="1" customHeight="1" x14ac:dyDescent="0.25">
      <c r="A3456" s="82" t="s">
        <v>2653</v>
      </c>
      <c r="B3456" s="41" t="s">
        <v>9408</v>
      </c>
      <c r="C3456" s="42" t="s">
        <v>9416</v>
      </c>
      <c r="D3456" s="41" t="s">
        <v>8676</v>
      </c>
      <c r="E3456" s="43" t="s">
        <v>8677</v>
      </c>
      <c r="F3456" s="43" t="s">
        <v>1937</v>
      </c>
      <c r="G3456" s="43"/>
      <c r="H3456" s="85" t="s">
        <v>9877</v>
      </c>
      <c r="I3456" s="23" t="s">
        <v>24</v>
      </c>
      <c r="J3456" s="44">
        <v>490</v>
      </c>
      <c r="K3456" s="45">
        <v>0.25</v>
      </c>
      <c r="L3456" s="46">
        <f t="shared" si="514"/>
        <v>122.5</v>
      </c>
      <c r="M3456" s="47">
        <f t="shared" si="515"/>
        <v>367.5</v>
      </c>
      <c r="N3456" s="48">
        <v>0.16</v>
      </c>
      <c r="O3456" s="49">
        <f t="shared" si="516"/>
        <v>58.800000000000004</v>
      </c>
      <c r="P3456" s="50">
        <f t="shared" si="517"/>
        <v>426.3</v>
      </c>
      <c r="Q3456" s="23"/>
      <c r="R3456" s="60"/>
      <c r="S3456" s="61"/>
      <c r="T3456" s="62">
        <f t="shared" si="518"/>
        <v>0</v>
      </c>
      <c r="U3456" s="46">
        <f t="shared" si="519"/>
        <v>0</v>
      </c>
      <c r="V3456" s="63">
        <f t="shared" si="520"/>
        <v>0</v>
      </c>
      <c r="W3456" s="49">
        <f t="shared" si="521"/>
        <v>0</v>
      </c>
      <c r="X3456" s="50">
        <f t="shared" si="522"/>
        <v>0</v>
      </c>
      <c r="Y3456"/>
      <c r="Z3456"/>
      <c r="AA3456"/>
    </row>
    <row r="3457" spans="1:27" s="51" customFormat="1" ht="18.600000000000001" hidden="1" customHeight="1" x14ac:dyDescent="0.25">
      <c r="A3457" s="80" t="s">
        <v>2653</v>
      </c>
      <c r="B3457" s="20" t="s">
        <v>9408</v>
      </c>
      <c r="C3457" s="21" t="s">
        <v>9416</v>
      </c>
      <c r="D3457" s="20" t="s">
        <v>8678</v>
      </c>
      <c r="E3457" s="22" t="s">
        <v>8679</v>
      </c>
      <c r="F3457" s="22" t="s">
        <v>1937</v>
      </c>
      <c r="G3457" s="22"/>
      <c r="H3457" s="83" t="s">
        <v>9878</v>
      </c>
      <c r="I3457" s="23" t="s">
        <v>24</v>
      </c>
      <c r="J3457" s="24">
        <v>490</v>
      </c>
      <c r="K3457" s="25">
        <v>0.25</v>
      </c>
      <c r="L3457" s="26">
        <f t="shared" si="514"/>
        <v>122.5</v>
      </c>
      <c r="M3457" s="27">
        <f t="shared" si="515"/>
        <v>367.5</v>
      </c>
      <c r="N3457" s="28">
        <v>0.16</v>
      </c>
      <c r="O3457" s="29">
        <f t="shared" si="516"/>
        <v>58.800000000000004</v>
      </c>
      <c r="P3457" s="30">
        <f t="shared" si="517"/>
        <v>426.3</v>
      </c>
      <c r="Q3457" s="23"/>
      <c r="R3457" s="52"/>
      <c r="S3457" s="53"/>
      <c r="T3457" s="54">
        <f t="shared" si="518"/>
        <v>0</v>
      </c>
      <c r="U3457" s="26">
        <f t="shared" si="519"/>
        <v>0</v>
      </c>
      <c r="V3457" s="55">
        <f t="shared" si="520"/>
        <v>0</v>
      </c>
      <c r="W3457" s="29">
        <f t="shared" si="521"/>
        <v>0</v>
      </c>
      <c r="X3457" s="30">
        <f t="shared" si="522"/>
        <v>0</v>
      </c>
      <c r="Y3457"/>
      <c r="Z3457"/>
      <c r="AA3457"/>
    </row>
    <row r="3458" spans="1:27" s="51" customFormat="1" ht="18.600000000000001" hidden="1" customHeight="1" x14ac:dyDescent="0.25">
      <c r="A3458" s="81" t="s">
        <v>2653</v>
      </c>
      <c r="B3458" s="31" t="s">
        <v>9408</v>
      </c>
      <c r="C3458" s="32" t="s">
        <v>9416</v>
      </c>
      <c r="D3458" s="31" t="s">
        <v>8680</v>
      </c>
      <c r="E3458" s="33" t="s">
        <v>8681</v>
      </c>
      <c r="F3458" s="33" t="s">
        <v>1937</v>
      </c>
      <c r="G3458" s="33"/>
      <c r="H3458" s="84" t="s">
        <v>9879</v>
      </c>
      <c r="I3458" s="23" t="s">
        <v>24</v>
      </c>
      <c r="J3458" s="34">
        <v>490</v>
      </c>
      <c r="K3458" s="35">
        <v>0.25</v>
      </c>
      <c r="L3458" s="36">
        <f t="shared" si="514"/>
        <v>122.5</v>
      </c>
      <c r="M3458" s="37">
        <f t="shared" si="515"/>
        <v>367.5</v>
      </c>
      <c r="N3458" s="38">
        <v>0.16</v>
      </c>
      <c r="O3458" s="39">
        <f t="shared" si="516"/>
        <v>58.800000000000004</v>
      </c>
      <c r="P3458" s="40">
        <f t="shared" si="517"/>
        <v>426.3</v>
      </c>
      <c r="Q3458" s="23"/>
      <c r="R3458" s="56"/>
      <c r="S3458" s="57"/>
      <c r="T3458" s="58">
        <f t="shared" si="518"/>
        <v>0</v>
      </c>
      <c r="U3458" s="36">
        <f t="shared" si="519"/>
        <v>0</v>
      </c>
      <c r="V3458" s="59">
        <f t="shared" si="520"/>
        <v>0</v>
      </c>
      <c r="W3458" s="39">
        <f t="shared" si="521"/>
        <v>0</v>
      </c>
      <c r="X3458" s="40">
        <f t="shared" si="522"/>
        <v>0</v>
      </c>
      <c r="Y3458"/>
      <c r="Z3458"/>
      <c r="AA3458"/>
    </row>
    <row r="3459" spans="1:27" s="51" customFormat="1" ht="18.600000000000001" hidden="1" customHeight="1" x14ac:dyDescent="0.25">
      <c r="A3459" s="82" t="s">
        <v>2653</v>
      </c>
      <c r="B3459" s="41" t="s">
        <v>9408</v>
      </c>
      <c r="C3459" s="42" t="s">
        <v>9416</v>
      </c>
      <c r="D3459" s="41" t="s">
        <v>8682</v>
      </c>
      <c r="E3459" s="43" t="s">
        <v>8683</v>
      </c>
      <c r="F3459" s="43" t="s">
        <v>1937</v>
      </c>
      <c r="G3459" s="43"/>
      <c r="H3459" s="85" t="s">
        <v>9880</v>
      </c>
      <c r="I3459" s="23" t="s">
        <v>24</v>
      </c>
      <c r="J3459" s="44">
        <v>490</v>
      </c>
      <c r="K3459" s="45">
        <v>0.25</v>
      </c>
      <c r="L3459" s="46">
        <f t="shared" si="514"/>
        <v>122.5</v>
      </c>
      <c r="M3459" s="47">
        <f t="shared" si="515"/>
        <v>367.5</v>
      </c>
      <c r="N3459" s="48">
        <v>0.16</v>
      </c>
      <c r="O3459" s="49">
        <f t="shared" si="516"/>
        <v>58.800000000000004</v>
      </c>
      <c r="P3459" s="50">
        <f t="shared" si="517"/>
        <v>426.3</v>
      </c>
      <c r="Q3459" s="23"/>
      <c r="R3459" s="60"/>
      <c r="S3459" s="61"/>
      <c r="T3459" s="62">
        <f t="shared" si="518"/>
        <v>0</v>
      </c>
      <c r="U3459" s="46">
        <f t="shared" si="519"/>
        <v>0</v>
      </c>
      <c r="V3459" s="63">
        <f t="shared" si="520"/>
        <v>0</v>
      </c>
      <c r="W3459" s="49">
        <f t="shared" si="521"/>
        <v>0</v>
      </c>
      <c r="X3459" s="50">
        <f t="shared" si="522"/>
        <v>0</v>
      </c>
      <c r="Y3459"/>
      <c r="Z3459"/>
      <c r="AA3459"/>
    </row>
    <row r="3460" spans="1:27" s="51" customFormat="1" ht="18.600000000000001" hidden="1" customHeight="1" x14ac:dyDescent="0.25">
      <c r="A3460" s="80" t="s">
        <v>2653</v>
      </c>
      <c r="B3460" s="20" t="s">
        <v>9408</v>
      </c>
      <c r="C3460" s="21" t="s">
        <v>9416</v>
      </c>
      <c r="D3460" s="20" t="s">
        <v>8684</v>
      </c>
      <c r="E3460" s="22" t="s">
        <v>8685</v>
      </c>
      <c r="F3460" s="22" t="s">
        <v>1937</v>
      </c>
      <c r="G3460" s="22"/>
      <c r="H3460" s="83" t="s">
        <v>9881</v>
      </c>
      <c r="I3460" s="23" t="s">
        <v>24</v>
      </c>
      <c r="J3460" s="24">
        <v>1070</v>
      </c>
      <c r="K3460" s="25">
        <v>0.25</v>
      </c>
      <c r="L3460" s="26">
        <f t="shared" si="514"/>
        <v>267.5</v>
      </c>
      <c r="M3460" s="27">
        <f t="shared" si="515"/>
        <v>802.5</v>
      </c>
      <c r="N3460" s="28">
        <v>0.16</v>
      </c>
      <c r="O3460" s="29">
        <f t="shared" si="516"/>
        <v>128.4</v>
      </c>
      <c r="P3460" s="30">
        <f t="shared" si="517"/>
        <v>930.9</v>
      </c>
      <c r="Q3460" s="23"/>
      <c r="R3460" s="52"/>
      <c r="S3460" s="53"/>
      <c r="T3460" s="54">
        <f t="shared" si="518"/>
        <v>0</v>
      </c>
      <c r="U3460" s="26">
        <f t="shared" si="519"/>
        <v>0</v>
      </c>
      <c r="V3460" s="55">
        <f t="shared" si="520"/>
        <v>0</v>
      </c>
      <c r="W3460" s="29">
        <f t="shared" si="521"/>
        <v>0</v>
      </c>
      <c r="X3460" s="30">
        <f t="shared" si="522"/>
        <v>0</v>
      </c>
      <c r="Y3460"/>
      <c r="Z3460"/>
      <c r="AA3460"/>
    </row>
    <row r="3461" spans="1:27" s="51" customFormat="1" ht="18.600000000000001" hidden="1" customHeight="1" x14ac:dyDescent="0.25">
      <c r="A3461" s="81" t="s">
        <v>2653</v>
      </c>
      <c r="B3461" s="31" t="s">
        <v>9408</v>
      </c>
      <c r="C3461" s="32" t="s">
        <v>9416</v>
      </c>
      <c r="D3461" s="31" t="s">
        <v>8686</v>
      </c>
      <c r="E3461" s="33" t="s">
        <v>8687</v>
      </c>
      <c r="F3461" s="33" t="s">
        <v>1937</v>
      </c>
      <c r="G3461" s="33"/>
      <c r="H3461" s="84" t="s">
        <v>9882</v>
      </c>
      <c r="I3461" s="23" t="s">
        <v>24</v>
      </c>
      <c r="J3461" s="34">
        <v>1070</v>
      </c>
      <c r="K3461" s="35">
        <v>0.25</v>
      </c>
      <c r="L3461" s="36">
        <f t="shared" si="514"/>
        <v>267.5</v>
      </c>
      <c r="M3461" s="37">
        <f t="shared" si="515"/>
        <v>802.5</v>
      </c>
      <c r="N3461" s="38">
        <v>0.16</v>
      </c>
      <c r="O3461" s="39">
        <f t="shared" si="516"/>
        <v>128.4</v>
      </c>
      <c r="P3461" s="40">
        <f t="shared" si="517"/>
        <v>930.9</v>
      </c>
      <c r="Q3461" s="23"/>
      <c r="R3461" s="56"/>
      <c r="S3461" s="57"/>
      <c r="T3461" s="58">
        <f t="shared" si="518"/>
        <v>0</v>
      </c>
      <c r="U3461" s="36">
        <f t="shared" si="519"/>
        <v>0</v>
      </c>
      <c r="V3461" s="59">
        <f t="shared" si="520"/>
        <v>0</v>
      </c>
      <c r="W3461" s="39">
        <f t="shared" si="521"/>
        <v>0</v>
      </c>
      <c r="X3461" s="40">
        <f t="shared" si="522"/>
        <v>0</v>
      </c>
      <c r="Y3461"/>
      <c r="Z3461"/>
      <c r="AA3461"/>
    </row>
    <row r="3462" spans="1:27" s="51" customFormat="1" ht="18.600000000000001" hidden="1" customHeight="1" x14ac:dyDescent="0.25">
      <c r="A3462" s="82" t="s">
        <v>2653</v>
      </c>
      <c r="B3462" s="41" t="s">
        <v>9408</v>
      </c>
      <c r="C3462" s="42" t="s">
        <v>9416</v>
      </c>
      <c r="D3462" s="41" t="s">
        <v>8688</v>
      </c>
      <c r="E3462" s="43" t="s">
        <v>8689</v>
      </c>
      <c r="F3462" s="43" t="s">
        <v>1937</v>
      </c>
      <c r="G3462" s="43"/>
      <c r="H3462" s="85" t="s">
        <v>9883</v>
      </c>
      <c r="I3462" s="23" t="s">
        <v>24</v>
      </c>
      <c r="J3462" s="44">
        <v>1070</v>
      </c>
      <c r="K3462" s="45">
        <v>0.25</v>
      </c>
      <c r="L3462" s="46">
        <f t="shared" si="514"/>
        <v>267.5</v>
      </c>
      <c r="M3462" s="47">
        <f t="shared" si="515"/>
        <v>802.5</v>
      </c>
      <c r="N3462" s="48">
        <v>0.16</v>
      </c>
      <c r="O3462" s="49">
        <f t="shared" si="516"/>
        <v>128.4</v>
      </c>
      <c r="P3462" s="50">
        <f t="shared" si="517"/>
        <v>930.9</v>
      </c>
      <c r="Q3462" s="23"/>
      <c r="R3462" s="60"/>
      <c r="S3462" s="61"/>
      <c r="T3462" s="62">
        <f t="shared" si="518"/>
        <v>0</v>
      </c>
      <c r="U3462" s="46">
        <f t="shared" si="519"/>
        <v>0</v>
      </c>
      <c r="V3462" s="63">
        <f t="shared" si="520"/>
        <v>0</v>
      </c>
      <c r="W3462" s="49">
        <f t="shared" si="521"/>
        <v>0</v>
      </c>
      <c r="X3462" s="50">
        <f t="shared" si="522"/>
        <v>0</v>
      </c>
      <c r="Y3462"/>
      <c r="Z3462"/>
      <c r="AA3462"/>
    </row>
    <row r="3463" spans="1:27" s="51" customFormat="1" ht="18.600000000000001" hidden="1" customHeight="1" x14ac:dyDescent="0.25">
      <c r="A3463" s="80" t="s">
        <v>2653</v>
      </c>
      <c r="B3463" s="20" t="s">
        <v>9408</v>
      </c>
      <c r="C3463" s="21" t="s">
        <v>9416</v>
      </c>
      <c r="D3463" s="20" t="s">
        <v>8690</v>
      </c>
      <c r="E3463" s="22" t="s">
        <v>8691</v>
      </c>
      <c r="F3463" s="22" t="s">
        <v>1937</v>
      </c>
      <c r="G3463" s="22"/>
      <c r="H3463" s="83" t="s">
        <v>9884</v>
      </c>
      <c r="I3463" s="23" t="s">
        <v>24</v>
      </c>
      <c r="J3463" s="24">
        <v>1070</v>
      </c>
      <c r="K3463" s="25">
        <v>0.25</v>
      </c>
      <c r="L3463" s="26">
        <f t="shared" si="514"/>
        <v>267.5</v>
      </c>
      <c r="M3463" s="27">
        <f t="shared" si="515"/>
        <v>802.5</v>
      </c>
      <c r="N3463" s="28">
        <v>0.16</v>
      </c>
      <c r="O3463" s="29">
        <f t="shared" si="516"/>
        <v>128.4</v>
      </c>
      <c r="P3463" s="30">
        <f t="shared" si="517"/>
        <v>930.9</v>
      </c>
      <c r="Q3463" s="23"/>
      <c r="R3463" s="52"/>
      <c r="S3463" s="53"/>
      <c r="T3463" s="54">
        <f t="shared" si="518"/>
        <v>0</v>
      </c>
      <c r="U3463" s="26">
        <f t="shared" si="519"/>
        <v>0</v>
      </c>
      <c r="V3463" s="55">
        <f t="shared" si="520"/>
        <v>0</v>
      </c>
      <c r="W3463" s="29">
        <f t="shared" si="521"/>
        <v>0</v>
      </c>
      <c r="X3463" s="30">
        <f t="shared" si="522"/>
        <v>0</v>
      </c>
      <c r="Y3463"/>
      <c r="Z3463"/>
      <c r="AA3463"/>
    </row>
    <row r="3464" spans="1:27" s="51" customFormat="1" ht="18.600000000000001" hidden="1" customHeight="1" x14ac:dyDescent="0.25">
      <c r="A3464" s="81" t="s">
        <v>2653</v>
      </c>
      <c r="B3464" s="31" t="s">
        <v>9408</v>
      </c>
      <c r="C3464" s="32" t="s">
        <v>9416</v>
      </c>
      <c r="D3464" s="31" t="s">
        <v>8692</v>
      </c>
      <c r="E3464" s="33" t="s">
        <v>8693</v>
      </c>
      <c r="F3464" s="33" t="s">
        <v>1937</v>
      </c>
      <c r="G3464" s="33"/>
      <c r="H3464" s="84" t="s">
        <v>9885</v>
      </c>
      <c r="I3464" s="23" t="s">
        <v>24</v>
      </c>
      <c r="J3464" s="34">
        <v>1070</v>
      </c>
      <c r="K3464" s="35">
        <v>0.25</v>
      </c>
      <c r="L3464" s="36">
        <f t="shared" si="514"/>
        <v>267.5</v>
      </c>
      <c r="M3464" s="37">
        <f t="shared" si="515"/>
        <v>802.5</v>
      </c>
      <c r="N3464" s="38">
        <v>0.16</v>
      </c>
      <c r="O3464" s="39">
        <f t="shared" si="516"/>
        <v>128.4</v>
      </c>
      <c r="P3464" s="40">
        <f t="shared" si="517"/>
        <v>930.9</v>
      </c>
      <c r="Q3464" s="23"/>
      <c r="R3464" s="56"/>
      <c r="S3464" s="57"/>
      <c r="T3464" s="58">
        <f t="shared" si="518"/>
        <v>0</v>
      </c>
      <c r="U3464" s="36">
        <f t="shared" si="519"/>
        <v>0</v>
      </c>
      <c r="V3464" s="59">
        <f t="shared" si="520"/>
        <v>0</v>
      </c>
      <c r="W3464" s="39">
        <f t="shared" si="521"/>
        <v>0</v>
      </c>
      <c r="X3464" s="40">
        <f t="shared" si="522"/>
        <v>0</v>
      </c>
      <c r="Y3464"/>
      <c r="Z3464"/>
      <c r="AA3464"/>
    </row>
    <row r="3465" spans="1:27" s="51" customFormat="1" ht="18.600000000000001" hidden="1" customHeight="1" x14ac:dyDescent="0.25">
      <c r="A3465" s="82" t="s">
        <v>2653</v>
      </c>
      <c r="B3465" s="41" t="s">
        <v>9408</v>
      </c>
      <c r="C3465" s="42" t="s">
        <v>9416</v>
      </c>
      <c r="D3465" s="41" t="s">
        <v>8694</v>
      </c>
      <c r="E3465" s="43" t="s">
        <v>8695</v>
      </c>
      <c r="F3465" s="43" t="s">
        <v>1937</v>
      </c>
      <c r="G3465" s="43"/>
      <c r="H3465" s="85" t="s">
        <v>9886</v>
      </c>
      <c r="I3465" s="23" t="s">
        <v>24</v>
      </c>
      <c r="J3465" s="44">
        <v>1070</v>
      </c>
      <c r="K3465" s="45">
        <v>0.25</v>
      </c>
      <c r="L3465" s="46">
        <f t="shared" si="514"/>
        <v>267.5</v>
      </c>
      <c r="M3465" s="47">
        <f t="shared" si="515"/>
        <v>802.5</v>
      </c>
      <c r="N3465" s="48">
        <v>0.16</v>
      </c>
      <c r="O3465" s="49">
        <f t="shared" si="516"/>
        <v>128.4</v>
      </c>
      <c r="P3465" s="50">
        <f t="shared" si="517"/>
        <v>930.9</v>
      </c>
      <c r="Q3465" s="23"/>
      <c r="R3465" s="60"/>
      <c r="S3465" s="61"/>
      <c r="T3465" s="62">
        <f t="shared" si="518"/>
        <v>0</v>
      </c>
      <c r="U3465" s="46">
        <f t="shared" si="519"/>
        <v>0</v>
      </c>
      <c r="V3465" s="63">
        <f t="shared" si="520"/>
        <v>0</v>
      </c>
      <c r="W3465" s="49">
        <f t="shared" si="521"/>
        <v>0</v>
      </c>
      <c r="X3465" s="50">
        <f t="shared" si="522"/>
        <v>0</v>
      </c>
      <c r="Y3465"/>
      <c r="Z3465"/>
      <c r="AA3465"/>
    </row>
    <row r="3466" spans="1:27" s="51" customFormat="1" ht="18.600000000000001" hidden="1" customHeight="1" x14ac:dyDescent="0.25">
      <c r="A3466" s="80" t="s">
        <v>2653</v>
      </c>
      <c r="B3466" s="20" t="s">
        <v>9408</v>
      </c>
      <c r="C3466" s="21" t="s">
        <v>9416</v>
      </c>
      <c r="D3466" s="20">
        <v>8435568328983</v>
      </c>
      <c r="E3466" s="22" t="s">
        <v>8696</v>
      </c>
      <c r="F3466" s="22" t="s">
        <v>1937</v>
      </c>
      <c r="G3466" s="22"/>
      <c r="H3466" s="83" t="s">
        <v>9887</v>
      </c>
      <c r="I3466" s="23" t="s">
        <v>24</v>
      </c>
      <c r="J3466" s="24">
        <v>1070</v>
      </c>
      <c r="K3466" s="25">
        <v>0.25</v>
      </c>
      <c r="L3466" s="26">
        <f t="shared" si="514"/>
        <v>267.5</v>
      </c>
      <c r="M3466" s="27">
        <f t="shared" si="515"/>
        <v>802.5</v>
      </c>
      <c r="N3466" s="28">
        <v>0.16</v>
      </c>
      <c r="O3466" s="29">
        <f t="shared" si="516"/>
        <v>128.4</v>
      </c>
      <c r="P3466" s="30">
        <f t="shared" si="517"/>
        <v>930.9</v>
      </c>
      <c r="Q3466" s="23"/>
      <c r="R3466" s="52"/>
      <c r="S3466" s="53"/>
      <c r="T3466" s="54">
        <f t="shared" si="518"/>
        <v>0</v>
      </c>
      <c r="U3466" s="26">
        <f t="shared" si="519"/>
        <v>0</v>
      </c>
      <c r="V3466" s="55">
        <f t="shared" si="520"/>
        <v>0</v>
      </c>
      <c r="W3466" s="29">
        <f t="shared" si="521"/>
        <v>0</v>
      </c>
      <c r="X3466" s="30">
        <f t="shared" si="522"/>
        <v>0</v>
      </c>
      <c r="Y3466"/>
      <c r="Z3466"/>
      <c r="AA3466"/>
    </row>
    <row r="3467" spans="1:27" s="51" customFormat="1" ht="18.600000000000001" hidden="1" customHeight="1" x14ac:dyDescent="0.25">
      <c r="A3467" s="81" t="s">
        <v>2653</v>
      </c>
      <c r="B3467" s="31" t="s">
        <v>9408</v>
      </c>
      <c r="C3467" s="32" t="s">
        <v>9416</v>
      </c>
      <c r="D3467" s="31">
        <v>8435568328990</v>
      </c>
      <c r="E3467" s="33" t="s">
        <v>8697</v>
      </c>
      <c r="F3467" s="33" t="s">
        <v>1937</v>
      </c>
      <c r="G3467" s="33"/>
      <c r="H3467" s="84" t="s">
        <v>9888</v>
      </c>
      <c r="I3467" s="23" t="s">
        <v>24</v>
      </c>
      <c r="J3467" s="34">
        <v>490</v>
      </c>
      <c r="K3467" s="35">
        <v>0.25</v>
      </c>
      <c r="L3467" s="36">
        <f t="shared" si="514"/>
        <v>122.5</v>
      </c>
      <c r="M3467" s="37">
        <f t="shared" si="515"/>
        <v>367.5</v>
      </c>
      <c r="N3467" s="38">
        <v>0.16</v>
      </c>
      <c r="O3467" s="39">
        <f t="shared" si="516"/>
        <v>58.800000000000004</v>
      </c>
      <c r="P3467" s="40">
        <f t="shared" si="517"/>
        <v>426.3</v>
      </c>
      <c r="Q3467" s="23"/>
      <c r="R3467" s="56"/>
      <c r="S3467" s="57"/>
      <c r="T3467" s="58">
        <f t="shared" si="518"/>
        <v>0</v>
      </c>
      <c r="U3467" s="36">
        <f t="shared" si="519"/>
        <v>0</v>
      </c>
      <c r="V3467" s="59">
        <f t="shared" si="520"/>
        <v>0</v>
      </c>
      <c r="W3467" s="39">
        <f t="shared" si="521"/>
        <v>0</v>
      </c>
      <c r="X3467" s="40">
        <f t="shared" si="522"/>
        <v>0</v>
      </c>
      <c r="Y3467"/>
      <c r="Z3467"/>
      <c r="AA3467"/>
    </row>
    <row r="3468" spans="1:27" s="51" customFormat="1" ht="18.600000000000001" hidden="1" customHeight="1" x14ac:dyDescent="0.25">
      <c r="A3468" s="82" t="s">
        <v>2653</v>
      </c>
      <c r="B3468" s="41" t="s">
        <v>9408</v>
      </c>
      <c r="C3468" s="42" t="s">
        <v>9416</v>
      </c>
      <c r="D3468" s="41">
        <v>8435568340411</v>
      </c>
      <c r="E3468" s="43" t="s">
        <v>9611</v>
      </c>
      <c r="F3468" s="43" t="s">
        <v>1937</v>
      </c>
      <c r="G3468" s="43"/>
      <c r="H3468" s="85" t="s">
        <v>9889</v>
      </c>
      <c r="I3468" s="23" t="s">
        <v>24</v>
      </c>
      <c r="J3468" s="44">
        <v>1950</v>
      </c>
      <c r="K3468" s="45">
        <v>0.25</v>
      </c>
      <c r="L3468" s="46">
        <f t="shared" si="514"/>
        <v>487.5</v>
      </c>
      <c r="M3468" s="47">
        <f t="shared" si="515"/>
        <v>1462.5</v>
      </c>
      <c r="N3468" s="48">
        <v>0.16</v>
      </c>
      <c r="O3468" s="49">
        <f t="shared" si="516"/>
        <v>234</v>
      </c>
      <c r="P3468" s="50">
        <f t="shared" si="517"/>
        <v>1696.5</v>
      </c>
      <c r="Q3468" s="23"/>
      <c r="R3468" s="60"/>
      <c r="S3468" s="61"/>
      <c r="T3468" s="62">
        <f t="shared" si="518"/>
        <v>0</v>
      </c>
      <c r="U3468" s="46">
        <f t="shared" si="519"/>
        <v>0</v>
      </c>
      <c r="V3468" s="63">
        <f t="shared" si="520"/>
        <v>0</v>
      </c>
      <c r="W3468" s="49">
        <f t="shared" si="521"/>
        <v>0</v>
      </c>
      <c r="X3468" s="50">
        <f t="shared" si="522"/>
        <v>0</v>
      </c>
      <c r="Y3468"/>
      <c r="Z3468"/>
      <c r="AA3468"/>
    </row>
    <row r="3469" spans="1:27" s="51" customFormat="1" ht="18.600000000000001" hidden="1" customHeight="1" x14ac:dyDescent="0.25">
      <c r="A3469" s="80" t="s">
        <v>2653</v>
      </c>
      <c r="B3469" s="20" t="s">
        <v>9408</v>
      </c>
      <c r="C3469" s="21" t="s">
        <v>9417</v>
      </c>
      <c r="D3469" s="20" t="s">
        <v>8698</v>
      </c>
      <c r="E3469" s="22" t="s">
        <v>8699</v>
      </c>
      <c r="F3469" s="22" t="s">
        <v>1937</v>
      </c>
      <c r="G3469" s="22"/>
      <c r="H3469" s="83" t="s">
        <v>9890</v>
      </c>
      <c r="I3469" s="23" t="s">
        <v>24</v>
      </c>
      <c r="J3469" s="24">
        <v>780</v>
      </c>
      <c r="K3469" s="25">
        <v>0.25</v>
      </c>
      <c r="L3469" s="26">
        <f t="shared" si="514"/>
        <v>195</v>
      </c>
      <c r="M3469" s="27">
        <f t="shared" si="515"/>
        <v>585</v>
      </c>
      <c r="N3469" s="28">
        <v>0.16</v>
      </c>
      <c r="O3469" s="29">
        <f t="shared" si="516"/>
        <v>93.600000000000009</v>
      </c>
      <c r="P3469" s="30">
        <f t="shared" si="517"/>
        <v>678.6</v>
      </c>
      <c r="Q3469" s="23"/>
      <c r="R3469" s="52"/>
      <c r="S3469" s="53"/>
      <c r="T3469" s="54">
        <f t="shared" si="518"/>
        <v>0</v>
      </c>
      <c r="U3469" s="26">
        <f t="shared" si="519"/>
        <v>0</v>
      </c>
      <c r="V3469" s="55">
        <f t="shared" si="520"/>
        <v>0</v>
      </c>
      <c r="W3469" s="29">
        <f t="shared" si="521"/>
        <v>0</v>
      </c>
      <c r="X3469" s="30">
        <f t="shared" si="522"/>
        <v>0</v>
      </c>
      <c r="Y3469"/>
      <c r="Z3469"/>
      <c r="AA3469"/>
    </row>
    <row r="3470" spans="1:27" s="51" customFormat="1" ht="18.600000000000001" hidden="1" customHeight="1" x14ac:dyDescent="0.25">
      <c r="A3470" s="81" t="s">
        <v>2653</v>
      </c>
      <c r="B3470" s="31" t="s">
        <v>9408</v>
      </c>
      <c r="C3470" s="32" t="s">
        <v>9417</v>
      </c>
      <c r="D3470" s="31" t="s">
        <v>8700</v>
      </c>
      <c r="E3470" s="33" t="s">
        <v>8701</v>
      </c>
      <c r="F3470" s="33" t="s">
        <v>1937</v>
      </c>
      <c r="G3470" s="33"/>
      <c r="H3470" s="84" t="s">
        <v>9891</v>
      </c>
      <c r="I3470" s="23" t="s">
        <v>24</v>
      </c>
      <c r="J3470" s="34">
        <v>780</v>
      </c>
      <c r="K3470" s="35">
        <v>0.25</v>
      </c>
      <c r="L3470" s="36">
        <f t="shared" si="514"/>
        <v>195</v>
      </c>
      <c r="M3470" s="37">
        <f t="shared" si="515"/>
        <v>585</v>
      </c>
      <c r="N3470" s="38">
        <v>0.16</v>
      </c>
      <c r="O3470" s="39">
        <f t="shared" si="516"/>
        <v>93.600000000000009</v>
      </c>
      <c r="P3470" s="40">
        <f t="shared" si="517"/>
        <v>678.6</v>
      </c>
      <c r="Q3470" s="23"/>
      <c r="R3470" s="56"/>
      <c r="S3470" s="57"/>
      <c r="T3470" s="58">
        <f t="shared" si="518"/>
        <v>0</v>
      </c>
      <c r="U3470" s="36">
        <f t="shared" si="519"/>
        <v>0</v>
      </c>
      <c r="V3470" s="59">
        <f t="shared" si="520"/>
        <v>0</v>
      </c>
      <c r="W3470" s="39">
        <f t="shared" si="521"/>
        <v>0</v>
      </c>
      <c r="X3470" s="40">
        <f t="shared" si="522"/>
        <v>0</v>
      </c>
      <c r="Y3470"/>
      <c r="Z3470"/>
      <c r="AA3470"/>
    </row>
    <row r="3471" spans="1:27" s="51" customFormat="1" ht="18.600000000000001" hidden="1" customHeight="1" x14ac:dyDescent="0.25">
      <c r="A3471" s="82" t="s">
        <v>2653</v>
      </c>
      <c r="B3471" s="41" t="s">
        <v>9408</v>
      </c>
      <c r="C3471" s="42" t="s">
        <v>9417</v>
      </c>
      <c r="D3471" s="41" t="s">
        <v>8702</v>
      </c>
      <c r="E3471" s="43" t="s">
        <v>8703</v>
      </c>
      <c r="F3471" s="43" t="s">
        <v>1937</v>
      </c>
      <c r="G3471" s="43"/>
      <c r="H3471" s="85" t="s">
        <v>9892</v>
      </c>
      <c r="I3471" s="23" t="s">
        <v>24</v>
      </c>
      <c r="J3471" s="44">
        <v>780</v>
      </c>
      <c r="K3471" s="45">
        <v>0.25</v>
      </c>
      <c r="L3471" s="46">
        <f t="shared" ref="L3471:L3534" si="523">+J3471*K3471</f>
        <v>195</v>
      </c>
      <c r="M3471" s="47">
        <f t="shared" ref="M3471:M3534" si="524">+J3471-L3471</f>
        <v>585</v>
      </c>
      <c r="N3471" s="48">
        <v>0.16</v>
      </c>
      <c r="O3471" s="49">
        <f t="shared" ref="O3471:O3534" si="525">+M3471*N3471</f>
        <v>93.600000000000009</v>
      </c>
      <c r="P3471" s="50">
        <f t="shared" ref="P3471:P3534" si="526">+M3471+O3471</f>
        <v>678.6</v>
      </c>
      <c r="Q3471" s="23"/>
      <c r="R3471" s="60"/>
      <c r="S3471" s="61"/>
      <c r="T3471" s="62">
        <f t="shared" ref="T3471:T3534" si="527">+S3471*J3471</f>
        <v>0</v>
      </c>
      <c r="U3471" s="46">
        <f t="shared" ref="U3471:U3534" si="528">+T3471*K3471</f>
        <v>0</v>
      </c>
      <c r="V3471" s="63">
        <f t="shared" ref="V3471:V3534" si="529">+T3471-U3471</f>
        <v>0</v>
      </c>
      <c r="W3471" s="49">
        <f t="shared" ref="W3471:W3534" si="530">+V3471*N3471</f>
        <v>0</v>
      </c>
      <c r="X3471" s="50">
        <f t="shared" ref="X3471:X3534" si="531">+V3471+W3471</f>
        <v>0</v>
      </c>
      <c r="Y3471"/>
      <c r="Z3471"/>
      <c r="AA3471"/>
    </row>
    <row r="3472" spans="1:27" s="51" customFormat="1" ht="18.600000000000001" hidden="1" customHeight="1" x14ac:dyDescent="0.25">
      <c r="A3472" s="80" t="s">
        <v>2653</v>
      </c>
      <c r="B3472" s="20" t="s">
        <v>9408</v>
      </c>
      <c r="C3472" s="21" t="s">
        <v>9417</v>
      </c>
      <c r="D3472" s="20" t="s">
        <v>8704</v>
      </c>
      <c r="E3472" s="22" t="s">
        <v>8705</v>
      </c>
      <c r="F3472" s="22" t="s">
        <v>1937</v>
      </c>
      <c r="G3472" s="22"/>
      <c r="H3472" s="83" t="s">
        <v>9893</v>
      </c>
      <c r="I3472" s="23" t="s">
        <v>24</v>
      </c>
      <c r="J3472" s="24">
        <v>960</v>
      </c>
      <c r="K3472" s="25">
        <v>0.25</v>
      </c>
      <c r="L3472" s="26">
        <f t="shared" si="523"/>
        <v>240</v>
      </c>
      <c r="M3472" s="27">
        <f t="shared" si="524"/>
        <v>720</v>
      </c>
      <c r="N3472" s="28">
        <v>0.16</v>
      </c>
      <c r="O3472" s="29">
        <f t="shared" si="525"/>
        <v>115.2</v>
      </c>
      <c r="P3472" s="30">
        <f t="shared" si="526"/>
        <v>835.2</v>
      </c>
      <c r="Q3472" s="23"/>
      <c r="R3472" s="52"/>
      <c r="S3472" s="53"/>
      <c r="T3472" s="54">
        <f t="shared" si="527"/>
        <v>0</v>
      </c>
      <c r="U3472" s="26">
        <f t="shared" si="528"/>
        <v>0</v>
      </c>
      <c r="V3472" s="55">
        <f t="shared" si="529"/>
        <v>0</v>
      </c>
      <c r="W3472" s="29">
        <f t="shared" si="530"/>
        <v>0</v>
      </c>
      <c r="X3472" s="30">
        <f t="shared" si="531"/>
        <v>0</v>
      </c>
      <c r="Y3472"/>
      <c r="Z3472"/>
      <c r="AA3472"/>
    </row>
    <row r="3473" spans="1:27" s="51" customFormat="1" ht="18.600000000000001" hidden="1" customHeight="1" x14ac:dyDescent="0.25">
      <c r="A3473" s="81" t="s">
        <v>2653</v>
      </c>
      <c r="B3473" s="31" t="s">
        <v>9408</v>
      </c>
      <c r="C3473" s="32" t="s">
        <v>9417</v>
      </c>
      <c r="D3473" s="31" t="s">
        <v>8706</v>
      </c>
      <c r="E3473" s="33" t="s">
        <v>8707</v>
      </c>
      <c r="F3473" s="33" t="s">
        <v>1937</v>
      </c>
      <c r="G3473" s="33"/>
      <c r="H3473" s="84" t="s">
        <v>9894</v>
      </c>
      <c r="I3473" s="23" t="s">
        <v>24</v>
      </c>
      <c r="J3473" s="34">
        <v>780</v>
      </c>
      <c r="K3473" s="35">
        <v>0.25</v>
      </c>
      <c r="L3473" s="36">
        <f t="shared" si="523"/>
        <v>195</v>
      </c>
      <c r="M3473" s="37">
        <f t="shared" si="524"/>
        <v>585</v>
      </c>
      <c r="N3473" s="38">
        <v>0.16</v>
      </c>
      <c r="O3473" s="39">
        <f t="shared" si="525"/>
        <v>93.600000000000009</v>
      </c>
      <c r="P3473" s="40">
        <f t="shared" si="526"/>
        <v>678.6</v>
      </c>
      <c r="Q3473" s="23"/>
      <c r="R3473" s="56"/>
      <c r="S3473" s="57"/>
      <c r="T3473" s="58">
        <f t="shared" si="527"/>
        <v>0</v>
      </c>
      <c r="U3473" s="36">
        <f t="shared" si="528"/>
        <v>0</v>
      </c>
      <c r="V3473" s="59">
        <f t="shared" si="529"/>
        <v>0</v>
      </c>
      <c r="W3473" s="39">
        <f t="shared" si="530"/>
        <v>0</v>
      </c>
      <c r="X3473" s="40">
        <f t="shared" si="531"/>
        <v>0</v>
      </c>
      <c r="Y3473"/>
      <c r="Z3473"/>
      <c r="AA3473"/>
    </row>
    <row r="3474" spans="1:27" s="51" customFormat="1" ht="18.600000000000001" hidden="1" customHeight="1" x14ac:dyDescent="0.25">
      <c r="A3474" s="82" t="s">
        <v>2653</v>
      </c>
      <c r="B3474" s="41" t="s">
        <v>9408</v>
      </c>
      <c r="C3474" s="42" t="s">
        <v>9417</v>
      </c>
      <c r="D3474" s="41" t="s">
        <v>8708</v>
      </c>
      <c r="E3474" s="43" t="s">
        <v>8709</v>
      </c>
      <c r="F3474" s="43" t="s">
        <v>1937</v>
      </c>
      <c r="G3474" s="43"/>
      <c r="H3474" s="85" t="s">
        <v>9895</v>
      </c>
      <c r="I3474" s="23" t="s">
        <v>24</v>
      </c>
      <c r="J3474" s="44">
        <v>1350</v>
      </c>
      <c r="K3474" s="45">
        <v>0.25</v>
      </c>
      <c r="L3474" s="46">
        <f t="shared" si="523"/>
        <v>337.5</v>
      </c>
      <c r="M3474" s="47">
        <f t="shared" si="524"/>
        <v>1012.5</v>
      </c>
      <c r="N3474" s="48">
        <v>0.16</v>
      </c>
      <c r="O3474" s="49">
        <f t="shared" si="525"/>
        <v>162</v>
      </c>
      <c r="P3474" s="50">
        <f t="shared" si="526"/>
        <v>1174.5</v>
      </c>
      <c r="Q3474" s="23"/>
      <c r="R3474" s="60"/>
      <c r="S3474" s="61"/>
      <c r="T3474" s="62">
        <f t="shared" si="527"/>
        <v>0</v>
      </c>
      <c r="U3474" s="46">
        <f t="shared" si="528"/>
        <v>0</v>
      </c>
      <c r="V3474" s="63">
        <f t="shared" si="529"/>
        <v>0</v>
      </c>
      <c r="W3474" s="49">
        <f t="shared" si="530"/>
        <v>0</v>
      </c>
      <c r="X3474" s="50">
        <f t="shared" si="531"/>
        <v>0</v>
      </c>
      <c r="Y3474"/>
      <c r="Z3474"/>
      <c r="AA3474"/>
    </row>
    <row r="3475" spans="1:27" s="51" customFormat="1" ht="18.600000000000001" hidden="1" customHeight="1" x14ac:dyDescent="0.25">
      <c r="A3475" s="80" t="s">
        <v>2653</v>
      </c>
      <c r="B3475" s="20" t="s">
        <v>9408</v>
      </c>
      <c r="C3475" s="21" t="s">
        <v>9417</v>
      </c>
      <c r="D3475" s="20" t="s">
        <v>8710</v>
      </c>
      <c r="E3475" s="22" t="s">
        <v>8711</v>
      </c>
      <c r="F3475" s="22" t="s">
        <v>1937</v>
      </c>
      <c r="G3475" s="22"/>
      <c r="H3475" s="83" t="s">
        <v>9896</v>
      </c>
      <c r="I3475" s="23" t="s">
        <v>24</v>
      </c>
      <c r="J3475" s="24">
        <v>1350</v>
      </c>
      <c r="K3475" s="25">
        <v>0.25</v>
      </c>
      <c r="L3475" s="26">
        <f t="shared" si="523"/>
        <v>337.5</v>
      </c>
      <c r="M3475" s="27">
        <f t="shared" si="524"/>
        <v>1012.5</v>
      </c>
      <c r="N3475" s="28">
        <v>0.16</v>
      </c>
      <c r="O3475" s="29">
        <f t="shared" si="525"/>
        <v>162</v>
      </c>
      <c r="P3475" s="30">
        <f t="shared" si="526"/>
        <v>1174.5</v>
      </c>
      <c r="Q3475" s="23"/>
      <c r="R3475" s="52"/>
      <c r="S3475" s="53"/>
      <c r="T3475" s="54">
        <f t="shared" si="527"/>
        <v>0</v>
      </c>
      <c r="U3475" s="26">
        <f t="shared" si="528"/>
        <v>0</v>
      </c>
      <c r="V3475" s="55">
        <f t="shared" si="529"/>
        <v>0</v>
      </c>
      <c r="W3475" s="29">
        <f t="shared" si="530"/>
        <v>0</v>
      </c>
      <c r="X3475" s="30">
        <f t="shared" si="531"/>
        <v>0</v>
      </c>
      <c r="Y3475"/>
      <c r="Z3475"/>
      <c r="AA3475"/>
    </row>
    <row r="3476" spans="1:27" s="51" customFormat="1" ht="18.600000000000001" hidden="1" customHeight="1" x14ac:dyDescent="0.25">
      <c r="A3476" s="81" t="s">
        <v>2653</v>
      </c>
      <c r="B3476" s="31" t="s">
        <v>9418</v>
      </c>
      <c r="C3476" s="32"/>
      <c r="D3476" s="31" t="s">
        <v>8712</v>
      </c>
      <c r="E3476" s="33" t="s">
        <v>8713</v>
      </c>
      <c r="F3476" s="33" t="s">
        <v>1937</v>
      </c>
      <c r="G3476" s="33" t="s">
        <v>8714</v>
      </c>
      <c r="H3476" s="84" t="s">
        <v>8715</v>
      </c>
      <c r="I3476" s="23" t="s">
        <v>24</v>
      </c>
      <c r="J3476" s="34">
        <v>140</v>
      </c>
      <c r="K3476" s="35">
        <v>0.25</v>
      </c>
      <c r="L3476" s="36">
        <f t="shared" si="523"/>
        <v>35</v>
      </c>
      <c r="M3476" s="37">
        <f t="shared" si="524"/>
        <v>105</v>
      </c>
      <c r="N3476" s="38">
        <v>0.16</v>
      </c>
      <c r="O3476" s="39">
        <f t="shared" si="525"/>
        <v>16.8</v>
      </c>
      <c r="P3476" s="40">
        <f t="shared" si="526"/>
        <v>121.8</v>
      </c>
      <c r="Q3476" s="23"/>
      <c r="R3476" s="56"/>
      <c r="S3476" s="57"/>
      <c r="T3476" s="58">
        <f t="shared" si="527"/>
        <v>0</v>
      </c>
      <c r="U3476" s="36">
        <f t="shared" si="528"/>
        <v>0</v>
      </c>
      <c r="V3476" s="59">
        <f t="shared" si="529"/>
        <v>0</v>
      </c>
      <c r="W3476" s="39">
        <f t="shared" si="530"/>
        <v>0</v>
      </c>
      <c r="X3476" s="40">
        <f t="shared" si="531"/>
        <v>0</v>
      </c>
      <c r="Y3476"/>
      <c r="Z3476"/>
      <c r="AA3476"/>
    </row>
    <row r="3477" spans="1:27" s="51" customFormat="1" ht="18.600000000000001" hidden="1" customHeight="1" x14ac:dyDescent="0.25">
      <c r="A3477" s="82" t="s">
        <v>2653</v>
      </c>
      <c r="B3477" s="41" t="s">
        <v>9418</v>
      </c>
      <c r="C3477" s="42"/>
      <c r="D3477" s="41" t="s">
        <v>8716</v>
      </c>
      <c r="E3477" s="43" t="s">
        <v>8717</v>
      </c>
      <c r="F3477" s="43" t="s">
        <v>1937</v>
      </c>
      <c r="G3477" s="43" t="s">
        <v>8714</v>
      </c>
      <c r="H3477" s="85" t="s">
        <v>8718</v>
      </c>
      <c r="I3477" s="23" t="s">
        <v>24</v>
      </c>
      <c r="J3477" s="44">
        <v>140</v>
      </c>
      <c r="K3477" s="45">
        <v>0.25</v>
      </c>
      <c r="L3477" s="46">
        <f t="shared" si="523"/>
        <v>35</v>
      </c>
      <c r="M3477" s="47">
        <f t="shared" si="524"/>
        <v>105</v>
      </c>
      <c r="N3477" s="48">
        <v>0.16</v>
      </c>
      <c r="O3477" s="49">
        <f t="shared" si="525"/>
        <v>16.8</v>
      </c>
      <c r="P3477" s="50">
        <f t="shared" si="526"/>
        <v>121.8</v>
      </c>
      <c r="Q3477" s="23"/>
      <c r="R3477" s="60"/>
      <c r="S3477" s="61"/>
      <c r="T3477" s="62">
        <f t="shared" si="527"/>
        <v>0</v>
      </c>
      <c r="U3477" s="46">
        <f t="shared" si="528"/>
        <v>0</v>
      </c>
      <c r="V3477" s="63">
        <f t="shared" si="529"/>
        <v>0</v>
      </c>
      <c r="W3477" s="49">
        <f t="shared" si="530"/>
        <v>0</v>
      </c>
      <c r="X3477" s="50">
        <f t="shared" si="531"/>
        <v>0</v>
      </c>
      <c r="Y3477"/>
      <c r="Z3477"/>
      <c r="AA3477"/>
    </row>
    <row r="3478" spans="1:27" s="51" customFormat="1" ht="18.600000000000001" hidden="1" customHeight="1" x14ac:dyDescent="0.25">
      <c r="A3478" s="80" t="s">
        <v>2653</v>
      </c>
      <c r="B3478" s="20" t="s">
        <v>9418</v>
      </c>
      <c r="C3478" s="21"/>
      <c r="D3478" s="20" t="s">
        <v>8719</v>
      </c>
      <c r="E3478" s="22" t="s">
        <v>8720</v>
      </c>
      <c r="F3478" s="22" t="s">
        <v>1937</v>
      </c>
      <c r="G3478" s="22" t="s">
        <v>8714</v>
      </c>
      <c r="H3478" s="83" t="s">
        <v>8721</v>
      </c>
      <c r="I3478" s="23" t="s">
        <v>24</v>
      </c>
      <c r="J3478" s="24">
        <v>140</v>
      </c>
      <c r="K3478" s="25">
        <v>0.25</v>
      </c>
      <c r="L3478" s="26">
        <f t="shared" si="523"/>
        <v>35</v>
      </c>
      <c r="M3478" s="27">
        <f t="shared" si="524"/>
        <v>105</v>
      </c>
      <c r="N3478" s="28">
        <v>0.16</v>
      </c>
      <c r="O3478" s="29">
        <f t="shared" si="525"/>
        <v>16.8</v>
      </c>
      <c r="P3478" s="30">
        <f t="shared" si="526"/>
        <v>121.8</v>
      </c>
      <c r="Q3478" s="23"/>
      <c r="R3478" s="52"/>
      <c r="S3478" s="53"/>
      <c r="T3478" s="54">
        <f t="shared" si="527"/>
        <v>0</v>
      </c>
      <c r="U3478" s="26">
        <f t="shared" si="528"/>
        <v>0</v>
      </c>
      <c r="V3478" s="55">
        <f t="shared" si="529"/>
        <v>0</v>
      </c>
      <c r="W3478" s="29">
        <f t="shared" si="530"/>
        <v>0</v>
      </c>
      <c r="X3478" s="30">
        <f t="shared" si="531"/>
        <v>0</v>
      </c>
      <c r="Y3478"/>
      <c r="Z3478"/>
      <c r="AA3478"/>
    </row>
    <row r="3479" spans="1:27" s="51" customFormat="1" ht="18.600000000000001" hidden="1" customHeight="1" x14ac:dyDescent="0.25">
      <c r="A3479" s="81" t="s">
        <v>2653</v>
      </c>
      <c r="B3479" s="31" t="s">
        <v>9418</v>
      </c>
      <c r="C3479" s="32"/>
      <c r="D3479" s="31" t="s">
        <v>8722</v>
      </c>
      <c r="E3479" s="33" t="s">
        <v>8723</v>
      </c>
      <c r="F3479" s="33" t="s">
        <v>1937</v>
      </c>
      <c r="G3479" s="33" t="s">
        <v>8714</v>
      </c>
      <c r="H3479" s="84" t="s">
        <v>8724</v>
      </c>
      <c r="I3479" s="23" t="s">
        <v>24</v>
      </c>
      <c r="J3479" s="34">
        <v>140</v>
      </c>
      <c r="K3479" s="35">
        <v>0.25</v>
      </c>
      <c r="L3479" s="36">
        <f t="shared" si="523"/>
        <v>35</v>
      </c>
      <c r="M3479" s="37">
        <f t="shared" si="524"/>
        <v>105</v>
      </c>
      <c r="N3479" s="38">
        <v>0.16</v>
      </c>
      <c r="O3479" s="39">
        <f t="shared" si="525"/>
        <v>16.8</v>
      </c>
      <c r="P3479" s="40">
        <f t="shared" si="526"/>
        <v>121.8</v>
      </c>
      <c r="Q3479" s="23"/>
      <c r="R3479" s="56"/>
      <c r="S3479" s="57"/>
      <c r="T3479" s="58">
        <f t="shared" si="527"/>
        <v>0</v>
      </c>
      <c r="U3479" s="36">
        <f t="shared" si="528"/>
        <v>0</v>
      </c>
      <c r="V3479" s="59">
        <f t="shared" si="529"/>
        <v>0</v>
      </c>
      <c r="W3479" s="39">
        <f t="shared" si="530"/>
        <v>0</v>
      </c>
      <c r="X3479" s="40">
        <f t="shared" si="531"/>
        <v>0</v>
      </c>
      <c r="Y3479"/>
      <c r="Z3479"/>
      <c r="AA3479"/>
    </row>
    <row r="3480" spans="1:27" s="51" customFormat="1" ht="18.600000000000001" hidden="1" customHeight="1" x14ac:dyDescent="0.25">
      <c r="A3480" s="82" t="s">
        <v>2653</v>
      </c>
      <c r="B3480" s="41" t="s">
        <v>9418</v>
      </c>
      <c r="C3480" s="42"/>
      <c r="D3480" s="41" t="s">
        <v>8725</v>
      </c>
      <c r="E3480" s="43" t="s">
        <v>8726</v>
      </c>
      <c r="F3480" s="43" t="s">
        <v>1937</v>
      </c>
      <c r="G3480" s="43" t="s">
        <v>8714</v>
      </c>
      <c r="H3480" s="85" t="s">
        <v>8727</v>
      </c>
      <c r="I3480" s="23" t="s">
        <v>24</v>
      </c>
      <c r="J3480" s="44">
        <v>140</v>
      </c>
      <c r="K3480" s="45">
        <v>0.25</v>
      </c>
      <c r="L3480" s="46">
        <f t="shared" si="523"/>
        <v>35</v>
      </c>
      <c r="M3480" s="47">
        <f t="shared" si="524"/>
        <v>105</v>
      </c>
      <c r="N3480" s="48">
        <v>0.16</v>
      </c>
      <c r="O3480" s="49">
        <f t="shared" si="525"/>
        <v>16.8</v>
      </c>
      <c r="P3480" s="50">
        <f t="shared" si="526"/>
        <v>121.8</v>
      </c>
      <c r="Q3480" s="23"/>
      <c r="R3480" s="60"/>
      <c r="S3480" s="61"/>
      <c r="T3480" s="62">
        <f t="shared" si="527"/>
        <v>0</v>
      </c>
      <c r="U3480" s="46">
        <f t="shared" si="528"/>
        <v>0</v>
      </c>
      <c r="V3480" s="63">
        <f t="shared" si="529"/>
        <v>0</v>
      </c>
      <c r="W3480" s="49">
        <f t="shared" si="530"/>
        <v>0</v>
      </c>
      <c r="X3480" s="50">
        <f t="shared" si="531"/>
        <v>0</v>
      </c>
      <c r="Y3480"/>
      <c r="Z3480"/>
      <c r="AA3480"/>
    </row>
    <row r="3481" spans="1:27" s="51" customFormat="1" ht="18.600000000000001" hidden="1" customHeight="1" x14ac:dyDescent="0.25">
      <c r="A3481" s="80" t="s">
        <v>2653</v>
      </c>
      <c r="B3481" s="20" t="s">
        <v>9418</v>
      </c>
      <c r="C3481" s="21"/>
      <c r="D3481" s="20" t="s">
        <v>8728</v>
      </c>
      <c r="E3481" s="22" t="s">
        <v>8729</v>
      </c>
      <c r="F3481" s="22" t="s">
        <v>1937</v>
      </c>
      <c r="G3481" s="22" t="s">
        <v>8714</v>
      </c>
      <c r="H3481" s="83" t="s">
        <v>8730</v>
      </c>
      <c r="I3481" s="23" t="s">
        <v>24</v>
      </c>
      <c r="J3481" s="24">
        <v>140</v>
      </c>
      <c r="K3481" s="25">
        <v>0.25</v>
      </c>
      <c r="L3481" s="26">
        <f t="shared" si="523"/>
        <v>35</v>
      </c>
      <c r="M3481" s="27">
        <f t="shared" si="524"/>
        <v>105</v>
      </c>
      <c r="N3481" s="28">
        <v>0.16</v>
      </c>
      <c r="O3481" s="29">
        <f t="shared" si="525"/>
        <v>16.8</v>
      </c>
      <c r="P3481" s="30">
        <f t="shared" si="526"/>
        <v>121.8</v>
      </c>
      <c r="Q3481" s="23"/>
      <c r="R3481" s="52"/>
      <c r="S3481" s="53"/>
      <c r="T3481" s="54">
        <f t="shared" si="527"/>
        <v>0</v>
      </c>
      <c r="U3481" s="26">
        <f t="shared" si="528"/>
        <v>0</v>
      </c>
      <c r="V3481" s="55">
        <f t="shared" si="529"/>
        <v>0</v>
      </c>
      <c r="W3481" s="29">
        <f t="shared" si="530"/>
        <v>0</v>
      </c>
      <c r="X3481" s="30">
        <f t="shared" si="531"/>
        <v>0</v>
      </c>
      <c r="Y3481"/>
      <c r="Z3481"/>
      <c r="AA3481"/>
    </row>
    <row r="3482" spans="1:27" s="51" customFormat="1" ht="18.600000000000001" hidden="1" customHeight="1" x14ac:dyDescent="0.25">
      <c r="A3482" s="81" t="s">
        <v>2653</v>
      </c>
      <c r="B3482" s="31" t="s">
        <v>9418</v>
      </c>
      <c r="C3482" s="32"/>
      <c r="D3482" s="31" t="s">
        <v>8731</v>
      </c>
      <c r="E3482" s="33" t="s">
        <v>8732</v>
      </c>
      <c r="F3482" s="33" t="s">
        <v>1937</v>
      </c>
      <c r="G3482" s="33" t="s">
        <v>8714</v>
      </c>
      <c r="H3482" s="84" t="s">
        <v>8733</v>
      </c>
      <c r="I3482" s="23" t="s">
        <v>24</v>
      </c>
      <c r="J3482" s="34">
        <v>140</v>
      </c>
      <c r="K3482" s="35">
        <v>0.25</v>
      </c>
      <c r="L3482" s="36">
        <f t="shared" si="523"/>
        <v>35</v>
      </c>
      <c r="M3482" s="37">
        <f t="shared" si="524"/>
        <v>105</v>
      </c>
      <c r="N3482" s="38">
        <v>0.16</v>
      </c>
      <c r="O3482" s="39">
        <f t="shared" si="525"/>
        <v>16.8</v>
      </c>
      <c r="P3482" s="40">
        <f t="shared" si="526"/>
        <v>121.8</v>
      </c>
      <c r="Q3482" s="23"/>
      <c r="R3482" s="56"/>
      <c r="S3482" s="57"/>
      <c r="T3482" s="58">
        <f t="shared" si="527"/>
        <v>0</v>
      </c>
      <c r="U3482" s="36">
        <f t="shared" si="528"/>
        <v>0</v>
      </c>
      <c r="V3482" s="59">
        <f t="shared" si="529"/>
        <v>0</v>
      </c>
      <c r="W3482" s="39">
        <f t="shared" si="530"/>
        <v>0</v>
      </c>
      <c r="X3482" s="40">
        <f t="shared" si="531"/>
        <v>0</v>
      </c>
      <c r="Y3482"/>
      <c r="Z3482"/>
      <c r="AA3482"/>
    </row>
    <row r="3483" spans="1:27" s="51" customFormat="1" ht="18.600000000000001" hidden="1" customHeight="1" x14ac:dyDescent="0.25">
      <c r="A3483" s="82" t="s">
        <v>2653</v>
      </c>
      <c r="B3483" s="41" t="s">
        <v>9418</v>
      </c>
      <c r="C3483" s="42"/>
      <c r="D3483" s="41" t="s">
        <v>8734</v>
      </c>
      <c r="E3483" s="43" t="s">
        <v>8735</v>
      </c>
      <c r="F3483" s="43" t="s">
        <v>1937</v>
      </c>
      <c r="G3483" s="43" t="s">
        <v>8714</v>
      </c>
      <c r="H3483" s="85" t="s">
        <v>8736</v>
      </c>
      <c r="I3483" s="23" t="s">
        <v>24</v>
      </c>
      <c r="J3483" s="44">
        <v>140</v>
      </c>
      <c r="K3483" s="45">
        <v>0.25</v>
      </c>
      <c r="L3483" s="46">
        <f t="shared" si="523"/>
        <v>35</v>
      </c>
      <c r="M3483" s="47">
        <f t="shared" si="524"/>
        <v>105</v>
      </c>
      <c r="N3483" s="48">
        <v>0.16</v>
      </c>
      <c r="O3483" s="49">
        <f t="shared" si="525"/>
        <v>16.8</v>
      </c>
      <c r="P3483" s="50">
        <f t="shared" si="526"/>
        <v>121.8</v>
      </c>
      <c r="Q3483" s="23"/>
      <c r="R3483" s="60"/>
      <c r="S3483" s="61"/>
      <c r="T3483" s="62">
        <f t="shared" si="527"/>
        <v>0</v>
      </c>
      <c r="U3483" s="46">
        <f t="shared" si="528"/>
        <v>0</v>
      </c>
      <c r="V3483" s="63">
        <f t="shared" si="529"/>
        <v>0</v>
      </c>
      <c r="W3483" s="49">
        <f t="shared" si="530"/>
        <v>0</v>
      </c>
      <c r="X3483" s="50">
        <f t="shared" si="531"/>
        <v>0</v>
      </c>
      <c r="Y3483"/>
      <c r="Z3483"/>
      <c r="AA3483"/>
    </row>
    <row r="3484" spans="1:27" s="51" customFormat="1" ht="18.600000000000001" hidden="1" customHeight="1" x14ac:dyDescent="0.25">
      <c r="A3484" s="80" t="s">
        <v>2653</v>
      </c>
      <c r="B3484" s="20" t="s">
        <v>9418</v>
      </c>
      <c r="C3484" s="21"/>
      <c r="D3484" s="20" t="s">
        <v>8737</v>
      </c>
      <c r="E3484" s="22" t="s">
        <v>8738</v>
      </c>
      <c r="F3484" s="22" t="s">
        <v>1937</v>
      </c>
      <c r="G3484" s="22" t="s">
        <v>8714</v>
      </c>
      <c r="H3484" s="83" t="s">
        <v>8739</v>
      </c>
      <c r="I3484" s="23" t="s">
        <v>24</v>
      </c>
      <c r="J3484" s="24">
        <v>140</v>
      </c>
      <c r="K3484" s="25">
        <v>0.25</v>
      </c>
      <c r="L3484" s="26">
        <f t="shared" si="523"/>
        <v>35</v>
      </c>
      <c r="M3484" s="27">
        <f t="shared" si="524"/>
        <v>105</v>
      </c>
      <c r="N3484" s="28">
        <v>0.16</v>
      </c>
      <c r="O3484" s="29">
        <f t="shared" si="525"/>
        <v>16.8</v>
      </c>
      <c r="P3484" s="30">
        <f t="shared" si="526"/>
        <v>121.8</v>
      </c>
      <c r="Q3484" s="23"/>
      <c r="R3484" s="52"/>
      <c r="S3484" s="53"/>
      <c r="T3484" s="54">
        <f t="shared" si="527"/>
        <v>0</v>
      </c>
      <c r="U3484" s="26">
        <f t="shared" si="528"/>
        <v>0</v>
      </c>
      <c r="V3484" s="55">
        <f t="shared" si="529"/>
        <v>0</v>
      </c>
      <c r="W3484" s="29">
        <f t="shared" si="530"/>
        <v>0</v>
      </c>
      <c r="X3484" s="30">
        <f t="shared" si="531"/>
        <v>0</v>
      </c>
      <c r="Y3484"/>
      <c r="Z3484"/>
      <c r="AA3484"/>
    </row>
    <row r="3485" spans="1:27" s="51" customFormat="1" ht="18.600000000000001" hidden="1" customHeight="1" x14ac:dyDescent="0.25">
      <c r="A3485" s="81" t="s">
        <v>2653</v>
      </c>
      <c r="B3485" s="31" t="s">
        <v>9418</v>
      </c>
      <c r="C3485" s="32"/>
      <c r="D3485" s="31" t="s">
        <v>8740</v>
      </c>
      <c r="E3485" s="33" t="s">
        <v>8741</v>
      </c>
      <c r="F3485" s="33" t="s">
        <v>1937</v>
      </c>
      <c r="G3485" s="33" t="s">
        <v>8714</v>
      </c>
      <c r="H3485" s="84" t="s">
        <v>8742</v>
      </c>
      <c r="I3485" s="23" t="s">
        <v>24</v>
      </c>
      <c r="J3485" s="34">
        <v>140</v>
      </c>
      <c r="K3485" s="35">
        <v>0.25</v>
      </c>
      <c r="L3485" s="36">
        <f t="shared" si="523"/>
        <v>35</v>
      </c>
      <c r="M3485" s="37">
        <f t="shared" si="524"/>
        <v>105</v>
      </c>
      <c r="N3485" s="38">
        <v>0.16</v>
      </c>
      <c r="O3485" s="39">
        <f t="shared" si="525"/>
        <v>16.8</v>
      </c>
      <c r="P3485" s="40">
        <f t="shared" si="526"/>
        <v>121.8</v>
      </c>
      <c r="Q3485" s="23"/>
      <c r="R3485" s="56"/>
      <c r="S3485" s="57"/>
      <c r="T3485" s="58">
        <f t="shared" si="527"/>
        <v>0</v>
      </c>
      <c r="U3485" s="36">
        <f t="shared" si="528"/>
        <v>0</v>
      </c>
      <c r="V3485" s="59">
        <f t="shared" si="529"/>
        <v>0</v>
      </c>
      <c r="W3485" s="39">
        <f t="shared" si="530"/>
        <v>0</v>
      </c>
      <c r="X3485" s="40">
        <f t="shared" si="531"/>
        <v>0</v>
      </c>
      <c r="Y3485"/>
      <c r="Z3485"/>
      <c r="AA3485"/>
    </row>
    <row r="3486" spans="1:27" s="51" customFormat="1" ht="18.600000000000001" hidden="1" customHeight="1" x14ac:dyDescent="0.25">
      <c r="A3486" s="82" t="s">
        <v>2653</v>
      </c>
      <c r="B3486" s="41" t="s">
        <v>9418</v>
      </c>
      <c r="C3486" s="42"/>
      <c r="D3486" s="41" t="s">
        <v>8743</v>
      </c>
      <c r="E3486" s="43" t="s">
        <v>8744</v>
      </c>
      <c r="F3486" s="43" t="s">
        <v>1937</v>
      </c>
      <c r="G3486" s="43" t="s">
        <v>8714</v>
      </c>
      <c r="H3486" s="85" t="s">
        <v>8745</v>
      </c>
      <c r="I3486" s="23" t="s">
        <v>24</v>
      </c>
      <c r="J3486" s="44">
        <v>140</v>
      </c>
      <c r="K3486" s="45">
        <v>0.25</v>
      </c>
      <c r="L3486" s="46">
        <f t="shared" si="523"/>
        <v>35</v>
      </c>
      <c r="M3486" s="47">
        <f t="shared" si="524"/>
        <v>105</v>
      </c>
      <c r="N3486" s="48">
        <v>0.16</v>
      </c>
      <c r="O3486" s="49">
        <f t="shared" si="525"/>
        <v>16.8</v>
      </c>
      <c r="P3486" s="50">
        <f t="shared" si="526"/>
        <v>121.8</v>
      </c>
      <c r="Q3486" s="23"/>
      <c r="R3486" s="60"/>
      <c r="S3486" s="61"/>
      <c r="T3486" s="62">
        <f t="shared" si="527"/>
        <v>0</v>
      </c>
      <c r="U3486" s="46">
        <f t="shared" si="528"/>
        <v>0</v>
      </c>
      <c r="V3486" s="63">
        <f t="shared" si="529"/>
        <v>0</v>
      </c>
      <c r="W3486" s="49">
        <f t="shared" si="530"/>
        <v>0</v>
      </c>
      <c r="X3486" s="50">
        <f t="shared" si="531"/>
        <v>0</v>
      </c>
      <c r="Y3486"/>
      <c r="Z3486"/>
      <c r="AA3486"/>
    </row>
    <row r="3487" spans="1:27" s="51" customFormat="1" ht="18.600000000000001" hidden="1" customHeight="1" x14ac:dyDescent="0.25">
      <c r="A3487" s="80" t="s">
        <v>2653</v>
      </c>
      <c r="B3487" s="20" t="s">
        <v>9418</v>
      </c>
      <c r="C3487" s="21"/>
      <c r="D3487" s="20" t="s">
        <v>8746</v>
      </c>
      <c r="E3487" s="22" t="s">
        <v>8747</v>
      </c>
      <c r="F3487" s="22" t="s">
        <v>1937</v>
      </c>
      <c r="G3487" s="22" t="s">
        <v>8714</v>
      </c>
      <c r="H3487" s="83" t="s">
        <v>8748</v>
      </c>
      <c r="I3487" s="23" t="s">
        <v>24</v>
      </c>
      <c r="J3487" s="24">
        <v>140</v>
      </c>
      <c r="K3487" s="25">
        <v>0.25</v>
      </c>
      <c r="L3487" s="26">
        <f t="shared" si="523"/>
        <v>35</v>
      </c>
      <c r="M3487" s="27">
        <f t="shared" si="524"/>
        <v>105</v>
      </c>
      <c r="N3487" s="28">
        <v>0.16</v>
      </c>
      <c r="O3487" s="29">
        <f t="shared" si="525"/>
        <v>16.8</v>
      </c>
      <c r="P3487" s="30">
        <f t="shared" si="526"/>
        <v>121.8</v>
      </c>
      <c r="Q3487" s="23"/>
      <c r="R3487" s="52"/>
      <c r="S3487" s="53"/>
      <c r="T3487" s="54">
        <f t="shared" si="527"/>
        <v>0</v>
      </c>
      <c r="U3487" s="26">
        <f t="shared" si="528"/>
        <v>0</v>
      </c>
      <c r="V3487" s="55">
        <f t="shared" si="529"/>
        <v>0</v>
      </c>
      <c r="W3487" s="29">
        <f t="shared" si="530"/>
        <v>0</v>
      </c>
      <c r="X3487" s="30">
        <f t="shared" si="531"/>
        <v>0</v>
      </c>
      <c r="Y3487"/>
      <c r="Z3487"/>
      <c r="AA3487"/>
    </row>
    <row r="3488" spans="1:27" s="51" customFormat="1" ht="18.600000000000001" hidden="1" customHeight="1" x14ac:dyDescent="0.25">
      <c r="A3488" s="81" t="s">
        <v>2653</v>
      </c>
      <c r="B3488" s="31" t="s">
        <v>9418</v>
      </c>
      <c r="C3488" s="32"/>
      <c r="D3488" s="31" t="s">
        <v>8749</v>
      </c>
      <c r="E3488" s="33" t="s">
        <v>8750</v>
      </c>
      <c r="F3488" s="33" t="s">
        <v>1937</v>
      </c>
      <c r="G3488" s="33" t="s">
        <v>8714</v>
      </c>
      <c r="H3488" s="84" t="s">
        <v>8751</v>
      </c>
      <c r="I3488" s="23" t="s">
        <v>24</v>
      </c>
      <c r="J3488" s="34">
        <v>140</v>
      </c>
      <c r="K3488" s="35">
        <v>0.25</v>
      </c>
      <c r="L3488" s="36">
        <f t="shared" si="523"/>
        <v>35</v>
      </c>
      <c r="M3488" s="37">
        <f t="shared" si="524"/>
        <v>105</v>
      </c>
      <c r="N3488" s="38">
        <v>0.16</v>
      </c>
      <c r="O3488" s="39">
        <f t="shared" si="525"/>
        <v>16.8</v>
      </c>
      <c r="P3488" s="40">
        <f t="shared" si="526"/>
        <v>121.8</v>
      </c>
      <c r="Q3488" s="23"/>
      <c r="R3488" s="56"/>
      <c r="S3488" s="57"/>
      <c r="T3488" s="58">
        <f t="shared" si="527"/>
        <v>0</v>
      </c>
      <c r="U3488" s="36">
        <f t="shared" si="528"/>
        <v>0</v>
      </c>
      <c r="V3488" s="59">
        <f t="shared" si="529"/>
        <v>0</v>
      </c>
      <c r="W3488" s="39">
        <f t="shared" si="530"/>
        <v>0</v>
      </c>
      <c r="X3488" s="40">
        <f t="shared" si="531"/>
        <v>0</v>
      </c>
      <c r="Y3488"/>
      <c r="Z3488"/>
      <c r="AA3488"/>
    </row>
    <row r="3489" spans="1:27" s="51" customFormat="1" ht="18.600000000000001" hidden="1" customHeight="1" x14ac:dyDescent="0.25">
      <c r="A3489" s="82" t="s">
        <v>2653</v>
      </c>
      <c r="B3489" s="41" t="s">
        <v>9418</v>
      </c>
      <c r="C3489" s="42"/>
      <c r="D3489" s="41" t="s">
        <v>8752</v>
      </c>
      <c r="E3489" s="43" t="s">
        <v>8753</v>
      </c>
      <c r="F3489" s="43" t="s">
        <v>1937</v>
      </c>
      <c r="G3489" s="43" t="s">
        <v>8714</v>
      </c>
      <c r="H3489" s="85" t="s">
        <v>8754</v>
      </c>
      <c r="I3489" s="23" t="s">
        <v>24</v>
      </c>
      <c r="J3489" s="44">
        <v>140</v>
      </c>
      <c r="K3489" s="45">
        <v>0.25</v>
      </c>
      <c r="L3489" s="46">
        <f t="shared" si="523"/>
        <v>35</v>
      </c>
      <c r="M3489" s="47">
        <f t="shared" si="524"/>
        <v>105</v>
      </c>
      <c r="N3489" s="48">
        <v>0.16</v>
      </c>
      <c r="O3489" s="49">
        <f t="shared" si="525"/>
        <v>16.8</v>
      </c>
      <c r="P3489" s="50">
        <f t="shared" si="526"/>
        <v>121.8</v>
      </c>
      <c r="Q3489" s="23"/>
      <c r="R3489" s="60"/>
      <c r="S3489" s="61"/>
      <c r="T3489" s="62">
        <f t="shared" si="527"/>
        <v>0</v>
      </c>
      <c r="U3489" s="46">
        <f t="shared" si="528"/>
        <v>0</v>
      </c>
      <c r="V3489" s="63">
        <f t="shared" si="529"/>
        <v>0</v>
      </c>
      <c r="W3489" s="49">
        <f t="shared" si="530"/>
        <v>0</v>
      </c>
      <c r="X3489" s="50">
        <f t="shared" si="531"/>
        <v>0</v>
      </c>
      <c r="Y3489"/>
      <c r="Z3489"/>
      <c r="AA3489"/>
    </row>
    <row r="3490" spans="1:27" s="51" customFormat="1" ht="18.600000000000001" hidden="1" customHeight="1" x14ac:dyDescent="0.25">
      <c r="A3490" s="80" t="s">
        <v>2653</v>
      </c>
      <c r="B3490" s="20" t="s">
        <v>9418</v>
      </c>
      <c r="C3490" s="21"/>
      <c r="D3490" s="20" t="s">
        <v>8755</v>
      </c>
      <c r="E3490" s="22" t="s">
        <v>8756</v>
      </c>
      <c r="F3490" s="22" t="s">
        <v>1937</v>
      </c>
      <c r="G3490" s="22" t="s">
        <v>8714</v>
      </c>
      <c r="H3490" s="83" t="s">
        <v>8757</v>
      </c>
      <c r="I3490" s="23" t="s">
        <v>24</v>
      </c>
      <c r="J3490" s="24">
        <v>140</v>
      </c>
      <c r="K3490" s="25">
        <v>0.25</v>
      </c>
      <c r="L3490" s="26">
        <f t="shared" si="523"/>
        <v>35</v>
      </c>
      <c r="M3490" s="27">
        <f t="shared" si="524"/>
        <v>105</v>
      </c>
      <c r="N3490" s="28">
        <v>0.16</v>
      </c>
      <c r="O3490" s="29">
        <f t="shared" si="525"/>
        <v>16.8</v>
      </c>
      <c r="P3490" s="30">
        <f t="shared" si="526"/>
        <v>121.8</v>
      </c>
      <c r="Q3490" s="23"/>
      <c r="R3490" s="52"/>
      <c r="S3490" s="53"/>
      <c r="T3490" s="54">
        <f t="shared" si="527"/>
        <v>0</v>
      </c>
      <c r="U3490" s="26">
        <f t="shared" si="528"/>
        <v>0</v>
      </c>
      <c r="V3490" s="55">
        <f t="shared" si="529"/>
        <v>0</v>
      </c>
      <c r="W3490" s="29">
        <f t="shared" si="530"/>
        <v>0</v>
      </c>
      <c r="X3490" s="30">
        <f t="shared" si="531"/>
        <v>0</v>
      </c>
      <c r="Y3490"/>
      <c r="Z3490"/>
      <c r="AA3490"/>
    </row>
    <row r="3491" spans="1:27" s="51" customFormat="1" ht="18.600000000000001" hidden="1" customHeight="1" x14ac:dyDescent="0.25">
      <c r="A3491" s="81" t="s">
        <v>2653</v>
      </c>
      <c r="B3491" s="31" t="s">
        <v>9418</v>
      </c>
      <c r="C3491" s="32"/>
      <c r="D3491" s="31" t="s">
        <v>8758</v>
      </c>
      <c r="E3491" s="33" t="s">
        <v>8759</v>
      </c>
      <c r="F3491" s="33" t="s">
        <v>1937</v>
      </c>
      <c r="G3491" s="33" t="s">
        <v>8714</v>
      </c>
      <c r="H3491" s="84" t="s">
        <v>8760</v>
      </c>
      <c r="I3491" s="23" t="s">
        <v>24</v>
      </c>
      <c r="J3491" s="34">
        <v>140</v>
      </c>
      <c r="K3491" s="35">
        <v>0.25</v>
      </c>
      <c r="L3491" s="36">
        <f t="shared" si="523"/>
        <v>35</v>
      </c>
      <c r="M3491" s="37">
        <f t="shared" si="524"/>
        <v>105</v>
      </c>
      <c r="N3491" s="38">
        <v>0.16</v>
      </c>
      <c r="O3491" s="39">
        <f t="shared" si="525"/>
        <v>16.8</v>
      </c>
      <c r="P3491" s="40">
        <f t="shared" si="526"/>
        <v>121.8</v>
      </c>
      <c r="Q3491" s="23"/>
      <c r="R3491" s="56"/>
      <c r="S3491" s="57"/>
      <c r="T3491" s="58">
        <f t="shared" si="527"/>
        <v>0</v>
      </c>
      <c r="U3491" s="36">
        <f t="shared" si="528"/>
        <v>0</v>
      </c>
      <c r="V3491" s="59">
        <f t="shared" si="529"/>
        <v>0</v>
      </c>
      <c r="W3491" s="39">
        <f t="shared" si="530"/>
        <v>0</v>
      </c>
      <c r="X3491" s="40">
        <f t="shared" si="531"/>
        <v>0</v>
      </c>
      <c r="Y3491"/>
      <c r="Z3491"/>
      <c r="AA3491"/>
    </row>
    <row r="3492" spans="1:27" s="51" customFormat="1" ht="18.600000000000001" hidden="1" customHeight="1" x14ac:dyDescent="0.25">
      <c r="A3492" s="82" t="s">
        <v>2653</v>
      </c>
      <c r="B3492" s="41" t="s">
        <v>9418</v>
      </c>
      <c r="C3492" s="42"/>
      <c r="D3492" s="41" t="s">
        <v>8761</v>
      </c>
      <c r="E3492" s="43" t="s">
        <v>8762</v>
      </c>
      <c r="F3492" s="43" t="s">
        <v>1937</v>
      </c>
      <c r="G3492" s="43" t="s">
        <v>8714</v>
      </c>
      <c r="H3492" s="85" t="s">
        <v>8763</v>
      </c>
      <c r="I3492" s="23" t="s">
        <v>24</v>
      </c>
      <c r="J3492" s="44">
        <v>140</v>
      </c>
      <c r="K3492" s="45">
        <v>0.25</v>
      </c>
      <c r="L3492" s="46">
        <f t="shared" si="523"/>
        <v>35</v>
      </c>
      <c r="M3492" s="47">
        <f t="shared" si="524"/>
        <v>105</v>
      </c>
      <c r="N3492" s="48">
        <v>0.16</v>
      </c>
      <c r="O3492" s="49">
        <f t="shared" si="525"/>
        <v>16.8</v>
      </c>
      <c r="P3492" s="50">
        <f t="shared" si="526"/>
        <v>121.8</v>
      </c>
      <c r="Q3492" s="23"/>
      <c r="R3492" s="60"/>
      <c r="S3492" s="61"/>
      <c r="T3492" s="62">
        <f t="shared" si="527"/>
        <v>0</v>
      </c>
      <c r="U3492" s="46">
        <f t="shared" si="528"/>
        <v>0</v>
      </c>
      <c r="V3492" s="63">
        <f t="shared" si="529"/>
        <v>0</v>
      </c>
      <c r="W3492" s="49">
        <f t="shared" si="530"/>
        <v>0</v>
      </c>
      <c r="X3492" s="50">
        <f t="shared" si="531"/>
        <v>0</v>
      </c>
      <c r="Y3492"/>
      <c r="Z3492"/>
      <c r="AA3492"/>
    </row>
    <row r="3493" spans="1:27" s="51" customFormat="1" ht="18.600000000000001" hidden="1" customHeight="1" x14ac:dyDescent="0.25">
      <c r="A3493" s="80" t="s">
        <v>2653</v>
      </c>
      <c r="B3493" s="20" t="s">
        <v>9418</v>
      </c>
      <c r="C3493" s="21"/>
      <c r="D3493" s="20" t="s">
        <v>8764</v>
      </c>
      <c r="E3493" s="22" t="s">
        <v>8765</v>
      </c>
      <c r="F3493" s="22" t="s">
        <v>1937</v>
      </c>
      <c r="G3493" s="22" t="s">
        <v>8714</v>
      </c>
      <c r="H3493" s="83" t="s">
        <v>8766</v>
      </c>
      <c r="I3493" s="23" t="s">
        <v>24</v>
      </c>
      <c r="J3493" s="24">
        <v>140</v>
      </c>
      <c r="K3493" s="25">
        <v>0.25</v>
      </c>
      <c r="L3493" s="26">
        <f t="shared" si="523"/>
        <v>35</v>
      </c>
      <c r="M3493" s="27">
        <f t="shared" si="524"/>
        <v>105</v>
      </c>
      <c r="N3493" s="28">
        <v>0.16</v>
      </c>
      <c r="O3493" s="29">
        <f t="shared" si="525"/>
        <v>16.8</v>
      </c>
      <c r="P3493" s="30">
        <f t="shared" si="526"/>
        <v>121.8</v>
      </c>
      <c r="Q3493" s="23"/>
      <c r="R3493" s="52"/>
      <c r="S3493" s="53"/>
      <c r="T3493" s="54">
        <f t="shared" si="527"/>
        <v>0</v>
      </c>
      <c r="U3493" s="26">
        <f t="shared" si="528"/>
        <v>0</v>
      </c>
      <c r="V3493" s="55">
        <f t="shared" si="529"/>
        <v>0</v>
      </c>
      <c r="W3493" s="29">
        <f t="shared" si="530"/>
        <v>0</v>
      </c>
      <c r="X3493" s="30">
        <f t="shared" si="531"/>
        <v>0</v>
      </c>
      <c r="Y3493"/>
      <c r="Z3493"/>
      <c r="AA3493"/>
    </row>
    <row r="3494" spans="1:27" s="51" customFormat="1" ht="18.600000000000001" hidden="1" customHeight="1" x14ac:dyDescent="0.25">
      <c r="A3494" s="81" t="s">
        <v>2653</v>
      </c>
      <c r="B3494" s="31" t="s">
        <v>9418</v>
      </c>
      <c r="C3494" s="32"/>
      <c r="D3494" s="31" t="s">
        <v>8767</v>
      </c>
      <c r="E3494" s="33" t="s">
        <v>8768</v>
      </c>
      <c r="F3494" s="33" t="s">
        <v>1937</v>
      </c>
      <c r="G3494" s="33" t="s">
        <v>8714</v>
      </c>
      <c r="H3494" s="84" t="s">
        <v>8769</v>
      </c>
      <c r="I3494" s="23" t="s">
        <v>24</v>
      </c>
      <c r="J3494" s="34">
        <v>140</v>
      </c>
      <c r="K3494" s="35">
        <v>0.25</v>
      </c>
      <c r="L3494" s="36">
        <f t="shared" si="523"/>
        <v>35</v>
      </c>
      <c r="M3494" s="37">
        <f t="shared" si="524"/>
        <v>105</v>
      </c>
      <c r="N3494" s="38">
        <v>0.16</v>
      </c>
      <c r="O3494" s="39">
        <f t="shared" si="525"/>
        <v>16.8</v>
      </c>
      <c r="P3494" s="40">
        <f t="shared" si="526"/>
        <v>121.8</v>
      </c>
      <c r="Q3494" s="23"/>
      <c r="R3494" s="56"/>
      <c r="S3494" s="57"/>
      <c r="T3494" s="58">
        <f t="shared" si="527"/>
        <v>0</v>
      </c>
      <c r="U3494" s="36">
        <f t="shared" si="528"/>
        <v>0</v>
      </c>
      <c r="V3494" s="59">
        <f t="shared" si="529"/>
        <v>0</v>
      </c>
      <c r="W3494" s="39">
        <f t="shared" si="530"/>
        <v>0</v>
      </c>
      <c r="X3494" s="40">
        <f t="shared" si="531"/>
        <v>0</v>
      </c>
      <c r="Y3494"/>
      <c r="Z3494"/>
      <c r="AA3494"/>
    </row>
    <row r="3495" spans="1:27" s="51" customFormat="1" ht="18.600000000000001" hidden="1" customHeight="1" x14ac:dyDescent="0.25">
      <c r="A3495" s="82" t="s">
        <v>2653</v>
      </c>
      <c r="B3495" s="41" t="s">
        <v>9418</v>
      </c>
      <c r="C3495" s="42"/>
      <c r="D3495" s="41" t="s">
        <v>8770</v>
      </c>
      <c r="E3495" s="43" t="s">
        <v>8771</v>
      </c>
      <c r="F3495" s="43" t="s">
        <v>1937</v>
      </c>
      <c r="G3495" s="43" t="s">
        <v>8714</v>
      </c>
      <c r="H3495" s="85" t="s">
        <v>8772</v>
      </c>
      <c r="I3495" s="23" t="s">
        <v>24</v>
      </c>
      <c r="J3495" s="44">
        <v>140</v>
      </c>
      <c r="K3495" s="45">
        <v>0.25</v>
      </c>
      <c r="L3495" s="46">
        <f t="shared" si="523"/>
        <v>35</v>
      </c>
      <c r="M3495" s="47">
        <f t="shared" si="524"/>
        <v>105</v>
      </c>
      <c r="N3495" s="48">
        <v>0.16</v>
      </c>
      <c r="O3495" s="49">
        <f t="shared" si="525"/>
        <v>16.8</v>
      </c>
      <c r="P3495" s="50">
        <f t="shared" si="526"/>
        <v>121.8</v>
      </c>
      <c r="Q3495" s="23"/>
      <c r="R3495" s="60"/>
      <c r="S3495" s="61"/>
      <c r="T3495" s="62">
        <f t="shared" si="527"/>
        <v>0</v>
      </c>
      <c r="U3495" s="46">
        <f t="shared" si="528"/>
        <v>0</v>
      </c>
      <c r="V3495" s="63">
        <f t="shared" si="529"/>
        <v>0</v>
      </c>
      <c r="W3495" s="49">
        <f t="shared" si="530"/>
        <v>0</v>
      </c>
      <c r="X3495" s="50">
        <f t="shared" si="531"/>
        <v>0</v>
      </c>
      <c r="Y3495"/>
      <c r="Z3495"/>
      <c r="AA3495"/>
    </row>
    <row r="3496" spans="1:27" s="51" customFormat="1" ht="18.600000000000001" hidden="1" customHeight="1" x14ac:dyDescent="0.25">
      <c r="A3496" s="80" t="s">
        <v>2653</v>
      </c>
      <c r="B3496" s="20" t="s">
        <v>9418</v>
      </c>
      <c r="C3496" s="21"/>
      <c r="D3496" s="20" t="s">
        <v>8773</v>
      </c>
      <c r="E3496" s="22" t="s">
        <v>8774</v>
      </c>
      <c r="F3496" s="22" t="s">
        <v>1937</v>
      </c>
      <c r="G3496" s="22" t="s">
        <v>8714</v>
      </c>
      <c r="H3496" s="83" t="s">
        <v>8775</v>
      </c>
      <c r="I3496" s="23" t="s">
        <v>24</v>
      </c>
      <c r="J3496" s="24">
        <v>140</v>
      </c>
      <c r="K3496" s="25">
        <v>0.25</v>
      </c>
      <c r="L3496" s="26">
        <f t="shared" si="523"/>
        <v>35</v>
      </c>
      <c r="M3496" s="27">
        <f t="shared" si="524"/>
        <v>105</v>
      </c>
      <c r="N3496" s="28">
        <v>0.16</v>
      </c>
      <c r="O3496" s="29">
        <f t="shared" si="525"/>
        <v>16.8</v>
      </c>
      <c r="P3496" s="30">
        <f t="shared" si="526"/>
        <v>121.8</v>
      </c>
      <c r="Q3496" s="23"/>
      <c r="R3496" s="52"/>
      <c r="S3496" s="53"/>
      <c r="T3496" s="54">
        <f t="shared" si="527"/>
        <v>0</v>
      </c>
      <c r="U3496" s="26">
        <f t="shared" si="528"/>
        <v>0</v>
      </c>
      <c r="V3496" s="55">
        <f t="shared" si="529"/>
        <v>0</v>
      </c>
      <c r="W3496" s="29">
        <f t="shared" si="530"/>
        <v>0</v>
      </c>
      <c r="X3496" s="30">
        <f t="shared" si="531"/>
        <v>0</v>
      </c>
      <c r="Y3496"/>
      <c r="Z3496"/>
      <c r="AA3496"/>
    </row>
    <row r="3497" spans="1:27" s="51" customFormat="1" ht="18.600000000000001" hidden="1" customHeight="1" x14ac:dyDescent="0.25">
      <c r="A3497" s="81" t="s">
        <v>2653</v>
      </c>
      <c r="B3497" s="31" t="s">
        <v>9418</v>
      </c>
      <c r="C3497" s="32"/>
      <c r="D3497" s="31" t="s">
        <v>8776</v>
      </c>
      <c r="E3497" s="33" t="s">
        <v>8777</v>
      </c>
      <c r="F3497" s="33" t="s">
        <v>1937</v>
      </c>
      <c r="G3497" s="33" t="s">
        <v>8714</v>
      </c>
      <c r="H3497" s="84" t="s">
        <v>6879</v>
      </c>
      <c r="I3497" s="23" t="s">
        <v>24</v>
      </c>
      <c r="J3497" s="34">
        <v>140</v>
      </c>
      <c r="K3497" s="35">
        <v>0.25</v>
      </c>
      <c r="L3497" s="36">
        <f t="shared" si="523"/>
        <v>35</v>
      </c>
      <c r="M3497" s="37">
        <f t="shared" si="524"/>
        <v>105</v>
      </c>
      <c r="N3497" s="38">
        <v>0.16</v>
      </c>
      <c r="O3497" s="39">
        <f t="shared" si="525"/>
        <v>16.8</v>
      </c>
      <c r="P3497" s="40">
        <f t="shared" si="526"/>
        <v>121.8</v>
      </c>
      <c r="Q3497" s="23"/>
      <c r="R3497" s="56"/>
      <c r="S3497" s="57"/>
      <c r="T3497" s="58">
        <f t="shared" si="527"/>
        <v>0</v>
      </c>
      <c r="U3497" s="36">
        <f t="shared" si="528"/>
        <v>0</v>
      </c>
      <c r="V3497" s="59">
        <f t="shared" si="529"/>
        <v>0</v>
      </c>
      <c r="W3497" s="39">
        <f t="shared" si="530"/>
        <v>0</v>
      </c>
      <c r="X3497" s="40">
        <f t="shared" si="531"/>
        <v>0</v>
      </c>
      <c r="Y3497"/>
      <c r="Z3497"/>
      <c r="AA3497"/>
    </row>
    <row r="3498" spans="1:27" s="51" customFormat="1" ht="18.600000000000001" hidden="1" customHeight="1" x14ac:dyDescent="0.25">
      <c r="A3498" s="82" t="s">
        <v>2653</v>
      </c>
      <c r="B3498" s="41" t="s">
        <v>9418</v>
      </c>
      <c r="C3498" s="42"/>
      <c r="D3498" s="41" t="s">
        <v>8778</v>
      </c>
      <c r="E3498" s="43" t="s">
        <v>8779</v>
      </c>
      <c r="F3498" s="43" t="s">
        <v>1937</v>
      </c>
      <c r="G3498" s="43" t="s">
        <v>8714</v>
      </c>
      <c r="H3498" s="85" t="s">
        <v>8780</v>
      </c>
      <c r="I3498" s="23" t="s">
        <v>24</v>
      </c>
      <c r="J3498" s="44">
        <v>140</v>
      </c>
      <c r="K3498" s="45">
        <v>0.25</v>
      </c>
      <c r="L3498" s="46">
        <f t="shared" si="523"/>
        <v>35</v>
      </c>
      <c r="M3498" s="47">
        <f t="shared" si="524"/>
        <v>105</v>
      </c>
      <c r="N3498" s="48">
        <v>0.16</v>
      </c>
      <c r="O3498" s="49">
        <f t="shared" si="525"/>
        <v>16.8</v>
      </c>
      <c r="P3498" s="50">
        <f t="shared" si="526"/>
        <v>121.8</v>
      </c>
      <c r="Q3498" s="23"/>
      <c r="R3498" s="60"/>
      <c r="S3498" s="61"/>
      <c r="T3498" s="62">
        <f t="shared" si="527"/>
        <v>0</v>
      </c>
      <c r="U3498" s="46">
        <f t="shared" si="528"/>
        <v>0</v>
      </c>
      <c r="V3498" s="63">
        <f t="shared" si="529"/>
        <v>0</v>
      </c>
      <c r="W3498" s="49">
        <f t="shared" si="530"/>
        <v>0</v>
      </c>
      <c r="X3498" s="50">
        <f t="shared" si="531"/>
        <v>0</v>
      </c>
      <c r="Y3498"/>
      <c r="Z3498"/>
      <c r="AA3498"/>
    </row>
    <row r="3499" spans="1:27" s="51" customFormat="1" ht="18.600000000000001" hidden="1" customHeight="1" x14ac:dyDescent="0.25">
      <c r="A3499" s="80" t="s">
        <v>2653</v>
      </c>
      <c r="B3499" s="20" t="s">
        <v>9418</v>
      </c>
      <c r="C3499" s="21"/>
      <c r="D3499" s="20" t="s">
        <v>8781</v>
      </c>
      <c r="E3499" s="22" t="s">
        <v>8782</v>
      </c>
      <c r="F3499" s="22" t="s">
        <v>1937</v>
      </c>
      <c r="G3499" s="22" t="s">
        <v>8714</v>
      </c>
      <c r="H3499" s="83" t="s">
        <v>8783</v>
      </c>
      <c r="I3499" s="23" t="s">
        <v>24</v>
      </c>
      <c r="J3499" s="24">
        <v>140</v>
      </c>
      <c r="K3499" s="25">
        <v>0.25</v>
      </c>
      <c r="L3499" s="26">
        <f t="shared" si="523"/>
        <v>35</v>
      </c>
      <c r="M3499" s="27">
        <f t="shared" si="524"/>
        <v>105</v>
      </c>
      <c r="N3499" s="28">
        <v>0.16</v>
      </c>
      <c r="O3499" s="29">
        <f t="shared" si="525"/>
        <v>16.8</v>
      </c>
      <c r="P3499" s="30">
        <f t="shared" si="526"/>
        <v>121.8</v>
      </c>
      <c r="Q3499" s="23"/>
      <c r="R3499" s="52"/>
      <c r="S3499" s="53"/>
      <c r="T3499" s="54">
        <f t="shared" si="527"/>
        <v>0</v>
      </c>
      <c r="U3499" s="26">
        <f t="shared" si="528"/>
        <v>0</v>
      </c>
      <c r="V3499" s="55">
        <f t="shared" si="529"/>
        <v>0</v>
      </c>
      <c r="W3499" s="29">
        <f t="shared" si="530"/>
        <v>0</v>
      </c>
      <c r="X3499" s="30">
        <f t="shared" si="531"/>
        <v>0</v>
      </c>
      <c r="Y3499"/>
      <c r="Z3499"/>
      <c r="AA3499"/>
    </row>
    <row r="3500" spans="1:27" s="51" customFormat="1" ht="18.600000000000001" hidden="1" customHeight="1" x14ac:dyDescent="0.25">
      <c r="A3500" s="81" t="s">
        <v>2653</v>
      </c>
      <c r="B3500" s="31" t="s">
        <v>9418</v>
      </c>
      <c r="C3500" s="32"/>
      <c r="D3500" s="31" t="s">
        <v>8784</v>
      </c>
      <c r="E3500" s="33" t="s">
        <v>8785</v>
      </c>
      <c r="F3500" s="33" t="s">
        <v>1937</v>
      </c>
      <c r="G3500" s="33" t="s">
        <v>8714</v>
      </c>
      <c r="H3500" s="84" t="s">
        <v>8786</v>
      </c>
      <c r="I3500" s="23" t="s">
        <v>24</v>
      </c>
      <c r="J3500" s="34">
        <v>140</v>
      </c>
      <c r="K3500" s="35">
        <v>0.25</v>
      </c>
      <c r="L3500" s="36">
        <f t="shared" si="523"/>
        <v>35</v>
      </c>
      <c r="M3500" s="37">
        <f t="shared" si="524"/>
        <v>105</v>
      </c>
      <c r="N3500" s="38">
        <v>0.16</v>
      </c>
      <c r="O3500" s="39">
        <f t="shared" si="525"/>
        <v>16.8</v>
      </c>
      <c r="P3500" s="40">
        <f t="shared" si="526"/>
        <v>121.8</v>
      </c>
      <c r="Q3500" s="23"/>
      <c r="R3500" s="56"/>
      <c r="S3500" s="57"/>
      <c r="T3500" s="58">
        <f t="shared" si="527"/>
        <v>0</v>
      </c>
      <c r="U3500" s="36">
        <f t="shared" si="528"/>
        <v>0</v>
      </c>
      <c r="V3500" s="59">
        <f t="shared" si="529"/>
        <v>0</v>
      </c>
      <c r="W3500" s="39">
        <f t="shared" si="530"/>
        <v>0</v>
      </c>
      <c r="X3500" s="40">
        <f t="shared" si="531"/>
        <v>0</v>
      </c>
      <c r="Y3500"/>
      <c r="Z3500"/>
      <c r="AA3500"/>
    </row>
    <row r="3501" spans="1:27" s="51" customFormat="1" ht="18.600000000000001" hidden="1" customHeight="1" x14ac:dyDescent="0.25">
      <c r="A3501" s="82" t="s">
        <v>2653</v>
      </c>
      <c r="B3501" s="41" t="s">
        <v>9418</v>
      </c>
      <c r="C3501" s="42"/>
      <c r="D3501" s="41" t="s">
        <v>8787</v>
      </c>
      <c r="E3501" s="43" t="s">
        <v>8788</v>
      </c>
      <c r="F3501" s="43" t="s">
        <v>1937</v>
      </c>
      <c r="G3501" s="43" t="s">
        <v>8714</v>
      </c>
      <c r="H3501" s="85" t="s">
        <v>8789</v>
      </c>
      <c r="I3501" s="23" t="s">
        <v>24</v>
      </c>
      <c r="J3501" s="44">
        <v>140</v>
      </c>
      <c r="K3501" s="45">
        <v>0.25</v>
      </c>
      <c r="L3501" s="46">
        <f t="shared" si="523"/>
        <v>35</v>
      </c>
      <c r="M3501" s="47">
        <f t="shared" si="524"/>
        <v>105</v>
      </c>
      <c r="N3501" s="48">
        <v>0.16</v>
      </c>
      <c r="O3501" s="49">
        <f t="shared" si="525"/>
        <v>16.8</v>
      </c>
      <c r="P3501" s="50">
        <f t="shared" si="526"/>
        <v>121.8</v>
      </c>
      <c r="Q3501" s="23"/>
      <c r="R3501" s="60"/>
      <c r="S3501" s="61"/>
      <c r="T3501" s="62">
        <f t="shared" si="527"/>
        <v>0</v>
      </c>
      <c r="U3501" s="46">
        <f t="shared" si="528"/>
        <v>0</v>
      </c>
      <c r="V3501" s="63">
        <f t="shared" si="529"/>
        <v>0</v>
      </c>
      <c r="W3501" s="49">
        <f t="shared" si="530"/>
        <v>0</v>
      </c>
      <c r="X3501" s="50">
        <f t="shared" si="531"/>
        <v>0</v>
      </c>
      <c r="Y3501"/>
      <c r="Z3501"/>
      <c r="AA3501"/>
    </row>
    <row r="3502" spans="1:27" s="51" customFormat="1" ht="18.600000000000001" hidden="1" customHeight="1" x14ac:dyDescent="0.25">
      <c r="A3502" s="80" t="s">
        <v>2653</v>
      </c>
      <c r="B3502" s="20" t="s">
        <v>9418</v>
      </c>
      <c r="C3502" s="21"/>
      <c r="D3502" s="20" t="s">
        <v>8790</v>
      </c>
      <c r="E3502" s="22" t="s">
        <v>8791</v>
      </c>
      <c r="F3502" s="22" t="s">
        <v>1937</v>
      </c>
      <c r="G3502" s="22" t="s">
        <v>8714</v>
      </c>
      <c r="H3502" s="83" t="s">
        <v>8792</v>
      </c>
      <c r="I3502" s="23" t="s">
        <v>24</v>
      </c>
      <c r="J3502" s="24">
        <v>140</v>
      </c>
      <c r="K3502" s="25">
        <v>0.25</v>
      </c>
      <c r="L3502" s="26">
        <f t="shared" si="523"/>
        <v>35</v>
      </c>
      <c r="M3502" s="27">
        <f t="shared" si="524"/>
        <v>105</v>
      </c>
      <c r="N3502" s="28">
        <v>0.16</v>
      </c>
      <c r="O3502" s="29">
        <f t="shared" si="525"/>
        <v>16.8</v>
      </c>
      <c r="P3502" s="30">
        <f t="shared" si="526"/>
        <v>121.8</v>
      </c>
      <c r="Q3502" s="23"/>
      <c r="R3502" s="52"/>
      <c r="S3502" s="53"/>
      <c r="T3502" s="54">
        <f t="shared" si="527"/>
        <v>0</v>
      </c>
      <c r="U3502" s="26">
        <f t="shared" si="528"/>
        <v>0</v>
      </c>
      <c r="V3502" s="55">
        <f t="shared" si="529"/>
        <v>0</v>
      </c>
      <c r="W3502" s="29">
        <f t="shared" si="530"/>
        <v>0</v>
      </c>
      <c r="X3502" s="30">
        <f t="shared" si="531"/>
        <v>0</v>
      </c>
      <c r="Y3502"/>
      <c r="Z3502"/>
      <c r="AA3502"/>
    </row>
    <row r="3503" spans="1:27" s="51" customFormat="1" ht="18.600000000000001" hidden="1" customHeight="1" x14ac:dyDescent="0.25">
      <c r="A3503" s="81" t="s">
        <v>2653</v>
      </c>
      <c r="B3503" s="31" t="s">
        <v>9418</v>
      </c>
      <c r="C3503" s="32"/>
      <c r="D3503" s="31" t="s">
        <v>8793</v>
      </c>
      <c r="E3503" s="33" t="s">
        <v>8794</v>
      </c>
      <c r="F3503" s="33" t="s">
        <v>1937</v>
      </c>
      <c r="G3503" s="33" t="s">
        <v>8714</v>
      </c>
      <c r="H3503" s="84" t="s">
        <v>8795</v>
      </c>
      <c r="I3503" s="23" t="s">
        <v>24</v>
      </c>
      <c r="J3503" s="34">
        <v>140</v>
      </c>
      <c r="K3503" s="35">
        <v>0.25</v>
      </c>
      <c r="L3503" s="36">
        <f t="shared" si="523"/>
        <v>35</v>
      </c>
      <c r="M3503" s="37">
        <f t="shared" si="524"/>
        <v>105</v>
      </c>
      <c r="N3503" s="38">
        <v>0.16</v>
      </c>
      <c r="O3503" s="39">
        <f t="shared" si="525"/>
        <v>16.8</v>
      </c>
      <c r="P3503" s="40">
        <f t="shared" si="526"/>
        <v>121.8</v>
      </c>
      <c r="Q3503" s="23"/>
      <c r="R3503" s="56"/>
      <c r="S3503" s="57"/>
      <c r="T3503" s="58">
        <f t="shared" si="527"/>
        <v>0</v>
      </c>
      <c r="U3503" s="36">
        <f t="shared" si="528"/>
        <v>0</v>
      </c>
      <c r="V3503" s="59">
        <f t="shared" si="529"/>
        <v>0</v>
      </c>
      <c r="W3503" s="39">
        <f t="shared" si="530"/>
        <v>0</v>
      </c>
      <c r="X3503" s="40">
        <f t="shared" si="531"/>
        <v>0</v>
      </c>
      <c r="Y3503"/>
      <c r="Z3503"/>
      <c r="AA3503"/>
    </row>
    <row r="3504" spans="1:27" s="51" customFormat="1" ht="18.600000000000001" hidden="1" customHeight="1" x14ac:dyDescent="0.25">
      <c r="A3504" s="82" t="s">
        <v>2653</v>
      </c>
      <c r="B3504" s="41" t="s">
        <v>9418</v>
      </c>
      <c r="C3504" s="42"/>
      <c r="D3504" s="41" t="s">
        <v>8796</v>
      </c>
      <c r="E3504" s="43" t="s">
        <v>8797</v>
      </c>
      <c r="F3504" s="43" t="s">
        <v>1937</v>
      </c>
      <c r="G3504" s="43" t="s">
        <v>8714</v>
      </c>
      <c r="H3504" s="85" t="s">
        <v>8798</v>
      </c>
      <c r="I3504" s="23" t="s">
        <v>24</v>
      </c>
      <c r="J3504" s="44">
        <v>140</v>
      </c>
      <c r="K3504" s="45">
        <v>0.25</v>
      </c>
      <c r="L3504" s="46">
        <f t="shared" si="523"/>
        <v>35</v>
      </c>
      <c r="M3504" s="47">
        <f t="shared" si="524"/>
        <v>105</v>
      </c>
      <c r="N3504" s="48">
        <v>0.16</v>
      </c>
      <c r="O3504" s="49">
        <f t="shared" si="525"/>
        <v>16.8</v>
      </c>
      <c r="P3504" s="50">
        <f t="shared" si="526"/>
        <v>121.8</v>
      </c>
      <c r="Q3504" s="23"/>
      <c r="R3504" s="60"/>
      <c r="S3504" s="61"/>
      <c r="T3504" s="62">
        <f t="shared" si="527"/>
        <v>0</v>
      </c>
      <c r="U3504" s="46">
        <f t="shared" si="528"/>
        <v>0</v>
      </c>
      <c r="V3504" s="63">
        <f t="shared" si="529"/>
        <v>0</v>
      </c>
      <c r="W3504" s="49">
        <f t="shared" si="530"/>
        <v>0</v>
      </c>
      <c r="X3504" s="50">
        <f t="shared" si="531"/>
        <v>0</v>
      </c>
      <c r="Y3504"/>
      <c r="Z3504"/>
      <c r="AA3504"/>
    </row>
    <row r="3505" spans="1:27" s="51" customFormat="1" ht="18.600000000000001" hidden="1" customHeight="1" x14ac:dyDescent="0.25">
      <c r="A3505" s="80" t="s">
        <v>2653</v>
      </c>
      <c r="B3505" s="20" t="s">
        <v>9418</v>
      </c>
      <c r="C3505" s="21"/>
      <c r="D3505" s="20" t="s">
        <v>8799</v>
      </c>
      <c r="E3505" s="22" t="s">
        <v>8800</v>
      </c>
      <c r="F3505" s="22" t="s">
        <v>1937</v>
      </c>
      <c r="G3505" s="22" t="s">
        <v>8714</v>
      </c>
      <c r="H3505" s="83" t="s">
        <v>8801</v>
      </c>
      <c r="I3505" s="23" t="s">
        <v>24</v>
      </c>
      <c r="J3505" s="24">
        <v>140</v>
      </c>
      <c r="K3505" s="25">
        <v>0.25</v>
      </c>
      <c r="L3505" s="26">
        <f t="shared" si="523"/>
        <v>35</v>
      </c>
      <c r="M3505" s="27">
        <f t="shared" si="524"/>
        <v>105</v>
      </c>
      <c r="N3505" s="28">
        <v>0.16</v>
      </c>
      <c r="O3505" s="29">
        <f t="shared" si="525"/>
        <v>16.8</v>
      </c>
      <c r="P3505" s="30">
        <f t="shared" si="526"/>
        <v>121.8</v>
      </c>
      <c r="Q3505" s="23"/>
      <c r="R3505" s="52"/>
      <c r="S3505" s="53"/>
      <c r="T3505" s="54">
        <f t="shared" si="527"/>
        <v>0</v>
      </c>
      <c r="U3505" s="26">
        <f t="shared" si="528"/>
        <v>0</v>
      </c>
      <c r="V3505" s="55">
        <f t="shared" si="529"/>
        <v>0</v>
      </c>
      <c r="W3505" s="29">
        <f t="shared" si="530"/>
        <v>0</v>
      </c>
      <c r="X3505" s="30">
        <f t="shared" si="531"/>
        <v>0</v>
      </c>
      <c r="Y3505"/>
      <c r="Z3505"/>
      <c r="AA3505"/>
    </row>
    <row r="3506" spans="1:27" s="51" customFormat="1" ht="18.600000000000001" hidden="1" customHeight="1" x14ac:dyDescent="0.25">
      <c r="A3506" s="81" t="s">
        <v>2653</v>
      </c>
      <c r="B3506" s="31" t="s">
        <v>9418</v>
      </c>
      <c r="C3506" s="32"/>
      <c r="D3506" s="31" t="s">
        <v>8802</v>
      </c>
      <c r="E3506" s="33" t="s">
        <v>8803</v>
      </c>
      <c r="F3506" s="33" t="s">
        <v>1937</v>
      </c>
      <c r="G3506" s="33" t="s">
        <v>8714</v>
      </c>
      <c r="H3506" s="84" t="s">
        <v>8804</v>
      </c>
      <c r="I3506" s="23" t="s">
        <v>24</v>
      </c>
      <c r="J3506" s="34">
        <v>140</v>
      </c>
      <c r="K3506" s="35">
        <v>0.25</v>
      </c>
      <c r="L3506" s="36">
        <f t="shared" si="523"/>
        <v>35</v>
      </c>
      <c r="M3506" s="37">
        <f t="shared" si="524"/>
        <v>105</v>
      </c>
      <c r="N3506" s="38">
        <v>0.16</v>
      </c>
      <c r="O3506" s="39">
        <f t="shared" si="525"/>
        <v>16.8</v>
      </c>
      <c r="P3506" s="40">
        <f t="shared" si="526"/>
        <v>121.8</v>
      </c>
      <c r="Q3506" s="23"/>
      <c r="R3506" s="56"/>
      <c r="S3506" s="57"/>
      <c r="T3506" s="58">
        <f t="shared" si="527"/>
        <v>0</v>
      </c>
      <c r="U3506" s="36">
        <f t="shared" si="528"/>
        <v>0</v>
      </c>
      <c r="V3506" s="59">
        <f t="shared" si="529"/>
        <v>0</v>
      </c>
      <c r="W3506" s="39">
        <f t="shared" si="530"/>
        <v>0</v>
      </c>
      <c r="X3506" s="40">
        <f t="shared" si="531"/>
        <v>0</v>
      </c>
      <c r="Y3506"/>
      <c r="Z3506"/>
      <c r="AA3506"/>
    </row>
    <row r="3507" spans="1:27" s="51" customFormat="1" ht="18.600000000000001" hidden="1" customHeight="1" x14ac:dyDescent="0.25">
      <c r="A3507" s="82" t="s">
        <v>2653</v>
      </c>
      <c r="B3507" s="41" t="s">
        <v>9418</v>
      </c>
      <c r="C3507" s="42"/>
      <c r="D3507" s="41" t="s">
        <v>8805</v>
      </c>
      <c r="E3507" s="43" t="s">
        <v>8806</v>
      </c>
      <c r="F3507" s="43" t="s">
        <v>1937</v>
      </c>
      <c r="G3507" s="43" t="s">
        <v>8714</v>
      </c>
      <c r="H3507" s="85" t="s">
        <v>8807</v>
      </c>
      <c r="I3507" s="23" t="s">
        <v>24</v>
      </c>
      <c r="J3507" s="44">
        <v>140</v>
      </c>
      <c r="K3507" s="45">
        <v>0.25</v>
      </c>
      <c r="L3507" s="46">
        <f t="shared" si="523"/>
        <v>35</v>
      </c>
      <c r="M3507" s="47">
        <f t="shared" si="524"/>
        <v>105</v>
      </c>
      <c r="N3507" s="48">
        <v>0.16</v>
      </c>
      <c r="O3507" s="49">
        <f t="shared" si="525"/>
        <v>16.8</v>
      </c>
      <c r="P3507" s="50">
        <f t="shared" si="526"/>
        <v>121.8</v>
      </c>
      <c r="Q3507" s="23"/>
      <c r="R3507" s="60"/>
      <c r="S3507" s="61"/>
      <c r="T3507" s="62">
        <f t="shared" si="527"/>
        <v>0</v>
      </c>
      <c r="U3507" s="46">
        <f t="shared" si="528"/>
        <v>0</v>
      </c>
      <c r="V3507" s="63">
        <f t="shared" si="529"/>
        <v>0</v>
      </c>
      <c r="W3507" s="49">
        <f t="shared" si="530"/>
        <v>0</v>
      </c>
      <c r="X3507" s="50">
        <f t="shared" si="531"/>
        <v>0</v>
      </c>
      <c r="Y3507"/>
      <c r="Z3507"/>
      <c r="AA3507"/>
    </row>
    <row r="3508" spans="1:27" s="51" customFormat="1" ht="18.600000000000001" hidden="1" customHeight="1" x14ac:dyDescent="0.25">
      <c r="A3508" s="80" t="s">
        <v>2653</v>
      </c>
      <c r="B3508" s="20" t="s">
        <v>9418</v>
      </c>
      <c r="C3508" s="21"/>
      <c r="D3508" s="20" t="s">
        <v>8808</v>
      </c>
      <c r="E3508" s="22" t="s">
        <v>8809</v>
      </c>
      <c r="F3508" s="22" t="s">
        <v>1937</v>
      </c>
      <c r="G3508" s="22" t="s">
        <v>8714</v>
      </c>
      <c r="H3508" s="83" t="s">
        <v>8810</v>
      </c>
      <c r="I3508" s="23" t="s">
        <v>24</v>
      </c>
      <c r="J3508" s="24">
        <v>140</v>
      </c>
      <c r="K3508" s="25">
        <v>0.25</v>
      </c>
      <c r="L3508" s="26">
        <f t="shared" si="523"/>
        <v>35</v>
      </c>
      <c r="M3508" s="27">
        <f t="shared" si="524"/>
        <v>105</v>
      </c>
      <c r="N3508" s="28">
        <v>0.16</v>
      </c>
      <c r="O3508" s="29">
        <f t="shared" si="525"/>
        <v>16.8</v>
      </c>
      <c r="P3508" s="30">
        <f t="shared" si="526"/>
        <v>121.8</v>
      </c>
      <c r="Q3508" s="23"/>
      <c r="R3508" s="52"/>
      <c r="S3508" s="53"/>
      <c r="T3508" s="54">
        <f t="shared" si="527"/>
        <v>0</v>
      </c>
      <c r="U3508" s="26">
        <f t="shared" si="528"/>
        <v>0</v>
      </c>
      <c r="V3508" s="55">
        <f t="shared" si="529"/>
        <v>0</v>
      </c>
      <c r="W3508" s="29">
        <f t="shared" si="530"/>
        <v>0</v>
      </c>
      <c r="X3508" s="30">
        <f t="shared" si="531"/>
        <v>0</v>
      </c>
      <c r="Y3508"/>
      <c r="Z3508"/>
      <c r="AA3508"/>
    </row>
    <row r="3509" spans="1:27" s="51" customFormat="1" ht="18.600000000000001" hidden="1" customHeight="1" x14ac:dyDescent="0.25">
      <c r="A3509" s="81" t="s">
        <v>2653</v>
      </c>
      <c r="B3509" s="31" t="s">
        <v>9418</v>
      </c>
      <c r="C3509" s="32"/>
      <c r="D3509" s="31" t="s">
        <v>8811</v>
      </c>
      <c r="E3509" s="33" t="s">
        <v>8812</v>
      </c>
      <c r="F3509" s="33" t="s">
        <v>1937</v>
      </c>
      <c r="G3509" s="33" t="s">
        <v>8714</v>
      </c>
      <c r="H3509" s="84" t="s">
        <v>8813</v>
      </c>
      <c r="I3509" s="23" t="s">
        <v>24</v>
      </c>
      <c r="J3509" s="34">
        <v>140</v>
      </c>
      <c r="K3509" s="35">
        <v>0.25</v>
      </c>
      <c r="L3509" s="36">
        <f t="shared" si="523"/>
        <v>35</v>
      </c>
      <c r="M3509" s="37">
        <f t="shared" si="524"/>
        <v>105</v>
      </c>
      <c r="N3509" s="38">
        <v>0.16</v>
      </c>
      <c r="O3509" s="39">
        <f t="shared" si="525"/>
        <v>16.8</v>
      </c>
      <c r="P3509" s="40">
        <f t="shared" si="526"/>
        <v>121.8</v>
      </c>
      <c r="Q3509" s="23"/>
      <c r="R3509" s="56"/>
      <c r="S3509" s="57"/>
      <c r="T3509" s="58">
        <f t="shared" si="527"/>
        <v>0</v>
      </c>
      <c r="U3509" s="36">
        <f t="shared" si="528"/>
        <v>0</v>
      </c>
      <c r="V3509" s="59">
        <f t="shared" si="529"/>
        <v>0</v>
      </c>
      <c r="W3509" s="39">
        <f t="shared" si="530"/>
        <v>0</v>
      </c>
      <c r="X3509" s="40">
        <f t="shared" si="531"/>
        <v>0</v>
      </c>
      <c r="Y3509"/>
      <c r="Z3509"/>
      <c r="AA3509"/>
    </row>
    <row r="3510" spans="1:27" s="51" customFormat="1" ht="18.600000000000001" hidden="1" customHeight="1" x14ac:dyDescent="0.25">
      <c r="A3510" s="82" t="s">
        <v>2653</v>
      </c>
      <c r="B3510" s="41" t="s">
        <v>9418</v>
      </c>
      <c r="C3510" s="42"/>
      <c r="D3510" s="41" t="s">
        <v>8814</v>
      </c>
      <c r="E3510" s="43" t="s">
        <v>8815</v>
      </c>
      <c r="F3510" s="43" t="s">
        <v>1937</v>
      </c>
      <c r="G3510" s="43" t="s">
        <v>8714</v>
      </c>
      <c r="H3510" s="85" t="s">
        <v>8816</v>
      </c>
      <c r="I3510" s="23" t="s">
        <v>24</v>
      </c>
      <c r="J3510" s="44">
        <v>140</v>
      </c>
      <c r="K3510" s="45">
        <v>0.25</v>
      </c>
      <c r="L3510" s="46">
        <f t="shared" si="523"/>
        <v>35</v>
      </c>
      <c r="M3510" s="47">
        <f t="shared" si="524"/>
        <v>105</v>
      </c>
      <c r="N3510" s="48">
        <v>0.16</v>
      </c>
      <c r="O3510" s="49">
        <f t="shared" si="525"/>
        <v>16.8</v>
      </c>
      <c r="P3510" s="50">
        <f t="shared" si="526"/>
        <v>121.8</v>
      </c>
      <c r="Q3510" s="23"/>
      <c r="R3510" s="60"/>
      <c r="S3510" s="61"/>
      <c r="T3510" s="62">
        <f t="shared" si="527"/>
        <v>0</v>
      </c>
      <c r="U3510" s="46">
        <f t="shared" si="528"/>
        <v>0</v>
      </c>
      <c r="V3510" s="63">
        <f t="shared" si="529"/>
        <v>0</v>
      </c>
      <c r="W3510" s="49">
        <f t="shared" si="530"/>
        <v>0</v>
      </c>
      <c r="X3510" s="50">
        <f t="shared" si="531"/>
        <v>0</v>
      </c>
      <c r="Y3510"/>
      <c r="Z3510"/>
      <c r="AA3510"/>
    </row>
    <row r="3511" spans="1:27" s="51" customFormat="1" ht="18.600000000000001" hidden="1" customHeight="1" x14ac:dyDescent="0.25">
      <c r="A3511" s="80" t="s">
        <v>2653</v>
      </c>
      <c r="B3511" s="20" t="s">
        <v>9418</v>
      </c>
      <c r="C3511" s="21"/>
      <c r="D3511" s="20" t="s">
        <v>8817</v>
      </c>
      <c r="E3511" s="22" t="s">
        <v>8818</v>
      </c>
      <c r="F3511" s="22" t="s">
        <v>1937</v>
      </c>
      <c r="G3511" s="22" t="s">
        <v>8714</v>
      </c>
      <c r="H3511" s="83" t="s">
        <v>8819</v>
      </c>
      <c r="I3511" s="23" t="s">
        <v>24</v>
      </c>
      <c r="J3511" s="24">
        <v>140</v>
      </c>
      <c r="K3511" s="25">
        <v>0.25</v>
      </c>
      <c r="L3511" s="26">
        <f t="shared" si="523"/>
        <v>35</v>
      </c>
      <c r="M3511" s="27">
        <f t="shared" si="524"/>
        <v>105</v>
      </c>
      <c r="N3511" s="28">
        <v>0.16</v>
      </c>
      <c r="O3511" s="29">
        <f t="shared" si="525"/>
        <v>16.8</v>
      </c>
      <c r="P3511" s="30">
        <f t="shared" si="526"/>
        <v>121.8</v>
      </c>
      <c r="Q3511" s="23"/>
      <c r="R3511" s="52"/>
      <c r="S3511" s="53"/>
      <c r="T3511" s="54">
        <f t="shared" si="527"/>
        <v>0</v>
      </c>
      <c r="U3511" s="26">
        <f t="shared" si="528"/>
        <v>0</v>
      </c>
      <c r="V3511" s="55">
        <f t="shared" si="529"/>
        <v>0</v>
      </c>
      <c r="W3511" s="29">
        <f t="shared" si="530"/>
        <v>0</v>
      </c>
      <c r="X3511" s="30">
        <f t="shared" si="531"/>
        <v>0</v>
      </c>
      <c r="Y3511"/>
      <c r="Z3511"/>
      <c r="AA3511"/>
    </row>
    <row r="3512" spans="1:27" s="51" customFormat="1" ht="18.600000000000001" hidden="1" customHeight="1" x14ac:dyDescent="0.25">
      <c r="A3512" s="81" t="s">
        <v>2653</v>
      </c>
      <c r="B3512" s="31" t="s">
        <v>9418</v>
      </c>
      <c r="C3512" s="32"/>
      <c r="D3512" s="31" t="s">
        <v>8820</v>
      </c>
      <c r="E3512" s="33" t="s">
        <v>8821</v>
      </c>
      <c r="F3512" s="33" t="s">
        <v>1937</v>
      </c>
      <c r="G3512" s="33" t="s">
        <v>8714</v>
      </c>
      <c r="H3512" s="84" t="s">
        <v>8822</v>
      </c>
      <c r="I3512" s="23" t="s">
        <v>24</v>
      </c>
      <c r="J3512" s="34">
        <v>140</v>
      </c>
      <c r="K3512" s="35">
        <v>0.25</v>
      </c>
      <c r="L3512" s="36">
        <f t="shared" si="523"/>
        <v>35</v>
      </c>
      <c r="M3512" s="37">
        <f t="shared" si="524"/>
        <v>105</v>
      </c>
      <c r="N3512" s="38">
        <v>0.16</v>
      </c>
      <c r="O3512" s="39">
        <f t="shared" si="525"/>
        <v>16.8</v>
      </c>
      <c r="P3512" s="40">
        <f t="shared" si="526"/>
        <v>121.8</v>
      </c>
      <c r="Q3512" s="23"/>
      <c r="R3512" s="56"/>
      <c r="S3512" s="57"/>
      <c r="T3512" s="58">
        <f t="shared" si="527"/>
        <v>0</v>
      </c>
      <c r="U3512" s="36">
        <f t="shared" si="528"/>
        <v>0</v>
      </c>
      <c r="V3512" s="59">
        <f t="shared" si="529"/>
        <v>0</v>
      </c>
      <c r="W3512" s="39">
        <f t="shared" si="530"/>
        <v>0</v>
      </c>
      <c r="X3512" s="40">
        <f t="shared" si="531"/>
        <v>0</v>
      </c>
      <c r="Y3512"/>
      <c r="Z3512"/>
      <c r="AA3512"/>
    </row>
    <row r="3513" spans="1:27" s="51" customFormat="1" ht="18.600000000000001" hidden="1" customHeight="1" x14ac:dyDescent="0.25">
      <c r="A3513" s="82" t="s">
        <v>2653</v>
      </c>
      <c r="B3513" s="41" t="s">
        <v>9418</v>
      </c>
      <c r="C3513" s="42"/>
      <c r="D3513" s="41" t="s">
        <v>8823</v>
      </c>
      <c r="E3513" s="43" t="s">
        <v>8824</v>
      </c>
      <c r="F3513" s="43" t="s">
        <v>1937</v>
      </c>
      <c r="G3513" s="43" t="s">
        <v>8714</v>
      </c>
      <c r="H3513" s="85" t="s">
        <v>8825</v>
      </c>
      <c r="I3513" s="23" t="s">
        <v>24</v>
      </c>
      <c r="J3513" s="44">
        <v>140</v>
      </c>
      <c r="K3513" s="45">
        <v>0.25</v>
      </c>
      <c r="L3513" s="46">
        <f t="shared" si="523"/>
        <v>35</v>
      </c>
      <c r="M3513" s="47">
        <f t="shared" si="524"/>
        <v>105</v>
      </c>
      <c r="N3513" s="48">
        <v>0.16</v>
      </c>
      <c r="O3513" s="49">
        <f t="shared" si="525"/>
        <v>16.8</v>
      </c>
      <c r="P3513" s="50">
        <f t="shared" si="526"/>
        <v>121.8</v>
      </c>
      <c r="Q3513" s="23"/>
      <c r="R3513" s="60"/>
      <c r="S3513" s="61"/>
      <c r="T3513" s="62">
        <f t="shared" si="527"/>
        <v>0</v>
      </c>
      <c r="U3513" s="46">
        <f t="shared" si="528"/>
        <v>0</v>
      </c>
      <c r="V3513" s="63">
        <f t="shared" si="529"/>
        <v>0</v>
      </c>
      <c r="W3513" s="49">
        <f t="shared" si="530"/>
        <v>0</v>
      </c>
      <c r="X3513" s="50">
        <f t="shared" si="531"/>
        <v>0</v>
      </c>
      <c r="Y3513"/>
      <c r="Z3513"/>
      <c r="AA3513"/>
    </row>
    <row r="3514" spans="1:27" s="51" customFormat="1" ht="18.600000000000001" hidden="1" customHeight="1" x14ac:dyDescent="0.25">
      <c r="A3514" s="80" t="s">
        <v>2653</v>
      </c>
      <c r="B3514" s="20" t="s">
        <v>9418</v>
      </c>
      <c r="C3514" s="21"/>
      <c r="D3514" s="20" t="s">
        <v>8826</v>
      </c>
      <c r="E3514" s="22" t="s">
        <v>8827</v>
      </c>
      <c r="F3514" s="22" t="s">
        <v>1937</v>
      </c>
      <c r="G3514" s="22" t="s">
        <v>8714</v>
      </c>
      <c r="H3514" s="83" t="s">
        <v>8828</v>
      </c>
      <c r="I3514" s="23" t="s">
        <v>24</v>
      </c>
      <c r="J3514" s="24">
        <v>140</v>
      </c>
      <c r="K3514" s="25">
        <v>0.25</v>
      </c>
      <c r="L3514" s="26">
        <f t="shared" si="523"/>
        <v>35</v>
      </c>
      <c r="M3514" s="27">
        <f t="shared" si="524"/>
        <v>105</v>
      </c>
      <c r="N3514" s="28">
        <v>0.16</v>
      </c>
      <c r="O3514" s="29">
        <f t="shared" si="525"/>
        <v>16.8</v>
      </c>
      <c r="P3514" s="30">
        <f t="shared" si="526"/>
        <v>121.8</v>
      </c>
      <c r="Q3514" s="23"/>
      <c r="R3514" s="52"/>
      <c r="S3514" s="53"/>
      <c r="T3514" s="54">
        <f t="shared" si="527"/>
        <v>0</v>
      </c>
      <c r="U3514" s="26">
        <f t="shared" si="528"/>
        <v>0</v>
      </c>
      <c r="V3514" s="55">
        <f t="shared" si="529"/>
        <v>0</v>
      </c>
      <c r="W3514" s="29">
        <f t="shared" si="530"/>
        <v>0</v>
      </c>
      <c r="X3514" s="30">
        <f t="shared" si="531"/>
        <v>0</v>
      </c>
      <c r="Y3514"/>
      <c r="Z3514"/>
      <c r="AA3514"/>
    </row>
    <row r="3515" spans="1:27" s="51" customFormat="1" ht="18.600000000000001" hidden="1" customHeight="1" x14ac:dyDescent="0.25">
      <c r="A3515" s="81" t="s">
        <v>2653</v>
      </c>
      <c r="B3515" s="31" t="s">
        <v>9418</v>
      </c>
      <c r="C3515" s="32"/>
      <c r="D3515" s="31" t="s">
        <v>8829</v>
      </c>
      <c r="E3515" s="33" t="s">
        <v>8830</v>
      </c>
      <c r="F3515" s="33" t="s">
        <v>1937</v>
      </c>
      <c r="G3515" s="33" t="s">
        <v>8714</v>
      </c>
      <c r="H3515" s="84" t="s">
        <v>8831</v>
      </c>
      <c r="I3515" s="23" t="s">
        <v>24</v>
      </c>
      <c r="J3515" s="34">
        <v>140</v>
      </c>
      <c r="K3515" s="35">
        <v>0.25</v>
      </c>
      <c r="L3515" s="36">
        <f t="shared" si="523"/>
        <v>35</v>
      </c>
      <c r="M3515" s="37">
        <f t="shared" si="524"/>
        <v>105</v>
      </c>
      <c r="N3515" s="38">
        <v>0.16</v>
      </c>
      <c r="O3515" s="39">
        <f t="shared" si="525"/>
        <v>16.8</v>
      </c>
      <c r="P3515" s="40">
        <f t="shared" si="526"/>
        <v>121.8</v>
      </c>
      <c r="Q3515" s="23"/>
      <c r="R3515" s="56"/>
      <c r="S3515" s="57"/>
      <c r="T3515" s="58">
        <f t="shared" si="527"/>
        <v>0</v>
      </c>
      <c r="U3515" s="36">
        <f t="shared" si="528"/>
        <v>0</v>
      </c>
      <c r="V3515" s="59">
        <f t="shared" si="529"/>
        <v>0</v>
      </c>
      <c r="W3515" s="39">
        <f t="shared" si="530"/>
        <v>0</v>
      </c>
      <c r="X3515" s="40">
        <f t="shared" si="531"/>
        <v>0</v>
      </c>
      <c r="Y3515"/>
      <c r="Z3515"/>
      <c r="AA3515"/>
    </row>
    <row r="3516" spans="1:27" s="51" customFormat="1" ht="18.600000000000001" hidden="1" customHeight="1" x14ac:dyDescent="0.25">
      <c r="A3516" s="82" t="s">
        <v>2653</v>
      </c>
      <c r="B3516" s="41" t="s">
        <v>9418</v>
      </c>
      <c r="C3516" s="42"/>
      <c r="D3516" s="41" t="s">
        <v>8832</v>
      </c>
      <c r="E3516" s="43" t="s">
        <v>8833</v>
      </c>
      <c r="F3516" s="43" t="s">
        <v>1937</v>
      </c>
      <c r="G3516" s="43" t="s">
        <v>8714</v>
      </c>
      <c r="H3516" s="85" t="s">
        <v>8834</v>
      </c>
      <c r="I3516" s="23" t="s">
        <v>24</v>
      </c>
      <c r="J3516" s="44">
        <v>140</v>
      </c>
      <c r="K3516" s="45">
        <v>0.25</v>
      </c>
      <c r="L3516" s="46">
        <f t="shared" si="523"/>
        <v>35</v>
      </c>
      <c r="M3516" s="47">
        <f t="shared" si="524"/>
        <v>105</v>
      </c>
      <c r="N3516" s="48">
        <v>0.16</v>
      </c>
      <c r="O3516" s="49">
        <f t="shared" si="525"/>
        <v>16.8</v>
      </c>
      <c r="P3516" s="50">
        <f t="shared" si="526"/>
        <v>121.8</v>
      </c>
      <c r="Q3516" s="23"/>
      <c r="R3516" s="60"/>
      <c r="S3516" s="61"/>
      <c r="T3516" s="62">
        <f t="shared" si="527"/>
        <v>0</v>
      </c>
      <c r="U3516" s="46">
        <f t="shared" si="528"/>
        <v>0</v>
      </c>
      <c r="V3516" s="63">
        <f t="shared" si="529"/>
        <v>0</v>
      </c>
      <c r="W3516" s="49">
        <f t="shared" si="530"/>
        <v>0</v>
      </c>
      <c r="X3516" s="50">
        <f t="shared" si="531"/>
        <v>0</v>
      </c>
      <c r="Y3516"/>
      <c r="Z3516"/>
      <c r="AA3516"/>
    </row>
    <row r="3517" spans="1:27" s="51" customFormat="1" ht="18.600000000000001" hidden="1" customHeight="1" x14ac:dyDescent="0.25">
      <c r="A3517" s="80" t="s">
        <v>2653</v>
      </c>
      <c r="B3517" s="20" t="s">
        <v>9418</v>
      </c>
      <c r="C3517" s="21"/>
      <c r="D3517" s="20" t="s">
        <v>8835</v>
      </c>
      <c r="E3517" s="22" t="s">
        <v>8836</v>
      </c>
      <c r="F3517" s="22" t="s">
        <v>1937</v>
      </c>
      <c r="G3517" s="22" t="s">
        <v>8714</v>
      </c>
      <c r="H3517" s="83" t="s">
        <v>8837</v>
      </c>
      <c r="I3517" s="23" t="s">
        <v>24</v>
      </c>
      <c r="J3517" s="24">
        <v>140</v>
      </c>
      <c r="K3517" s="25">
        <v>0.25</v>
      </c>
      <c r="L3517" s="26">
        <f t="shared" si="523"/>
        <v>35</v>
      </c>
      <c r="M3517" s="27">
        <f t="shared" si="524"/>
        <v>105</v>
      </c>
      <c r="N3517" s="28">
        <v>0.16</v>
      </c>
      <c r="O3517" s="29">
        <f t="shared" si="525"/>
        <v>16.8</v>
      </c>
      <c r="P3517" s="30">
        <f t="shared" si="526"/>
        <v>121.8</v>
      </c>
      <c r="Q3517" s="23"/>
      <c r="R3517" s="52"/>
      <c r="S3517" s="53"/>
      <c r="T3517" s="54">
        <f t="shared" si="527"/>
        <v>0</v>
      </c>
      <c r="U3517" s="26">
        <f t="shared" si="528"/>
        <v>0</v>
      </c>
      <c r="V3517" s="55">
        <f t="shared" si="529"/>
        <v>0</v>
      </c>
      <c r="W3517" s="29">
        <f t="shared" si="530"/>
        <v>0</v>
      </c>
      <c r="X3517" s="30">
        <f t="shared" si="531"/>
        <v>0</v>
      </c>
      <c r="Y3517"/>
      <c r="Z3517"/>
      <c r="AA3517"/>
    </row>
    <row r="3518" spans="1:27" s="51" customFormat="1" ht="18.600000000000001" hidden="1" customHeight="1" x14ac:dyDescent="0.25">
      <c r="A3518" s="81" t="s">
        <v>2653</v>
      </c>
      <c r="B3518" s="31" t="s">
        <v>9418</v>
      </c>
      <c r="C3518" s="32"/>
      <c r="D3518" s="31" t="s">
        <v>8838</v>
      </c>
      <c r="E3518" s="33" t="s">
        <v>8839</v>
      </c>
      <c r="F3518" s="33" t="s">
        <v>1937</v>
      </c>
      <c r="G3518" s="33" t="s">
        <v>8714</v>
      </c>
      <c r="H3518" s="84" t="s">
        <v>8840</v>
      </c>
      <c r="I3518" s="23" t="s">
        <v>24</v>
      </c>
      <c r="J3518" s="34">
        <v>140</v>
      </c>
      <c r="K3518" s="35">
        <v>0.25</v>
      </c>
      <c r="L3518" s="36">
        <f t="shared" si="523"/>
        <v>35</v>
      </c>
      <c r="M3518" s="37">
        <f t="shared" si="524"/>
        <v>105</v>
      </c>
      <c r="N3518" s="38">
        <v>0.16</v>
      </c>
      <c r="O3518" s="39">
        <f t="shared" si="525"/>
        <v>16.8</v>
      </c>
      <c r="P3518" s="40">
        <f t="shared" si="526"/>
        <v>121.8</v>
      </c>
      <c r="Q3518" s="23"/>
      <c r="R3518" s="56"/>
      <c r="S3518" s="57"/>
      <c r="T3518" s="58">
        <f t="shared" si="527"/>
        <v>0</v>
      </c>
      <c r="U3518" s="36">
        <f t="shared" si="528"/>
        <v>0</v>
      </c>
      <c r="V3518" s="59">
        <f t="shared" si="529"/>
        <v>0</v>
      </c>
      <c r="W3518" s="39">
        <f t="shared" si="530"/>
        <v>0</v>
      </c>
      <c r="X3518" s="40">
        <f t="shared" si="531"/>
        <v>0</v>
      </c>
      <c r="Y3518"/>
      <c r="Z3518"/>
      <c r="AA3518"/>
    </row>
    <row r="3519" spans="1:27" s="51" customFormat="1" ht="18.600000000000001" hidden="1" customHeight="1" x14ac:dyDescent="0.25">
      <c r="A3519" s="82" t="s">
        <v>2653</v>
      </c>
      <c r="B3519" s="41" t="s">
        <v>9418</v>
      </c>
      <c r="C3519" s="42"/>
      <c r="D3519" s="41" t="s">
        <v>8841</v>
      </c>
      <c r="E3519" s="43" t="s">
        <v>8842</v>
      </c>
      <c r="F3519" s="43" t="s">
        <v>1937</v>
      </c>
      <c r="G3519" s="43" t="s">
        <v>8714</v>
      </c>
      <c r="H3519" s="85" t="s">
        <v>8843</v>
      </c>
      <c r="I3519" s="23" t="s">
        <v>24</v>
      </c>
      <c r="J3519" s="44">
        <v>140</v>
      </c>
      <c r="K3519" s="45">
        <v>0.25</v>
      </c>
      <c r="L3519" s="46">
        <f t="shared" si="523"/>
        <v>35</v>
      </c>
      <c r="M3519" s="47">
        <f t="shared" si="524"/>
        <v>105</v>
      </c>
      <c r="N3519" s="48">
        <v>0.16</v>
      </c>
      <c r="O3519" s="49">
        <f t="shared" si="525"/>
        <v>16.8</v>
      </c>
      <c r="P3519" s="50">
        <f t="shared" si="526"/>
        <v>121.8</v>
      </c>
      <c r="Q3519" s="23"/>
      <c r="R3519" s="60"/>
      <c r="S3519" s="61"/>
      <c r="T3519" s="62">
        <f t="shared" si="527"/>
        <v>0</v>
      </c>
      <c r="U3519" s="46">
        <f t="shared" si="528"/>
        <v>0</v>
      </c>
      <c r="V3519" s="63">
        <f t="shared" si="529"/>
        <v>0</v>
      </c>
      <c r="W3519" s="49">
        <f t="shared" si="530"/>
        <v>0</v>
      </c>
      <c r="X3519" s="50">
        <f t="shared" si="531"/>
        <v>0</v>
      </c>
      <c r="Y3519"/>
      <c r="Z3519"/>
      <c r="AA3519"/>
    </row>
    <row r="3520" spans="1:27" s="51" customFormat="1" ht="18.600000000000001" hidden="1" customHeight="1" x14ac:dyDescent="0.25">
      <c r="A3520" s="80" t="s">
        <v>2653</v>
      </c>
      <c r="B3520" s="20" t="s">
        <v>9418</v>
      </c>
      <c r="C3520" s="21"/>
      <c r="D3520" s="20" t="s">
        <v>8844</v>
      </c>
      <c r="E3520" s="22" t="s">
        <v>8845</v>
      </c>
      <c r="F3520" s="22" t="s">
        <v>1937</v>
      </c>
      <c r="G3520" s="22" t="s">
        <v>8714</v>
      </c>
      <c r="H3520" s="83" t="s">
        <v>8846</v>
      </c>
      <c r="I3520" s="23" t="s">
        <v>24</v>
      </c>
      <c r="J3520" s="24">
        <v>140</v>
      </c>
      <c r="K3520" s="25">
        <v>0.25</v>
      </c>
      <c r="L3520" s="26">
        <f t="shared" si="523"/>
        <v>35</v>
      </c>
      <c r="M3520" s="27">
        <f t="shared" si="524"/>
        <v>105</v>
      </c>
      <c r="N3520" s="28">
        <v>0.16</v>
      </c>
      <c r="O3520" s="29">
        <f t="shared" si="525"/>
        <v>16.8</v>
      </c>
      <c r="P3520" s="30">
        <f t="shared" si="526"/>
        <v>121.8</v>
      </c>
      <c r="Q3520" s="23"/>
      <c r="R3520" s="52"/>
      <c r="S3520" s="53"/>
      <c r="T3520" s="54">
        <f t="shared" si="527"/>
        <v>0</v>
      </c>
      <c r="U3520" s="26">
        <f t="shared" si="528"/>
        <v>0</v>
      </c>
      <c r="V3520" s="55">
        <f t="shared" si="529"/>
        <v>0</v>
      </c>
      <c r="W3520" s="29">
        <f t="shared" si="530"/>
        <v>0</v>
      </c>
      <c r="X3520" s="30">
        <f t="shared" si="531"/>
        <v>0</v>
      </c>
      <c r="Y3520"/>
      <c r="Z3520"/>
      <c r="AA3520"/>
    </row>
    <row r="3521" spans="1:27" s="51" customFormat="1" ht="18.600000000000001" hidden="1" customHeight="1" x14ac:dyDescent="0.25">
      <c r="A3521" s="81" t="s">
        <v>2653</v>
      </c>
      <c r="B3521" s="31" t="s">
        <v>9418</v>
      </c>
      <c r="C3521" s="32"/>
      <c r="D3521" s="31" t="s">
        <v>8847</v>
      </c>
      <c r="E3521" s="33" t="s">
        <v>8848</v>
      </c>
      <c r="F3521" s="33" t="s">
        <v>1937</v>
      </c>
      <c r="G3521" s="33" t="s">
        <v>8714</v>
      </c>
      <c r="H3521" s="84" t="s">
        <v>8849</v>
      </c>
      <c r="I3521" s="23" t="s">
        <v>24</v>
      </c>
      <c r="J3521" s="34">
        <v>140</v>
      </c>
      <c r="K3521" s="35">
        <v>0.25</v>
      </c>
      <c r="L3521" s="36">
        <f t="shared" si="523"/>
        <v>35</v>
      </c>
      <c r="M3521" s="37">
        <f t="shared" si="524"/>
        <v>105</v>
      </c>
      <c r="N3521" s="38">
        <v>0.16</v>
      </c>
      <c r="O3521" s="39">
        <f t="shared" si="525"/>
        <v>16.8</v>
      </c>
      <c r="P3521" s="40">
        <f t="shared" si="526"/>
        <v>121.8</v>
      </c>
      <c r="Q3521" s="23"/>
      <c r="R3521" s="56"/>
      <c r="S3521" s="57"/>
      <c r="T3521" s="58">
        <f t="shared" si="527"/>
        <v>0</v>
      </c>
      <c r="U3521" s="36">
        <f t="shared" si="528"/>
        <v>0</v>
      </c>
      <c r="V3521" s="59">
        <f t="shared" si="529"/>
        <v>0</v>
      </c>
      <c r="W3521" s="39">
        <f t="shared" si="530"/>
        <v>0</v>
      </c>
      <c r="X3521" s="40">
        <f t="shared" si="531"/>
        <v>0</v>
      </c>
      <c r="Y3521"/>
      <c r="Z3521"/>
      <c r="AA3521"/>
    </row>
    <row r="3522" spans="1:27" s="51" customFormat="1" ht="18.600000000000001" hidden="1" customHeight="1" x14ac:dyDescent="0.25">
      <c r="A3522" s="82" t="s">
        <v>2653</v>
      </c>
      <c r="B3522" s="41" t="s">
        <v>9418</v>
      </c>
      <c r="C3522" s="42"/>
      <c r="D3522" s="41" t="s">
        <v>8850</v>
      </c>
      <c r="E3522" s="43" t="s">
        <v>8851</v>
      </c>
      <c r="F3522" s="43" t="s">
        <v>1937</v>
      </c>
      <c r="G3522" s="43" t="s">
        <v>8714</v>
      </c>
      <c r="H3522" s="85" t="s">
        <v>8852</v>
      </c>
      <c r="I3522" s="23" t="s">
        <v>24</v>
      </c>
      <c r="J3522" s="44">
        <v>140</v>
      </c>
      <c r="K3522" s="45">
        <v>0.25</v>
      </c>
      <c r="L3522" s="46">
        <f t="shared" si="523"/>
        <v>35</v>
      </c>
      <c r="M3522" s="47">
        <f t="shared" si="524"/>
        <v>105</v>
      </c>
      <c r="N3522" s="48">
        <v>0.16</v>
      </c>
      <c r="O3522" s="49">
        <f t="shared" si="525"/>
        <v>16.8</v>
      </c>
      <c r="P3522" s="50">
        <f t="shared" si="526"/>
        <v>121.8</v>
      </c>
      <c r="Q3522" s="23"/>
      <c r="R3522" s="60"/>
      <c r="S3522" s="61"/>
      <c r="T3522" s="62">
        <f t="shared" si="527"/>
        <v>0</v>
      </c>
      <c r="U3522" s="46">
        <f t="shared" si="528"/>
        <v>0</v>
      </c>
      <c r="V3522" s="63">
        <f t="shared" si="529"/>
        <v>0</v>
      </c>
      <c r="W3522" s="49">
        <f t="shared" si="530"/>
        <v>0</v>
      </c>
      <c r="X3522" s="50">
        <f t="shared" si="531"/>
        <v>0</v>
      </c>
      <c r="Y3522"/>
      <c r="Z3522"/>
      <c r="AA3522"/>
    </row>
    <row r="3523" spans="1:27" s="51" customFormat="1" ht="18.600000000000001" hidden="1" customHeight="1" x14ac:dyDescent="0.25">
      <c r="A3523" s="80" t="s">
        <v>2653</v>
      </c>
      <c r="B3523" s="20" t="s">
        <v>9418</v>
      </c>
      <c r="C3523" s="21"/>
      <c r="D3523" s="20" t="s">
        <v>8853</v>
      </c>
      <c r="E3523" s="22" t="s">
        <v>8854</v>
      </c>
      <c r="F3523" s="22" t="s">
        <v>1937</v>
      </c>
      <c r="G3523" s="22" t="s">
        <v>8714</v>
      </c>
      <c r="H3523" s="83" t="s">
        <v>8855</v>
      </c>
      <c r="I3523" s="23" t="s">
        <v>24</v>
      </c>
      <c r="J3523" s="24">
        <v>140</v>
      </c>
      <c r="K3523" s="25">
        <v>0.25</v>
      </c>
      <c r="L3523" s="26">
        <f t="shared" si="523"/>
        <v>35</v>
      </c>
      <c r="M3523" s="27">
        <f t="shared" si="524"/>
        <v>105</v>
      </c>
      <c r="N3523" s="28">
        <v>0.16</v>
      </c>
      <c r="O3523" s="29">
        <f t="shared" si="525"/>
        <v>16.8</v>
      </c>
      <c r="P3523" s="30">
        <f t="shared" si="526"/>
        <v>121.8</v>
      </c>
      <c r="Q3523" s="23"/>
      <c r="R3523" s="52"/>
      <c r="S3523" s="53"/>
      <c r="T3523" s="54">
        <f t="shared" si="527"/>
        <v>0</v>
      </c>
      <c r="U3523" s="26">
        <f t="shared" si="528"/>
        <v>0</v>
      </c>
      <c r="V3523" s="55">
        <f t="shared" si="529"/>
        <v>0</v>
      </c>
      <c r="W3523" s="29">
        <f t="shared" si="530"/>
        <v>0</v>
      </c>
      <c r="X3523" s="30">
        <f t="shared" si="531"/>
        <v>0</v>
      </c>
      <c r="Y3523"/>
      <c r="Z3523"/>
      <c r="AA3523"/>
    </row>
    <row r="3524" spans="1:27" s="51" customFormat="1" ht="18.600000000000001" hidden="1" customHeight="1" x14ac:dyDescent="0.25">
      <c r="A3524" s="81" t="s">
        <v>2653</v>
      </c>
      <c r="B3524" s="31" t="s">
        <v>9418</v>
      </c>
      <c r="C3524" s="32"/>
      <c r="D3524" s="31" t="s">
        <v>8856</v>
      </c>
      <c r="E3524" s="33" t="s">
        <v>8857</v>
      </c>
      <c r="F3524" s="33" t="s">
        <v>1937</v>
      </c>
      <c r="G3524" s="33" t="s">
        <v>8714</v>
      </c>
      <c r="H3524" s="84" t="s">
        <v>8858</v>
      </c>
      <c r="I3524" s="23" t="s">
        <v>24</v>
      </c>
      <c r="J3524" s="34">
        <v>140</v>
      </c>
      <c r="K3524" s="35">
        <v>0.25</v>
      </c>
      <c r="L3524" s="36">
        <f t="shared" si="523"/>
        <v>35</v>
      </c>
      <c r="M3524" s="37">
        <f t="shared" si="524"/>
        <v>105</v>
      </c>
      <c r="N3524" s="38">
        <v>0.16</v>
      </c>
      <c r="O3524" s="39">
        <f t="shared" si="525"/>
        <v>16.8</v>
      </c>
      <c r="P3524" s="40">
        <f t="shared" si="526"/>
        <v>121.8</v>
      </c>
      <c r="Q3524" s="23"/>
      <c r="R3524" s="56"/>
      <c r="S3524" s="57"/>
      <c r="T3524" s="58">
        <f t="shared" si="527"/>
        <v>0</v>
      </c>
      <c r="U3524" s="36">
        <f t="shared" si="528"/>
        <v>0</v>
      </c>
      <c r="V3524" s="59">
        <f t="shared" si="529"/>
        <v>0</v>
      </c>
      <c r="W3524" s="39">
        <f t="shared" si="530"/>
        <v>0</v>
      </c>
      <c r="X3524" s="40">
        <f t="shared" si="531"/>
        <v>0</v>
      </c>
      <c r="Y3524"/>
      <c r="Z3524"/>
      <c r="AA3524"/>
    </row>
    <row r="3525" spans="1:27" s="51" customFormat="1" ht="18.600000000000001" hidden="1" customHeight="1" x14ac:dyDescent="0.25">
      <c r="A3525" s="82" t="s">
        <v>2653</v>
      </c>
      <c r="B3525" s="41" t="s">
        <v>9418</v>
      </c>
      <c r="C3525" s="42"/>
      <c r="D3525" s="41" t="s">
        <v>8859</v>
      </c>
      <c r="E3525" s="43" t="s">
        <v>8860</v>
      </c>
      <c r="F3525" s="43" t="s">
        <v>1937</v>
      </c>
      <c r="G3525" s="43" t="s">
        <v>8714</v>
      </c>
      <c r="H3525" s="85" t="s">
        <v>6912</v>
      </c>
      <c r="I3525" s="23" t="s">
        <v>24</v>
      </c>
      <c r="J3525" s="44">
        <v>140</v>
      </c>
      <c r="K3525" s="45">
        <v>0.25</v>
      </c>
      <c r="L3525" s="46">
        <f t="shared" si="523"/>
        <v>35</v>
      </c>
      <c r="M3525" s="47">
        <f t="shared" si="524"/>
        <v>105</v>
      </c>
      <c r="N3525" s="48">
        <v>0.16</v>
      </c>
      <c r="O3525" s="49">
        <f t="shared" si="525"/>
        <v>16.8</v>
      </c>
      <c r="P3525" s="50">
        <f t="shared" si="526"/>
        <v>121.8</v>
      </c>
      <c r="Q3525" s="23"/>
      <c r="R3525" s="60"/>
      <c r="S3525" s="61"/>
      <c r="T3525" s="62">
        <f t="shared" si="527"/>
        <v>0</v>
      </c>
      <c r="U3525" s="46">
        <f t="shared" si="528"/>
        <v>0</v>
      </c>
      <c r="V3525" s="63">
        <f t="shared" si="529"/>
        <v>0</v>
      </c>
      <c r="W3525" s="49">
        <f t="shared" si="530"/>
        <v>0</v>
      </c>
      <c r="X3525" s="50">
        <f t="shared" si="531"/>
        <v>0</v>
      </c>
      <c r="Y3525"/>
      <c r="Z3525"/>
      <c r="AA3525"/>
    </row>
    <row r="3526" spans="1:27" s="51" customFormat="1" ht="18.600000000000001" hidden="1" customHeight="1" x14ac:dyDescent="0.25">
      <c r="A3526" s="80" t="s">
        <v>2653</v>
      </c>
      <c r="B3526" s="20" t="s">
        <v>9418</v>
      </c>
      <c r="C3526" s="21"/>
      <c r="D3526" s="20" t="s">
        <v>8861</v>
      </c>
      <c r="E3526" s="22" t="s">
        <v>8862</v>
      </c>
      <c r="F3526" s="22" t="s">
        <v>1937</v>
      </c>
      <c r="G3526" s="22" t="s">
        <v>8714</v>
      </c>
      <c r="H3526" s="83" t="s">
        <v>8863</v>
      </c>
      <c r="I3526" s="23" t="s">
        <v>24</v>
      </c>
      <c r="J3526" s="24">
        <v>140</v>
      </c>
      <c r="K3526" s="25">
        <v>0.25</v>
      </c>
      <c r="L3526" s="26">
        <f t="shared" si="523"/>
        <v>35</v>
      </c>
      <c r="M3526" s="27">
        <f t="shared" si="524"/>
        <v>105</v>
      </c>
      <c r="N3526" s="28">
        <v>0.16</v>
      </c>
      <c r="O3526" s="29">
        <f t="shared" si="525"/>
        <v>16.8</v>
      </c>
      <c r="P3526" s="30">
        <f t="shared" si="526"/>
        <v>121.8</v>
      </c>
      <c r="Q3526" s="23"/>
      <c r="R3526" s="52"/>
      <c r="S3526" s="53"/>
      <c r="T3526" s="54">
        <f t="shared" si="527"/>
        <v>0</v>
      </c>
      <c r="U3526" s="26">
        <f t="shared" si="528"/>
        <v>0</v>
      </c>
      <c r="V3526" s="55">
        <f t="shared" si="529"/>
        <v>0</v>
      </c>
      <c r="W3526" s="29">
        <f t="shared" si="530"/>
        <v>0</v>
      </c>
      <c r="X3526" s="30">
        <f t="shared" si="531"/>
        <v>0</v>
      </c>
      <c r="Y3526"/>
      <c r="Z3526"/>
      <c r="AA3526"/>
    </row>
    <row r="3527" spans="1:27" s="51" customFormat="1" ht="18.600000000000001" hidden="1" customHeight="1" x14ac:dyDescent="0.25">
      <c r="A3527" s="81" t="s">
        <v>2653</v>
      </c>
      <c r="B3527" s="31" t="s">
        <v>9418</v>
      </c>
      <c r="C3527" s="32" t="s">
        <v>9419</v>
      </c>
      <c r="D3527" s="31" t="s">
        <v>8864</v>
      </c>
      <c r="E3527" s="33" t="s">
        <v>8865</v>
      </c>
      <c r="F3527" s="33" t="s">
        <v>1937</v>
      </c>
      <c r="G3527" s="33" t="s">
        <v>8866</v>
      </c>
      <c r="H3527" s="84" t="s">
        <v>8867</v>
      </c>
      <c r="I3527" s="23" t="s">
        <v>24</v>
      </c>
      <c r="J3527" s="34">
        <v>840</v>
      </c>
      <c r="K3527" s="35">
        <v>0.25</v>
      </c>
      <c r="L3527" s="36">
        <f t="shared" si="523"/>
        <v>210</v>
      </c>
      <c r="M3527" s="37">
        <f t="shared" si="524"/>
        <v>630</v>
      </c>
      <c r="N3527" s="38">
        <v>0.16</v>
      </c>
      <c r="O3527" s="39">
        <f t="shared" si="525"/>
        <v>100.8</v>
      </c>
      <c r="P3527" s="40">
        <f t="shared" si="526"/>
        <v>730.8</v>
      </c>
      <c r="Q3527" s="23"/>
      <c r="R3527" s="56"/>
      <c r="S3527" s="57"/>
      <c r="T3527" s="58">
        <f t="shared" si="527"/>
        <v>0</v>
      </c>
      <c r="U3527" s="36">
        <f t="shared" si="528"/>
        <v>0</v>
      </c>
      <c r="V3527" s="59">
        <f t="shared" si="529"/>
        <v>0</v>
      </c>
      <c r="W3527" s="39">
        <f t="shared" si="530"/>
        <v>0</v>
      </c>
      <c r="X3527" s="40">
        <f t="shared" si="531"/>
        <v>0</v>
      </c>
      <c r="Y3527"/>
      <c r="Z3527"/>
      <c r="AA3527"/>
    </row>
    <row r="3528" spans="1:27" s="51" customFormat="1" ht="18.600000000000001" hidden="1" customHeight="1" x14ac:dyDescent="0.25">
      <c r="A3528" s="82" t="s">
        <v>2653</v>
      </c>
      <c r="B3528" s="41" t="s">
        <v>9418</v>
      </c>
      <c r="C3528" s="42" t="s">
        <v>9419</v>
      </c>
      <c r="D3528" s="41" t="s">
        <v>8868</v>
      </c>
      <c r="E3528" s="43" t="s">
        <v>8869</v>
      </c>
      <c r="F3528" s="43" t="s">
        <v>1937</v>
      </c>
      <c r="G3528" s="43" t="s">
        <v>8866</v>
      </c>
      <c r="H3528" s="85" t="s">
        <v>8870</v>
      </c>
      <c r="I3528" s="23" t="s">
        <v>24</v>
      </c>
      <c r="J3528" s="44">
        <v>840</v>
      </c>
      <c r="K3528" s="45">
        <v>0.25</v>
      </c>
      <c r="L3528" s="46">
        <f t="shared" si="523"/>
        <v>210</v>
      </c>
      <c r="M3528" s="47">
        <f t="shared" si="524"/>
        <v>630</v>
      </c>
      <c r="N3528" s="48">
        <v>0.16</v>
      </c>
      <c r="O3528" s="49">
        <f t="shared" si="525"/>
        <v>100.8</v>
      </c>
      <c r="P3528" s="50">
        <f t="shared" si="526"/>
        <v>730.8</v>
      </c>
      <c r="Q3528" s="23"/>
      <c r="R3528" s="60"/>
      <c r="S3528" s="61"/>
      <c r="T3528" s="62">
        <f t="shared" si="527"/>
        <v>0</v>
      </c>
      <c r="U3528" s="46">
        <f t="shared" si="528"/>
        <v>0</v>
      </c>
      <c r="V3528" s="63">
        <f t="shared" si="529"/>
        <v>0</v>
      </c>
      <c r="W3528" s="49">
        <f t="shared" si="530"/>
        <v>0</v>
      </c>
      <c r="X3528" s="50">
        <f t="shared" si="531"/>
        <v>0</v>
      </c>
      <c r="Y3528"/>
      <c r="Z3528"/>
      <c r="AA3528"/>
    </row>
    <row r="3529" spans="1:27" s="51" customFormat="1" ht="18.600000000000001" hidden="1" customHeight="1" x14ac:dyDescent="0.25">
      <c r="A3529" s="80" t="s">
        <v>2653</v>
      </c>
      <c r="B3529" s="20" t="s">
        <v>9418</v>
      </c>
      <c r="C3529" s="21" t="s">
        <v>9419</v>
      </c>
      <c r="D3529" s="20" t="s">
        <v>8871</v>
      </c>
      <c r="E3529" s="22" t="s">
        <v>8872</v>
      </c>
      <c r="F3529" s="22" t="s">
        <v>1937</v>
      </c>
      <c r="G3529" s="22" t="s">
        <v>8866</v>
      </c>
      <c r="H3529" s="83" t="s">
        <v>8873</v>
      </c>
      <c r="I3529" s="23" t="s">
        <v>24</v>
      </c>
      <c r="J3529" s="24">
        <v>840</v>
      </c>
      <c r="K3529" s="25">
        <v>0.25</v>
      </c>
      <c r="L3529" s="26">
        <f t="shared" si="523"/>
        <v>210</v>
      </c>
      <c r="M3529" s="27">
        <f t="shared" si="524"/>
        <v>630</v>
      </c>
      <c r="N3529" s="28">
        <v>0.16</v>
      </c>
      <c r="O3529" s="29">
        <f t="shared" si="525"/>
        <v>100.8</v>
      </c>
      <c r="P3529" s="30">
        <f t="shared" si="526"/>
        <v>730.8</v>
      </c>
      <c r="Q3529" s="23"/>
      <c r="R3529" s="52"/>
      <c r="S3529" s="53"/>
      <c r="T3529" s="54">
        <f t="shared" si="527"/>
        <v>0</v>
      </c>
      <c r="U3529" s="26">
        <f t="shared" si="528"/>
        <v>0</v>
      </c>
      <c r="V3529" s="55">
        <f t="shared" si="529"/>
        <v>0</v>
      </c>
      <c r="W3529" s="29">
        <f t="shared" si="530"/>
        <v>0</v>
      </c>
      <c r="X3529" s="30">
        <f t="shared" si="531"/>
        <v>0</v>
      </c>
      <c r="Y3529"/>
      <c r="Z3529"/>
      <c r="AA3529"/>
    </row>
    <row r="3530" spans="1:27" s="51" customFormat="1" ht="18.600000000000001" hidden="1" customHeight="1" x14ac:dyDescent="0.25">
      <c r="A3530" s="81" t="s">
        <v>2653</v>
      </c>
      <c r="B3530" s="31" t="s">
        <v>9418</v>
      </c>
      <c r="C3530" s="32" t="s">
        <v>9419</v>
      </c>
      <c r="D3530" s="31" t="s">
        <v>8874</v>
      </c>
      <c r="E3530" s="33" t="s">
        <v>8875</v>
      </c>
      <c r="F3530" s="33" t="s">
        <v>1937</v>
      </c>
      <c r="G3530" s="33" t="s">
        <v>8866</v>
      </c>
      <c r="H3530" s="84" t="s">
        <v>8876</v>
      </c>
      <c r="I3530" s="23" t="s">
        <v>24</v>
      </c>
      <c r="J3530" s="34">
        <v>840</v>
      </c>
      <c r="K3530" s="35">
        <v>0.25</v>
      </c>
      <c r="L3530" s="36">
        <f t="shared" si="523"/>
        <v>210</v>
      </c>
      <c r="M3530" s="37">
        <f t="shared" si="524"/>
        <v>630</v>
      </c>
      <c r="N3530" s="38">
        <v>0.16</v>
      </c>
      <c r="O3530" s="39">
        <f t="shared" si="525"/>
        <v>100.8</v>
      </c>
      <c r="P3530" s="40">
        <f t="shared" si="526"/>
        <v>730.8</v>
      </c>
      <c r="Q3530" s="23"/>
      <c r="R3530" s="56"/>
      <c r="S3530" s="57"/>
      <c r="T3530" s="58">
        <f t="shared" si="527"/>
        <v>0</v>
      </c>
      <c r="U3530" s="36">
        <f t="shared" si="528"/>
        <v>0</v>
      </c>
      <c r="V3530" s="59">
        <f t="shared" si="529"/>
        <v>0</v>
      </c>
      <c r="W3530" s="39">
        <f t="shared" si="530"/>
        <v>0</v>
      </c>
      <c r="X3530" s="40">
        <f t="shared" si="531"/>
        <v>0</v>
      </c>
      <c r="Y3530"/>
      <c r="Z3530"/>
      <c r="AA3530"/>
    </row>
    <row r="3531" spans="1:27" s="51" customFormat="1" ht="18.600000000000001" hidden="1" customHeight="1" x14ac:dyDescent="0.25">
      <c r="A3531" s="82" t="s">
        <v>2653</v>
      </c>
      <c r="B3531" s="41" t="s">
        <v>9418</v>
      </c>
      <c r="C3531" s="42" t="s">
        <v>9419</v>
      </c>
      <c r="D3531" s="41" t="s">
        <v>8877</v>
      </c>
      <c r="E3531" s="43" t="s">
        <v>8878</v>
      </c>
      <c r="F3531" s="43" t="s">
        <v>1937</v>
      </c>
      <c r="G3531" s="43" t="s">
        <v>8866</v>
      </c>
      <c r="H3531" s="85" t="s">
        <v>8879</v>
      </c>
      <c r="I3531" s="23" t="s">
        <v>24</v>
      </c>
      <c r="J3531" s="44">
        <v>840</v>
      </c>
      <c r="K3531" s="45">
        <v>0.25</v>
      </c>
      <c r="L3531" s="46">
        <f t="shared" si="523"/>
        <v>210</v>
      </c>
      <c r="M3531" s="47">
        <f t="shared" si="524"/>
        <v>630</v>
      </c>
      <c r="N3531" s="48">
        <v>0.16</v>
      </c>
      <c r="O3531" s="49">
        <f t="shared" si="525"/>
        <v>100.8</v>
      </c>
      <c r="P3531" s="50">
        <f t="shared" si="526"/>
        <v>730.8</v>
      </c>
      <c r="Q3531" s="23"/>
      <c r="R3531" s="60"/>
      <c r="S3531" s="61"/>
      <c r="T3531" s="62">
        <f t="shared" si="527"/>
        <v>0</v>
      </c>
      <c r="U3531" s="46">
        <f t="shared" si="528"/>
        <v>0</v>
      </c>
      <c r="V3531" s="63">
        <f t="shared" si="529"/>
        <v>0</v>
      </c>
      <c r="W3531" s="49">
        <f t="shared" si="530"/>
        <v>0</v>
      </c>
      <c r="X3531" s="50">
        <f t="shared" si="531"/>
        <v>0</v>
      </c>
      <c r="Y3531"/>
      <c r="Z3531"/>
      <c r="AA3531"/>
    </row>
    <row r="3532" spans="1:27" s="51" customFormat="1" ht="18.600000000000001" hidden="1" customHeight="1" x14ac:dyDescent="0.25">
      <c r="A3532" s="80" t="s">
        <v>2653</v>
      </c>
      <c r="B3532" s="20" t="s">
        <v>9418</v>
      </c>
      <c r="C3532" s="21" t="s">
        <v>9419</v>
      </c>
      <c r="D3532" s="20" t="s">
        <v>8880</v>
      </c>
      <c r="E3532" s="22" t="s">
        <v>8881</v>
      </c>
      <c r="F3532" s="22" t="s">
        <v>1937</v>
      </c>
      <c r="G3532" s="22" t="s">
        <v>8866</v>
      </c>
      <c r="H3532" s="83" t="s">
        <v>8882</v>
      </c>
      <c r="I3532" s="23" t="s">
        <v>24</v>
      </c>
      <c r="J3532" s="24">
        <v>840</v>
      </c>
      <c r="K3532" s="25">
        <v>0.25</v>
      </c>
      <c r="L3532" s="26">
        <f t="shared" si="523"/>
        <v>210</v>
      </c>
      <c r="M3532" s="27">
        <f t="shared" si="524"/>
        <v>630</v>
      </c>
      <c r="N3532" s="28">
        <v>0.16</v>
      </c>
      <c r="O3532" s="29">
        <f t="shared" si="525"/>
        <v>100.8</v>
      </c>
      <c r="P3532" s="30">
        <f t="shared" si="526"/>
        <v>730.8</v>
      </c>
      <c r="Q3532" s="23"/>
      <c r="R3532" s="52"/>
      <c r="S3532" s="53"/>
      <c r="T3532" s="54">
        <f t="shared" si="527"/>
        <v>0</v>
      </c>
      <c r="U3532" s="26">
        <f t="shared" si="528"/>
        <v>0</v>
      </c>
      <c r="V3532" s="55">
        <f t="shared" si="529"/>
        <v>0</v>
      </c>
      <c r="W3532" s="29">
        <f t="shared" si="530"/>
        <v>0</v>
      </c>
      <c r="X3532" s="30">
        <f t="shared" si="531"/>
        <v>0</v>
      </c>
      <c r="Y3532"/>
      <c r="Z3532"/>
      <c r="AA3532"/>
    </row>
    <row r="3533" spans="1:27" s="51" customFormat="1" ht="18.600000000000001" hidden="1" customHeight="1" x14ac:dyDescent="0.25">
      <c r="A3533" s="81" t="s">
        <v>2653</v>
      </c>
      <c r="B3533" s="31" t="s">
        <v>9418</v>
      </c>
      <c r="C3533" s="32" t="s">
        <v>9419</v>
      </c>
      <c r="D3533" s="31" t="s">
        <v>8883</v>
      </c>
      <c r="E3533" s="33" t="s">
        <v>8884</v>
      </c>
      <c r="F3533" s="33" t="s">
        <v>1937</v>
      </c>
      <c r="G3533" s="33" t="s">
        <v>8866</v>
      </c>
      <c r="H3533" s="84" t="s">
        <v>8885</v>
      </c>
      <c r="I3533" s="23" t="s">
        <v>24</v>
      </c>
      <c r="J3533" s="34">
        <v>840</v>
      </c>
      <c r="K3533" s="35">
        <v>0.25</v>
      </c>
      <c r="L3533" s="36">
        <f t="shared" si="523"/>
        <v>210</v>
      </c>
      <c r="M3533" s="37">
        <f t="shared" si="524"/>
        <v>630</v>
      </c>
      <c r="N3533" s="38">
        <v>0.16</v>
      </c>
      <c r="O3533" s="39">
        <f t="shared" si="525"/>
        <v>100.8</v>
      </c>
      <c r="P3533" s="40">
        <f t="shared" si="526"/>
        <v>730.8</v>
      </c>
      <c r="Q3533" s="23"/>
      <c r="R3533" s="56"/>
      <c r="S3533" s="57"/>
      <c r="T3533" s="58">
        <f t="shared" si="527"/>
        <v>0</v>
      </c>
      <c r="U3533" s="36">
        <f t="shared" si="528"/>
        <v>0</v>
      </c>
      <c r="V3533" s="59">
        <f t="shared" si="529"/>
        <v>0</v>
      </c>
      <c r="W3533" s="39">
        <f t="shared" si="530"/>
        <v>0</v>
      </c>
      <c r="X3533" s="40">
        <f t="shared" si="531"/>
        <v>0</v>
      </c>
      <c r="Y3533"/>
      <c r="Z3533"/>
      <c r="AA3533"/>
    </row>
    <row r="3534" spans="1:27" s="51" customFormat="1" ht="18.600000000000001" hidden="1" customHeight="1" x14ac:dyDescent="0.25">
      <c r="A3534" s="82" t="s">
        <v>2653</v>
      </c>
      <c r="B3534" s="41" t="s">
        <v>9418</v>
      </c>
      <c r="C3534" s="42" t="s">
        <v>9419</v>
      </c>
      <c r="D3534" s="41" t="s">
        <v>8886</v>
      </c>
      <c r="E3534" s="43" t="s">
        <v>8887</v>
      </c>
      <c r="F3534" s="43" t="s">
        <v>1937</v>
      </c>
      <c r="G3534" s="43" t="s">
        <v>8866</v>
      </c>
      <c r="H3534" s="85" t="s">
        <v>8888</v>
      </c>
      <c r="I3534" s="23" t="s">
        <v>24</v>
      </c>
      <c r="J3534" s="44">
        <v>840</v>
      </c>
      <c r="K3534" s="45">
        <v>0.25</v>
      </c>
      <c r="L3534" s="46">
        <f t="shared" si="523"/>
        <v>210</v>
      </c>
      <c r="M3534" s="47">
        <f t="shared" si="524"/>
        <v>630</v>
      </c>
      <c r="N3534" s="48">
        <v>0.16</v>
      </c>
      <c r="O3534" s="49">
        <f t="shared" si="525"/>
        <v>100.8</v>
      </c>
      <c r="P3534" s="50">
        <f t="shared" si="526"/>
        <v>730.8</v>
      </c>
      <c r="Q3534" s="23"/>
      <c r="R3534" s="60"/>
      <c r="S3534" s="61"/>
      <c r="T3534" s="62">
        <f t="shared" si="527"/>
        <v>0</v>
      </c>
      <c r="U3534" s="46">
        <f t="shared" si="528"/>
        <v>0</v>
      </c>
      <c r="V3534" s="63">
        <f t="shared" si="529"/>
        <v>0</v>
      </c>
      <c r="W3534" s="49">
        <f t="shared" si="530"/>
        <v>0</v>
      </c>
      <c r="X3534" s="50">
        <f t="shared" si="531"/>
        <v>0</v>
      </c>
      <c r="Y3534"/>
      <c r="Z3534"/>
      <c r="AA3534"/>
    </row>
    <row r="3535" spans="1:27" s="51" customFormat="1" ht="18.600000000000001" hidden="1" customHeight="1" x14ac:dyDescent="0.25">
      <c r="A3535" s="80" t="s">
        <v>2653</v>
      </c>
      <c r="B3535" s="20" t="s">
        <v>9418</v>
      </c>
      <c r="C3535" s="21" t="s">
        <v>9419</v>
      </c>
      <c r="D3535" s="20" t="s">
        <v>8889</v>
      </c>
      <c r="E3535" s="22" t="s">
        <v>8890</v>
      </c>
      <c r="F3535" s="22" t="s">
        <v>1937</v>
      </c>
      <c r="G3535" s="22" t="s">
        <v>8866</v>
      </c>
      <c r="H3535" s="83" t="s">
        <v>8891</v>
      </c>
      <c r="I3535" s="23" t="s">
        <v>24</v>
      </c>
      <c r="J3535" s="24">
        <v>840</v>
      </c>
      <c r="K3535" s="25">
        <v>0.25</v>
      </c>
      <c r="L3535" s="26">
        <f t="shared" ref="L3535:L3598" si="532">+J3535*K3535</f>
        <v>210</v>
      </c>
      <c r="M3535" s="27">
        <f t="shared" ref="M3535:M3598" si="533">+J3535-L3535</f>
        <v>630</v>
      </c>
      <c r="N3535" s="28">
        <v>0.16</v>
      </c>
      <c r="O3535" s="29">
        <f t="shared" ref="O3535:O3598" si="534">+M3535*N3535</f>
        <v>100.8</v>
      </c>
      <c r="P3535" s="30">
        <f t="shared" ref="P3535:P3598" si="535">+M3535+O3535</f>
        <v>730.8</v>
      </c>
      <c r="Q3535" s="23"/>
      <c r="R3535" s="52"/>
      <c r="S3535" s="53"/>
      <c r="T3535" s="54">
        <f t="shared" ref="T3535:T3598" si="536">+S3535*J3535</f>
        <v>0</v>
      </c>
      <c r="U3535" s="26">
        <f t="shared" ref="U3535:U3598" si="537">+T3535*K3535</f>
        <v>0</v>
      </c>
      <c r="V3535" s="55">
        <f t="shared" ref="V3535:V3598" si="538">+T3535-U3535</f>
        <v>0</v>
      </c>
      <c r="W3535" s="29">
        <f t="shared" ref="W3535:W3598" si="539">+V3535*N3535</f>
        <v>0</v>
      </c>
      <c r="X3535" s="30">
        <f t="shared" ref="X3535:X3598" si="540">+V3535+W3535</f>
        <v>0</v>
      </c>
      <c r="Y3535"/>
      <c r="Z3535"/>
      <c r="AA3535"/>
    </row>
    <row r="3536" spans="1:27" s="51" customFormat="1" ht="18.600000000000001" hidden="1" customHeight="1" x14ac:dyDescent="0.25">
      <c r="A3536" s="81" t="s">
        <v>2653</v>
      </c>
      <c r="B3536" s="31" t="s">
        <v>9418</v>
      </c>
      <c r="C3536" s="32" t="s">
        <v>9419</v>
      </c>
      <c r="D3536" s="31" t="s">
        <v>8892</v>
      </c>
      <c r="E3536" s="33" t="s">
        <v>8893</v>
      </c>
      <c r="F3536" s="33" t="s">
        <v>1937</v>
      </c>
      <c r="G3536" s="33" t="s">
        <v>8866</v>
      </c>
      <c r="H3536" s="84" t="s">
        <v>8894</v>
      </c>
      <c r="I3536" s="23" t="s">
        <v>24</v>
      </c>
      <c r="J3536" s="34">
        <v>840</v>
      </c>
      <c r="K3536" s="35">
        <v>0.25</v>
      </c>
      <c r="L3536" s="36">
        <f t="shared" si="532"/>
        <v>210</v>
      </c>
      <c r="M3536" s="37">
        <f t="shared" si="533"/>
        <v>630</v>
      </c>
      <c r="N3536" s="38">
        <v>0.16</v>
      </c>
      <c r="O3536" s="39">
        <f t="shared" si="534"/>
        <v>100.8</v>
      </c>
      <c r="P3536" s="40">
        <f t="shared" si="535"/>
        <v>730.8</v>
      </c>
      <c r="Q3536" s="23"/>
      <c r="R3536" s="56"/>
      <c r="S3536" s="57"/>
      <c r="T3536" s="58">
        <f t="shared" si="536"/>
        <v>0</v>
      </c>
      <c r="U3536" s="36">
        <f t="shared" si="537"/>
        <v>0</v>
      </c>
      <c r="V3536" s="59">
        <f t="shared" si="538"/>
        <v>0</v>
      </c>
      <c r="W3536" s="39">
        <f t="shared" si="539"/>
        <v>0</v>
      </c>
      <c r="X3536" s="40">
        <f t="shared" si="540"/>
        <v>0</v>
      </c>
      <c r="Y3536"/>
      <c r="Z3536"/>
      <c r="AA3536"/>
    </row>
    <row r="3537" spans="1:27" s="51" customFormat="1" ht="18.600000000000001" hidden="1" customHeight="1" x14ac:dyDescent="0.25">
      <c r="A3537" s="82" t="s">
        <v>2653</v>
      </c>
      <c r="B3537" s="41" t="s">
        <v>9418</v>
      </c>
      <c r="C3537" s="42" t="s">
        <v>9419</v>
      </c>
      <c r="D3537" s="41" t="s">
        <v>8895</v>
      </c>
      <c r="E3537" s="43" t="s">
        <v>8896</v>
      </c>
      <c r="F3537" s="43" t="s">
        <v>1937</v>
      </c>
      <c r="G3537" s="43" t="s">
        <v>8866</v>
      </c>
      <c r="H3537" s="85" t="s">
        <v>8897</v>
      </c>
      <c r="I3537" s="23" t="s">
        <v>24</v>
      </c>
      <c r="J3537" s="44">
        <v>840</v>
      </c>
      <c r="K3537" s="45">
        <v>0.25</v>
      </c>
      <c r="L3537" s="46">
        <f t="shared" si="532"/>
        <v>210</v>
      </c>
      <c r="M3537" s="47">
        <f t="shared" si="533"/>
        <v>630</v>
      </c>
      <c r="N3537" s="48">
        <v>0.16</v>
      </c>
      <c r="O3537" s="49">
        <f t="shared" si="534"/>
        <v>100.8</v>
      </c>
      <c r="P3537" s="50">
        <f t="shared" si="535"/>
        <v>730.8</v>
      </c>
      <c r="Q3537" s="23"/>
      <c r="R3537" s="60"/>
      <c r="S3537" s="61"/>
      <c r="T3537" s="62">
        <f t="shared" si="536"/>
        <v>0</v>
      </c>
      <c r="U3537" s="46">
        <f t="shared" si="537"/>
        <v>0</v>
      </c>
      <c r="V3537" s="63">
        <f t="shared" si="538"/>
        <v>0</v>
      </c>
      <c r="W3537" s="49">
        <f t="shared" si="539"/>
        <v>0</v>
      </c>
      <c r="X3537" s="50">
        <f t="shared" si="540"/>
        <v>0</v>
      </c>
      <c r="Y3537"/>
      <c r="Z3537"/>
      <c r="AA3537"/>
    </row>
    <row r="3538" spans="1:27" s="51" customFormat="1" ht="18.600000000000001" hidden="1" customHeight="1" x14ac:dyDescent="0.25">
      <c r="A3538" s="80" t="s">
        <v>2653</v>
      </c>
      <c r="B3538" s="20" t="s">
        <v>9321</v>
      </c>
      <c r="C3538" s="21"/>
      <c r="D3538" s="20" t="s">
        <v>8898</v>
      </c>
      <c r="E3538" s="22" t="s">
        <v>8899</v>
      </c>
      <c r="F3538" s="22" t="s">
        <v>1937</v>
      </c>
      <c r="G3538" s="22" t="s">
        <v>5026</v>
      </c>
      <c r="H3538" s="83" t="s">
        <v>8900</v>
      </c>
      <c r="I3538" s="23" t="s">
        <v>24</v>
      </c>
      <c r="J3538" s="24">
        <v>840</v>
      </c>
      <c r="K3538" s="25">
        <v>0.25</v>
      </c>
      <c r="L3538" s="26">
        <f t="shared" si="532"/>
        <v>210</v>
      </c>
      <c r="M3538" s="27">
        <f t="shared" si="533"/>
        <v>630</v>
      </c>
      <c r="N3538" s="28">
        <v>0.16</v>
      </c>
      <c r="O3538" s="29">
        <f t="shared" si="534"/>
        <v>100.8</v>
      </c>
      <c r="P3538" s="30">
        <f t="shared" si="535"/>
        <v>730.8</v>
      </c>
      <c r="Q3538" s="23"/>
      <c r="R3538" s="52"/>
      <c r="S3538" s="53"/>
      <c r="T3538" s="54">
        <f t="shared" si="536"/>
        <v>0</v>
      </c>
      <c r="U3538" s="26">
        <f t="shared" si="537"/>
        <v>0</v>
      </c>
      <c r="V3538" s="55">
        <f t="shared" si="538"/>
        <v>0</v>
      </c>
      <c r="W3538" s="29">
        <f t="shared" si="539"/>
        <v>0</v>
      </c>
      <c r="X3538" s="30">
        <f t="shared" si="540"/>
        <v>0</v>
      </c>
      <c r="Y3538"/>
      <c r="Z3538"/>
      <c r="AA3538"/>
    </row>
    <row r="3539" spans="1:27" s="51" customFormat="1" ht="18.600000000000001" hidden="1" customHeight="1" x14ac:dyDescent="0.25">
      <c r="A3539" s="81" t="s">
        <v>2653</v>
      </c>
      <c r="B3539" s="31" t="s">
        <v>9321</v>
      </c>
      <c r="C3539" s="32"/>
      <c r="D3539" s="31" t="s">
        <v>8901</v>
      </c>
      <c r="E3539" s="33" t="s">
        <v>8902</v>
      </c>
      <c r="F3539" s="33" t="s">
        <v>1937</v>
      </c>
      <c r="G3539" s="33" t="s">
        <v>5026</v>
      </c>
      <c r="H3539" s="84" t="s">
        <v>8903</v>
      </c>
      <c r="I3539" s="23" t="s">
        <v>24</v>
      </c>
      <c r="J3539" s="34">
        <v>220</v>
      </c>
      <c r="K3539" s="35">
        <v>0.25</v>
      </c>
      <c r="L3539" s="36">
        <f t="shared" si="532"/>
        <v>55</v>
      </c>
      <c r="M3539" s="37">
        <f t="shared" si="533"/>
        <v>165</v>
      </c>
      <c r="N3539" s="38">
        <v>0.16</v>
      </c>
      <c r="O3539" s="39">
        <f t="shared" si="534"/>
        <v>26.400000000000002</v>
      </c>
      <c r="P3539" s="40">
        <f t="shared" si="535"/>
        <v>191.4</v>
      </c>
      <c r="Q3539" s="23"/>
      <c r="R3539" s="56"/>
      <c r="S3539" s="57"/>
      <c r="T3539" s="58">
        <f t="shared" si="536"/>
        <v>0</v>
      </c>
      <c r="U3539" s="36">
        <f t="shared" si="537"/>
        <v>0</v>
      </c>
      <c r="V3539" s="59">
        <f t="shared" si="538"/>
        <v>0</v>
      </c>
      <c r="W3539" s="39">
        <f t="shared" si="539"/>
        <v>0</v>
      </c>
      <c r="X3539" s="40">
        <f t="shared" si="540"/>
        <v>0</v>
      </c>
      <c r="Y3539"/>
      <c r="Z3539"/>
      <c r="AA3539"/>
    </row>
    <row r="3540" spans="1:27" s="51" customFormat="1" ht="18.600000000000001" hidden="1" customHeight="1" x14ac:dyDescent="0.25">
      <c r="A3540" s="82" t="s">
        <v>2653</v>
      </c>
      <c r="B3540" s="41" t="s">
        <v>9321</v>
      </c>
      <c r="C3540" s="42"/>
      <c r="D3540" s="41" t="s">
        <v>8904</v>
      </c>
      <c r="E3540" s="43" t="s">
        <v>8905</v>
      </c>
      <c r="F3540" s="43" t="s">
        <v>1937</v>
      </c>
      <c r="G3540" s="43" t="s">
        <v>5026</v>
      </c>
      <c r="H3540" s="85" t="s">
        <v>8906</v>
      </c>
      <c r="I3540" s="23" t="s">
        <v>24</v>
      </c>
      <c r="J3540" s="44">
        <v>220</v>
      </c>
      <c r="K3540" s="45">
        <v>0.25</v>
      </c>
      <c r="L3540" s="46">
        <f t="shared" si="532"/>
        <v>55</v>
      </c>
      <c r="M3540" s="47">
        <f t="shared" si="533"/>
        <v>165</v>
      </c>
      <c r="N3540" s="48">
        <v>0.16</v>
      </c>
      <c r="O3540" s="49">
        <f t="shared" si="534"/>
        <v>26.400000000000002</v>
      </c>
      <c r="P3540" s="50">
        <f t="shared" si="535"/>
        <v>191.4</v>
      </c>
      <c r="Q3540" s="23"/>
      <c r="R3540" s="60"/>
      <c r="S3540" s="61"/>
      <c r="T3540" s="62">
        <f t="shared" si="536"/>
        <v>0</v>
      </c>
      <c r="U3540" s="46">
        <f t="shared" si="537"/>
        <v>0</v>
      </c>
      <c r="V3540" s="63">
        <f t="shared" si="538"/>
        <v>0</v>
      </c>
      <c r="W3540" s="49">
        <f t="shared" si="539"/>
        <v>0</v>
      </c>
      <c r="X3540" s="50">
        <f t="shared" si="540"/>
        <v>0</v>
      </c>
      <c r="Y3540"/>
      <c r="Z3540"/>
      <c r="AA3540"/>
    </row>
    <row r="3541" spans="1:27" s="51" customFormat="1" ht="18.600000000000001" hidden="1" customHeight="1" x14ac:dyDescent="0.25">
      <c r="A3541" s="80" t="s">
        <v>2653</v>
      </c>
      <c r="B3541" s="20" t="s">
        <v>9321</v>
      </c>
      <c r="C3541" s="21"/>
      <c r="D3541" s="20" t="s">
        <v>8907</v>
      </c>
      <c r="E3541" s="22" t="s">
        <v>8908</v>
      </c>
      <c r="F3541" s="22" t="s">
        <v>1937</v>
      </c>
      <c r="G3541" s="22" t="s">
        <v>5026</v>
      </c>
      <c r="H3541" s="83" t="s">
        <v>8909</v>
      </c>
      <c r="I3541" s="23" t="s">
        <v>24</v>
      </c>
      <c r="J3541" s="24">
        <v>220</v>
      </c>
      <c r="K3541" s="25">
        <v>0.25</v>
      </c>
      <c r="L3541" s="26">
        <f t="shared" si="532"/>
        <v>55</v>
      </c>
      <c r="M3541" s="27">
        <f t="shared" si="533"/>
        <v>165</v>
      </c>
      <c r="N3541" s="28">
        <v>0.16</v>
      </c>
      <c r="O3541" s="29">
        <f t="shared" si="534"/>
        <v>26.400000000000002</v>
      </c>
      <c r="P3541" s="30">
        <f t="shared" si="535"/>
        <v>191.4</v>
      </c>
      <c r="Q3541" s="23"/>
      <c r="R3541" s="52"/>
      <c r="S3541" s="53"/>
      <c r="T3541" s="54">
        <f t="shared" si="536"/>
        <v>0</v>
      </c>
      <c r="U3541" s="26">
        <f t="shared" si="537"/>
        <v>0</v>
      </c>
      <c r="V3541" s="55">
        <f t="shared" si="538"/>
        <v>0</v>
      </c>
      <c r="W3541" s="29">
        <f t="shared" si="539"/>
        <v>0</v>
      </c>
      <c r="X3541" s="30">
        <f t="shared" si="540"/>
        <v>0</v>
      </c>
      <c r="Y3541"/>
      <c r="Z3541"/>
      <c r="AA3541"/>
    </row>
    <row r="3542" spans="1:27" s="51" customFormat="1" ht="18.600000000000001" hidden="1" customHeight="1" x14ac:dyDescent="0.25">
      <c r="A3542" s="81" t="s">
        <v>2653</v>
      </c>
      <c r="B3542" s="31" t="s">
        <v>9420</v>
      </c>
      <c r="C3542" s="32"/>
      <c r="D3542" s="31" t="s">
        <v>8910</v>
      </c>
      <c r="E3542" s="33" t="s">
        <v>8911</v>
      </c>
      <c r="F3542" s="33" t="s">
        <v>1937</v>
      </c>
      <c r="G3542" s="33" t="s">
        <v>8714</v>
      </c>
      <c r="H3542" s="84" t="s">
        <v>8912</v>
      </c>
      <c r="I3542" s="23" t="s">
        <v>24</v>
      </c>
      <c r="J3542" s="34">
        <v>135</v>
      </c>
      <c r="K3542" s="35">
        <v>0.25</v>
      </c>
      <c r="L3542" s="36">
        <f t="shared" si="532"/>
        <v>33.75</v>
      </c>
      <c r="M3542" s="37">
        <f t="shared" si="533"/>
        <v>101.25</v>
      </c>
      <c r="N3542" s="38">
        <v>0.16</v>
      </c>
      <c r="O3542" s="39">
        <f t="shared" si="534"/>
        <v>16.2</v>
      </c>
      <c r="P3542" s="40">
        <f t="shared" si="535"/>
        <v>117.45</v>
      </c>
      <c r="Q3542" s="23"/>
      <c r="R3542" s="56"/>
      <c r="S3542" s="57"/>
      <c r="T3542" s="58">
        <f t="shared" si="536"/>
        <v>0</v>
      </c>
      <c r="U3542" s="36">
        <f t="shared" si="537"/>
        <v>0</v>
      </c>
      <c r="V3542" s="59">
        <f t="shared" si="538"/>
        <v>0</v>
      </c>
      <c r="W3542" s="39">
        <f t="shared" si="539"/>
        <v>0</v>
      </c>
      <c r="X3542" s="40">
        <f t="shared" si="540"/>
        <v>0</v>
      </c>
      <c r="Y3542"/>
      <c r="Z3542"/>
      <c r="AA3542"/>
    </row>
    <row r="3543" spans="1:27" s="51" customFormat="1" ht="18.600000000000001" hidden="1" customHeight="1" x14ac:dyDescent="0.25">
      <c r="A3543" s="82" t="s">
        <v>2653</v>
      </c>
      <c r="B3543" s="41" t="s">
        <v>9420</v>
      </c>
      <c r="C3543" s="42"/>
      <c r="D3543" s="41" t="s">
        <v>8913</v>
      </c>
      <c r="E3543" s="43" t="s">
        <v>9612</v>
      </c>
      <c r="F3543" s="43" t="s">
        <v>1937</v>
      </c>
      <c r="G3543" s="43" t="s">
        <v>8714</v>
      </c>
      <c r="H3543" s="85" t="s">
        <v>1092</v>
      </c>
      <c r="I3543" s="23" t="s">
        <v>24</v>
      </c>
      <c r="J3543" s="44">
        <v>135</v>
      </c>
      <c r="K3543" s="45">
        <v>0.25</v>
      </c>
      <c r="L3543" s="46">
        <f t="shared" si="532"/>
        <v>33.75</v>
      </c>
      <c r="M3543" s="47">
        <f t="shared" si="533"/>
        <v>101.25</v>
      </c>
      <c r="N3543" s="48">
        <v>0.16</v>
      </c>
      <c r="O3543" s="49">
        <f t="shared" si="534"/>
        <v>16.2</v>
      </c>
      <c r="P3543" s="50">
        <f t="shared" si="535"/>
        <v>117.45</v>
      </c>
      <c r="Q3543" s="23"/>
      <c r="R3543" s="60"/>
      <c r="S3543" s="61"/>
      <c r="T3543" s="62">
        <f t="shared" si="536"/>
        <v>0</v>
      </c>
      <c r="U3543" s="46">
        <f t="shared" si="537"/>
        <v>0</v>
      </c>
      <c r="V3543" s="63">
        <f t="shared" si="538"/>
        <v>0</v>
      </c>
      <c r="W3543" s="49">
        <f t="shared" si="539"/>
        <v>0</v>
      </c>
      <c r="X3543" s="50">
        <f t="shared" si="540"/>
        <v>0</v>
      </c>
      <c r="Y3543"/>
      <c r="Z3543"/>
      <c r="AA3543"/>
    </row>
    <row r="3544" spans="1:27" s="51" customFormat="1" ht="18.600000000000001" hidden="1" customHeight="1" x14ac:dyDescent="0.25">
      <c r="A3544" s="80" t="s">
        <v>2653</v>
      </c>
      <c r="B3544" s="20" t="s">
        <v>9420</v>
      </c>
      <c r="C3544" s="21"/>
      <c r="D3544" s="20" t="s">
        <v>8914</v>
      </c>
      <c r="E3544" s="22" t="s">
        <v>9613</v>
      </c>
      <c r="F3544" s="22" t="s">
        <v>1937</v>
      </c>
      <c r="G3544" s="22" t="s">
        <v>8714</v>
      </c>
      <c r="H3544" s="83" t="s">
        <v>8915</v>
      </c>
      <c r="I3544" s="23" t="s">
        <v>24</v>
      </c>
      <c r="J3544" s="24">
        <v>135</v>
      </c>
      <c r="K3544" s="25">
        <v>0.25</v>
      </c>
      <c r="L3544" s="26">
        <f t="shared" si="532"/>
        <v>33.75</v>
      </c>
      <c r="M3544" s="27">
        <f t="shared" si="533"/>
        <v>101.25</v>
      </c>
      <c r="N3544" s="28">
        <v>0.16</v>
      </c>
      <c r="O3544" s="29">
        <f t="shared" si="534"/>
        <v>16.2</v>
      </c>
      <c r="P3544" s="30">
        <f t="shared" si="535"/>
        <v>117.45</v>
      </c>
      <c r="Q3544" s="23"/>
      <c r="R3544" s="52"/>
      <c r="S3544" s="53"/>
      <c r="T3544" s="54">
        <f t="shared" si="536"/>
        <v>0</v>
      </c>
      <c r="U3544" s="26">
        <f t="shared" si="537"/>
        <v>0</v>
      </c>
      <c r="V3544" s="55">
        <f t="shared" si="538"/>
        <v>0</v>
      </c>
      <c r="W3544" s="29">
        <f t="shared" si="539"/>
        <v>0</v>
      </c>
      <c r="X3544" s="30">
        <f t="shared" si="540"/>
        <v>0</v>
      </c>
      <c r="Y3544"/>
      <c r="Z3544"/>
      <c r="AA3544"/>
    </row>
    <row r="3545" spans="1:27" s="51" customFormat="1" ht="18.600000000000001" hidden="1" customHeight="1" x14ac:dyDescent="0.25">
      <c r="A3545" s="81" t="s">
        <v>2653</v>
      </c>
      <c r="B3545" s="31" t="s">
        <v>9420</v>
      </c>
      <c r="C3545" s="32"/>
      <c r="D3545" s="31" t="s">
        <v>8916</v>
      </c>
      <c r="E3545" s="33" t="s">
        <v>8917</v>
      </c>
      <c r="F3545" s="33" t="s">
        <v>1937</v>
      </c>
      <c r="G3545" s="33" t="s">
        <v>8714</v>
      </c>
      <c r="H3545" s="84" t="s">
        <v>5467</v>
      </c>
      <c r="I3545" s="23" t="s">
        <v>24</v>
      </c>
      <c r="J3545" s="34">
        <v>135</v>
      </c>
      <c r="K3545" s="35">
        <v>0.25</v>
      </c>
      <c r="L3545" s="36">
        <f t="shared" si="532"/>
        <v>33.75</v>
      </c>
      <c r="M3545" s="37">
        <f t="shared" si="533"/>
        <v>101.25</v>
      </c>
      <c r="N3545" s="38">
        <v>0.16</v>
      </c>
      <c r="O3545" s="39">
        <f t="shared" si="534"/>
        <v>16.2</v>
      </c>
      <c r="P3545" s="40">
        <f t="shared" si="535"/>
        <v>117.45</v>
      </c>
      <c r="Q3545" s="23"/>
      <c r="R3545" s="56"/>
      <c r="S3545" s="57"/>
      <c r="T3545" s="58">
        <f t="shared" si="536"/>
        <v>0</v>
      </c>
      <c r="U3545" s="36">
        <f t="shared" si="537"/>
        <v>0</v>
      </c>
      <c r="V3545" s="59">
        <f t="shared" si="538"/>
        <v>0</v>
      </c>
      <c r="W3545" s="39">
        <f t="shared" si="539"/>
        <v>0</v>
      </c>
      <c r="X3545" s="40">
        <f t="shared" si="540"/>
        <v>0</v>
      </c>
      <c r="Y3545"/>
      <c r="Z3545"/>
      <c r="AA3545"/>
    </row>
    <row r="3546" spans="1:27" s="51" customFormat="1" ht="18.600000000000001" hidden="1" customHeight="1" x14ac:dyDescent="0.25">
      <c r="A3546" s="82" t="s">
        <v>2653</v>
      </c>
      <c r="B3546" s="41" t="s">
        <v>9420</v>
      </c>
      <c r="C3546" s="42"/>
      <c r="D3546" s="41" t="s">
        <v>8918</v>
      </c>
      <c r="E3546" s="43" t="s">
        <v>8919</v>
      </c>
      <c r="F3546" s="43" t="s">
        <v>1937</v>
      </c>
      <c r="G3546" s="43" t="s">
        <v>8714</v>
      </c>
      <c r="H3546" s="85" t="s">
        <v>1046</v>
      </c>
      <c r="I3546" s="23" t="s">
        <v>24</v>
      </c>
      <c r="J3546" s="44">
        <v>135</v>
      </c>
      <c r="K3546" s="45">
        <v>0.25</v>
      </c>
      <c r="L3546" s="46">
        <f t="shared" si="532"/>
        <v>33.75</v>
      </c>
      <c r="M3546" s="47">
        <f t="shared" si="533"/>
        <v>101.25</v>
      </c>
      <c r="N3546" s="48">
        <v>0.16</v>
      </c>
      <c r="O3546" s="49">
        <f t="shared" si="534"/>
        <v>16.2</v>
      </c>
      <c r="P3546" s="50">
        <f t="shared" si="535"/>
        <v>117.45</v>
      </c>
      <c r="Q3546" s="23"/>
      <c r="R3546" s="60"/>
      <c r="S3546" s="61"/>
      <c r="T3546" s="62">
        <f t="shared" si="536"/>
        <v>0</v>
      </c>
      <c r="U3546" s="46">
        <f t="shared" si="537"/>
        <v>0</v>
      </c>
      <c r="V3546" s="63">
        <f t="shared" si="538"/>
        <v>0</v>
      </c>
      <c r="W3546" s="49">
        <f t="shared" si="539"/>
        <v>0</v>
      </c>
      <c r="X3546" s="50">
        <f t="shared" si="540"/>
        <v>0</v>
      </c>
      <c r="Y3546"/>
      <c r="Z3546"/>
      <c r="AA3546"/>
    </row>
    <row r="3547" spans="1:27" s="51" customFormat="1" ht="18.600000000000001" hidden="1" customHeight="1" x14ac:dyDescent="0.25">
      <c r="A3547" s="80" t="s">
        <v>2653</v>
      </c>
      <c r="B3547" s="20" t="s">
        <v>9420</v>
      </c>
      <c r="C3547" s="21"/>
      <c r="D3547" s="20" t="s">
        <v>8920</v>
      </c>
      <c r="E3547" s="22" t="s">
        <v>9614</v>
      </c>
      <c r="F3547" s="22" t="s">
        <v>1937</v>
      </c>
      <c r="G3547" s="22" t="s">
        <v>8714</v>
      </c>
      <c r="H3547" s="83" t="s">
        <v>8921</v>
      </c>
      <c r="I3547" s="23" t="s">
        <v>24</v>
      </c>
      <c r="J3547" s="24">
        <v>135</v>
      </c>
      <c r="K3547" s="25">
        <v>0.25</v>
      </c>
      <c r="L3547" s="26">
        <f t="shared" si="532"/>
        <v>33.75</v>
      </c>
      <c r="M3547" s="27">
        <f t="shared" si="533"/>
        <v>101.25</v>
      </c>
      <c r="N3547" s="28">
        <v>0.16</v>
      </c>
      <c r="O3547" s="29">
        <f t="shared" si="534"/>
        <v>16.2</v>
      </c>
      <c r="P3547" s="30">
        <f t="shared" si="535"/>
        <v>117.45</v>
      </c>
      <c r="Q3547" s="23"/>
      <c r="R3547" s="52"/>
      <c r="S3547" s="53"/>
      <c r="T3547" s="54">
        <f t="shared" si="536"/>
        <v>0</v>
      </c>
      <c r="U3547" s="26">
        <f t="shared" si="537"/>
        <v>0</v>
      </c>
      <c r="V3547" s="55">
        <f t="shared" si="538"/>
        <v>0</v>
      </c>
      <c r="W3547" s="29">
        <f t="shared" si="539"/>
        <v>0</v>
      </c>
      <c r="X3547" s="30">
        <f t="shared" si="540"/>
        <v>0</v>
      </c>
      <c r="Y3547"/>
      <c r="Z3547"/>
      <c r="AA3547"/>
    </row>
    <row r="3548" spans="1:27" s="51" customFormat="1" ht="18.600000000000001" hidden="1" customHeight="1" x14ac:dyDescent="0.25">
      <c r="A3548" s="81" t="s">
        <v>2653</v>
      </c>
      <c r="B3548" s="31" t="s">
        <v>9420</v>
      </c>
      <c r="C3548" s="32"/>
      <c r="D3548" s="31" t="s">
        <v>8922</v>
      </c>
      <c r="E3548" s="33" t="s">
        <v>9615</v>
      </c>
      <c r="F3548" s="33" t="s">
        <v>1937</v>
      </c>
      <c r="G3548" s="33" t="s">
        <v>8714</v>
      </c>
      <c r="H3548" s="84" t="s">
        <v>720</v>
      </c>
      <c r="I3548" s="23" t="s">
        <v>24</v>
      </c>
      <c r="J3548" s="34">
        <v>135</v>
      </c>
      <c r="K3548" s="35">
        <v>0.25</v>
      </c>
      <c r="L3548" s="36">
        <f t="shared" si="532"/>
        <v>33.75</v>
      </c>
      <c r="M3548" s="37">
        <f t="shared" si="533"/>
        <v>101.25</v>
      </c>
      <c r="N3548" s="38">
        <v>0.16</v>
      </c>
      <c r="O3548" s="39">
        <f t="shared" si="534"/>
        <v>16.2</v>
      </c>
      <c r="P3548" s="40">
        <f t="shared" si="535"/>
        <v>117.45</v>
      </c>
      <c r="Q3548" s="23"/>
      <c r="R3548" s="56"/>
      <c r="S3548" s="57"/>
      <c r="T3548" s="58">
        <f t="shared" si="536"/>
        <v>0</v>
      </c>
      <c r="U3548" s="36">
        <f t="shared" si="537"/>
        <v>0</v>
      </c>
      <c r="V3548" s="59">
        <f t="shared" si="538"/>
        <v>0</v>
      </c>
      <c r="W3548" s="39">
        <f t="shared" si="539"/>
        <v>0</v>
      </c>
      <c r="X3548" s="40">
        <f t="shared" si="540"/>
        <v>0</v>
      </c>
      <c r="Y3548"/>
      <c r="Z3548"/>
      <c r="AA3548"/>
    </row>
    <row r="3549" spans="1:27" s="51" customFormat="1" ht="18.600000000000001" hidden="1" customHeight="1" x14ac:dyDescent="0.25">
      <c r="A3549" s="82" t="s">
        <v>2653</v>
      </c>
      <c r="B3549" s="41" t="s">
        <v>9420</v>
      </c>
      <c r="C3549" s="42"/>
      <c r="D3549" s="41" t="s">
        <v>8923</v>
      </c>
      <c r="E3549" s="43" t="s">
        <v>8924</v>
      </c>
      <c r="F3549" s="43" t="s">
        <v>1937</v>
      </c>
      <c r="G3549" s="43" t="s">
        <v>8714</v>
      </c>
      <c r="H3549" s="85" t="s">
        <v>8925</v>
      </c>
      <c r="I3549" s="23" t="s">
        <v>24</v>
      </c>
      <c r="J3549" s="44">
        <v>135</v>
      </c>
      <c r="K3549" s="45">
        <v>0.25</v>
      </c>
      <c r="L3549" s="46">
        <f t="shared" si="532"/>
        <v>33.75</v>
      </c>
      <c r="M3549" s="47">
        <f t="shared" si="533"/>
        <v>101.25</v>
      </c>
      <c r="N3549" s="48">
        <v>0.16</v>
      </c>
      <c r="O3549" s="49">
        <f t="shared" si="534"/>
        <v>16.2</v>
      </c>
      <c r="P3549" s="50">
        <f t="shared" si="535"/>
        <v>117.45</v>
      </c>
      <c r="Q3549" s="23"/>
      <c r="R3549" s="60"/>
      <c r="S3549" s="61"/>
      <c r="T3549" s="62">
        <f t="shared" si="536"/>
        <v>0</v>
      </c>
      <c r="U3549" s="46">
        <f t="shared" si="537"/>
        <v>0</v>
      </c>
      <c r="V3549" s="63">
        <f t="shared" si="538"/>
        <v>0</v>
      </c>
      <c r="W3549" s="49">
        <f t="shared" si="539"/>
        <v>0</v>
      </c>
      <c r="X3549" s="50">
        <f t="shared" si="540"/>
        <v>0</v>
      </c>
      <c r="Y3549"/>
      <c r="Z3549"/>
      <c r="AA3549"/>
    </row>
    <row r="3550" spans="1:27" s="51" customFormat="1" ht="18.600000000000001" hidden="1" customHeight="1" x14ac:dyDescent="0.25">
      <c r="A3550" s="80" t="s">
        <v>2653</v>
      </c>
      <c r="B3550" s="20" t="s">
        <v>9420</v>
      </c>
      <c r="C3550" s="21"/>
      <c r="D3550" s="20" t="s">
        <v>8926</v>
      </c>
      <c r="E3550" s="22" t="s">
        <v>8927</v>
      </c>
      <c r="F3550" s="22" t="s">
        <v>1937</v>
      </c>
      <c r="G3550" s="22" t="s">
        <v>8714</v>
      </c>
      <c r="H3550" s="83" t="s">
        <v>1126</v>
      </c>
      <c r="I3550" s="23" t="s">
        <v>24</v>
      </c>
      <c r="J3550" s="24">
        <v>135</v>
      </c>
      <c r="K3550" s="25">
        <v>0.25</v>
      </c>
      <c r="L3550" s="26">
        <f t="shared" si="532"/>
        <v>33.75</v>
      </c>
      <c r="M3550" s="27">
        <f t="shared" si="533"/>
        <v>101.25</v>
      </c>
      <c r="N3550" s="28">
        <v>0.16</v>
      </c>
      <c r="O3550" s="29">
        <f t="shared" si="534"/>
        <v>16.2</v>
      </c>
      <c r="P3550" s="30">
        <f t="shared" si="535"/>
        <v>117.45</v>
      </c>
      <c r="Q3550" s="23"/>
      <c r="R3550" s="52"/>
      <c r="S3550" s="53"/>
      <c r="T3550" s="54">
        <f t="shared" si="536"/>
        <v>0</v>
      </c>
      <c r="U3550" s="26">
        <f t="shared" si="537"/>
        <v>0</v>
      </c>
      <c r="V3550" s="55">
        <f t="shared" si="538"/>
        <v>0</v>
      </c>
      <c r="W3550" s="29">
        <f t="shared" si="539"/>
        <v>0</v>
      </c>
      <c r="X3550" s="30">
        <f t="shared" si="540"/>
        <v>0</v>
      </c>
      <c r="Y3550"/>
      <c r="Z3550"/>
      <c r="AA3550"/>
    </row>
    <row r="3551" spans="1:27" s="51" customFormat="1" ht="18.600000000000001" hidden="1" customHeight="1" x14ac:dyDescent="0.25">
      <c r="A3551" s="81" t="s">
        <v>2653</v>
      </c>
      <c r="B3551" s="31" t="s">
        <v>9420</v>
      </c>
      <c r="C3551" s="32"/>
      <c r="D3551" s="31" t="s">
        <v>8928</v>
      </c>
      <c r="E3551" s="33" t="s">
        <v>8929</v>
      </c>
      <c r="F3551" s="33" t="s">
        <v>1937</v>
      </c>
      <c r="G3551" s="33" t="s">
        <v>8714</v>
      </c>
      <c r="H3551" s="84" t="s">
        <v>1041</v>
      </c>
      <c r="I3551" s="23" t="s">
        <v>24</v>
      </c>
      <c r="J3551" s="34">
        <v>135</v>
      </c>
      <c r="K3551" s="35">
        <v>0.25</v>
      </c>
      <c r="L3551" s="36">
        <f t="shared" si="532"/>
        <v>33.75</v>
      </c>
      <c r="M3551" s="37">
        <f t="shared" si="533"/>
        <v>101.25</v>
      </c>
      <c r="N3551" s="38">
        <v>0.16</v>
      </c>
      <c r="O3551" s="39">
        <f t="shared" si="534"/>
        <v>16.2</v>
      </c>
      <c r="P3551" s="40">
        <f t="shared" si="535"/>
        <v>117.45</v>
      </c>
      <c r="Q3551" s="23"/>
      <c r="R3551" s="56"/>
      <c r="S3551" s="57"/>
      <c r="T3551" s="58">
        <f t="shared" si="536"/>
        <v>0</v>
      </c>
      <c r="U3551" s="36">
        <f t="shared" si="537"/>
        <v>0</v>
      </c>
      <c r="V3551" s="59">
        <f t="shared" si="538"/>
        <v>0</v>
      </c>
      <c r="W3551" s="39">
        <f t="shared" si="539"/>
        <v>0</v>
      </c>
      <c r="X3551" s="40">
        <f t="shared" si="540"/>
        <v>0</v>
      </c>
      <c r="Y3551"/>
      <c r="Z3551"/>
      <c r="AA3551"/>
    </row>
    <row r="3552" spans="1:27" s="51" customFormat="1" ht="18.600000000000001" hidden="1" customHeight="1" x14ac:dyDescent="0.25">
      <c r="A3552" s="82" t="s">
        <v>2653</v>
      </c>
      <c r="B3552" s="41" t="s">
        <v>9420</v>
      </c>
      <c r="C3552" s="42"/>
      <c r="D3552" s="41" t="s">
        <v>8930</v>
      </c>
      <c r="E3552" s="43" t="s">
        <v>8931</v>
      </c>
      <c r="F3552" s="43" t="s">
        <v>1937</v>
      </c>
      <c r="G3552" s="43" t="s">
        <v>8714</v>
      </c>
      <c r="H3552" s="85" t="s">
        <v>2911</v>
      </c>
      <c r="I3552" s="23" t="s">
        <v>24</v>
      </c>
      <c r="J3552" s="44">
        <v>135</v>
      </c>
      <c r="K3552" s="45">
        <v>0.25</v>
      </c>
      <c r="L3552" s="46">
        <f t="shared" si="532"/>
        <v>33.75</v>
      </c>
      <c r="M3552" s="47">
        <f t="shared" si="533"/>
        <v>101.25</v>
      </c>
      <c r="N3552" s="48">
        <v>0.16</v>
      </c>
      <c r="O3552" s="49">
        <f t="shared" si="534"/>
        <v>16.2</v>
      </c>
      <c r="P3552" s="50">
        <f t="shared" si="535"/>
        <v>117.45</v>
      </c>
      <c r="Q3552" s="23"/>
      <c r="R3552" s="60"/>
      <c r="S3552" s="61"/>
      <c r="T3552" s="62">
        <f t="shared" si="536"/>
        <v>0</v>
      </c>
      <c r="U3552" s="46">
        <f t="shared" si="537"/>
        <v>0</v>
      </c>
      <c r="V3552" s="63">
        <f t="shared" si="538"/>
        <v>0</v>
      </c>
      <c r="W3552" s="49">
        <f t="shared" si="539"/>
        <v>0</v>
      </c>
      <c r="X3552" s="50">
        <f t="shared" si="540"/>
        <v>0</v>
      </c>
      <c r="Y3552"/>
      <c r="Z3552"/>
      <c r="AA3552"/>
    </row>
    <row r="3553" spans="1:27" s="51" customFormat="1" ht="18.600000000000001" hidden="1" customHeight="1" x14ac:dyDescent="0.25">
      <c r="A3553" s="80" t="s">
        <v>2653</v>
      </c>
      <c r="B3553" s="20" t="s">
        <v>9420</v>
      </c>
      <c r="C3553" s="21"/>
      <c r="D3553" s="20" t="s">
        <v>8932</v>
      </c>
      <c r="E3553" s="22" t="s">
        <v>8933</v>
      </c>
      <c r="F3553" s="22" t="s">
        <v>1937</v>
      </c>
      <c r="G3553" s="22" t="s">
        <v>8714</v>
      </c>
      <c r="H3553" s="83" t="s">
        <v>1362</v>
      </c>
      <c r="I3553" s="23" t="s">
        <v>24</v>
      </c>
      <c r="J3553" s="24">
        <v>135</v>
      </c>
      <c r="K3553" s="25">
        <v>0.25</v>
      </c>
      <c r="L3553" s="26">
        <f t="shared" si="532"/>
        <v>33.75</v>
      </c>
      <c r="M3553" s="27">
        <f t="shared" si="533"/>
        <v>101.25</v>
      </c>
      <c r="N3553" s="28">
        <v>0.16</v>
      </c>
      <c r="O3553" s="29">
        <f t="shared" si="534"/>
        <v>16.2</v>
      </c>
      <c r="P3553" s="30">
        <f t="shared" si="535"/>
        <v>117.45</v>
      </c>
      <c r="Q3553" s="23"/>
      <c r="R3553" s="52"/>
      <c r="S3553" s="53"/>
      <c r="T3553" s="54">
        <f t="shared" si="536"/>
        <v>0</v>
      </c>
      <c r="U3553" s="26">
        <f t="shared" si="537"/>
        <v>0</v>
      </c>
      <c r="V3553" s="55">
        <f t="shared" si="538"/>
        <v>0</v>
      </c>
      <c r="W3553" s="29">
        <f t="shared" si="539"/>
        <v>0</v>
      </c>
      <c r="X3553" s="30">
        <f t="shared" si="540"/>
        <v>0</v>
      </c>
      <c r="Y3553"/>
      <c r="Z3553"/>
      <c r="AA3553"/>
    </row>
    <row r="3554" spans="1:27" s="51" customFormat="1" ht="18.600000000000001" hidden="1" customHeight="1" x14ac:dyDescent="0.25">
      <c r="A3554" s="81" t="s">
        <v>2653</v>
      </c>
      <c r="B3554" s="31" t="s">
        <v>9420</v>
      </c>
      <c r="C3554" s="32"/>
      <c r="D3554" s="31" t="s">
        <v>8934</v>
      </c>
      <c r="E3554" s="33" t="s">
        <v>8935</v>
      </c>
      <c r="F3554" s="33" t="s">
        <v>1937</v>
      </c>
      <c r="G3554" s="33" t="s">
        <v>8714</v>
      </c>
      <c r="H3554" s="84" t="s">
        <v>84</v>
      </c>
      <c r="I3554" s="23" t="s">
        <v>24</v>
      </c>
      <c r="J3554" s="34">
        <v>135</v>
      </c>
      <c r="K3554" s="35">
        <v>0.25</v>
      </c>
      <c r="L3554" s="36">
        <f t="shared" si="532"/>
        <v>33.75</v>
      </c>
      <c r="M3554" s="37">
        <f t="shared" si="533"/>
        <v>101.25</v>
      </c>
      <c r="N3554" s="38">
        <v>0.16</v>
      </c>
      <c r="O3554" s="39">
        <f t="shared" si="534"/>
        <v>16.2</v>
      </c>
      <c r="P3554" s="40">
        <f t="shared" si="535"/>
        <v>117.45</v>
      </c>
      <c r="Q3554" s="23"/>
      <c r="R3554" s="56"/>
      <c r="S3554" s="57"/>
      <c r="T3554" s="58">
        <f t="shared" si="536"/>
        <v>0</v>
      </c>
      <c r="U3554" s="36">
        <f t="shared" si="537"/>
        <v>0</v>
      </c>
      <c r="V3554" s="59">
        <f t="shared" si="538"/>
        <v>0</v>
      </c>
      <c r="W3554" s="39">
        <f t="shared" si="539"/>
        <v>0</v>
      </c>
      <c r="X3554" s="40">
        <f t="shared" si="540"/>
        <v>0</v>
      </c>
      <c r="Y3554"/>
      <c r="Z3554"/>
      <c r="AA3554"/>
    </row>
    <row r="3555" spans="1:27" s="51" customFormat="1" ht="18.600000000000001" hidden="1" customHeight="1" x14ac:dyDescent="0.25">
      <c r="A3555" s="82" t="s">
        <v>2653</v>
      </c>
      <c r="B3555" s="41" t="s">
        <v>9420</v>
      </c>
      <c r="C3555" s="42"/>
      <c r="D3555" s="41" t="s">
        <v>8936</v>
      </c>
      <c r="E3555" s="43" t="s">
        <v>8937</v>
      </c>
      <c r="F3555" s="43" t="s">
        <v>1937</v>
      </c>
      <c r="G3555" s="43" t="s">
        <v>8714</v>
      </c>
      <c r="H3555" s="85" t="s">
        <v>8938</v>
      </c>
      <c r="I3555" s="23" t="s">
        <v>24</v>
      </c>
      <c r="J3555" s="44">
        <v>135</v>
      </c>
      <c r="K3555" s="45">
        <v>0.25</v>
      </c>
      <c r="L3555" s="46">
        <f t="shared" si="532"/>
        <v>33.75</v>
      </c>
      <c r="M3555" s="47">
        <f t="shared" si="533"/>
        <v>101.25</v>
      </c>
      <c r="N3555" s="48">
        <v>0.16</v>
      </c>
      <c r="O3555" s="49">
        <f t="shared" si="534"/>
        <v>16.2</v>
      </c>
      <c r="P3555" s="50">
        <f t="shared" si="535"/>
        <v>117.45</v>
      </c>
      <c r="Q3555" s="23"/>
      <c r="R3555" s="60"/>
      <c r="S3555" s="61"/>
      <c r="T3555" s="62">
        <f t="shared" si="536"/>
        <v>0</v>
      </c>
      <c r="U3555" s="46">
        <f t="shared" si="537"/>
        <v>0</v>
      </c>
      <c r="V3555" s="63">
        <f t="shared" si="538"/>
        <v>0</v>
      </c>
      <c r="W3555" s="49">
        <f t="shared" si="539"/>
        <v>0</v>
      </c>
      <c r="X3555" s="50">
        <f t="shared" si="540"/>
        <v>0</v>
      </c>
      <c r="Y3555"/>
      <c r="Z3555"/>
      <c r="AA3555"/>
    </row>
    <row r="3556" spans="1:27" s="51" customFormat="1" ht="18.600000000000001" hidden="1" customHeight="1" x14ac:dyDescent="0.25">
      <c r="A3556" s="80" t="s">
        <v>2653</v>
      </c>
      <c r="B3556" s="20" t="s">
        <v>9420</v>
      </c>
      <c r="C3556" s="21"/>
      <c r="D3556" s="20" t="s">
        <v>8939</v>
      </c>
      <c r="E3556" s="22" t="s">
        <v>8940</v>
      </c>
      <c r="F3556" s="22" t="s">
        <v>1937</v>
      </c>
      <c r="G3556" s="22" t="s">
        <v>8714</v>
      </c>
      <c r="H3556" s="83" t="s">
        <v>8941</v>
      </c>
      <c r="I3556" s="23" t="s">
        <v>24</v>
      </c>
      <c r="J3556" s="24">
        <v>135</v>
      </c>
      <c r="K3556" s="25">
        <v>0.25</v>
      </c>
      <c r="L3556" s="26">
        <f t="shared" si="532"/>
        <v>33.75</v>
      </c>
      <c r="M3556" s="27">
        <f t="shared" si="533"/>
        <v>101.25</v>
      </c>
      <c r="N3556" s="28">
        <v>0.16</v>
      </c>
      <c r="O3556" s="29">
        <f t="shared" si="534"/>
        <v>16.2</v>
      </c>
      <c r="P3556" s="30">
        <f t="shared" si="535"/>
        <v>117.45</v>
      </c>
      <c r="Q3556" s="23"/>
      <c r="R3556" s="52"/>
      <c r="S3556" s="53"/>
      <c r="T3556" s="54">
        <f t="shared" si="536"/>
        <v>0</v>
      </c>
      <c r="U3556" s="26">
        <f t="shared" si="537"/>
        <v>0</v>
      </c>
      <c r="V3556" s="55">
        <f t="shared" si="538"/>
        <v>0</v>
      </c>
      <c r="W3556" s="29">
        <f t="shared" si="539"/>
        <v>0</v>
      </c>
      <c r="X3556" s="30">
        <f t="shared" si="540"/>
        <v>0</v>
      </c>
      <c r="Y3556"/>
      <c r="Z3556"/>
      <c r="AA3556"/>
    </row>
    <row r="3557" spans="1:27" s="51" customFormat="1" ht="18.600000000000001" hidden="1" customHeight="1" x14ac:dyDescent="0.25">
      <c r="A3557" s="81" t="s">
        <v>2653</v>
      </c>
      <c r="B3557" s="31" t="s">
        <v>9420</v>
      </c>
      <c r="C3557" s="32"/>
      <c r="D3557" s="31" t="s">
        <v>8942</v>
      </c>
      <c r="E3557" s="33" t="s">
        <v>8943</v>
      </c>
      <c r="F3557" s="33" t="s">
        <v>1937</v>
      </c>
      <c r="G3557" s="33" t="s">
        <v>8714</v>
      </c>
      <c r="H3557" s="84" t="s">
        <v>1812</v>
      </c>
      <c r="I3557" s="23" t="s">
        <v>24</v>
      </c>
      <c r="J3557" s="34">
        <v>135</v>
      </c>
      <c r="K3557" s="35">
        <v>0.25</v>
      </c>
      <c r="L3557" s="36">
        <f t="shared" si="532"/>
        <v>33.75</v>
      </c>
      <c r="M3557" s="37">
        <f t="shared" si="533"/>
        <v>101.25</v>
      </c>
      <c r="N3557" s="38">
        <v>0.16</v>
      </c>
      <c r="O3557" s="39">
        <f t="shared" si="534"/>
        <v>16.2</v>
      </c>
      <c r="P3557" s="40">
        <f t="shared" si="535"/>
        <v>117.45</v>
      </c>
      <c r="Q3557" s="23"/>
      <c r="R3557" s="56"/>
      <c r="S3557" s="57"/>
      <c r="T3557" s="58">
        <f t="shared" si="536"/>
        <v>0</v>
      </c>
      <c r="U3557" s="36">
        <f t="shared" si="537"/>
        <v>0</v>
      </c>
      <c r="V3557" s="59">
        <f t="shared" si="538"/>
        <v>0</v>
      </c>
      <c r="W3557" s="39">
        <f t="shared" si="539"/>
        <v>0</v>
      </c>
      <c r="X3557" s="40">
        <f t="shared" si="540"/>
        <v>0</v>
      </c>
      <c r="Y3557"/>
      <c r="Z3557"/>
      <c r="AA3557"/>
    </row>
    <row r="3558" spans="1:27" s="51" customFormat="1" ht="18.600000000000001" hidden="1" customHeight="1" x14ac:dyDescent="0.25">
      <c r="A3558" s="82" t="s">
        <v>2653</v>
      </c>
      <c r="B3558" s="41" t="s">
        <v>9420</v>
      </c>
      <c r="C3558" s="42"/>
      <c r="D3558" s="41" t="s">
        <v>8944</v>
      </c>
      <c r="E3558" s="43" t="s">
        <v>8945</v>
      </c>
      <c r="F3558" s="43" t="s">
        <v>1937</v>
      </c>
      <c r="G3558" s="43" t="s">
        <v>8714</v>
      </c>
      <c r="H3558" s="85" t="s">
        <v>8946</v>
      </c>
      <c r="I3558" s="23" t="s">
        <v>24</v>
      </c>
      <c r="J3558" s="44">
        <v>135</v>
      </c>
      <c r="K3558" s="45">
        <v>0.25</v>
      </c>
      <c r="L3558" s="46">
        <f t="shared" si="532"/>
        <v>33.75</v>
      </c>
      <c r="M3558" s="47">
        <f t="shared" si="533"/>
        <v>101.25</v>
      </c>
      <c r="N3558" s="48">
        <v>0.16</v>
      </c>
      <c r="O3558" s="49">
        <f t="shared" si="534"/>
        <v>16.2</v>
      </c>
      <c r="P3558" s="50">
        <f t="shared" si="535"/>
        <v>117.45</v>
      </c>
      <c r="Q3558" s="23"/>
      <c r="R3558" s="60"/>
      <c r="S3558" s="61"/>
      <c r="T3558" s="62">
        <f t="shared" si="536"/>
        <v>0</v>
      </c>
      <c r="U3558" s="46">
        <f t="shared" si="537"/>
        <v>0</v>
      </c>
      <c r="V3558" s="63">
        <f t="shared" si="538"/>
        <v>0</v>
      </c>
      <c r="W3558" s="49">
        <f t="shared" si="539"/>
        <v>0</v>
      </c>
      <c r="X3558" s="50">
        <f t="shared" si="540"/>
        <v>0</v>
      </c>
      <c r="Y3558"/>
      <c r="Z3558"/>
      <c r="AA3558"/>
    </row>
    <row r="3559" spans="1:27" s="51" customFormat="1" ht="18.600000000000001" hidden="1" customHeight="1" x14ac:dyDescent="0.25">
      <c r="A3559" s="80" t="s">
        <v>2653</v>
      </c>
      <c r="B3559" s="20" t="s">
        <v>9420</v>
      </c>
      <c r="C3559" s="21"/>
      <c r="D3559" s="20" t="s">
        <v>8947</v>
      </c>
      <c r="E3559" s="22" t="s">
        <v>8948</v>
      </c>
      <c r="F3559" s="22" t="s">
        <v>1937</v>
      </c>
      <c r="G3559" s="22" t="s">
        <v>8714</v>
      </c>
      <c r="H3559" s="83" t="s">
        <v>1075</v>
      </c>
      <c r="I3559" s="23" t="s">
        <v>24</v>
      </c>
      <c r="J3559" s="24">
        <v>135</v>
      </c>
      <c r="K3559" s="25">
        <v>0.25</v>
      </c>
      <c r="L3559" s="26">
        <f t="shared" si="532"/>
        <v>33.75</v>
      </c>
      <c r="M3559" s="27">
        <f t="shared" si="533"/>
        <v>101.25</v>
      </c>
      <c r="N3559" s="28">
        <v>0.16</v>
      </c>
      <c r="O3559" s="29">
        <f t="shared" si="534"/>
        <v>16.2</v>
      </c>
      <c r="P3559" s="30">
        <f t="shared" si="535"/>
        <v>117.45</v>
      </c>
      <c r="Q3559" s="23"/>
      <c r="R3559" s="52"/>
      <c r="S3559" s="53"/>
      <c r="T3559" s="54">
        <f t="shared" si="536"/>
        <v>0</v>
      </c>
      <c r="U3559" s="26">
        <f t="shared" si="537"/>
        <v>0</v>
      </c>
      <c r="V3559" s="55">
        <f t="shared" si="538"/>
        <v>0</v>
      </c>
      <c r="W3559" s="29">
        <f t="shared" si="539"/>
        <v>0</v>
      </c>
      <c r="X3559" s="30">
        <f t="shared" si="540"/>
        <v>0</v>
      </c>
      <c r="Y3559"/>
      <c r="Z3559"/>
      <c r="AA3559"/>
    </row>
    <row r="3560" spans="1:27" s="51" customFormat="1" ht="18.600000000000001" hidden="1" customHeight="1" x14ac:dyDescent="0.25">
      <c r="A3560" s="81" t="s">
        <v>2653</v>
      </c>
      <c r="B3560" s="31" t="s">
        <v>9420</v>
      </c>
      <c r="C3560" s="32" t="s">
        <v>9326</v>
      </c>
      <c r="D3560" s="31" t="s">
        <v>9510</v>
      </c>
      <c r="E3560" s="33" t="s">
        <v>9616</v>
      </c>
      <c r="F3560" s="33" t="s">
        <v>1937</v>
      </c>
      <c r="G3560" s="33" t="s">
        <v>9637</v>
      </c>
      <c r="H3560" s="84" t="s">
        <v>9897</v>
      </c>
      <c r="I3560" s="23" t="s">
        <v>24</v>
      </c>
      <c r="J3560" s="34">
        <v>2430</v>
      </c>
      <c r="K3560" s="35">
        <v>0.25</v>
      </c>
      <c r="L3560" s="36">
        <f t="shared" si="532"/>
        <v>607.5</v>
      </c>
      <c r="M3560" s="37">
        <f t="shared" si="533"/>
        <v>1822.5</v>
      </c>
      <c r="N3560" s="38">
        <v>0.16</v>
      </c>
      <c r="O3560" s="39">
        <f t="shared" si="534"/>
        <v>291.60000000000002</v>
      </c>
      <c r="P3560" s="40">
        <f t="shared" si="535"/>
        <v>2114.1</v>
      </c>
      <c r="Q3560" s="23"/>
      <c r="R3560" s="56"/>
      <c r="S3560" s="57"/>
      <c r="T3560" s="58">
        <f t="shared" si="536"/>
        <v>0</v>
      </c>
      <c r="U3560" s="36">
        <f t="shared" si="537"/>
        <v>0</v>
      </c>
      <c r="V3560" s="59">
        <f t="shared" si="538"/>
        <v>0</v>
      </c>
      <c r="W3560" s="39">
        <f t="shared" si="539"/>
        <v>0</v>
      </c>
      <c r="X3560" s="40">
        <f t="shared" si="540"/>
        <v>0</v>
      </c>
      <c r="Y3560"/>
      <c r="Z3560"/>
      <c r="AA3560"/>
    </row>
    <row r="3561" spans="1:27" s="51" customFormat="1" ht="18.600000000000001" hidden="1" customHeight="1" x14ac:dyDescent="0.25">
      <c r="A3561" s="82" t="s">
        <v>2653</v>
      </c>
      <c r="B3561" s="41" t="s">
        <v>9420</v>
      </c>
      <c r="C3561" s="42" t="s">
        <v>9421</v>
      </c>
      <c r="D3561" s="41" t="s">
        <v>8949</v>
      </c>
      <c r="E3561" s="43" t="s">
        <v>8950</v>
      </c>
      <c r="F3561" s="43" t="s">
        <v>1937</v>
      </c>
      <c r="G3561" s="43" t="s">
        <v>8866</v>
      </c>
      <c r="H3561" s="85" t="s">
        <v>8951</v>
      </c>
      <c r="I3561" s="23" t="s">
        <v>24</v>
      </c>
      <c r="J3561" s="44">
        <v>810</v>
      </c>
      <c r="K3561" s="45">
        <v>0.25</v>
      </c>
      <c r="L3561" s="46">
        <f t="shared" si="532"/>
        <v>202.5</v>
      </c>
      <c r="M3561" s="47">
        <f t="shared" si="533"/>
        <v>607.5</v>
      </c>
      <c r="N3561" s="48">
        <v>0.16</v>
      </c>
      <c r="O3561" s="49">
        <f t="shared" si="534"/>
        <v>97.2</v>
      </c>
      <c r="P3561" s="50">
        <f t="shared" si="535"/>
        <v>704.7</v>
      </c>
      <c r="Q3561" s="23"/>
      <c r="R3561" s="60"/>
      <c r="S3561" s="61"/>
      <c r="T3561" s="62">
        <f t="shared" si="536"/>
        <v>0</v>
      </c>
      <c r="U3561" s="46">
        <f t="shared" si="537"/>
        <v>0</v>
      </c>
      <c r="V3561" s="63">
        <f t="shared" si="538"/>
        <v>0</v>
      </c>
      <c r="W3561" s="49">
        <f t="shared" si="539"/>
        <v>0</v>
      </c>
      <c r="X3561" s="50">
        <f t="shared" si="540"/>
        <v>0</v>
      </c>
      <c r="Y3561"/>
      <c r="Z3561"/>
      <c r="AA3561"/>
    </row>
    <row r="3562" spans="1:27" s="51" customFormat="1" ht="18.600000000000001" hidden="1" customHeight="1" x14ac:dyDescent="0.25">
      <c r="A3562" s="80" t="s">
        <v>2653</v>
      </c>
      <c r="B3562" s="20" t="s">
        <v>9420</v>
      </c>
      <c r="C3562" s="21" t="s">
        <v>9421</v>
      </c>
      <c r="D3562" s="20" t="s">
        <v>8952</v>
      </c>
      <c r="E3562" s="22" t="s">
        <v>8953</v>
      </c>
      <c r="F3562" s="22" t="s">
        <v>1937</v>
      </c>
      <c r="G3562" s="22" t="s">
        <v>8866</v>
      </c>
      <c r="H3562" s="83" t="s">
        <v>8954</v>
      </c>
      <c r="I3562" s="23" t="s">
        <v>24</v>
      </c>
      <c r="J3562" s="24">
        <v>810</v>
      </c>
      <c r="K3562" s="25">
        <v>0.25</v>
      </c>
      <c r="L3562" s="26">
        <f t="shared" si="532"/>
        <v>202.5</v>
      </c>
      <c r="M3562" s="27">
        <f t="shared" si="533"/>
        <v>607.5</v>
      </c>
      <c r="N3562" s="28">
        <v>0.16</v>
      </c>
      <c r="O3562" s="29">
        <f t="shared" si="534"/>
        <v>97.2</v>
      </c>
      <c r="P3562" s="30">
        <f t="shared" si="535"/>
        <v>704.7</v>
      </c>
      <c r="Q3562" s="23"/>
      <c r="R3562" s="52"/>
      <c r="S3562" s="53"/>
      <c r="T3562" s="54">
        <f t="shared" si="536"/>
        <v>0</v>
      </c>
      <c r="U3562" s="26">
        <f t="shared" si="537"/>
        <v>0</v>
      </c>
      <c r="V3562" s="55">
        <f t="shared" si="538"/>
        <v>0</v>
      </c>
      <c r="W3562" s="29">
        <f t="shared" si="539"/>
        <v>0</v>
      </c>
      <c r="X3562" s="30">
        <f t="shared" si="540"/>
        <v>0</v>
      </c>
      <c r="Y3562"/>
      <c r="Z3562"/>
      <c r="AA3562"/>
    </row>
    <row r="3563" spans="1:27" s="51" customFormat="1" ht="18.600000000000001" hidden="1" customHeight="1" x14ac:dyDescent="0.25">
      <c r="A3563" s="81" t="s">
        <v>2653</v>
      </c>
      <c r="B3563" s="31" t="s">
        <v>9420</v>
      </c>
      <c r="C3563" s="32" t="s">
        <v>9421</v>
      </c>
      <c r="D3563" s="31" t="s">
        <v>8955</v>
      </c>
      <c r="E3563" s="33" t="s">
        <v>8956</v>
      </c>
      <c r="F3563" s="33" t="s">
        <v>1937</v>
      </c>
      <c r="G3563" s="33" t="s">
        <v>8866</v>
      </c>
      <c r="H3563" s="84" t="s">
        <v>8957</v>
      </c>
      <c r="I3563" s="23" t="s">
        <v>24</v>
      </c>
      <c r="J3563" s="34">
        <v>810</v>
      </c>
      <c r="K3563" s="35">
        <v>0.25</v>
      </c>
      <c r="L3563" s="36">
        <f t="shared" si="532"/>
        <v>202.5</v>
      </c>
      <c r="M3563" s="37">
        <f t="shared" si="533"/>
        <v>607.5</v>
      </c>
      <c r="N3563" s="38">
        <v>0.16</v>
      </c>
      <c r="O3563" s="39">
        <f t="shared" si="534"/>
        <v>97.2</v>
      </c>
      <c r="P3563" s="40">
        <f t="shared" si="535"/>
        <v>704.7</v>
      </c>
      <c r="Q3563" s="23"/>
      <c r="R3563" s="56"/>
      <c r="S3563" s="57"/>
      <c r="T3563" s="58">
        <f t="shared" si="536"/>
        <v>0</v>
      </c>
      <c r="U3563" s="36">
        <f t="shared" si="537"/>
        <v>0</v>
      </c>
      <c r="V3563" s="59">
        <f t="shared" si="538"/>
        <v>0</v>
      </c>
      <c r="W3563" s="39">
        <f t="shared" si="539"/>
        <v>0</v>
      </c>
      <c r="X3563" s="40">
        <f t="shared" si="540"/>
        <v>0</v>
      </c>
      <c r="Y3563"/>
      <c r="Z3563"/>
      <c r="AA3563"/>
    </row>
    <row r="3564" spans="1:27" s="51" customFormat="1" ht="18.600000000000001" hidden="1" customHeight="1" x14ac:dyDescent="0.25">
      <c r="A3564" s="82" t="s">
        <v>2653</v>
      </c>
      <c r="B3564" s="41" t="s">
        <v>9420</v>
      </c>
      <c r="C3564" s="42" t="s">
        <v>9422</v>
      </c>
      <c r="D3564" s="41" t="s">
        <v>8958</v>
      </c>
      <c r="E3564" s="43" t="s">
        <v>8959</v>
      </c>
      <c r="F3564" s="43" t="s">
        <v>1937</v>
      </c>
      <c r="G3564" s="43" t="s">
        <v>8960</v>
      </c>
      <c r="H3564" s="85" t="s">
        <v>8961</v>
      </c>
      <c r="I3564" s="23" t="s">
        <v>24</v>
      </c>
      <c r="J3564" s="44">
        <v>215</v>
      </c>
      <c r="K3564" s="45">
        <v>0.25</v>
      </c>
      <c r="L3564" s="46">
        <f t="shared" si="532"/>
        <v>53.75</v>
      </c>
      <c r="M3564" s="47">
        <f t="shared" si="533"/>
        <v>161.25</v>
      </c>
      <c r="N3564" s="48">
        <v>0.16</v>
      </c>
      <c r="O3564" s="49">
        <f t="shared" si="534"/>
        <v>25.8</v>
      </c>
      <c r="P3564" s="50">
        <f t="shared" si="535"/>
        <v>187.05</v>
      </c>
      <c r="Q3564" s="23"/>
      <c r="R3564" s="60"/>
      <c r="S3564" s="61"/>
      <c r="T3564" s="62">
        <f t="shared" si="536"/>
        <v>0</v>
      </c>
      <c r="U3564" s="46">
        <f t="shared" si="537"/>
        <v>0</v>
      </c>
      <c r="V3564" s="63">
        <f t="shared" si="538"/>
        <v>0</v>
      </c>
      <c r="W3564" s="49">
        <f t="shared" si="539"/>
        <v>0</v>
      </c>
      <c r="X3564" s="50">
        <f t="shared" si="540"/>
        <v>0</v>
      </c>
      <c r="Y3564"/>
      <c r="Z3564"/>
      <c r="AA3564"/>
    </row>
    <row r="3565" spans="1:27" s="51" customFormat="1" ht="18.600000000000001" hidden="1" customHeight="1" x14ac:dyDescent="0.25">
      <c r="A3565" s="80" t="s">
        <v>2653</v>
      </c>
      <c r="B3565" s="20" t="s">
        <v>9423</v>
      </c>
      <c r="C3565" s="21" t="s">
        <v>9423</v>
      </c>
      <c r="D3565" s="20" t="s">
        <v>8962</v>
      </c>
      <c r="E3565" s="22" t="s">
        <v>8963</v>
      </c>
      <c r="F3565" s="22" t="s">
        <v>1937</v>
      </c>
      <c r="G3565" s="22" t="s">
        <v>8714</v>
      </c>
      <c r="H3565" s="83" t="s">
        <v>8964</v>
      </c>
      <c r="I3565" s="23" t="s">
        <v>24</v>
      </c>
      <c r="J3565" s="24">
        <v>140</v>
      </c>
      <c r="K3565" s="25">
        <v>0.25</v>
      </c>
      <c r="L3565" s="26">
        <f t="shared" si="532"/>
        <v>35</v>
      </c>
      <c r="M3565" s="27">
        <f t="shared" si="533"/>
        <v>105</v>
      </c>
      <c r="N3565" s="28">
        <v>0.16</v>
      </c>
      <c r="O3565" s="29">
        <f t="shared" si="534"/>
        <v>16.8</v>
      </c>
      <c r="P3565" s="30">
        <f t="shared" si="535"/>
        <v>121.8</v>
      </c>
      <c r="Q3565" s="23"/>
      <c r="R3565" s="52"/>
      <c r="S3565" s="53"/>
      <c r="T3565" s="54">
        <f t="shared" si="536"/>
        <v>0</v>
      </c>
      <c r="U3565" s="26">
        <f t="shared" si="537"/>
        <v>0</v>
      </c>
      <c r="V3565" s="55">
        <f t="shared" si="538"/>
        <v>0</v>
      </c>
      <c r="W3565" s="29">
        <f t="shared" si="539"/>
        <v>0</v>
      </c>
      <c r="X3565" s="30">
        <f t="shared" si="540"/>
        <v>0</v>
      </c>
      <c r="Y3565"/>
      <c r="Z3565"/>
      <c r="AA3565"/>
    </row>
    <row r="3566" spans="1:27" s="51" customFormat="1" ht="18.600000000000001" hidden="1" customHeight="1" x14ac:dyDescent="0.25">
      <c r="A3566" s="81" t="s">
        <v>2653</v>
      </c>
      <c r="B3566" s="31" t="s">
        <v>9423</v>
      </c>
      <c r="C3566" s="32" t="s">
        <v>9423</v>
      </c>
      <c r="D3566" s="31" t="s">
        <v>8965</v>
      </c>
      <c r="E3566" s="33" t="s">
        <v>8966</v>
      </c>
      <c r="F3566" s="33" t="s">
        <v>1937</v>
      </c>
      <c r="G3566" s="33" t="s">
        <v>8714</v>
      </c>
      <c r="H3566" s="84" t="s">
        <v>8967</v>
      </c>
      <c r="I3566" s="23" t="s">
        <v>24</v>
      </c>
      <c r="J3566" s="34">
        <v>140</v>
      </c>
      <c r="K3566" s="35">
        <v>0.25</v>
      </c>
      <c r="L3566" s="36">
        <f t="shared" si="532"/>
        <v>35</v>
      </c>
      <c r="M3566" s="37">
        <f t="shared" si="533"/>
        <v>105</v>
      </c>
      <c r="N3566" s="38">
        <v>0.16</v>
      </c>
      <c r="O3566" s="39">
        <f t="shared" si="534"/>
        <v>16.8</v>
      </c>
      <c r="P3566" s="40">
        <f t="shared" si="535"/>
        <v>121.8</v>
      </c>
      <c r="Q3566" s="23"/>
      <c r="R3566" s="56"/>
      <c r="S3566" s="57"/>
      <c r="T3566" s="58">
        <f t="shared" si="536"/>
        <v>0</v>
      </c>
      <c r="U3566" s="36">
        <f t="shared" si="537"/>
        <v>0</v>
      </c>
      <c r="V3566" s="59">
        <f t="shared" si="538"/>
        <v>0</v>
      </c>
      <c r="W3566" s="39">
        <f t="shared" si="539"/>
        <v>0</v>
      </c>
      <c r="X3566" s="40">
        <f t="shared" si="540"/>
        <v>0</v>
      </c>
      <c r="Y3566"/>
      <c r="Z3566"/>
      <c r="AA3566"/>
    </row>
    <row r="3567" spans="1:27" s="51" customFormat="1" ht="18.600000000000001" hidden="1" customHeight="1" x14ac:dyDescent="0.25">
      <c r="A3567" s="82" t="s">
        <v>2653</v>
      </c>
      <c r="B3567" s="41" t="s">
        <v>9423</v>
      </c>
      <c r="C3567" s="42" t="s">
        <v>9423</v>
      </c>
      <c r="D3567" s="41" t="s">
        <v>8968</v>
      </c>
      <c r="E3567" s="43" t="s">
        <v>8969</v>
      </c>
      <c r="F3567" s="43" t="s">
        <v>1937</v>
      </c>
      <c r="G3567" s="43" t="s">
        <v>8714</v>
      </c>
      <c r="H3567" s="85" t="s">
        <v>8970</v>
      </c>
      <c r="I3567" s="23" t="s">
        <v>24</v>
      </c>
      <c r="J3567" s="44">
        <v>140</v>
      </c>
      <c r="K3567" s="45">
        <v>0.25</v>
      </c>
      <c r="L3567" s="46">
        <f t="shared" si="532"/>
        <v>35</v>
      </c>
      <c r="M3567" s="47">
        <f t="shared" si="533"/>
        <v>105</v>
      </c>
      <c r="N3567" s="48">
        <v>0.16</v>
      </c>
      <c r="O3567" s="49">
        <f t="shared" si="534"/>
        <v>16.8</v>
      </c>
      <c r="P3567" s="50">
        <f t="shared" si="535"/>
        <v>121.8</v>
      </c>
      <c r="Q3567" s="23"/>
      <c r="R3567" s="60"/>
      <c r="S3567" s="61"/>
      <c r="T3567" s="62">
        <f t="shared" si="536"/>
        <v>0</v>
      </c>
      <c r="U3567" s="46">
        <f t="shared" si="537"/>
        <v>0</v>
      </c>
      <c r="V3567" s="63">
        <f t="shared" si="538"/>
        <v>0</v>
      </c>
      <c r="W3567" s="49">
        <f t="shared" si="539"/>
        <v>0</v>
      </c>
      <c r="X3567" s="50">
        <f t="shared" si="540"/>
        <v>0</v>
      </c>
      <c r="Y3567"/>
      <c r="Z3567"/>
      <c r="AA3567"/>
    </row>
    <row r="3568" spans="1:27" s="51" customFormat="1" ht="18.600000000000001" hidden="1" customHeight="1" x14ac:dyDescent="0.25">
      <c r="A3568" s="80" t="s">
        <v>2653</v>
      </c>
      <c r="B3568" s="20" t="s">
        <v>9423</v>
      </c>
      <c r="C3568" s="21" t="s">
        <v>9423</v>
      </c>
      <c r="D3568" s="20" t="s">
        <v>8971</v>
      </c>
      <c r="E3568" s="22" t="s">
        <v>8972</v>
      </c>
      <c r="F3568" s="22" t="s">
        <v>1937</v>
      </c>
      <c r="G3568" s="22" t="s">
        <v>8714</v>
      </c>
      <c r="H3568" s="83" t="s">
        <v>8973</v>
      </c>
      <c r="I3568" s="23" t="s">
        <v>24</v>
      </c>
      <c r="J3568" s="24">
        <v>140</v>
      </c>
      <c r="K3568" s="25">
        <v>0.25</v>
      </c>
      <c r="L3568" s="26">
        <f t="shared" si="532"/>
        <v>35</v>
      </c>
      <c r="M3568" s="27">
        <f t="shared" si="533"/>
        <v>105</v>
      </c>
      <c r="N3568" s="28">
        <v>0.16</v>
      </c>
      <c r="O3568" s="29">
        <f t="shared" si="534"/>
        <v>16.8</v>
      </c>
      <c r="P3568" s="30">
        <f t="shared" si="535"/>
        <v>121.8</v>
      </c>
      <c r="Q3568" s="23"/>
      <c r="R3568" s="52"/>
      <c r="S3568" s="53"/>
      <c r="T3568" s="54">
        <f t="shared" si="536"/>
        <v>0</v>
      </c>
      <c r="U3568" s="26">
        <f t="shared" si="537"/>
        <v>0</v>
      </c>
      <c r="V3568" s="55">
        <f t="shared" si="538"/>
        <v>0</v>
      </c>
      <c r="W3568" s="29">
        <f t="shared" si="539"/>
        <v>0</v>
      </c>
      <c r="X3568" s="30">
        <f t="shared" si="540"/>
        <v>0</v>
      </c>
      <c r="Y3568"/>
      <c r="Z3568"/>
      <c r="AA3568"/>
    </row>
    <row r="3569" spans="1:27" s="51" customFormat="1" ht="18.600000000000001" hidden="1" customHeight="1" x14ac:dyDescent="0.25">
      <c r="A3569" s="81" t="s">
        <v>2653</v>
      </c>
      <c r="B3569" s="31" t="s">
        <v>9423</v>
      </c>
      <c r="C3569" s="32" t="s">
        <v>9423</v>
      </c>
      <c r="D3569" s="31" t="s">
        <v>8974</v>
      </c>
      <c r="E3569" s="33" t="s">
        <v>8975</v>
      </c>
      <c r="F3569" s="33" t="s">
        <v>1937</v>
      </c>
      <c r="G3569" s="33" t="s">
        <v>8714</v>
      </c>
      <c r="H3569" s="84" t="s">
        <v>8976</v>
      </c>
      <c r="I3569" s="23" t="s">
        <v>24</v>
      </c>
      <c r="J3569" s="34">
        <v>140</v>
      </c>
      <c r="K3569" s="35">
        <v>0.25</v>
      </c>
      <c r="L3569" s="36">
        <f t="shared" si="532"/>
        <v>35</v>
      </c>
      <c r="M3569" s="37">
        <f t="shared" si="533"/>
        <v>105</v>
      </c>
      <c r="N3569" s="38">
        <v>0.16</v>
      </c>
      <c r="O3569" s="39">
        <f t="shared" si="534"/>
        <v>16.8</v>
      </c>
      <c r="P3569" s="40">
        <f t="shared" si="535"/>
        <v>121.8</v>
      </c>
      <c r="Q3569" s="23"/>
      <c r="R3569" s="56"/>
      <c r="S3569" s="57"/>
      <c r="T3569" s="58">
        <f t="shared" si="536"/>
        <v>0</v>
      </c>
      <c r="U3569" s="36">
        <f t="shared" si="537"/>
        <v>0</v>
      </c>
      <c r="V3569" s="59">
        <f t="shared" si="538"/>
        <v>0</v>
      </c>
      <c r="W3569" s="39">
        <f t="shared" si="539"/>
        <v>0</v>
      </c>
      <c r="X3569" s="40">
        <f t="shared" si="540"/>
        <v>0</v>
      </c>
      <c r="Y3569"/>
      <c r="Z3569"/>
      <c r="AA3569"/>
    </row>
    <row r="3570" spans="1:27" s="51" customFormat="1" ht="18.600000000000001" hidden="1" customHeight="1" x14ac:dyDescent="0.25">
      <c r="A3570" s="82" t="s">
        <v>2653</v>
      </c>
      <c r="B3570" s="41" t="s">
        <v>9423</v>
      </c>
      <c r="C3570" s="42" t="s">
        <v>9423</v>
      </c>
      <c r="D3570" s="41" t="s">
        <v>8977</v>
      </c>
      <c r="E3570" s="43" t="s">
        <v>8978</v>
      </c>
      <c r="F3570" s="43" t="s">
        <v>1937</v>
      </c>
      <c r="G3570" s="43" t="s">
        <v>8714</v>
      </c>
      <c r="H3570" s="85" t="s">
        <v>8979</v>
      </c>
      <c r="I3570" s="23" t="s">
        <v>24</v>
      </c>
      <c r="J3570" s="44">
        <v>140</v>
      </c>
      <c r="K3570" s="45">
        <v>0.25</v>
      </c>
      <c r="L3570" s="46">
        <f t="shared" si="532"/>
        <v>35</v>
      </c>
      <c r="M3570" s="47">
        <f t="shared" si="533"/>
        <v>105</v>
      </c>
      <c r="N3570" s="48">
        <v>0.16</v>
      </c>
      <c r="O3570" s="49">
        <f t="shared" si="534"/>
        <v>16.8</v>
      </c>
      <c r="P3570" s="50">
        <f t="shared" si="535"/>
        <v>121.8</v>
      </c>
      <c r="Q3570" s="23"/>
      <c r="R3570" s="60"/>
      <c r="S3570" s="61"/>
      <c r="T3570" s="62">
        <f t="shared" si="536"/>
        <v>0</v>
      </c>
      <c r="U3570" s="46">
        <f t="shared" si="537"/>
        <v>0</v>
      </c>
      <c r="V3570" s="63">
        <f t="shared" si="538"/>
        <v>0</v>
      </c>
      <c r="W3570" s="49">
        <f t="shared" si="539"/>
        <v>0</v>
      </c>
      <c r="X3570" s="50">
        <f t="shared" si="540"/>
        <v>0</v>
      </c>
      <c r="Y3570"/>
      <c r="Z3570"/>
      <c r="AA3570"/>
    </row>
    <row r="3571" spans="1:27" s="51" customFormat="1" ht="18.600000000000001" hidden="1" customHeight="1" x14ac:dyDescent="0.25">
      <c r="A3571" s="80" t="s">
        <v>2653</v>
      </c>
      <c r="B3571" s="20" t="s">
        <v>9423</v>
      </c>
      <c r="C3571" s="21" t="s">
        <v>9423</v>
      </c>
      <c r="D3571" s="20" t="s">
        <v>8980</v>
      </c>
      <c r="E3571" s="22" t="s">
        <v>8981</v>
      </c>
      <c r="F3571" s="22" t="s">
        <v>1937</v>
      </c>
      <c r="G3571" s="22" t="s">
        <v>8714</v>
      </c>
      <c r="H3571" s="83" t="s">
        <v>8982</v>
      </c>
      <c r="I3571" s="23" t="s">
        <v>24</v>
      </c>
      <c r="J3571" s="24">
        <v>140</v>
      </c>
      <c r="K3571" s="25">
        <v>0.25</v>
      </c>
      <c r="L3571" s="26">
        <f t="shared" si="532"/>
        <v>35</v>
      </c>
      <c r="M3571" s="27">
        <f t="shared" si="533"/>
        <v>105</v>
      </c>
      <c r="N3571" s="28">
        <v>0.16</v>
      </c>
      <c r="O3571" s="29">
        <f t="shared" si="534"/>
        <v>16.8</v>
      </c>
      <c r="P3571" s="30">
        <f t="shared" si="535"/>
        <v>121.8</v>
      </c>
      <c r="Q3571" s="23"/>
      <c r="R3571" s="52"/>
      <c r="S3571" s="53"/>
      <c r="T3571" s="54">
        <f t="shared" si="536"/>
        <v>0</v>
      </c>
      <c r="U3571" s="26">
        <f t="shared" si="537"/>
        <v>0</v>
      </c>
      <c r="V3571" s="55">
        <f t="shared" si="538"/>
        <v>0</v>
      </c>
      <c r="W3571" s="29">
        <f t="shared" si="539"/>
        <v>0</v>
      </c>
      <c r="X3571" s="30">
        <f t="shared" si="540"/>
        <v>0</v>
      </c>
      <c r="Y3571"/>
      <c r="Z3571"/>
      <c r="AA3571"/>
    </row>
    <row r="3572" spans="1:27" s="51" customFormat="1" ht="18.600000000000001" hidden="1" customHeight="1" x14ac:dyDescent="0.25">
      <c r="A3572" s="81" t="s">
        <v>2653</v>
      </c>
      <c r="B3572" s="31" t="s">
        <v>9423</v>
      </c>
      <c r="C3572" s="32" t="s">
        <v>9423</v>
      </c>
      <c r="D3572" s="31" t="s">
        <v>8983</v>
      </c>
      <c r="E3572" s="33" t="s">
        <v>8984</v>
      </c>
      <c r="F3572" s="33" t="s">
        <v>1937</v>
      </c>
      <c r="G3572" s="33" t="s">
        <v>8714</v>
      </c>
      <c r="H3572" s="84" t="s">
        <v>8985</v>
      </c>
      <c r="I3572" s="23" t="s">
        <v>24</v>
      </c>
      <c r="J3572" s="34">
        <v>140</v>
      </c>
      <c r="K3572" s="35">
        <v>0.25</v>
      </c>
      <c r="L3572" s="36">
        <f t="shared" si="532"/>
        <v>35</v>
      </c>
      <c r="M3572" s="37">
        <f t="shared" si="533"/>
        <v>105</v>
      </c>
      <c r="N3572" s="38">
        <v>0.16</v>
      </c>
      <c r="O3572" s="39">
        <f t="shared" si="534"/>
        <v>16.8</v>
      </c>
      <c r="P3572" s="40">
        <f t="shared" si="535"/>
        <v>121.8</v>
      </c>
      <c r="Q3572" s="23"/>
      <c r="R3572" s="56"/>
      <c r="S3572" s="57"/>
      <c r="T3572" s="58">
        <f t="shared" si="536"/>
        <v>0</v>
      </c>
      <c r="U3572" s="36">
        <f t="shared" si="537"/>
        <v>0</v>
      </c>
      <c r="V3572" s="59">
        <f t="shared" si="538"/>
        <v>0</v>
      </c>
      <c r="W3572" s="39">
        <f t="shared" si="539"/>
        <v>0</v>
      </c>
      <c r="X3572" s="40">
        <f t="shared" si="540"/>
        <v>0</v>
      </c>
      <c r="Y3572"/>
      <c r="Z3572"/>
      <c r="AA3572"/>
    </row>
    <row r="3573" spans="1:27" s="51" customFormat="1" ht="18.600000000000001" hidden="1" customHeight="1" x14ac:dyDescent="0.25">
      <c r="A3573" s="82" t="s">
        <v>2653</v>
      </c>
      <c r="B3573" s="41" t="s">
        <v>9423</v>
      </c>
      <c r="C3573" s="42" t="s">
        <v>9423</v>
      </c>
      <c r="D3573" s="41" t="s">
        <v>8986</v>
      </c>
      <c r="E3573" s="43" t="s">
        <v>8987</v>
      </c>
      <c r="F3573" s="43" t="s">
        <v>1937</v>
      </c>
      <c r="G3573" s="43" t="s">
        <v>8714</v>
      </c>
      <c r="H3573" s="85" t="s">
        <v>8988</v>
      </c>
      <c r="I3573" s="23" t="s">
        <v>24</v>
      </c>
      <c r="J3573" s="44">
        <v>140</v>
      </c>
      <c r="K3573" s="45">
        <v>0.25</v>
      </c>
      <c r="L3573" s="46">
        <f t="shared" si="532"/>
        <v>35</v>
      </c>
      <c r="M3573" s="47">
        <f t="shared" si="533"/>
        <v>105</v>
      </c>
      <c r="N3573" s="48">
        <v>0.16</v>
      </c>
      <c r="O3573" s="49">
        <f t="shared" si="534"/>
        <v>16.8</v>
      </c>
      <c r="P3573" s="50">
        <f t="shared" si="535"/>
        <v>121.8</v>
      </c>
      <c r="Q3573" s="23"/>
      <c r="R3573" s="60"/>
      <c r="S3573" s="61"/>
      <c r="T3573" s="62">
        <f t="shared" si="536"/>
        <v>0</v>
      </c>
      <c r="U3573" s="46">
        <f t="shared" si="537"/>
        <v>0</v>
      </c>
      <c r="V3573" s="63">
        <f t="shared" si="538"/>
        <v>0</v>
      </c>
      <c r="W3573" s="49">
        <f t="shared" si="539"/>
        <v>0</v>
      </c>
      <c r="X3573" s="50">
        <f t="shared" si="540"/>
        <v>0</v>
      </c>
      <c r="Y3573"/>
      <c r="Z3573"/>
      <c r="AA3573"/>
    </row>
    <row r="3574" spans="1:27" s="51" customFormat="1" ht="18.600000000000001" hidden="1" customHeight="1" x14ac:dyDescent="0.25">
      <c r="A3574" s="80" t="s">
        <v>2653</v>
      </c>
      <c r="B3574" s="20" t="s">
        <v>9423</v>
      </c>
      <c r="C3574" s="21" t="s">
        <v>9423</v>
      </c>
      <c r="D3574" s="20" t="s">
        <v>8989</v>
      </c>
      <c r="E3574" s="22" t="s">
        <v>8990</v>
      </c>
      <c r="F3574" s="22" t="s">
        <v>1937</v>
      </c>
      <c r="G3574" s="22" t="s">
        <v>8714</v>
      </c>
      <c r="H3574" s="83" t="s">
        <v>8991</v>
      </c>
      <c r="I3574" s="23" t="s">
        <v>24</v>
      </c>
      <c r="J3574" s="24">
        <v>140</v>
      </c>
      <c r="K3574" s="25">
        <v>0.25</v>
      </c>
      <c r="L3574" s="26">
        <f t="shared" si="532"/>
        <v>35</v>
      </c>
      <c r="M3574" s="27">
        <f t="shared" si="533"/>
        <v>105</v>
      </c>
      <c r="N3574" s="28">
        <v>0.16</v>
      </c>
      <c r="O3574" s="29">
        <f t="shared" si="534"/>
        <v>16.8</v>
      </c>
      <c r="P3574" s="30">
        <f t="shared" si="535"/>
        <v>121.8</v>
      </c>
      <c r="Q3574" s="23"/>
      <c r="R3574" s="52"/>
      <c r="S3574" s="53"/>
      <c r="T3574" s="54">
        <f t="shared" si="536"/>
        <v>0</v>
      </c>
      <c r="U3574" s="26">
        <f t="shared" si="537"/>
        <v>0</v>
      </c>
      <c r="V3574" s="55">
        <f t="shared" si="538"/>
        <v>0</v>
      </c>
      <c r="W3574" s="29">
        <f t="shared" si="539"/>
        <v>0</v>
      </c>
      <c r="X3574" s="30">
        <f t="shared" si="540"/>
        <v>0</v>
      </c>
      <c r="Y3574"/>
      <c r="Z3574"/>
      <c r="AA3574"/>
    </row>
    <row r="3575" spans="1:27" s="51" customFormat="1" ht="18.600000000000001" hidden="1" customHeight="1" x14ac:dyDescent="0.25">
      <c r="A3575" s="81" t="s">
        <v>2653</v>
      </c>
      <c r="B3575" s="31" t="s">
        <v>9423</v>
      </c>
      <c r="C3575" s="32" t="s">
        <v>9423</v>
      </c>
      <c r="D3575" s="31" t="s">
        <v>8992</v>
      </c>
      <c r="E3575" s="33" t="s">
        <v>8993</v>
      </c>
      <c r="F3575" s="33" t="s">
        <v>1937</v>
      </c>
      <c r="G3575" s="33" t="s">
        <v>8714</v>
      </c>
      <c r="H3575" s="84" t="s">
        <v>8994</v>
      </c>
      <c r="I3575" s="23" t="s">
        <v>24</v>
      </c>
      <c r="J3575" s="34">
        <v>140</v>
      </c>
      <c r="K3575" s="35">
        <v>0.25</v>
      </c>
      <c r="L3575" s="36">
        <f t="shared" si="532"/>
        <v>35</v>
      </c>
      <c r="M3575" s="37">
        <f t="shared" si="533"/>
        <v>105</v>
      </c>
      <c r="N3575" s="38">
        <v>0.16</v>
      </c>
      <c r="O3575" s="39">
        <f t="shared" si="534"/>
        <v>16.8</v>
      </c>
      <c r="P3575" s="40">
        <f t="shared" si="535"/>
        <v>121.8</v>
      </c>
      <c r="Q3575" s="23"/>
      <c r="R3575" s="56"/>
      <c r="S3575" s="57"/>
      <c r="T3575" s="58">
        <f t="shared" si="536"/>
        <v>0</v>
      </c>
      <c r="U3575" s="36">
        <f t="shared" si="537"/>
        <v>0</v>
      </c>
      <c r="V3575" s="59">
        <f t="shared" si="538"/>
        <v>0</v>
      </c>
      <c r="W3575" s="39">
        <f t="shared" si="539"/>
        <v>0</v>
      </c>
      <c r="X3575" s="40">
        <f t="shared" si="540"/>
        <v>0</v>
      </c>
      <c r="Y3575"/>
      <c r="Z3575"/>
      <c r="AA3575"/>
    </row>
    <row r="3576" spans="1:27" s="51" customFormat="1" ht="18.600000000000001" hidden="1" customHeight="1" x14ac:dyDescent="0.25">
      <c r="A3576" s="82" t="s">
        <v>2653</v>
      </c>
      <c r="B3576" s="41" t="s">
        <v>9423</v>
      </c>
      <c r="C3576" s="42" t="s">
        <v>9423</v>
      </c>
      <c r="D3576" s="41" t="s">
        <v>8995</v>
      </c>
      <c r="E3576" s="43" t="s">
        <v>8996</v>
      </c>
      <c r="F3576" s="43" t="s">
        <v>1937</v>
      </c>
      <c r="G3576" s="43" t="s">
        <v>8714</v>
      </c>
      <c r="H3576" s="85" t="s">
        <v>8997</v>
      </c>
      <c r="I3576" s="23" t="s">
        <v>24</v>
      </c>
      <c r="J3576" s="44">
        <v>140</v>
      </c>
      <c r="K3576" s="45">
        <v>0.25</v>
      </c>
      <c r="L3576" s="46">
        <f t="shared" si="532"/>
        <v>35</v>
      </c>
      <c r="M3576" s="47">
        <f t="shared" si="533"/>
        <v>105</v>
      </c>
      <c r="N3576" s="48">
        <v>0.16</v>
      </c>
      <c r="O3576" s="49">
        <f t="shared" si="534"/>
        <v>16.8</v>
      </c>
      <c r="P3576" s="50">
        <f t="shared" si="535"/>
        <v>121.8</v>
      </c>
      <c r="Q3576" s="23"/>
      <c r="R3576" s="60"/>
      <c r="S3576" s="61"/>
      <c r="T3576" s="62">
        <f t="shared" si="536"/>
        <v>0</v>
      </c>
      <c r="U3576" s="46">
        <f t="shared" si="537"/>
        <v>0</v>
      </c>
      <c r="V3576" s="63">
        <f t="shared" si="538"/>
        <v>0</v>
      </c>
      <c r="W3576" s="49">
        <f t="shared" si="539"/>
        <v>0</v>
      </c>
      <c r="X3576" s="50">
        <f t="shared" si="540"/>
        <v>0</v>
      </c>
      <c r="Y3576"/>
      <c r="Z3576"/>
      <c r="AA3576"/>
    </row>
    <row r="3577" spans="1:27" s="51" customFormat="1" ht="18.600000000000001" hidden="1" customHeight="1" x14ac:dyDescent="0.25">
      <c r="A3577" s="80" t="s">
        <v>2653</v>
      </c>
      <c r="B3577" s="20" t="s">
        <v>9423</v>
      </c>
      <c r="C3577" s="21" t="s">
        <v>9424</v>
      </c>
      <c r="D3577" s="20" t="s">
        <v>8998</v>
      </c>
      <c r="E3577" s="22" t="s">
        <v>8999</v>
      </c>
      <c r="F3577" s="22" t="s">
        <v>1937</v>
      </c>
      <c r="G3577" s="22" t="s">
        <v>9000</v>
      </c>
      <c r="H3577" s="83" t="s">
        <v>9001</v>
      </c>
      <c r="I3577" s="23" t="s">
        <v>24</v>
      </c>
      <c r="J3577" s="24">
        <v>840</v>
      </c>
      <c r="K3577" s="25">
        <v>0.25</v>
      </c>
      <c r="L3577" s="26">
        <f t="shared" si="532"/>
        <v>210</v>
      </c>
      <c r="M3577" s="27">
        <f t="shared" si="533"/>
        <v>630</v>
      </c>
      <c r="N3577" s="28">
        <v>0.16</v>
      </c>
      <c r="O3577" s="29">
        <f t="shared" si="534"/>
        <v>100.8</v>
      </c>
      <c r="P3577" s="30">
        <f t="shared" si="535"/>
        <v>730.8</v>
      </c>
      <c r="Q3577" s="23"/>
      <c r="R3577" s="52"/>
      <c r="S3577" s="53"/>
      <c r="T3577" s="54">
        <f t="shared" si="536"/>
        <v>0</v>
      </c>
      <c r="U3577" s="26">
        <f t="shared" si="537"/>
        <v>0</v>
      </c>
      <c r="V3577" s="55">
        <f t="shared" si="538"/>
        <v>0</v>
      </c>
      <c r="W3577" s="29">
        <f t="shared" si="539"/>
        <v>0</v>
      </c>
      <c r="X3577" s="30">
        <f t="shared" si="540"/>
        <v>0</v>
      </c>
      <c r="Y3577"/>
      <c r="Z3577"/>
      <c r="AA3577"/>
    </row>
    <row r="3578" spans="1:27" s="51" customFormat="1" ht="18.600000000000001" hidden="1" customHeight="1" x14ac:dyDescent="0.25">
      <c r="A3578" s="81" t="s">
        <v>2653</v>
      </c>
      <c r="B3578" s="31" t="s">
        <v>9423</v>
      </c>
      <c r="C3578" s="32" t="s">
        <v>9424</v>
      </c>
      <c r="D3578" s="31" t="s">
        <v>9002</v>
      </c>
      <c r="E3578" s="33" t="s">
        <v>9003</v>
      </c>
      <c r="F3578" s="33" t="s">
        <v>1937</v>
      </c>
      <c r="G3578" s="33" t="s">
        <v>9000</v>
      </c>
      <c r="H3578" s="84" t="s">
        <v>9004</v>
      </c>
      <c r="I3578" s="23" t="s">
        <v>24</v>
      </c>
      <c r="J3578" s="34">
        <v>840</v>
      </c>
      <c r="K3578" s="35">
        <v>0.25</v>
      </c>
      <c r="L3578" s="36">
        <f t="shared" si="532"/>
        <v>210</v>
      </c>
      <c r="M3578" s="37">
        <f t="shared" si="533"/>
        <v>630</v>
      </c>
      <c r="N3578" s="38">
        <v>0.16</v>
      </c>
      <c r="O3578" s="39">
        <f t="shared" si="534"/>
        <v>100.8</v>
      </c>
      <c r="P3578" s="40">
        <f t="shared" si="535"/>
        <v>730.8</v>
      </c>
      <c r="Q3578" s="23"/>
      <c r="R3578" s="56"/>
      <c r="S3578" s="57"/>
      <c r="T3578" s="58">
        <f t="shared" si="536"/>
        <v>0</v>
      </c>
      <c r="U3578" s="36">
        <f t="shared" si="537"/>
        <v>0</v>
      </c>
      <c r="V3578" s="59">
        <f t="shared" si="538"/>
        <v>0</v>
      </c>
      <c r="W3578" s="39">
        <f t="shared" si="539"/>
        <v>0</v>
      </c>
      <c r="X3578" s="40">
        <f t="shared" si="540"/>
        <v>0</v>
      </c>
      <c r="Y3578"/>
      <c r="Z3578"/>
      <c r="AA3578"/>
    </row>
    <row r="3579" spans="1:27" s="51" customFormat="1" ht="18.600000000000001" hidden="1" customHeight="1" x14ac:dyDescent="0.25">
      <c r="A3579" s="82" t="s">
        <v>2653</v>
      </c>
      <c r="B3579" s="41" t="s">
        <v>9943</v>
      </c>
      <c r="C3579" s="42" t="s">
        <v>9408</v>
      </c>
      <c r="D3579" s="41" t="s">
        <v>9005</v>
      </c>
      <c r="E3579" s="43" t="s">
        <v>9006</v>
      </c>
      <c r="F3579" s="43" t="s">
        <v>1937</v>
      </c>
      <c r="G3579" s="43"/>
      <c r="H3579" s="85" t="s">
        <v>9898</v>
      </c>
      <c r="I3579" s="23" t="s">
        <v>24</v>
      </c>
      <c r="J3579" s="44">
        <v>420</v>
      </c>
      <c r="K3579" s="45">
        <v>0.25</v>
      </c>
      <c r="L3579" s="46">
        <f t="shared" si="532"/>
        <v>105</v>
      </c>
      <c r="M3579" s="47">
        <f t="shared" si="533"/>
        <v>315</v>
      </c>
      <c r="N3579" s="48">
        <v>0.16</v>
      </c>
      <c r="O3579" s="49">
        <f t="shared" si="534"/>
        <v>50.4</v>
      </c>
      <c r="P3579" s="50">
        <f t="shared" si="535"/>
        <v>365.4</v>
      </c>
      <c r="Q3579" s="23"/>
      <c r="R3579" s="60"/>
      <c r="S3579" s="61"/>
      <c r="T3579" s="62">
        <f t="shared" si="536"/>
        <v>0</v>
      </c>
      <c r="U3579" s="46">
        <f t="shared" si="537"/>
        <v>0</v>
      </c>
      <c r="V3579" s="63">
        <f t="shared" si="538"/>
        <v>0</v>
      </c>
      <c r="W3579" s="49">
        <f t="shared" si="539"/>
        <v>0</v>
      </c>
      <c r="X3579" s="50">
        <f t="shared" si="540"/>
        <v>0</v>
      </c>
      <c r="Y3579"/>
      <c r="Z3579"/>
      <c r="AA3579"/>
    </row>
    <row r="3580" spans="1:27" s="51" customFormat="1" ht="18.600000000000001" hidden="1" customHeight="1" x14ac:dyDescent="0.25">
      <c r="A3580" s="80" t="s">
        <v>2653</v>
      </c>
      <c r="B3580" s="20" t="s">
        <v>9943</v>
      </c>
      <c r="C3580" s="21" t="s">
        <v>9408</v>
      </c>
      <c r="D3580" s="20">
        <v>8436564928498</v>
      </c>
      <c r="E3580" s="22" t="s">
        <v>9007</v>
      </c>
      <c r="F3580" s="22" t="s">
        <v>1937</v>
      </c>
      <c r="G3580" s="22"/>
      <c r="H3580" s="83" t="s">
        <v>9899</v>
      </c>
      <c r="I3580" s="23" t="s">
        <v>24</v>
      </c>
      <c r="J3580" s="24">
        <v>490</v>
      </c>
      <c r="K3580" s="25">
        <v>0.25</v>
      </c>
      <c r="L3580" s="26">
        <f t="shared" si="532"/>
        <v>122.5</v>
      </c>
      <c r="M3580" s="27">
        <f t="shared" si="533"/>
        <v>367.5</v>
      </c>
      <c r="N3580" s="28">
        <v>0.16</v>
      </c>
      <c r="O3580" s="29">
        <f t="shared" si="534"/>
        <v>58.800000000000004</v>
      </c>
      <c r="P3580" s="30">
        <f t="shared" si="535"/>
        <v>426.3</v>
      </c>
      <c r="Q3580" s="23"/>
      <c r="R3580" s="52"/>
      <c r="S3580" s="53"/>
      <c r="T3580" s="54">
        <f t="shared" si="536"/>
        <v>0</v>
      </c>
      <c r="U3580" s="26">
        <f t="shared" si="537"/>
        <v>0</v>
      </c>
      <c r="V3580" s="55">
        <f t="shared" si="538"/>
        <v>0</v>
      </c>
      <c r="W3580" s="29">
        <f t="shared" si="539"/>
        <v>0</v>
      </c>
      <c r="X3580" s="30">
        <f t="shared" si="540"/>
        <v>0</v>
      </c>
      <c r="Y3580"/>
      <c r="Z3580"/>
      <c r="AA3580"/>
    </row>
    <row r="3581" spans="1:27" s="51" customFormat="1" ht="18.600000000000001" hidden="1" customHeight="1" x14ac:dyDescent="0.25">
      <c r="A3581" s="81" t="s">
        <v>2653</v>
      </c>
      <c r="B3581" s="31" t="s">
        <v>9943</v>
      </c>
      <c r="C3581" s="32" t="s">
        <v>9408</v>
      </c>
      <c r="D3581" s="31">
        <v>8436564929860</v>
      </c>
      <c r="E3581" s="33" t="s">
        <v>9008</v>
      </c>
      <c r="F3581" s="33" t="s">
        <v>1937</v>
      </c>
      <c r="G3581" s="33"/>
      <c r="H3581" s="84" t="s">
        <v>9900</v>
      </c>
      <c r="I3581" s="23" t="s">
        <v>24</v>
      </c>
      <c r="J3581" s="34">
        <v>320</v>
      </c>
      <c r="K3581" s="35">
        <v>0.25</v>
      </c>
      <c r="L3581" s="36">
        <f t="shared" si="532"/>
        <v>80</v>
      </c>
      <c r="M3581" s="37">
        <f t="shared" si="533"/>
        <v>240</v>
      </c>
      <c r="N3581" s="38">
        <v>0.16</v>
      </c>
      <c r="O3581" s="39">
        <f t="shared" si="534"/>
        <v>38.4</v>
      </c>
      <c r="P3581" s="40">
        <f t="shared" si="535"/>
        <v>278.39999999999998</v>
      </c>
      <c r="Q3581" s="23"/>
      <c r="R3581" s="56"/>
      <c r="S3581" s="57"/>
      <c r="T3581" s="58">
        <f t="shared" si="536"/>
        <v>0</v>
      </c>
      <c r="U3581" s="36">
        <f t="shared" si="537"/>
        <v>0</v>
      </c>
      <c r="V3581" s="59">
        <f t="shared" si="538"/>
        <v>0</v>
      </c>
      <c r="W3581" s="39">
        <f t="shared" si="539"/>
        <v>0</v>
      </c>
      <c r="X3581" s="40">
        <f t="shared" si="540"/>
        <v>0</v>
      </c>
      <c r="Y3581"/>
      <c r="Z3581"/>
      <c r="AA3581"/>
    </row>
    <row r="3582" spans="1:27" s="51" customFormat="1" ht="18.600000000000001" hidden="1" customHeight="1" x14ac:dyDescent="0.25">
      <c r="A3582" s="82" t="s">
        <v>2653</v>
      </c>
      <c r="B3582" s="41" t="s">
        <v>9943</v>
      </c>
      <c r="C3582" s="42" t="s">
        <v>9408</v>
      </c>
      <c r="D3582" s="41">
        <v>8435568300415</v>
      </c>
      <c r="E3582" s="43" t="s">
        <v>9009</v>
      </c>
      <c r="F3582" s="43" t="s">
        <v>1937</v>
      </c>
      <c r="G3582" s="43"/>
      <c r="H3582" s="85" t="s">
        <v>9901</v>
      </c>
      <c r="I3582" s="23" t="s">
        <v>24</v>
      </c>
      <c r="J3582" s="44">
        <v>490</v>
      </c>
      <c r="K3582" s="45">
        <v>0.25</v>
      </c>
      <c r="L3582" s="46">
        <f t="shared" si="532"/>
        <v>122.5</v>
      </c>
      <c r="M3582" s="47">
        <f t="shared" si="533"/>
        <v>367.5</v>
      </c>
      <c r="N3582" s="48">
        <v>0.16</v>
      </c>
      <c r="O3582" s="49">
        <f t="shared" si="534"/>
        <v>58.800000000000004</v>
      </c>
      <c r="P3582" s="50">
        <f t="shared" si="535"/>
        <v>426.3</v>
      </c>
      <c r="Q3582" s="23"/>
      <c r="R3582" s="60"/>
      <c r="S3582" s="61"/>
      <c r="T3582" s="62">
        <f t="shared" si="536"/>
        <v>0</v>
      </c>
      <c r="U3582" s="46">
        <f t="shared" si="537"/>
        <v>0</v>
      </c>
      <c r="V3582" s="63">
        <f t="shared" si="538"/>
        <v>0</v>
      </c>
      <c r="W3582" s="49">
        <f t="shared" si="539"/>
        <v>0</v>
      </c>
      <c r="X3582" s="50">
        <f t="shared" si="540"/>
        <v>0</v>
      </c>
      <c r="Y3582"/>
      <c r="Z3582"/>
      <c r="AA3582"/>
    </row>
    <row r="3583" spans="1:27" s="51" customFormat="1" ht="18.600000000000001" hidden="1" customHeight="1" x14ac:dyDescent="0.25">
      <c r="A3583" s="80" t="s">
        <v>2653</v>
      </c>
      <c r="B3583" s="20" t="s">
        <v>9943</v>
      </c>
      <c r="C3583" s="21" t="s">
        <v>9408</v>
      </c>
      <c r="D3583" s="20">
        <v>8436564928054</v>
      </c>
      <c r="E3583" s="22" t="s">
        <v>9010</v>
      </c>
      <c r="F3583" s="22" t="s">
        <v>1937</v>
      </c>
      <c r="G3583" s="22"/>
      <c r="H3583" s="83" t="s">
        <v>9902</v>
      </c>
      <c r="I3583" s="23" t="s">
        <v>24</v>
      </c>
      <c r="J3583" s="24">
        <v>490</v>
      </c>
      <c r="K3583" s="25">
        <v>0.25</v>
      </c>
      <c r="L3583" s="26">
        <f t="shared" si="532"/>
        <v>122.5</v>
      </c>
      <c r="M3583" s="27">
        <f t="shared" si="533"/>
        <v>367.5</v>
      </c>
      <c r="N3583" s="28">
        <v>0.16</v>
      </c>
      <c r="O3583" s="29">
        <f t="shared" si="534"/>
        <v>58.800000000000004</v>
      </c>
      <c r="P3583" s="30">
        <f t="shared" si="535"/>
        <v>426.3</v>
      </c>
      <c r="Q3583" s="23"/>
      <c r="R3583" s="52"/>
      <c r="S3583" s="53"/>
      <c r="T3583" s="54">
        <f t="shared" si="536"/>
        <v>0</v>
      </c>
      <c r="U3583" s="26">
        <f t="shared" si="537"/>
        <v>0</v>
      </c>
      <c r="V3583" s="55">
        <f t="shared" si="538"/>
        <v>0</v>
      </c>
      <c r="W3583" s="29">
        <f t="shared" si="539"/>
        <v>0</v>
      </c>
      <c r="X3583" s="30">
        <f t="shared" si="540"/>
        <v>0</v>
      </c>
      <c r="Y3583"/>
      <c r="Z3583"/>
      <c r="AA3583"/>
    </row>
    <row r="3584" spans="1:27" s="51" customFormat="1" ht="18.600000000000001" hidden="1" customHeight="1" x14ac:dyDescent="0.25">
      <c r="A3584" s="81" t="s">
        <v>2653</v>
      </c>
      <c r="B3584" s="31" t="s">
        <v>9943</v>
      </c>
      <c r="C3584" s="32" t="s">
        <v>9408</v>
      </c>
      <c r="D3584" s="31">
        <v>8435568300781</v>
      </c>
      <c r="E3584" s="33" t="s">
        <v>9011</v>
      </c>
      <c r="F3584" s="33" t="s">
        <v>1937</v>
      </c>
      <c r="G3584" s="33"/>
      <c r="H3584" s="84" t="s">
        <v>9903</v>
      </c>
      <c r="I3584" s="23" t="s">
        <v>24</v>
      </c>
      <c r="J3584" s="34">
        <v>490</v>
      </c>
      <c r="K3584" s="35">
        <v>0.25</v>
      </c>
      <c r="L3584" s="36">
        <f t="shared" si="532"/>
        <v>122.5</v>
      </c>
      <c r="M3584" s="37">
        <f t="shared" si="533"/>
        <v>367.5</v>
      </c>
      <c r="N3584" s="38">
        <v>0.16</v>
      </c>
      <c r="O3584" s="39">
        <f t="shared" si="534"/>
        <v>58.800000000000004</v>
      </c>
      <c r="P3584" s="40">
        <f t="shared" si="535"/>
        <v>426.3</v>
      </c>
      <c r="Q3584" s="23"/>
      <c r="R3584" s="56"/>
      <c r="S3584" s="57"/>
      <c r="T3584" s="58">
        <f t="shared" si="536"/>
        <v>0</v>
      </c>
      <c r="U3584" s="36">
        <f t="shared" si="537"/>
        <v>0</v>
      </c>
      <c r="V3584" s="59">
        <f t="shared" si="538"/>
        <v>0</v>
      </c>
      <c r="W3584" s="39">
        <f t="shared" si="539"/>
        <v>0</v>
      </c>
      <c r="X3584" s="40">
        <f t="shared" si="540"/>
        <v>0</v>
      </c>
      <c r="Y3584"/>
      <c r="Z3584"/>
      <c r="AA3584"/>
    </row>
    <row r="3585" spans="1:27" s="51" customFormat="1" ht="18.600000000000001" hidden="1" customHeight="1" x14ac:dyDescent="0.25">
      <c r="A3585" s="82" t="s">
        <v>2653</v>
      </c>
      <c r="B3585" s="41" t="s">
        <v>9943</v>
      </c>
      <c r="C3585" s="42" t="s">
        <v>9408</v>
      </c>
      <c r="D3585" s="41">
        <v>8435568312883</v>
      </c>
      <c r="E3585" s="43" t="s">
        <v>9012</v>
      </c>
      <c r="F3585" s="43" t="s">
        <v>1937</v>
      </c>
      <c r="G3585" s="43"/>
      <c r="H3585" s="85" t="s">
        <v>9904</v>
      </c>
      <c r="I3585" s="23" t="s">
        <v>24</v>
      </c>
      <c r="J3585" s="44">
        <v>2500</v>
      </c>
      <c r="K3585" s="45">
        <v>0.25</v>
      </c>
      <c r="L3585" s="46">
        <f t="shared" si="532"/>
        <v>625</v>
      </c>
      <c r="M3585" s="47">
        <f t="shared" si="533"/>
        <v>1875</v>
      </c>
      <c r="N3585" s="48">
        <v>0.16</v>
      </c>
      <c r="O3585" s="49">
        <f t="shared" si="534"/>
        <v>300</v>
      </c>
      <c r="P3585" s="50">
        <f t="shared" si="535"/>
        <v>2175</v>
      </c>
      <c r="Q3585" s="23"/>
      <c r="R3585" s="60"/>
      <c r="S3585" s="61"/>
      <c r="T3585" s="62">
        <f t="shared" si="536"/>
        <v>0</v>
      </c>
      <c r="U3585" s="46">
        <f t="shared" si="537"/>
        <v>0</v>
      </c>
      <c r="V3585" s="63">
        <f t="shared" si="538"/>
        <v>0</v>
      </c>
      <c r="W3585" s="49">
        <f t="shared" si="539"/>
        <v>0</v>
      </c>
      <c r="X3585" s="50">
        <f t="shared" si="540"/>
        <v>0</v>
      </c>
      <c r="Y3585"/>
      <c r="Z3585"/>
      <c r="AA3585"/>
    </row>
    <row r="3586" spans="1:27" s="51" customFormat="1" ht="18.600000000000001" hidden="1" customHeight="1" x14ac:dyDescent="0.25">
      <c r="A3586" s="80" t="s">
        <v>2653</v>
      </c>
      <c r="B3586" s="20" t="s">
        <v>9943</v>
      </c>
      <c r="C3586" s="21" t="s">
        <v>9408</v>
      </c>
      <c r="D3586" s="20">
        <v>8436564929495</v>
      </c>
      <c r="E3586" s="22" t="s">
        <v>9013</v>
      </c>
      <c r="F3586" s="22" t="s">
        <v>1937</v>
      </c>
      <c r="G3586" s="22"/>
      <c r="H3586" s="83" t="s">
        <v>9905</v>
      </c>
      <c r="I3586" s="23" t="s">
        <v>24</v>
      </c>
      <c r="J3586" s="24">
        <v>420</v>
      </c>
      <c r="K3586" s="25">
        <v>0.25</v>
      </c>
      <c r="L3586" s="26">
        <f t="shared" si="532"/>
        <v>105</v>
      </c>
      <c r="M3586" s="27">
        <f t="shared" si="533"/>
        <v>315</v>
      </c>
      <c r="N3586" s="28">
        <v>0.16</v>
      </c>
      <c r="O3586" s="29">
        <f t="shared" si="534"/>
        <v>50.4</v>
      </c>
      <c r="P3586" s="30">
        <f t="shared" si="535"/>
        <v>365.4</v>
      </c>
      <c r="Q3586" s="23"/>
      <c r="R3586" s="52"/>
      <c r="S3586" s="53"/>
      <c r="T3586" s="54">
        <f t="shared" si="536"/>
        <v>0</v>
      </c>
      <c r="U3586" s="26">
        <f t="shared" si="537"/>
        <v>0</v>
      </c>
      <c r="V3586" s="55">
        <f t="shared" si="538"/>
        <v>0</v>
      </c>
      <c r="W3586" s="29">
        <f t="shared" si="539"/>
        <v>0</v>
      </c>
      <c r="X3586" s="30">
        <f t="shared" si="540"/>
        <v>0</v>
      </c>
      <c r="Y3586"/>
      <c r="Z3586"/>
      <c r="AA3586"/>
    </row>
    <row r="3587" spans="1:27" s="51" customFormat="1" ht="18.600000000000001" hidden="1" customHeight="1" x14ac:dyDescent="0.25">
      <c r="A3587" s="81" t="s">
        <v>2653</v>
      </c>
      <c r="B3587" s="31" t="s">
        <v>9943</v>
      </c>
      <c r="C3587" s="32" t="s">
        <v>9408</v>
      </c>
      <c r="D3587" s="31">
        <v>8436564929501</v>
      </c>
      <c r="E3587" s="33" t="s">
        <v>9014</v>
      </c>
      <c r="F3587" s="33" t="s">
        <v>1937</v>
      </c>
      <c r="G3587" s="33"/>
      <c r="H3587" s="84" t="s">
        <v>9906</v>
      </c>
      <c r="I3587" s="23" t="s">
        <v>24</v>
      </c>
      <c r="J3587" s="34">
        <v>420</v>
      </c>
      <c r="K3587" s="35">
        <v>0.25</v>
      </c>
      <c r="L3587" s="36">
        <f t="shared" si="532"/>
        <v>105</v>
      </c>
      <c r="M3587" s="37">
        <f t="shared" si="533"/>
        <v>315</v>
      </c>
      <c r="N3587" s="38">
        <v>0.16</v>
      </c>
      <c r="O3587" s="39">
        <f t="shared" si="534"/>
        <v>50.4</v>
      </c>
      <c r="P3587" s="40">
        <f t="shared" si="535"/>
        <v>365.4</v>
      </c>
      <c r="Q3587" s="23"/>
      <c r="R3587" s="56"/>
      <c r="S3587" s="57"/>
      <c r="T3587" s="58">
        <f t="shared" si="536"/>
        <v>0</v>
      </c>
      <c r="U3587" s="36">
        <f t="shared" si="537"/>
        <v>0</v>
      </c>
      <c r="V3587" s="59">
        <f t="shared" si="538"/>
        <v>0</v>
      </c>
      <c r="W3587" s="39">
        <f t="shared" si="539"/>
        <v>0</v>
      </c>
      <c r="X3587" s="40">
        <f t="shared" si="540"/>
        <v>0</v>
      </c>
      <c r="Y3587"/>
      <c r="Z3587"/>
      <c r="AA3587"/>
    </row>
    <row r="3588" spans="1:27" s="51" customFormat="1" ht="18.600000000000001" hidden="1" customHeight="1" x14ac:dyDescent="0.25">
      <c r="A3588" s="82" t="s">
        <v>2653</v>
      </c>
      <c r="B3588" s="41" t="s">
        <v>9943</v>
      </c>
      <c r="C3588" s="42" t="s">
        <v>9408</v>
      </c>
      <c r="D3588" s="41">
        <v>8436564928023</v>
      </c>
      <c r="E3588" s="43" t="s">
        <v>9015</v>
      </c>
      <c r="F3588" s="43" t="s">
        <v>1937</v>
      </c>
      <c r="G3588" s="43"/>
      <c r="H3588" s="85" t="s">
        <v>9907</v>
      </c>
      <c r="I3588" s="23" t="s">
        <v>24</v>
      </c>
      <c r="J3588" s="44">
        <v>420</v>
      </c>
      <c r="K3588" s="45">
        <v>0.25</v>
      </c>
      <c r="L3588" s="46">
        <f t="shared" si="532"/>
        <v>105</v>
      </c>
      <c r="M3588" s="47">
        <f t="shared" si="533"/>
        <v>315</v>
      </c>
      <c r="N3588" s="48">
        <v>0.16</v>
      </c>
      <c r="O3588" s="49">
        <f t="shared" si="534"/>
        <v>50.4</v>
      </c>
      <c r="P3588" s="50">
        <f t="shared" si="535"/>
        <v>365.4</v>
      </c>
      <c r="Q3588" s="23"/>
      <c r="R3588" s="60"/>
      <c r="S3588" s="61"/>
      <c r="T3588" s="62">
        <f t="shared" si="536"/>
        <v>0</v>
      </c>
      <c r="U3588" s="46">
        <f t="shared" si="537"/>
        <v>0</v>
      </c>
      <c r="V3588" s="63">
        <f t="shared" si="538"/>
        <v>0</v>
      </c>
      <c r="W3588" s="49">
        <f t="shared" si="539"/>
        <v>0</v>
      </c>
      <c r="X3588" s="50">
        <f t="shared" si="540"/>
        <v>0</v>
      </c>
      <c r="Y3588"/>
      <c r="Z3588"/>
      <c r="AA3588"/>
    </row>
    <row r="3589" spans="1:27" s="51" customFormat="1" ht="18.600000000000001" hidden="1" customHeight="1" x14ac:dyDescent="0.25">
      <c r="A3589" s="80" t="s">
        <v>2653</v>
      </c>
      <c r="B3589" s="20" t="s">
        <v>9943</v>
      </c>
      <c r="C3589" s="21" t="s">
        <v>9408</v>
      </c>
      <c r="D3589" s="20">
        <v>8436564929891</v>
      </c>
      <c r="E3589" s="22" t="s">
        <v>9016</v>
      </c>
      <c r="F3589" s="22" t="s">
        <v>1937</v>
      </c>
      <c r="G3589" s="22"/>
      <c r="H3589" s="83" t="s">
        <v>9908</v>
      </c>
      <c r="I3589" s="23" t="s">
        <v>24</v>
      </c>
      <c r="J3589" s="24">
        <v>390</v>
      </c>
      <c r="K3589" s="25">
        <v>0.25</v>
      </c>
      <c r="L3589" s="26">
        <f t="shared" si="532"/>
        <v>97.5</v>
      </c>
      <c r="M3589" s="27">
        <f t="shared" si="533"/>
        <v>292.5</v>
      </c>
      <c r="N3589" s="28">
        <v>0.16</v>
      </c>
      <c r="O3589" s="29">
        <f t="shared" si="534"/>
        <v>46.800000000000004</v>
      </c>
      <c r="P3589" s="30">
        <f t="shared" si="535"/>
        <v>339.3</v>
      </c>
      <c r="Q3589" s="23"/>
      <c r="R3589" s="52"/>
      <c r="S3589" s="53"/>
      <c r="T3589" s="54">
        <f t="shared" si="536"/>
        <v>0</v>
      </c>
      <c r="U3589" s="26">
        <f t="shared" si="537"/>
        <v>0</v>
      </c>
      <c r="V3589" s="55">
        <f t="shared" si="538"/>
        <v>0</v>
      </c>
      <c r="W3589" s="29">
        <f t="shared" si="539"/>
        <v>0</v>
      </c>
      <c r="X3589" s="30">
        <f t="shared" si="540"/>
        <v>0</v>
      </c>
      <c r="Y3589"/>
      <c r="Z3589"/>
      <c r="AA3589"/>
    </row>
    <row r="3590" spans="1:27" s="51" customFormat="1" ht="18.600000000000001" hidden="1" customHeight="1" x14ac:dyDescent="0.25">
      <c r="A3590" s="81" t="s">
        <v>2653</v>
      </c>
      <c r="B3590" s="31" t="s">
        <v>9943</v>
      </c>
      <c r="C3590" s="32" t="s">
        <v>9408</v>
      </c>
      <c r="D3590" s="31">
        <v>8436564928160</v>
      </c>
      <c r="E3590" s="33" t="s">
        <v>9017</v>
      </c>
      <c r="F3590" s="33" t="s">
        <v>1937</v>
      </c>
      <c r="G3590" s="33"/>
      <c r="H3590" s="84" t="s">
        <v>9909</v>
      </c>
      <c r="I3590" s="23" t="s">
        <v>24</v>
      </c>
      <c r="J3590" s="34">
        <v>390</v>
      </c>
      <c r="K3590" s="35">
        <v>0.25</v>
      </c>
      <c r="L3590" s="36">
        <f t="shared" si="532"/>
        <v>97.5</v>
      </c>
      <c r="M3590" s="37">
        <f t="shared" si="533"/>
        <v>292.5</v>
      </c>
      <c r="N3590" s="38">
        <v>0.16</v>
      </c>
      <c r="O3590" s="39">
        <f t="shared" si="534"/>
        <v>46.800000000000004</v>
      </c>
      <c r="P3590" s="40">
        <f t="shared" si="535"/>
        <v>339.3</v>
      </c>
      <c r="Q3590" s="23"/>
      <c r="R3590" s="56"/>
      <c r="S3590" s="57"/>
      <c r="T3590" s="58">
        <f t="shared" si="536"/>
        <v>0</v>
      </c>
      <c r="U3590" s="36">
        <f t="shared" si="537"/>
        <v>0</v>
      </c>
      <c r="V3590" s="59">
        <f t="shared" si="538"/>
        <v>0</v>
      </c>
      <c r="W3590" s="39">
        <f t="shared" si="539"/>
        <v>0</v>
      </c>
      <c r="X3590" s="40">
        <f t="shared" si="540"/>
        <v>0</v>
      </c>
      <c r="Y3590"/>
      <c r="Z3590"/>
      <c r="AA3590"/>
    </row>
    <row r="3591" spans="1:27" s="51" customFormat="1" ht="18.600000000000001" hidden="1" customHeight="1" x14ac:dyDescent="0.25">
      <c r="A3591" s="82" t="s">
        <v>2653</v>
      </c>
      <c r="B3591" s="41" t="s">
        <v>9943</v>
      </c>
      <c r="C3591" s="42" t="s">
        <v>9408</v>
      </c>
      <c r="D3591" s="41">
        <v>8436564927811</v>
      </c>
      <c r="E3591" s="43" t="s">
        <v>9018</v>
      </c>
      <c r="F3591" s="43" t="s">
        <v>1937</v>
      </c>
      <c r="G3591" s="43"/>
      <c r="H3591" s="85" t="s">
        <v>9910</v>
      </c>
      <c r="I3591" s="23" t="s">
        <v>24</v>
      </c>
      <c r="J3591" s="44">
        <v>490</v>
      </c>
      <c r="K3591" s="45">
        <v>0.25</v>
      </c>
      <c r="L3591" s="46">
        <f t="shared" si="532"/>
        <v>122.5</v>
      </c>
      <c r="M3591" s="47">
        <f t="shared" si="533"/>
        <v>367.5</v>
      </c>
      <c r="N3591" s="48">
        <v>0.16</v>
      </c>
      <c r="O3591" s="49">
        <f t="shared" si="534"/>
        <v>58.800000000000004</v>
      </c>
      <c r="P3591" s="50">
        <f t="shared" si="535"/>
        <v>426.3</v>
      </c>
      <c r="Q3591" s="23"/>
      <c r="R3591" s="60"/>
      <c r="S3591" s="61"/>
      <c r="T3591" s="62">
        <f t="shared" si="536"/>
        <v>0</v>
      </c>
      <c r="U3591" s="46">
        <f t="shared" si="537"/>
        <v>0</v>
      </c>
      <c r="V3591" s="63">
        <f t="shared" si="538"/>
        <v>0</v>
      </c>
      <c r="W3591" s="49">
        <f t="shared" si="539"/>
        <v>0</v>
      </c>
      <c r="X3591" s="50">
        <f t="shared" si="540"/>
        <v>0</v>
      </c>
      <c r="Y3591"/>
      <c r="Z3591"/>
      <c r="AA3591"/>
    </row>
    <row r="3592" spans="1:27" s="51" customFormat="1" ht="18.600000000000001" hidden="1" customHeight="1" x14ac:dyDescent="0.25">
      <c r="A3592" s="80" t="s">
        <v>2653</v>
      </c>
      <c r="B3592" s="20" t="s">
        <v>9943</v>
      </c>
      <c r="C3592" s="21" t="s">
        <v>9408</v>
      </c>
      <c r="D3592" s="20">
        <v>8435568304765</v>
      </c>
      <c r="E3592" s="22" t="s">
        <v>9019</v>
      </c>
      <c r="F3592" s="22" t="s">
        <v>1937</v>
      </c>
      <c r="G3592" s="22"/>
      <c r="H3592" s="83" t="s">
        <v>9911</v>
      </c>
      <c r="I3592" s="23" t="s">
        <v>24</v>
      </c>
      <c r="J3592" s="24">
        <v>420</v>
      </c>
      <c r="K3592" s="25">
        <v>0.25</v>
      </c>
      <c r="L3592" s="26">
        <f t="shared" si="532"/>
        <v>105</v>
      </c>
      <c r="M3592" s="27">
        <f t="shared" si="533"/>
        <v>315</v>
      </c>
      <c r="N3592" s="28">
        <v>0.16</v>
      </c>
      <c r="O3592" s="29">
        <f t="shared" si="534"/>
        <v>50.4</v>
      </c>
      <c r="P3592" s="30">
        <f t="shared" si="535"/>
        <v>365.4</v>
      </c>
      <c r="Q3592" s="23"/>
      <c r="R3592" s="52"/>
      <c r="S3592" s="53"/>
      <c r="T3592" s="54">
        <f t="shared" si="536"/>
        <v>0</v>
      </c>
      <c r="U3592" s="26">
        <f t="shared" si="537"/>
        <v>0</v>
      </c>
      <c r="V3592" s="55">
        <f t="shared" si="538"/>
        <v>0</v>
      </c>
      <c r="W3592" s="29">
        <f t="shared" si="539"/>
        <v>0</v>
      </c>
      <c r="X3592" s="30">
        <f t="shared" si="540"/>
        <v>0</v>
      </c>
      <c r="Y3592"/>
      <c r="Z3592"/>
      <c r="AA3592"/>
    </row>
    <row r="3593" spans="1:27" s="51" customFormat="1" ht="18.600000000000001" hidden="1" customHeight="1" x14ac:dyDescent="0.25">
      <c r="A3593" s="81" t="s">
        <v>2653</v>
      </c>
      <c r="B3593" s="31" t="s">
        <v>9943</v>
      </c>
      <c r="C3593" s="32" t="s">
        <v>9408</v>
      </c>
      <c r="D3593" s="31" t="s">
        <v>9020</v>
      </c>
      <c r="E3593" s="33" t="s">
        <v>9021</v>
      </c>
      <c r="F3593" s="33" t="s">
        <v>1937</v>
      </c>
      <c r="G3593" s="33"/>
      <c r="H3593" s="84" t="s">
        <v>9912</v>
      </c>
      <c r="I3593" s="23" t="s">
        <v>24</v>
      </c>
      <c r="J3593" s="34">
        <v>390</v>
      </c>
      <c r="K3593" s="35">
        <v>0.25</v>
      </c>
      <c r="L3593" s="36">
        <f t="shared" si="532"/>
        <v>97.5</v>
      </c>
      <c r="M3593" s="37">
        <f t="shared" si="533"/>
        <v>292.5</v>
      </c>
      <c r="N3593" s="38">
        <v>0.16</v>
      </c>
      <c r="O3593" s="39">
        <f t="shared" si="534"/>
        <v>46.800000000000004</v>
      </c>
      <c r="P3593" s="40">
        <f t="shared" si="535"/>
        <v>339.3</v>
      </c>
      <c r="Q3593" s="23"/>
      <c r="R3593" s="56"/>
      <c r="S3593" s="57"/>
      <c r="T3593" s="58">
        <f t="shared" si="536"/>
        <v>0</v>
      </c>
      <c r="U3593" s="36">
        <f t="shared" si="537"/>
        <v>0</v>
      </c>
      <c r="V3593" s="59">
        <f t="shared" si="538"/>
        <v>0</v>
      </c>
      <c r="W3593" s="39">
        <f t="shared" si="539"/>
        <v>0</v>
      </c>
      <c r="X3593" s="40">
        <f t="shared" si="540"/>
        <v>0</v>
      </c>
      <c r="Y3593"/>
      <c r="Z3593"/>
      <c r="AA3593"/>
    </row>
    <row r="3594" spans="1:27" s="51" customFormat="1" ht="18.600000000000001" hidden="1" customHeight="1" x14ac:dyDescent="0.25">
      <c r="A3594" s="82" t="s">
        <v>2653</v>
      </c>
      <c r="B3594" s="41" t="s">
        <v>9943</v>
      </c>
      <c r="C3594" s="42" t="s">
        <v>9408</v>
      </c>
      <c r="D3594" s="41" t="s">
        <v>9022</v>
      </c>
      <c r="E3594" s="43" t="s">
        <v>9023</v>
      </c>
      <c r="F3594" s="43" t="s">
        <v>1937</v>
      </c>
      <c r="G3594" s="43"/>
      <c r="H3594" s="85" t="s">
        <v>9913</v>
      </c>
      <c r="I3594" s="23" t="s">
        <v>24</v>
      </c>
      <c r="J3594" s="44">
        <v>390</v>
      </c>
      <c r="K3594" s="45">
        <v>0.25</v>
      </c>
      <c r="L3594" s="46">
        <f t="shared" si="532"/>
        <v>97.5</v>
      </c>
      <c r="M3594" s="47">
        <f t="shared" si="533"/>
        <v>292.5</v>
      </c>
      <c r="N3594" s="48">
        <v>0.16</v>
      </c>
      <c r="O3594" s="49">
        <f t="shared" si="534"/>
        <v>46.800000000000004</v>
      </c>
      <c r="P3594" s="50">
        <f t="shared" si="535"/>
        <v>339.3</v>
      </c>
      <c r="Q3594" s="23"/>
      <c r="R3594" s="60"/>
      <c r="S3594" s="61"/>
      <c r="T3594" s="62">
        <f t="shared" si="536"/>
        <v>0</v>
      </c>
      <c r="U3594" s="46">
        <f t="shared" si="537"/>
        <v>0</v>
      </c>
      <c r="V3594" s="63">
        <f t="shared" si="538"/>
        <v>0</v>
      </c>
      <c r="W3594" s="49">
        <f t="shared" si="539"/>
        <v>0</v>
      </c>
      <c r="X3594" s="50">
        <f t="shared" si="540"/>
        <v>0</v>
      </c>
      <c r="Y3594"/>
      <c r="Z3594"/>
      <c r="AA3594"/>
    </row>
    <row r="3595" spans="1:27" s="51" customFormat="1" ht="18.600000000000001" hidden="1" customHeight="1" x14ac:dyDescent="0.25">
      <c r="A3595" s="80" t="s">
        <v>2653</v>
      </c>
      <c r="B3595" s="20" t="s">
        <v>9943</v>
      </c>
      <c r="C3595" s="21" t="s">
        <v>9408</v>
      </c>
      <c r="D3595" s="20" t="s">
        <v>9024</v>
      </c>
      <c r="E3595" s="22" t="s">
        <v>9025</v>
      </c>
      <c r="F3595" s="22" t="s">
        <v>1937</v>
      </c>
      <c r="G3595" s="22"/>
      <c r="H3595" s="83" t="s">
        <v>9914</v>
      </c>
      <c r="I3595" s="23" t="s">
        <v>24</v>
      </c>
      <c r="J3595" s="24">
        <v>390</v>
      </c>
      <c r="K3595" s="25">
        <v>0.25</v>
      </c>
      <c r="L3595" s="26">
        <f t="shared" si="532"/>
        <v>97.5</v>
      </c>
      <c r="M3595" s="27">
        <f t="shared" si="533"/>
        <v>292.5</v>
      </c>
      <c r="N3595" s="28">
        <v>0.16</v>
      </c>
      <c r="O3595" s="29">
        <f t="shared" si="534"/>
        <v>46.800000000000004</v>
      </c>
      <c r="P3595" s="30">
        <f t="shared" si="535"/>
        <v>339.3</v>
      </c>
      <c r="Q3595" s="23"/>
      <c r="R3595" s="52"/>
      <c r="S3595" s="53"/>
      <c r="T3595" s="54">
        <f t="shared" si="536"/>
        <v>0</v>
      </c>
      <c r="U3595" s="26">
        <f t="shared" si="537"/>
        <v>0</v>
      </c>
      <c r="V3595" s="55">
        <f t="shared" si="538"/>
        <v>0</v>
      </c>
      <c r="W3595" s="29">
        <f t="shared" si="539"/>
        <v>0</v>
      </c>
      <c r="X3595" s="30">
        <f t="shared" si="540"/>
        <v>0</v>
      </c>
      <c r="Y3595"/>
      <c r="Z3595"/>
      <c r="AA3595"/>
    </row>
    <row r="3596" spans="1:27" s="51" customFormat="1" ht="18.600000000000001" hidden="1" customHeight="1" x14ac:dyDescent="0.25">
      <c r="A3596" s="81" t="s">
        <v>2653</v>
      </c>
      <c r="B3596" s="31" t="s">
        <v>9943</v>
      </c>
      <c r="C3596" s="32" t="s">
        <v>9408</v>
      </c>
      <c r="D3596" s="31" t="s">
        <v>9026</v>
      </c>
      <c r="E3596" s="33" t="s">
        <v>9027</v>
      </c>
      <c r="F3596" s="33" t="s">
        <v>1937</v>
      </c>
      <c r="G3596" s="33"/>
      <c r="H3596" s="84" t="s">
        <v>9915</v>
      </c>
      <c r="I3596" s="23" t="s">
        <v>24</v>
      </c>
      <c r="J3596" s="34">
        <v>390</v>
      </c>
      <c r="K3596" s="35">
        <v>0.25</v>
      </c>
      <c r="L3596" s="36">
        <f t="shared" si="532"/>
        <v>97.5</v>
      </c>
      <c r="M3596" s="37">
        <f t="shared" si="533"/>
        <v>292.5</v>
      </c>
      <c r="N3596" s="38">
        <v>0.16</v>
      </c>
      <c r="O3596" s="39">
        <f t="shared" si="534"/>
        <v>46.800000000000004</v>
      </c>
      <c r="P3596" s="40">
        <f t="shared" si="535"/>
        <v>339.3</v>
      </c>
      <c r="Q3596" s="23"/>
      <c r="R3596" s="56"/>
      <c r="S3596" s="57"/>
      <c r="T3596" s="58">
        <f t="shared" si="536"/>
        <v>0</v>
      </c>
      <c r="U3596" s="36">
        <f t="shared" si="537"/>
        <v>0</v>
      </c>
      <c r="V3596" s="59">
        <f t="shared" si="538"/>
        <v>0</v>
      </c>
      <c r="W3596" s="39">
        <f t="shared" si="539"/>
        <v>0</v>
      </c>
      <c r="X3596" s="40">
        <f t="shared" si="540"/>
        <v>0</v>
      </c>
      <c r="Y3596"/>
      <c r="Z3596"/>
      <c r="AA3596"/>
    </row>
    <row r="3597" spans="1:27" s="51" customFormat="1" ht="18.600000000000001" hidden="1" customHeight="1" x14ac:dyDescent="0.25">
      <c r="A3597" s="82" t="s">
        <v>2653</v>
      </c>
      <c r="B3597" s="41" t="s">
        <v>9943</v>
      </c>
      <c r="C3597" s="42" t="s">
        <v>9408</v>
      </c>
      <c r="D3597" s="41" t="s">
        <v>9028</v>
      </c>
      <c r="E3597" s="43" t="s">
        <v>9029</v>
      </c>
      <c r="F3597" s="43" t="s">
        <v>1937</v>
      </c>
      <c r="G3597" s="43"/>
      <c r="H3597" s="85" t="s">
        <v>9916</v>
      </c>
      <c r="I3597" s="23" t="s">
        <v>24</v>
      </c>
      <c r="J3597" s="44">
        <v>390</v>
      </c>
      <c r="K3597" s="45">
        <v>0.25</v>
      </c>
      <c r="L3597" s="46">
        <f t="shared" si="532"/>
        <v>97.5</v>
      </c>
      <c r="M3597" s="47">
        <f t="shared" si="533"/>
        <v>292.5</v>
      </c>
      <c r="N3597" s="48">
        <v>0.16</v>
      </c>
      <c r="O3597" s="49">
        <f t="shared" si="534"/>
        <v>46.800000000000004</v>
      </c>
      <c r="P3597" s="50">
        <f t="shared" si="535"/>
        <v>339.3</v>
      </c>
      <c r="Q3597" s="23"/>
      <c r="R3597" s="60"/>
      <c r="S3597" s="61"/>
      <c r="T3597" s="62">
        <f t="shared" si="536"/>
        <v>0</v>
      </c>
      <c r="U3597" s="46">
        <f t="shared" si="537"/>
        <v>0</v>
      </c>
      <c r="V3597" s="63">
        <f t="shared" si="538"/>
        <v>0</v>
      </c>
      <c r="W3597" s="49">
        <f t="shared" si="539"/>
        <v>0</v>
      </c>
      <c r="X3597" s="50">
        <f t="shared" si="540"/>
        <v>0</v>
      </c>
      <c r="Y3597"/>
      <c r="Z3597"/>
      <c r="AA3597"/>
    </row>
    <row r="3598" spans="1:27" s="51" customFormat="1" ht="18.600000000000001" hidden="1" customHeight="1" x14ac:dyDescent="0.25">
      <c r="A3598" s="80" t="s">
        <v>2653</v>
      </c>
      <c r="B3598" s="20" t="s">
        <v>9943</v>
      </c>
      <c r="C3598" s="21" t="s">
        <v>9408</v>
      </c>
      <c r="D3598" s="20" t="s">
        <v>9030</v>
      </c>
      <c r="E3598" s="22" t="s">
        <v>9031</v>
      </c>
      <c r="F3598" s="22" t="s">
        <v>1937</v>
      </c>
      <c r="G3598" s="22"/>
      <c r="H3598" s="83" t="s">
        <v>9917</v>
      </c>
      <c r="I3598" s="23" t="s">
        <v>24</v>
      </c>
      <c r="J3598" s="24">
        <v>390</v>
      </c>
      <c r="K3598" s="25">
        <v>0.25</v>
      </c>
      <c r="L3598" s="26">
        <f t="shared" si="532"/>
        <v>97.5</v>
      </c>
      <c r="M3598" s="27">
        <f t="shared" si="533"/>
        <v>292.5</v>
      </c>
      <c r="N3598" s="28">
        <v>0.16</v>
      </c>
      <c r="O3598" s="29">
        <f t="shared" si="534"/>
        <v>46.800000000000004</v>
      </c>
      <c r="P3598" s="30">
        <f t="shared" si="535"/>
        <v>339.3</v>
      </c>
      <c r="Q3598" s="23"/>
      <c r="R3598" s="52"/>
      <c r="S3598" s="53"/>
      <c r="T3598" s="54">
        <f t="shared" si="536"/>
        <v>0</v>
      </c>
      <c r="U3598" s="26">
        <f t="shared" si="537"/>
        <v>0</v>
      </c>
      <c r="V3598" s="55">
        <f t="shared" si="538"/>
        <v>0</v>
      </c>
      <c r="W3598" s="29">
        <f t="shared" si="539"/>
        <v>0</v>
      </c>
      <c r="X3598" s="30">
        <f t="shared" si="540"/>
        <v>0</v>
      </c>
      <c r="Y3598"/>
      <c r="Z3598"/>
      <c r="AA3598"/>
    </row>
    <row r="3599" spans="1:27" s="51" customFormat="1" ht="18.600000000000001" hidden="1" customHeight="1" x14ac:dyDescent="0.25">
      <c r="A3599" s="81" t="s">
        <v>2653</v>
      </c>
      <c r="B3599" s="31" t="s">
        <v>9943</v>
      </c>
      <c r="C3599" s="32" t="s">
        <v>9408</v>
      </c>
      <c r="D3599" s="31" t="s">
        <v>9032</v>
      </c>
      <c r="E3599" s="33" t="s">
        <v>9033</v>
      </c>
      <c r="F3599" s="33" t="s">
        <v>1937</v>
      </c>
      <c r="G3599" s="33"/>
      <c r="H3599" s="84" t="s">
        <v>9918</v>
      </c>
      <c r="I3599" s="23" t="s">
        <v>24</v>
      </c>
      <c r="J3599" s="34">
        <v>420</v>
      </c>
      <c r="K3599" s="35">
        <v>0.25</v>
      </c>
      <c r="L3599" s="36">
        <f t="shared" ref="L3599:L3620" si="541">+J3599*K3599</f>
        <v>105</v>
      </c>
      <c r="M3599" s="37">
        <f t="shared" ref="M3599:M3620" si="542">+J3599-L3599</f>
        <v>315</v>
      </c>
      <c r="N3599" s="38">
        <v>0.16</v>
      </c>
      <c r="O3599" s="39">
        <f t="shared" ref="O3599:O3620" si="543">+M3599*N3599</f>
        <v>50.4</v>
      </c>
      <c r="P3599" s="40">
        <f t="shared" ref="P3599:P3620" si="544">+M3599+O3599</f>
        <v>365.4</v>
      </c>
      <c r="Q3599" s="23"/>
      <c r="R3599" s="56"/>
      <c r="S3599" s="57"/>
      <c r="T3599" s="58">
        <f t="shared" ref="T3599:T3620" si="545">+S3599*J3599</f>
        <v>0</v>
      </c>
      <c r="U3599" s="36">
        <f t="shared" ref="U3599:U3620" si="546">+T3599*K3599</f>
        <v>0</v>
      </c>
      <c r="V3599" s="59">
        <f t="shared" ref="V3599:V3620" si="547">+T3599-U3599</f>
        <v>0</v>
      </c>
      <c r="W3599" s="39">
        <f t="shared" ref="W3599:W3620" si="548">+V3599*N3599</f>
        <v>0</v>
      </c>
      <c r="X3599" s="40">
        <f t="shared" ref="X3599:X3620" si="549">+V3599+W3599</f>
        <v>0</v>
      </c>
      <c r="Y3599"/>
      <c r="Z3599"/>
      <c r="AA3599"/>
    </row>
    <row r="3600" spans="1:27" s="51" customFormat="1" ht="18.600000000000001" hidden="1" customHeight="1" x14ac:dyDescent="0.25">
      <c r="A3600" s="82" t="s">
        <v>2653</v>
      </c>
      <c r="B3600" s="41" t="s">
        <v>9943</v>
      </c>
      <c r="C3600" s="42" t="s">
        <v>9408</v>
      </c>
      <c r="D3600" s="41" t="s">
        <v>9034</v>
      </c>
      <c r="E3600" s="43" t="s">
        <v>9035</v>
      </c>
      <c r="F3600" s="43" t="s">
        <v>1937</v>
      </c>
      <c r="G3600" s="43"/>
      <c r="H3600" s="85" t="s">
        <v>9919</v>
      </c>
      <c r="I3600" s="23" t="s">
        <v>24</v>
      </c>
      <c r="J3600" s="44">
        <v>820</v>
      </c>
      <c r="K3600" s="45">
        <v>0.25</v>
      </c>
      <c r="L3600" s="46">
        <f t="shared" si="541"/>
        <v>205</v>
      </c>
      <c r="M3600" s="47">
        <f t="shared" si="542"/>
        <v>615</v>
      </c>
      <c r="N3600" s="48">
        <v>0.16</v>
      </c>
      <c r="O3600" s="49">
        <f t="shared" si="543"/>
        <v>98.4</v>
      </c>
      <c r="P3600" s="50">
        <f t="shared" si="544"/>
        <v>713.4</v>
      </c>
      <c r="Q3600" s="23"/>
      <c r="R3600" s="60"/>
      <c r="S3600" s="61"/>
      <c r="T3600" s="62">
        <f t="shared" si="545"/>
        <v>0</v>
      </c>
      <c r="U3600" s="46">
        <f t="shared" si="546"/>
        <v>0</v>
      </c>
      <c r="V3600" s="63">
        <f t="shared" si="547"/>
        <v>0</v>
      </c>
      <c r="W3600" s="49">
        <f t="shared" si="548"/>
        <v>0</v>
      </c>
      <c r="X3600" s="50">
        <f t="shared" si="549"/>
        <v>0</v>
      </c>
      <c r="Y3600"/>
      <c r="Z3600"/>
      <c r="AA3600"/>
    </row>
    <row r="3601" spans="1:27" s="51" customFormat="1" ht="18.600000000000001" hidden="1" customHeight="1" x14ac:dyDescent="0.25">
      <c r="A3601" s="80" t="s">
        <v>2653</v>
      </c>
      <c r="B3601" s="20" t="s">
        <v>9943</v>
      </c>
      <c r="C3601" s="21" t="s">
        <v>9408</v>
      </c>
      <c r="D3601" s="20" t="s">
        <v>9036</v>
      </c>
      <c r="E3601" s="22" t="s">
        <v>9037</v>
      </c>
      <c r="F3601" s="22" t="s">
        <v>1937</v>
      </c>
      <c r="G3601" s="22"/>
      <c r="H3601" s="83" t="s">
        <v>9920</v>
      </c>
      <c r="I3601" s="23" t="s">
        <v>24</v>
      </c>
      <c r="J3601" s="24">
        <v>490</v>
      </c>
      <c r="K3601" s="25">
        <v>0.25</v>
      </c>
      <c r="L3601" s="26">
        <f t="shared" si="541"/>
        <v>122.5</v>
      </c>
      <c r="M3601" s="27">
        <f t="shared" si="542"/>
        <v>367.5</v>
      </c>
      <c r="N3601" s="28">
        <v>0.16</v>
      </c>
      <c r="O3601" s="29">
        <f t="shared" si="543"/>
        <v>58.800000000000004</v>
      </c>
      <c r="P3601" s="30">
        <f t="shared" si="544"/>
        <v>426.3</v>
      </c>
      <c r="Q3601" s="23"/>
      <c r="R3601" s="52"/>
      <c r="S3601" s="53"/>
      <c r="T3601" s="54">
        <f t="shared" si="545"/>
        <v>0</v>
      </c>
      <c r="U3601" s="26">
        <f t="shared" si="546"/>
        <v>0</v>
      </c>
      <c r="V3601" s="55">
        <f t="shared" si="547"/>
        <v>0</v>
      </c>
      <c r="W3601" s="29">
        <f t="shared" si="548"/>
        <v>0</v>
      </c>
      <c r="X3601" s="30">
        <f t="shared" si="549"/>
        <v>0</v>
      </c>
      <c r="Y3601"/>
      <c r="Z3601"/>
      <c r="AA3601"/>
    </row>
    <row r="3602" spans="1:27" s="51" customFormat="1" ht="18.600000000000001" hidden="1" customHeight="1" x14ac:dyDescent="0.25">
      <c r="A3602" s="81" t="s">
        <v>2653</v>
      </c>
      <c r="B3602" s="31" t="s">
        <v>9943</v>
      </c>
      <c r="C3602" s="32" t="s">
        <v>9408</v>
      </c>
      <c r="D3602" s="31">
        <v>8435568312913</v>
      </c>
      <c r="E3602" s="33" t="s">
        <v>9038</v>
      </c>
      <c r="F3602" s="33" t="s">
        <v>1937</v>
      </c>
      <c r="G3602" s="33"/>
      <c r="H3602" s="84" t="s">
        <v>9921</v>
      </c>
      <c r="I3602" s="23" t="s">
        <v>24</v>
      </c>
      <c r="J3602" s="34">
        <v>600</v>
      </c>
      <c r="K3602" s="35">
        <v>0.25</v>
      </c>
      <c r="L3602" s="36">
        <f t="shared" si="541"/>
        <v>150</v>
      </c>
      <c r="M3602" s="37">
        <f t="shared" si="542"/>
        <v>450</v>
      </c>
      <c r="N3602" s="38">
        <v>0.16</v>
      </c>
      <c r="O3602" s="39">
        <f t="shared" si="543"/>
        <v>72</v>
      </c>
      <c r="P3602" s="40">
        <f t="shared" si="544"/>
        <v>522</v>
      </c>
      <c r="Q3602" s="23"/>
      <c r="R3602" s="56"/>
      <c r="S3602" s="57"/>
      <c r="T3602" s="58">
        <f t="shared" si="545"/>
        <v>0</v>
      </c>
      <c r="U3602" s="36">
        <f t="shared" si="546"/>
        <v>0</v>
      </c>
      <c r="V3602" s="59">
        <f t="shared" si="547"/>
        <v>0</v>
      </c>
      <c r="W3602" s="39">
        <f t="shared" si="548"/>
        <v>0</v>
      </c>
      <c r="X3602" s="40">
        <f t="shared" si="549"/>
        <v>0</v>
      </c>
      <c r="Y3602"/>
      <c r="Z3602"/>
      <c r="AA3602"/>
    </row>
    <row r="3603" spans="1:27" s="51" customFormat="1" ht="18.600000000000001" hidden="1" customHeight="1" x14ac:dyDescent="0.25">
      <c r="A3603" s="82" t="s">
        <v>2653</v>
      </c>
      <c r="B3603" s="41" t="s">
        <v>9943</v>
      </c>
      <c r="C3603" s="42" t="s">
        <v>9408</v>
      </c>
      <c r="D3603" s="41">
        <v>8435568312920</v>
      </c>
      <c r="E3603" s="43" t="s">
        <v>9039</v>
      </c>
      <c r="F3603" s="43" t="s">
        <v>1937</v>
      </c>
      <c r="G3603" s="43"/>
      <c r="H3603" s="85" t="s">
        <v>9922</v>
      </c>
      <c r="I3603" s="23" t="s">
        <v>24</v>
      </c>
      <c r="J3603" s="44">
        <v>530</v>
      </c>
      <c r="K3603" s="45">
        <v>0.25</v>
      </c>
      <c r="L3603" s="46">
        <f t="shared" si="541"/>
        <v>132.5</v>
      </c>
      <c r="M3603" s="47">
        <f t="shared" si="542"/>
        <v>397.5</v>
      </c>
      <c r="N3603" s="48">
        <v>0.16</v>
      </c>
      <c r="O3603" s="49">
        <f t="shared" si="543"/>
        <v>63.6</v>
      </c>
      <c r="P3603" s="50">
        <f t="shared" si="544"/>
        <v>461.1</v>
      </c>
      <c r="Q3603" s="23"/>
      <c r="R3603" s="60"/>
      <c r="S3603" s="61"/>
      <c r="T3603" s="62">
        <f t="shared" si="545"/>
        <v>0</v>
      </c>
      <c r="U3603" s="46">
        <f t="shared" si="546"/>
        <v>0</v>
      </c>
      <c r="V3603" s="63">
        <f t="shared" si="547"/>
        <v>0</v>
      </c>
      <c r="W3603" s="49">
        <f t="shared" si="548"/>
        <v>0</v>
      </c>
      <c r="X3603" s="50">
        <f t="shared" si="549"/>
        <v>0</v>
      </c>
      <c r="Y3603"/>
      <c r="Z3603"/>
      <c r="AA3603"/>
    </row>
    <row r="3604" spans="1:27" s="51" customFormat="1" ht="18.600000000000001" hidden="1" customHeight="1" x14ac:dyDescent="0.25">
      <c r="A3604" s="80" t="s">
        <v>2653</v>
      </c>
      <c r="B3604" s="20" t="s">
        <v>9943</v>
      </c>
      <c r="C3604" s="21" t="s">
        <v>9408</v>
      </c>
      <c r="D3604" s="20">
        <v>8436564927873</v>
      </c>
      <c r="E3604" s="22" t="s">
        <v>9040</v>
      </c>
      <c r="F3604" s="22" t="s">
        <v>1937</v>
      </c>
      <c r="G3604" s="22"/>
      <c r="H3604" s="83" t="s">
        <v>9923</v>
      </c>
      <c r="I3604" s="23" t="s">
        <v>24</v>
      </c>
      <c r="J3604" s="24">
        <v>390</v>
      </c>
      <c r="K3604" s="25">
        <v>0.25</v>
      </c>
      <c r="L3604" s="26">
        <f t="shared" si="541"/>
        <v>97.5</v>
      </c>
      <c r="M3604" s="27">
        <f t="shared" si="542"/>
        <v>292.5</v>
      </c>
      <c r="N3604" s="28">
        <v>0.16</v>
      </c>
      <c r="O3604" s="29">
        <f t="shared" si="543"/>
        <v>46.800000000000004</v>
      </c>
      <c r="P3604" s="30">
        <f t="shared" si="544"/>
        <v>339.3</v>
      </c>
      <c r="Q3604" s="23"/>
      <c r="R3604" s="52"/>
      <c r="S3604" s="53"/>
      <c r="T3604" s="54">
        <f t="shared" si="545"/>
        <v>0</v>
      </c>
      <c r="U3604" s="26">
        <f t="shared" si="546"/>
        <v>0</v>
      </c>
      <c r="V3604" s="55">
        <f t="shared" si="547"/>
        <v>0</v>
      </c>
      <c r="W3604" s="29">
        <f t="shared" si="548"/>
        <v>0</v>
      </c>
      <c r="X3604" s="30">
        <f t="shared" si="549"/>
        <v>0</v>
      </c>
      <c r="Y3604"/>
      <c r="Z3604"/>
      <c r="AA3604"/>
    </row>
    <row r="3605" spans="1:27" s="51" customFormat="1" ht="18.600000000000001" hidden="1" customHeight="1" x14ac:dyDescent="0.25">
      <c r="A3605" s="81" t="s">
        <v>2653</v>
      </c>
      <c r="B3605" s="31" t="s">
        <v>9943</v>
      </c>
      <c r="C3605" s="32" t="s">
        <v>9408</v>
      </c>
      <c r="D3605" s="31" t="s">
        <v>9041</v>
      </c>
      <c r="E3605" s="33" t="s">
        <v>9042</v>
      </c>
      <c r="F3605" s="33" t="s">
        <v>1937</v>
      </c>
      <c r="G3605" s="33"/>
      <c r="H3605" s="84" t="s">
        <v>9924</v>
      </c>
      <c r="I3605" s="23" t="s">
        <v>24</v>
      </c>
      <c r="J3605" s="34">
        <v>420</v>
      </c>
      <c r="K3605" s="35">
        <v>0.25</v>
      </c>
      <c r="L3605" s="36">
        <f t="shared" si="541"/>
        <v>105</v>
      </c>
      <c r="M3605" s="37">
        <f t="shared" si="542"/>
        <v>315</v>
      </c>
      <c r="N3605" s="38">
        <v>0.16</v>
      </c>
      <c r="O3605" s="39">
        <f t="shared" si="543"/>
        <v>50.4</v>
      </c>
      <c r="P3605" s="40">
        <f t="shared" si="544"/>
        <v>365.4</v>
      </c>
      <c r="Q3605" s="23"/>
      <c r="R3605" s="56"/>
      <c r="S3605" s="57"/>
      <c r="T3605" s="58">
        <f t="shared" si="545"/>
        <v>0</v>
      </c>
      <c r="U3605" s="36">
        <f t="shared" si="546"/>
        <v>0</v>
      </c>
      <c r="V3605" s="59">
        <f t="shared" si="547"/>
        <v>0</v>
      </c>
      <c r="W3605" s="39">
        <f t="shared" si="548"/>
        <v>0</v>
      </c>
      <c r="X3605" s="40">
        <f t="shared" si="549"/>
        <v>0</v>
      </c>
      <c r="Y3605"/>
      <c r="Z3605"/>
      <c r="AA3605"/>
    </row>
    <row r="3606" spans="1:27" s="51" customFormat="1" ht="18.600000000000001" hidden="1" customHeight="1" x14ac:dyDescent="0.25">
      <c r="A3606" s="82" t="s">
        <v>2653</v>
      </c>
      <c r="B3606" s="41" t="s">
        <v>9943</v>
      </c>
      <c r="C3606" s="42" t="s">
        <v>9408</v>
      </c>
      <c r="D3606" s="41">
        <v>8436564927880</v>
      </c>
      <c r="E3606" s="43" t="s">
        <v>9043</v>
      </c>
      <c r="F3606" s="43" t="s">
        <v>1937</v>
      </c>
      <c r="G3606" s="43"/>
      <c r="H3606" s="85" t="s">
        <v>9925</v>
      </c>
      <c r="I3606" s="23" t="s">
        <v>24</v>
      </c>
      <c r="J3606" s="44">
        <v>550</v>
      </c>
      <c r="K3606" s="45">
        <v>0.25</v>
      </c>
      <c r="L3606" s="46">
        <f t="shared" si="541"/>
        <v>137.5</v>
      </c>
      <c r="M3606" s="47">
        <f t="shared" si="542"/>
        <v>412.5</v>
      </c>
      <c r="N3606" s="48">
        <v>0.16</v>
      </c>
      <c r="O3606" s="49">
        <f t="shared" si="543"/>
        <v>66</v>
      </c>
      <c r="P3606" s="50">
        <f t="shared" si="544"/>
        <v>478.5</v>
      </c>
      <c r="Q3606" s="23"/>
      <c r="R3606" s="60"/>
      <c r="S3606" s="61"/>
      <c r="T3606" s="62">
        <f t="shared" si="545"/>
        <v>0</v>
      </c>
      <c r="U3606" s="46">
        <f t="shared" si="546"/>
        <v>0</v>
      </c>
      <c r="V3606" s="63">
        <f t="shared" si="547"/>
        <v>0</v>
      </c>
      <c r="W3606" s="49">
        <f t="shared" si="548"/>
        <v>0</v>
      </c>
      <c r="X3606" s="50">
        <f t="shared" si="549"/>
        <v>0</v>
      </c>
      <c r="Y3606"/>
      <c r="Z3606"/>
      <c r="AA3606"/>
    </row>
    <row r="3607" spans="1:27" s="51" customFormat="1" ht="18.600000000000001" hidden="1" customHeight="1" x14ac:dyDescent="0.25">
      <c r="A3607" s="80" t="s">
        <v>2653</v>
      </c>
      <c r="B3607" s="20" t="s">
        <v>9943</v>
      </c>
      <c r="C3607" s="21" t="s">
        <v>9408</v>
      </c>
      <c r="D3607" s="20">
        <v>8435568300804</v>
      </c>
      <c r="E3607" s="22" t="s">
        <v>9044</v>
      </c>
      <c r="F3607" s="22" t="s">
        <v>1937</v>
      </c>
      <c r="G3607" s="22"/>
      <c r="H3607" s="83" t="s">
        <v>9926</v>
      </c>
      <c r="I3607" s="23" t="s">
        <v>24</v>
      </c>
      <c r="J3607" s="24">
        <v>530</v>
      </c>
      <c r="K3607" s="25">
        <v>0.25</v>
      </c>
      <c r="L3607" s="26">
        <f t="shared" si="541"/>
        <v>132.5</v>
      </c>
      <c r="M3607" s="27">
        <f t="shared" si="542"/>
        <v>397.5</v>
      </c>
      <c r="N3607" s="28">
        <v>0.16</v>
      </c>
      <c r="O3607" s="29">
        <f t="shared" si="543"/>
        <v>63.6</v>
      </c>
      <c r="P3607" s="30">
        <f t="shared" si="544"/>
        <v>461.1</v>
      </c>
      <c r="Q3607" s="23"/>
      <c r="R3607" s="52"/>
      <c r="S3607" s="53"/>
      <c r="T3607" s="54">
        <f t="shared" si="545"/>
        <v>0</v>
      </c>
      <c r="U3607" s="26">
        <f t="shared" si="546"/>
        <v>0</v>
      </c>
      <c r="V3607" s="55">
        <f t="shared" si="547"/>
        <v>0</v>
      </c>
      <c r="W3607" s="29">
        <f t="shared" si="548"/>
        <v>0</v>
      </c>
      <c r="X3607" s="30">
        <f t="shared" si="549"/>
        <v>0</v>
      </c>
      <c r="Y3607"/>
      <c r="Z3607"/>
      <c r="AA3607"/>
    </row>
    <row r="3608" spans="1:27" s="51" customFormat="1" ht="18.600000000000001" hidden="1" customHeight="1" x14ac:dyDescent="0.25">
      <c r="A3608" s="81" t="s">
        <v>2653</v>
      </c>
      <c r="B3608" s="31" t="s">
        <v>9943</v>
      </c>
      <c r="C3608" s="32" t="s">
        <v>9408</v>
      </c>
      <c r="D3608" s="31">
        <v>8436564927897</v>
      </c>
      <c r="E3608" s="33" t="s">
        <v>9045</v>
      </c>
      <c r="F3608" s="33" t="s">
        <v>1937</v>
      </c>
      <c r="G3608" s="33"/>
      <c r="H3608" s="84" t="s">
        <v>9927</v>
      </c>
      <c r="I3608" s="23" t="s">
        <v>24</v>
      </c>
      <c r="J3608" s="34">
        <v>1280</v>
      </c>
      <c r="K3608" s="35">
        <v>0.25</v>
      </c>
      <c r="L3608" s="36">
        <f t="shared" si="541"/>
        <v>320</v>
      </c>
      <c r="M3608" s="37">
        <f t="shared" si="542"/>
        <v>960</v>
      </c>
      <c r="N3608" s="38">
        <v>0.16</v>
      </c>
      <c r="O3608" s="39">
        <f t="shared" si="543"/>
        <v>153.6</v>
      </c>
      <c r="P3608" s="40">
        <f t="shared" si="544"/>
        <v>1113.5999999999999</v>
      </c>
      <c r="Q3608" s="23"/>
      <c r="R3608" s="56"/>
      <c r="S3608" s="57"/>
      <c r="T3608" s="58">
        <f t="shared" si="545"/>
        <v>0</v>
      </c>
      <c r="U3608" s="36">
        <f t="shared" si="546"/>
        <v>0</v>
      </c>
      <c r="V3608" s="59">
        <f t="shared" si="547"/>
        <v>0</v>
      </c>
      <c r="W3608" s="39">
        <f t="shared" si="548"/>
        <v>0</v>
      </c>
      <c r="X3608" s="40">
        <f t="shared" si="549"/>
        <v>0</v>
      </c>
      <c r="Y3608"/>
      <c r="Z3608"/>
      <c r="AA3608"/>
    </row>
    <row r="3609" spans="1:27" s="51" customFormat="1" ht="18.600000000000001" hidden="1" customHeight="1" x14ac:dyDescent="0.25">
      <c r="A3609" s="82" t="s">
        <v>2653</v>
      </c>
      <c r="B3609" s="41" t="s">
        <v>9943</v>
      </c>
      <c r="C3609" s="42" t="s">
        <v>9408</v>
      </c>
      <c r="D3609" s="41" t="s">
        <v>9046</v>
      </c>
      <c r="E3609" s="43" t="s">
        <v>9047</v>
      </c>
      <c r="F3609" s="43" t="s">
        <v>1937</v>
      </c>
      <c r="G3609" s="43"/>
      <c r="H3609" s="85" t="s">
        <v>9928</v>
      </c>
      <c r="I3609" s="23" t="s">
        <v>24</v>
      </c>
      <c r="J3609" s="44">
        <v>320</v>
      </c>
      <c r="K3609" s="45">
        <v>0.25</v>
      </c>
      <c r="L3609" s="46">
        <f t="shared" si="541"/>
        <v>80</v>
      </c>
      <c r="M3609" s="47">
        <f t="shared" si="542"/>
        <v>240</v>
      </c>
      <c r="N3609" s="48">
        <v>0.16</v>
      </c>
      <c r="O3609" s="49">
        <f t="shared" si="543"/>
        <v>38.4</v>
      </c>
      <c r="P3609" s="50">
        <f t="shared" si="544"/>
        <v>278.39999999999998</v>
      </c>
      <c r="Q3609" s="23"/>
      <c r="R3609" s="60"/>
      <c r="S3609" s="61"/>
      <c r="T3609" s="62">
        <f t="shared" si="545"/>
        <v>0</v>
      </c>
      <c r="U3609" s="46">
        <f t="shared" si="546"/>
        <v>0</v>
      </c>
      <c r="V3609" s="63">
        <f t="shared" si="547"/>
        <v>0</v>
      </c>
      <c r="W3609" s="49">
        <f t="shared" si="548"/>
        <v>0</v>
      </c>
      <c r="X3609" s="50">
        <f t="shared" si="549"/>
        <v>0</v>
      </c>
      <c r="Y3609"/>
      <c r="Z3609"/>
      <c r="AA3609"/>
    </row>
    <row r="3610" spans="1:27" s="51" customFormat="1" ht="18.600000000000001" hidden="1" customHeight="1" x14ac:dyDescent="0.25">
      <c r="A3610" s="80" t="s">
        <v>2653</v>
      </c>
      <c r="B3610" s="20" t="s">
        <v>9943</v>
      </c>
      <c r="C3610" s="21" t="s">
        <v>9408</v>
      </c>
      <c r="D3610" s="20" t="s">
        <v>9048</v>
      </c>
      <c r="E3610" s="22" t="s">
        <v>9049</v>
      </c>
      <c r="F3610" s="22" t="s">
        <v>1937</v>
      </c>
      <c r="G3610" s="22"/>
      <c r="H3610" s="83" t="s">
        <v>9929</v>
      </c>
      <c r="I3610" s="23" t="s">
        <v>24</v>
      </c>
      <c r="J3610" s="24">
        <v>250</v>
      </c>
      <c r="K3610" s="25">
        <v>0.25</v>
      </c>
      <c r="L3610" s="26">
        <f t="shared" si="541"/>
        <v>62.5</v>
      </c>
      <c r="M3610" s="27">
        <f t="shared" si="542"/>
        <v>187.5</v>
      </c>
      <c r="N3610" s="28">
        <v>0.16</v>
      </c>
      <c r="O3610" s="29">
        <f t="shared" si="543"/>
        <v>30</v>
      </c>
      <c r="P3610" s="30">
        <f t="shared" si="544"/>
        <v>217.5</v>
      </c>
      <c r="Q3610" s="23"/>
      <c r="R3610" s="52"/>
      <c r="S3610" s="53"/>
      <c r="T3610" s="54">
        <f t="shared" si="545"/>
        <v>0</v>
      </c>
      <c r="U3610" s="26">
        <f t="shared" si="546"/>
        <v>0</v>
      </c>
      <c r="V3610" s="55">
        <f t="shared" si="547"/>
        <v>0</v>
      </c>
      <c r="W3610" s="29">
        <f t="shared" si="548"/>
        <v>0</v>
      </c>
      <c r="X3610" s="30">
        <f t="shared" si="549"/>
        <v>0</v>
      </c>
      <c r="Y3610"/>
      <c r="Z3610"/>
      <c r="AA3610"/>
    </row>
    <row r="3611" spans="1:27" s="51" customFormat="1" ht="18.600000000000001" hidden="1" customHeight="1" x14ac:dyDescent="0.25">
      <c r="A3611" s="81" t="s">
        <v>2653</v>
      </c>
      <c r="B3611" s="31" t="s">
        <v>9943</v>
      </c>
      <c r="C3611" s="32" t="s">
        <v>9408</v>
      </c>
      <c r="D3611" s="31" t="s">
        <v>9050</v>
      </c>
      <c r="E3611" s="33" t="s">
        <v>9051</v>
      </c>
      <c r="F3611" s="33" t="s">
        <v>1937</v>
      </c>
      <c r="G3611" s="33"/>
      <c r="H3611" s="84" t="s">
        <v>9930</v>
      </c>
      <c r="I3611" s="23" t="s">
        <v>24</v>
      </c>
      <c r="J3611" s="34">
        <v>170</v>
      </c>
      <c r="K3611" s="35">
        <v>0.25</v>
      </c>
      <c r="L3611" s="36">
        <f t="shared" si="541"/>
        <v>42.5</v>
      </c>
      <c r="M3611" s="37">
        <f t="shared" si="542"/>
        <v>127.5</v>
      </c>
      <c r="N3611" s="38">
        <v>0.16</v>
      </c>
      <c r="O3611" s="39">
        <f t="shared" si="543"/>
        <v>20.400000000000002</v>
      </c>
      <c r="P3611" s="40">
        <f t="shared" si="544"/>
        <v>147.9</v>
      </c>
      <c r="Q3611" s="23"/>
      <c r="R3611" s="56"/>
      <c r="S3611" s="57"/>
      <c r="T3611" s="58">
        <f t="shared" si="545"/>
        <v>0</v>
      </c>
      <c r="U3611" s="36">
        <f t="shared" si="546"/>
        <v>0</v>
      </c>
      <c r="V3611" s="59">
        <f t="shared" si="547"/>
        <v>0</v>
      </c>
      <c r="W3611" s="39">
        <f t="shared" si="548"/>
        <v>0</v>
      </c>
      <c r="X3611" s="40">
        <f t="shared" si="549"/>
        <v>0</v>
      </c>
      <c r="Y3611"/>
      <c r="Z3611"/>
      <c r="AA3611"/>
    </row>
    <row r="3612" spans="1:27" s="51" customFormat="1" ht="18.600000000000001" hidden="1" customHeight="1" x14ac:dyDescent="0.25">
      <c r="A3612" s="82" t="s">
        <v>2653</v>
      </c>
      <c r="B3612" s="41" t="s">
        <v>9943</v>
      </c>
      <c r="C3612" s="42" t="s">
        <v>9408</v>
      </c>
      <c r="D3612" s="41" t="s">
        <v>9052</v>
      </c>
      <c r="E3612" s="43" t="s">
        <v>9053</v>
      </c>
      <c r="F3612" s="43" t="s">
        <v>1937</v>
      </c>
      <c r="G3612" s="43"/>
      <c r="H3612" s="85" t="s">
        <v>9931</v>
      </c>
      <c r="I3612" s="23" t="s">
        <v>24</v>
      </c>
      <c r="J3612" s="44">
        <v>280</v>
      </c>
      <c r="K3612" s="45">
        <v>0.25</v>
      </c>
      <c r="L3612" s="46">
        <f t="shared" si="541"/>
        <v>70</v>
      </c>
      <c r="M3612" s="47">
        <f t="shared" si="542"/>
        <v>210</v>
      </c>
      <c r="N3612" s="48">
        <v>0.16</v>
      </c>
      <c r="O3612" s="49">
        <f t="shared" si="543"/>
        <v>33.6</v>
      </c>
      <c r="P3612" s="50">
        <f t="shared" si="544"/>
        <v>243.6</v>
      </c>
      <c r="Q3612" s="23"/>
      <c r="R3612" s="60"/>
      <c r="S3612" s="61"/>
      <c r="T3612" s="62">
        <f t="shared" si="545"/>
        <v>0</v>
      </c>
      <c r="U3612" s="46">
        <f t="shared" si="546"/>
        <v>0</v>
      </c>
      <c r="V3612" s="63">
        <f t="shared" si="547"/>
        <v>0</v>
      </c>
      <c r="W3612" s="49">
        <f t="shared" si="548"/>
        <v>0</v>
      </c>
      <c r="X3612" s="50">
        <f t="shared" si="549"/>
        <v>0</v>
      </c>
      <c r="Y3612"/>
      <c r="Z3612"/>
      <c r="AA3612"/>
    </row>
    <row r="3613" spans="1:27" s="51" customFormat="1" ht="18.600000000000001" hidden="1" customHeight="1" x14ac:dyDescent="0.25">
      <c r="A3613" s="80" t="s">
        <v>2653</v>
      </c>
      <c r="B3613" s="20" t="s">
        <v>9943</v>
      </c>
      <c r="C3613" s="21" t="s">
        <v>9408</v>
      </c>
      <c r="D3613" s="20" t="s">
        <v>9054</v>
      </c>
      <c r="E3613" s="22" t="s">
        <v>9055</v>
      </c>
      <c r="F3613" s="22" t="s">
        <v>1937</v>
      </c>
      <c r="G3613" s="22"/>
      <c r="H3613" s="83" t="s">
        <v>9932</v>
      </c>
      <c r="I3613" s="23" t="s">
        <v>24</v>
      </c>
      <c r="J3613" s="24">
        <v>280</v>
      </c>
      <c r="K3613" s="25">
        <v>0.25</v>
      </c>
      <c r="L3613" s="26">
        <f t="shared" si="541"/>
        <v>70</v>
      </c>
      <c r="M3613" s="27">
        <f t="shared" si="542"/>
        <v>210</v>
      </c>
      <c r="N3613" s="28">
        <v>0.16</v>
      </c>
      <c r="O3613" s="29">
        <f t="shared" si="543"/>
        <v>33.6</v>
      </c>
      <c r="P3613" s="30">
        <f t="shared" si="544"/>
        <v>243.6</v>
      </c>
      <c r="Q3613" s="23"/>
      <c r="R3613" s="52"/>
      <c r="S3613" s="53"/>
      <c r="T3613" s="54">
        <f t="shared" si="545"/>
        <v>0</v>
      </c>
      <c r="U3613" s="26">
        <f t="shared" si="546"/>
        <v>0</v>
      </c>
      <c r="V3613" s="55">
        <f t="shared" si="547"/>
        <v>0</v>
      </c>
      <c r="W3613" s="29">
        <f t="shared" si="548"/>
        <v>0</v>
      </c>
      <c r="X3613" s="30">
        <f t="shared" si="549"/>
        <v>0</v>
      </c>
      <c r="Y3613"/>
      <c r="Z3613"/>
      <c r="AA3613"/>
    </row>
    <row r="3614" spans="1:27" s="51" customFormat="1" ht="18.600000000000001" hidden="1" customHeight="1" x14ac:dyDescent="0.25">
      <c r="A3614" s="81" t="s">
        <v>2653</v>
      </c>
      <c r="B3614" s="31" t="s">
        <v>9943</v>
      </c>
      <c r="C3614" s="32" t="s">
        <v>9408</v>
      </c>
      <c r="D3614" s="31" t="s">
        <v>9056</v>
      </c>
      <c r="E3614" s="33" t="s">
        <v>9057</v>
      </c>
      <c r="F3614" s="33" t="s">
        <v>1937</v>
      </c>
      <c r="G3614" s="33"/>
      <c r="H3614" s="84" t="s">
        <v>9933</v>
      </c>
      <c r="I3614" s="23" t="s">
        <v>24</v>
      </c>
      <c r="J3614" s="34">
        <v>140</v>
      </c>
      <c r="K3614" s="35">
        <v>0.25</v>
      </c>
      <c r="L3614" s="36">
        <f t="shared" si="541"/>
        <v>35</v>
      </c>
      <c r="M3614" s="37">
        <f t="shared" si="542"/>
        <v>105</v>
      </c>
      <c r="N3614" s="38">
        <v>0.16</v>
      </c>
      <c r="O3614" s="39">
        <f t="shared" si="543"/>
        <v>16.8</v>
      </c>
      <c r="P3614" s="40">
        <f t="shared" si="544"/>
        <v>121.8</v>
      </c>
      <c r="Q3614" s="23"/>
      <c r="R3614" s="56"/>
      <c r="S3614" s="57"/>
      <c r="T3614" s="58">
        <f t="shared" si="545"/>
        <v>0</v>
      </c>
      <c r="U3614" s="36">
        <f t="shared" si="546"/>
        <v>0</v>
      </c>
      <c r="V3614" s="59">
        <f t="shared" si="547"/>
        <v>0</v>
      </c>
      <c r="W3614" s="39">
        <f t="shared" si="548"/>
        <v>0</v>
      </c>
      <c r="X3614" s="40">
        <f t="shared" si="549"/>
        <v>0</v>
      </c>
      <c r="Y3614"/>
      <c r="Z3614"/>
      <c r="AA3614"/>
    </row>
    <row r="3615" spans="1:27" s="51" customFormat="1" ht="18.600000000000001" hidden="1" customHeight="1" x14ac:dyDescent="0.25">
      <c r="A3615" s="82" t="s">
        <v>2653</v>
      </c>
      <c r="B3615" s="41" t="s">
        <v>9943</v>
      </c>
      <c r="C3615" s="42" t="s">
        <v>9408</v>
      </c>
      <c r="D3615" s="41">
        <v>8436564928085</v>
      </c>
      <c r="E3615" s="43" t="s">
        <v>9058</v>
      </c>
      <c r="F3615" s="43" t="s">
        <v>1937</v>
      </c>
      <c r="G3615" s="43"/>
      <c r="H3615" s="85" t="s">
        <v>9934</v>
      </c>
      <c r="I3615" s="23" t="s">
        <v>24</v>
      </c>
      <c r="J3615" s="44">
        <v>480</v>
      </c>
      <c r="K3615" s="45">
        <v>0.25</v>
      </c>
      <c r="L3615" s="46">
        <f t="shared" si="541"/>
        <v>120</v>
      </c>
      <c r="M3615" s="47">
        <f t="shared" si="542"/>
        <v>360</v>
      </c>
      <c r="N3615" s="48">
        <v>0.16</v>
      </c>
      <c r="O3615" s="49">
        <f t="shared" si="543"/>
        <v>57.6</v>
      </c>
      <c r="P3615" s="50">
        <f t="shared" si="544"/>
        <v>417.6</v>
      </c>
      <c r="Q3615" s="23"/>
      <c r="R3615" s="60"/>
      <c r="S3615" s="61"/>
      <c r="T3615" s="62">
        <f t="shared" si="545"/>
        <v>0</v>
      </c>
      <c r="U3615" s="46">
        <f t="shared" si="546"/>
        <v>0</v>
      </c>
      <c r="V3615" s="63">
        <f t="shared" si="547"/>
        <v>0</v>
      </c>
      <c r="W3615" s="49">
        <f t="shared" si="548"/>
        <v>0</v>
      </c>
      <c r="X3615" s="50">
        <f t="shared" si="549"/>
        <v>0</v>
      </c>
      <c r="Y3615"/>
      <c r="Z3615"/>
      <c r="AA3615"/>
    </row>
    <row r="3616" spans="1:27" s="51" customFormat="1" ht="18.600000000000001" hidden="1" customHeight="1" x14ac:dyDescent="0.25">
      <c r="A3616" s="80" t="s">
        <v>2653</v>
      </c>
      <c r="B3616" s="20" t="s">
        <v>9943</v>
      </c>
      <c r="C3616" s="21" t="s">
        <v>9408</v>
      </c>
      <c r="D3616" s="20">
        <v>8436564928948</v>
      </c>
      <c r="E3616" s="22" t="s">
        <v>9059</v>
      </c>
      <c r="F3616" s="22" t="s">
        <v>1937</v>
      </c>
      <c r="G3616" s="22"/>
      <c r="H3616" s="83" t="s">
        <v>9935</v>
      </c>
      <c r="I3616" s="23" t="s">
        <v>24</v>
      </c>
      <c r="J3616" s="24">
        <v>490</v>
      </c>
      <c r="K3616" s="25">
        <v>0.25</v>
      </c>
      <c r="L3616" s="26">
        <f t="shared" si="541"/>
        <v>122.5</v>
      </c>
      <c r="M3616" s="27">
        <f t="shared" si="542"/>
        <v>367.5</v>
      </c>
      <c r="N3616" s="28">
        <v>0.16</v>
      </c>
      <c r="O3616" s="29">
        <f t="shared" si="543"/>
        <v>58.800000000000004</v>
      </c>
      <c r="P3616" s="30">
        <f t="shared" si="544"/>
        <v>426.3</v>
      </c>
      <c r="Q3616" s="23"/>
      <c r="R3616" s="52"/>
      <c r="S3616" s="53"/>
      <c r="T3616" s="54">
        <f t="shared" si="545"/>
        <v>0</v>
      </c>
      <c r="U3616" s="26">
        <f t="shared" si="546"/>
        <v>0</v>
      </c>
      <c r="V3616" s="55">
        <f t="shared" si="547"/>
        <v>0</v>
      </c>
      <c r="W3616" s="29">
        <f t="shared" si="548"/>
        <v>0</v>
      </c>
      <c r="X3616" s="30">
        <f t="shared" si="549"/>
        <v>0</v>
      </c>
      <c r="Y3616"/>
      <c r="Z3616"/>
      <c r="AA3616"/>
    </row>
    <row r="3617" spans="1:27" s="51" customFormat="1" ht="18.600000000000001" hidden="1" customHeight="1" x14ac:dyDescent="0.25">
      <c r="A3617" s="81" t="s">
        <v>2653</v>
      </c>
      <c r="B3617" s="31" t="s">
        <v>9943</v>
      </c>
      <c r="C3617" s="32" t="s">
        <v>9408</v>
      </c>
      <c r="D3617" s="31">
        <v>8436564929570</v>
      </c>
      <c r="E3617" s="33" t="s">
        <v>9060</v>
      </c>
      <c r="F3617" s="33" t="s">
        <v>1937</v>
      </c>
      <c r="G3617" s="33"/>
      <c r="H3617" s="84" t="s">
        <v>9936</v>
      </c>
      <c r="I3617" s="23" t="s">
        <v>24</v>
      </c>
      <c r="J3617" s="34">
        <v>490</v>
      </c>
      <c r="K3617" s="35">
        <v>0.25</v>
      </c>
      <c r="L3617" s="36">
        <f t="shared" si="541"/>
        <v>122.5</v>
      </c>
      <c r="M3617" s="37">
        <f t="shared" si="542"/>
        <v>367.5</v>
      </c>
      <c r="N3617" s="38">
        <v>0.16</v>
      </c>
      <c r="O3617" s="39">
        <f t="shared" si="543"/>
        <v>58.800000000000004</v>
      </c>
      <c r="P3617" s="40">
        <f t="shared" si="544"/>
        <v>426.3</v>
      </c>
      <c r="Q3617" s="23"/>
      <c r="R3617" s="56"/>
      <c r="S3617" s="57"/>
      <c r="T3617" s="58">
        <f t="shared" si="545"/>
        <v>0</v>
      </c>
      <c r="U3617" s="36">
        <f t="shared" si="546"/>
        <v>0</v>
      </c>
      <c r="V3617" s="59">
        <f t="shared" si="547"/>
        <v>0</v>
      </c>
      <c r="W3617" s="39">
        <f t="shared" si="548"/>
        <v>0</v>
      </c>
      <c r="X3617" s="40">
        <f t="shared" si="549"/>
        <v>0</v>
      </c>
      <c r="Y3617"/>
      <c r="Z3617"/>
      <c r="AA3617"/>
    </row>
    <row r="3618" spans="1:27" s="51" customFormat="1" ht="18.600000000000001" hidden="1" customHeight="1" x14ac:dyDescent="0.25">
      <c r="A3618" s="82" t="s">
        <v>2653</v>
      </c>
      <c r="B3618" s="41" t="s">
        <v>9943</v>
      </c>
      <c r="C3618" s="42" t="s">
        <v>9408</v>
      </c>
      <c r="D3618" s="41" t="s">
        <v>9061</v>
      </c>
      <c r="E3618" s="43" t="s">
        <v>9062</v>
      </c>
      <c r="F3618" s="43" t="s">
        <v>1937</v>
      </c>
      <c r="G3618" s="43"/>
      <c r="H3618" s="85" t="s">
        <v>9937</v>
      </c>
      <c r="I3618" s="23" t="s">
        <v>24</v>
      </c>
      <c r="J3618" s="44">
        <v>490</v>
      </c>
      <c r="K3618" s="45">
        <v>0.25</v>
      </c>
      <c r="L3618" s="46">
        <f t="shared" si="541"/>
        <v>122.5</v>
      </c>
      <c r="M3618" s="47">
        <f t="shared" si="542"/>
        <v>367.5</v>
      </c>
      <c r="N3618" s="48">
        <v>0.16</v>
      </c>
      <c r="O3618" s="49">
        <f t="shared" si="543"/>
        <v>58.800000000000004</v>
      </c>
      <c r="P3618" s="50">
        <f t="shared" si="544"/>
        <v>426.3</v>
      </c>
      <c r="Q3618" s="23"/>
      <c r="R3618" s="60"/>
      <c r="S3618" s="61"/>
      <c r="T3618" s="62">
        <f t="shared" si="545"/>
        <v>0</v>
      </c>
      <c r="U3618" s="46">
        <f t="shared" si="546"/>
        <v>0</v>
      </c>
      <c r="V3618" s="63">
        <f t="shared" si="547"/>
        <v>0</v>
      </c>
      <c r="W3618" s="49">
        <f t="shared" si="548"/>
        <v>0</v>
      </c>
      <c r="X3618" s="50">
        <f t="shared" si="549"/>
        <v>0</v>
      </c>
      <c r="Y3618"/>
      <c r="Z3618"/>
      <c r="AA3618"/>
    </row>
    <row r="3619" spans="1:27" s="51" customFormat="1" ht="18.600000000000001" hidden="1" customHeight="1" x14ac:dyDescent="0.25">
      <c r="A3619" s="80" t="s">
        <v>2653</v>
      </c>
      <c r="B3619" s="20" t="s">
        <v>9943</v>
      </c>
      <c r="C3619" s="21" t="s">
        <v>9408</v>
      </c>
      <c r="D3619" s="20">
        <v>8435568312937</v>
      </c>
      <c r="E3619" s="22" t="s">
        <v>9063</v>
      </c>
      <c r="F3619" s="22" t="s">
        <v>1937</v>
      </c>
      <c r="G3619" s="22"/>
      <c r="H3619" s="83" t="s">
        <v>9938</v>
      </c>
      <c r="I3619" s="23" t="s">
        <v>24</v>
      </c>
      <c r="J3619" s="24">
        <v>530</v>
      </c>
      <c r="K3619" s="25">
        <v>0.25</v>
      </c>
      <c r="L3619" s="26">
        <f t="shared" si="541"/>
        <v>132.5</v>
      </c>
      <c r="M3619" s="27">
        <f t="shared" si="542"/>
        <v>397.5</v>
      </c>
      <c r="N3619" s="28">
        <v>0.16</v>
      </c>
      <c r="O3619" s="29">
        <f t="shared" si="543"/>
        <v>63.6</v>
      </c>
      <c r="P3619" s="30">
        <f t="shared" si="544"/>
        <v>461.1</v>
      </c>
      <c r="Q3619" s="23"/>
      <c r="R3619" s="52"/>
      <c r="S3619" s="53"/>
      <c r="T3619" s="54">
        <f t="shared" si="545"/>
        <v>0</v>
      </c>
      <c r="U3619" s="26">
        <f t="shared" si="546"/>
        <v>0</v>
      </c>
      <c r="V3619" s="55">
        <f t="shared" si="547"/>
        <v>0</v>
      </c>
      <c r="W3619" s="29">
        <f t="shared" si="548"/>
        <v>0</v>
      </c>
      <c r="X3619" s="30">
        <f t="shared" si="549"/>
        <v>0</v>
      </c>
      <c r="Y3619"/>
      <c r="Z3619"/>
      <c r="AA3619"/>
    </row>
    <row r="3620" spans="1:27" s="51" customFormat="1" ht="18.600000000000001" hidden="1" customHeight="1" x14ac:dyDescent="0.25">
      <c r="A3620" s="81" t="s">
        <v>2653</v>
      </c>
      <c r="B3620" s="31" t="s">
        <v>9943</v>
      </c>
      <c r="C3620" s="32" t="s">
        <v>9408</v>
      </c>
      <c r="D3620" s="31">
        <v>8435568300767</v>
      </c>
      <c r="E3620" s="33" t="s">
        <v>9064</v>
      </c>
      <c r="F3620" s="33" t="s">
        <v>1937</v>
      </c>
      <c r="G3620" s="33"/>
      <c r="H3620" s="84" t="s">
        <v>9939</v>
      </c>
      <c r="I3620" s="23" t="s">
        <v>24</v>
      </c>
      <c r="J3620" s="34">
        <v>530</v>
      </c>
      <c r="K3620" s="35">
        <v>0.25</v>
      </c>
      <c r="L3620" s="36">
        <f t="shared" si="541"/>
        <v>132.5</v>
      </c>
      <c r="M3620" s="37">
        <f t="shared" si="542"/>
        <v>397.5</v>
      </c>
      <c r="N3620" s="38">
        <v>0.16</v>
      </c>
      <c r="O3620" s="39">
        <f t="shared" si="543"/>
        <v>63.6</v>
      </c>
      <c r="P3620" s="40">
        <f t="shared" si="544"/>
        <v>461.1</v>
      </c>
      <c r="Q3620" s="23"/>
      <c r="R3620" s="56"/>
      <c r="S3620" s="57"/>
      <c r="T3620" s="58">
        <f t="shared" si="545"/>
        <v>0</v>
      </c>
      <c r="U3620" s="36">
        <f t="shared" si="546"/>
        <v>0</v>
      </c>
      <c r="V3620" s="59">
        <f t="shared" si="547"/>
        <v>0</v>
      </c>
      <c r="W3620" s="39">
        <f t="shared" si="548"/>
        <v>0</v>
      </c>
      <c r="X3620" s="40">
        <f t="shared" si="549"/>
        <v>0</v>
      </c>
      <c r="Y3620"/>
      <c r="Z3620"/>
      <c r="AA3620"/>
    </row>
    <row r="3621" spans="1:27" x14ac:dyDescent="0.25">
      <c r="A3621" s="66"/>
      <c r="B3621" s="66"/>
      <c r="C3621" s="66"/>
      <c r="D3621" s="66"/>
      <c r="E3621" s="66"/>
      <c r="F3621" s="66"/>
      <c r="G3621" s="66"/>
      <c r="H3621" s="66"/>
      <c r="J3621" s="66"/>
      <c r="K3621" s="66"/>
      <c r="L3621" s="66"/>
      <c r="M3621" s="66"/>
      <c r="N3621" s="66"/>
      <c r="O3621" s="66"/>
      <c r="P3621" s="66"/>
      <c r="R3621" s="66"/>
      <c r="S3621" s="66"/>
      <c r="T3621" s="66"/>
      <c r="U3621" s="66"/>
      <c r="V3621" s="66"/>
      <c r="W3621" s="66"/>
      <c r="X3621" s="66"/>
    </row>
    <row r="3622" spans="1:27" customFormat="1" x14ac:dyDescent="0.25">
      <c r="A3622" s="79"/>
      <c r="B3622" s="79"/>
      <c r="C3622" s="79"/>
      <c r="D3622" s="79"/>
      <c r="E3622" s="79"/>
      <c r="F3622" s="79"/>
      <c r="G3622" s="79"/>
      <c r="H3622" s="79"/>
      <c r="J3622" s="79"/>
      <c r="K3622" s="79"/>
      <c r="L3622" s="79"/>
      <c r="M3622" s="79"/>
      <c r="N3622" s="79"/>
      <c r="O3622" s="79"/>
      <c r="P3622" s="79"/>
      <c r="R3622" s="79"/>
      <c r="S3622" s="79"/>
      <c r="T3622" s="79"/>
      <c r="U3622" s="79"/>
      <c r="V3622" s="79"/>
      <c r="W3622" s="79"/>
      <c r="X3622" s="79"/>
    </row>
    <row r="3623" spans="1:27" customFormat="1" x14ac:dyDescent="0.25"/>
    <row r="3624" spans="1:27" customFormat="1" x14ac:dyDescent="0.25"/>
    <row r="3625" spans="1:27" customFormat="1" x14ac:dyDescent="0.25"/>
    <row r="3626" spans="1:27" customFormat="1" x14ac:dyDescent="0.25"/>
    <row r="3627" spans="1:27" customFormat="1" x14ac:dyDescent="0.25"/>
    <row r="3628" spans="1:27" customFormat="1" x14ac:dyDescent="0.25"/>
    <row r="3629" spans="1:27" customFormat="1" x14ac:dyDescent="0.25"/>
    <row r="3630" spans="1:27" customFormat="1" x14ac:dyDescent="0.25"/>
    <row r="3631" spans="1:27" customFormat="1" x14ac:dyDescent="0.25"/>
    <row r="3632" spans="1:27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</sheetData>
  <autoFilter ref="A9:AA3620" xr:uid="{B2879D47-A803-4252-B9D3-D5345861DB40}">
    <filterColumn colId="18">
      <customFilters>
        <customFilter operator="notEqual" val=" "/>
      </customFilters>
    </filterColumn>
  </autoFilter>
  <dataValidations count="1">
    <dataValidation operator="lessThan" allowBlank="1" showErrorMessage="1" errorTitle="ERROR" error="Sólo puedes capturar valores numéricos enteros." sqref="S10:S3620" xr:uid="{5BFF0F5B-2434-4E37-A69E-109BE2510A43}"/>
  </dataValidations>
  <pageMargins left="0.39370078740157483" right="1.1811023622047245" top="0.19685039370078741" bottom="0.39370078740157483" header="0.31496062992125984" footer="0.19685039370078741"/>
  <pageSetup scale="27" fitToHeight="0" orientation="landscape" horizontalDpi="0" verticalDpi="0" r:id="rId1"/>
  <headerFooter>
    <oddFooter>&amp;C&amp;"Calibri,Normal"&amp;14&amp;D - &amp; PÁGINA &amp;P DE &amp;N - SW MODEL TOYS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F8A3D3-B97A-4D09-9C63-9685924E22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PEDIDO</vt:lpstr>
      <vt:lpstr>PEDIDO!Área_de_impresión</vt:lpstr>
      <vt:lpstr>PEDIDO!Títulos_a_imprimir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Angeles</dc:creator>
  <cp:lastModifiedBy>Alberto Martinez</cp:lastModifiedBy>
  <cp:lastPrinted>2026-01-07T18:33:01Z</cp:lastPrinted>
  <dcterms:created xsi:type="dcterms:W3CDTF">2025-09-19T20:17:42Z</dcterms:created>
  <dcterms:modified xsi:type="dcterms:W3CDTF">2026-02-06T05:50:15Z</dcterms:modified>
</cp:coreProperties>
</file>